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mfsetuo\Tacho\"/>
    </mc:Choice>
  </mc:AlternateContent>
  <xr:revisionPtr revIDLastSave="0" documentId="13_ncr:1_{7F5B87D3-FDD6-43C8-B594-24CBA7EF3C9D}" xr6:coauthVersionLast="47" xr6:coauthVersionMax="47" xr10:uidLastSave="{00000000-0000-0000-0000-000000000000}"/>
  <bookViews>
    <workbookView xWindow="-120" yWindow="-120" windowWidth="29040" windowHeight="16440" firstSheet="1" activeTab="1" xr2:uid="{37870328-F481-4CC0-81A6-CA4AF4B0A544}"/>
  </bookViews>
  <sheets>
    <sheet name="T1" sheetId="7" state="hidden" r:id="rId1"/>
    <sheet name="T4d" sheetId="13" r:id="rId2"/>
    <sheet name="CSV" sheetId="14" r:id="rId3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</workbook>
</file>

<file path=xl/calcChain.xml><?xml version="1.0" encoding="utf-8"?>
<calcChain xmlns="http://schemas.openxmlformats.org/spreadsheetml/2006/main">
  <c r="BF35" i="13" l="1"/>
  <c r="BF34" i="13"/>
  <c r="BF33" i="13"/>
  <c r="BF32" i="13"/>
  <c r="BF31" i="13"/>
  <c r="BF30" i="13"/>
  <c r="BF29" i="13"/>
  <c r="BF28" i="13"/>
  <c r="BF27" i="13"/>
  <c r="BF26" i="13"/>
  <c r="BF25" i="13"/>
  <c r="BF24" i="13"/>
  <c r="BF23" i="13"/>
  <c r="BF22" i="13"/>
  <c r="BF21" i="13"/>
  <c r="BF20" i="13"/>
  <c r="BF19" i="13"/>
  <c r="BF18" i="13"/>
  <c r="BF17" i="13"/>
  <c r="BF16" i="13"/>
  <c r="BF15" i="13"/>
  <c r="BF14" i="13"/>
  <c r="BF13" i="13"/>
  <c r="BF12" i="13"/>
  <c r="BF11" i="13"/>
  <c r="BF10" i="13"/>
  <c r="BF9" i="13"/>
  <c r="BF7" i="13"/>
  <c r="BF8" i="13"/>
  <c r="N29" i="14" l="1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BV29" i="13" l="1"/>
  <c r="BV23" i="13"/>
  <c r="BV19" i="13"/>
  <c r="BV15" i="13"/>
  <c r="BV11" i="13"/>
  <c r="BV8" i="13"/>
  <c r="BV7" i="13"/>
  <c r="CI28" i="13"/>
  <c r="CI27" i="13"/>
  <c r="CI26" i="13"/>
  <c r="CI25" i="13"/>
  <c r="CI24" i="13"/>
  <c r="CI23" i="13"/>
  <c r="BY4" i="13"/>
  <c r="BC8" i="13"/>
  <c r="BC9" i="13" s="1"/>
  <c r="BC10" i="13" s="1"/>
  <c r="BC11" i="13" s="1"/>
  <c r="BC12" i="13" s="1"/>
  <c r="BC13" i="13" s="1"/>
  <c r="BC14" i="13" s="1"/>
  <c r="BC15" i="13" s="1"/>
  <c r="BC16" i="13" s="1"/>
  <c r="BC17" i="13" s="1"/>
  <c r="BC18" i="13" s="1"/>
  <c r="BC19" i="13" s="1"/>
  <c r="BC20" i="13" s="1"/>
  <c r="BC21" i="13" s="1"/>
  <c r="BC22" i="13" s="1"/>
  <c r="BC23" i="13" s="1"/>
  <c r="BC24" i="13" s="1"/>
  <c r="BC25" i="13" s="1"/>
  <c r="BC26" i="13" s="1"/>
  <c r="BC27" i="13" s="1"/>
  <c r="BC28" i="13" s="1"/>
  <c r="BC29" i="13" s="1"/>
  <c r="BC30" i="13" s="1"/>
  <c r="BC31" i="13" s="1"/>
  <c r="BC32" i="13" s="1"/>
  <c r="BC33" i="13" s="1"/>
  <c r="BC34" i="13" s="1"/>
  <c r="BC35" i="13" s="1"/>
  <c r="AT1" i="13"/>
  <c r="AI1" i="13"/>
  <c r="AD1" i="13"/>
  <c r="V36" i="13" l="1"/>
  <c r="V37" i="13"/>
  <c r="V38" i="13"/>
  <c r="V39" i="13"/>
  <c r="V40" i="13"/>
  <c r="V41" i="13"/>
  <c r="V42" i="13"/>
  <c r="BR3" i="13" l="1"/>
  <c r="BP3" i="13"/>
  <c r="BO3" i="13"/>
  <c r="BM3" i="13"/>
  <c r="BL3" i="13"/>
  <c r="BK3" i="13"/>
  <c r="BJ3" i="13"/>
  <c r="BS1" i="13"/>
  <c r="BJ13" i="13"/>
  <c r="BJ14" i="13" s="1"/>
  <c r="BI14" i="13" s="1"/>
  <c r="BJ10" i="13"/>
  <c r="BK14" i="13" s="1"/>
  <c r="AE23" i="13"/>
  <c r="AE25" i="13"/>
  <c r="AE26" i="13" s="1"/>
  <c r="AE27" i="13" s="1"/>
  <c r="AE28" i="13" s="1"/>
  <c r="AE29" i="13" s="1"/>
  <c r="AE30" i="13" s="1"/>
  <c r="AE31" i="13" s="1"/>
  <c r="AE32" i="13" s="1"/>
  <c r="AE33" i="13" s="1"/>
  <c r="AE34" i="13" s="1"/>
  <c r="AE35" i="13" s="1"/>
  <c r="A1" i="13"/>
  <c r="M1" i="13"/>
  <c r="BX1" i="13"/>
  <c r="O3" i="13"/>
  <c r="V3" i="13"/>
  <c r="W3" i="13"/>
  <c r="X3" i="13"/>
  <c r="P4" i="13"/>
  <c r="P3" i="13" s="1"/>
  <c r="AK38" i="13"/>
  <c r="AL38" i="13" s="1"/>
  <c r="AK5" i="13"/>
  <c r="AL5" i="13" s="1"/>
  <c r="AM5" i="13" s="1"/>
  <c r="AN5" i="13" s="1"/>
  <c r="AO5" i="13" s="1"/>
  <c r="AP5" i="13" s="1"/>
  <c r="AQ5" i="13" s="1"/>
  <c r="AR5" i="13" s="1"/>
  <c r="AS5" i="13" s="1"/>
  <c r="BQ3" i="13"/>
  <c r="BY5" i="13"/>
  <c r="AB6" i="13"/>
  <c r="BN6" i="13"/>
  <c r="BN3" i="13" s="1"/>
  <c r="BZ6" i="13"/>
  <c r="CE6" i="13"/>
  <c r="R7" i="13"/>
  <c r="S7" i="13"/>
  <c r="V7" i="13"/>
  <c r="AT7" i="13"/>
  <c r="BU7" i="13"/>
  <c r="BW7" i="13"/>
  <c r="BT7" i="13"/>
  <c r="BY7" i="13"/>
  <c r="BZ7" i="13"/>
  <c r="CA7" i="13"/>
  <c r="CB7" i="13"/>
  <c r="R8" i="13"/>
  <c r="S8" i="13"/>
  <c r="V8" i="13"/>
  <c r="AT8" i="13"/>
  <c r="BM8" i="13"/>
  <c r="BU8" i="13" s="1"/>
  <c r="BW8" i="13"/>
  <c r="BT8" i="13"/>
  <c r="BY8" i="13"/>
  <c r="BZ8" i="13"/>
  <c r="CB8" i="13"/>
  <c r="R9" i="13"/>
  <c r="S9" i="13"/>
  <c r="V9" i="13"/>
  <c r="AT9" i="13"/>
  <c r="BP9" i="13"/>
  <c r="BW9" i="13"/>
  <c r="BT9" i="13"/>
  <c r="BY9" i="13"/>
  <c r="BZ9" i="13"/>
  <c r="R10" i="13"/>
  <c r="S10" i="13"/>
  <c r="V10" i="13"/>
  <c r="AT10" i="13"/>
  <c r="R11" i="13"/>
  <c r="S11" i="13"/>
  <c r="V11" i="13"/>
  <c r="AT11" i="13"/>
  <c r="BW11" i="13"/>
  <c r="BT11" i="13"/>
  <c r="BY11" i="13"/>
  <c r="BZ11" i="13"/>
  <c r="R12" i="13"/>
  <c r="S12" i="13"/>
  <c r="V12" i="13"/>
  <c r="AT12" i="13"/>
  <c r="BW12" i="13"/>
  <c r="BT12" i="13"/>
  <c r="BY12" i="13"/>
  <c r="BZ12" i="13"/>
  <c r="R13" i="13"/>
  <c r="S13" i="13"/>
  <c r="V13" i="13"/>
  <c r="AT13" i="13"/>
  <c r="BW13" i="13"/>
  <c r="BT13" i="13"/>
  <c r="BZ13" i="13"/>
  <c r="R14" i="13"/>
  <c r="S14" i="13"/>
  <c r="V14" i="13"/>
  <c r="AT14" i="13"/>
  <c r="R15" i="13"/>
  <c r="S15" i="13"/>
  <c r="V15" i="13"/>
  <c r="AT15" i="13"/>
  <c r="BW15" i="13"/>
  <c r="R16" i="13"/>
  <c r="S16" i="13"/>
  <c r="V16" i="13"/>
  <c r="AT16" i="13"/>
  <c r="BW16" i="13"/>
  <c r="R17" i="13"/>
  <c r="S17" i="13"/>
  <c r="V17" i="13"/>
  <c r="AT17" i="13"/>
  <c r="R18" i="13"/>
  <c r="S18" i="13"/>
  <c r="V18" i="13"/>
  <c r="AT18" i="13"/>
  <c r="BW18" i="13"/>
  <c r="R19" i="13"/>
  <c r="S19" i="13"/>
  <c r="V19" i="13"/>
  <c r="AT19" i="13"/>
  <c r="BW19" i="13"/>
  <c r="R20" i="13"/>
  <c r="S20" i="13"/>
  <c r="V20" i="13"/>
  <c r="AT20" i="13"/>
  <c r="BW20" i="13"/>
  <c r="R21" i="13"/>
  <c r="S21" i="13"/>
  <c r="V21" i="13"/>
  <c r="AT21" i="13"/>
  <c r="R22" i="13"/>
  <c r="S22" i="13"/>
  <c r="V22" i="13"/>
  <c r="AT22" i="13"/>
  <c r="BW22" i="13"/>
  <c r="R23" i="13"/>
  <c r="S23" i="13"/>
  <c r="V23" i="13"/>
  <c r="AT23" i="13"/>
  <c r="BW23" i="13"/>
  <c r="R24" i="13"/>
  <c r="S24" i="13"/>
  <c r="V24" i="13"/>
  <c r="AT24" i="13"/>
  <c r="R25" i="13"/>
  <c r="S25" i="13"/>
  <c r="V25" i="13"/>
  <c r="AT25" i="13"/>
  <c r="BW25" i="13"/>
  <c r="R26" i="13"/>
  <c r="S26" i="13"/>
  <c r="V26" i="13"/>
  <c r="AT26" i="13"/>
  <c r="BW26" i="13"/>
  <c r="R27" i="13"/>
  <c r="S27" i="13"/>
  <c r="V27" i="13"/>
  <c r="AT27" i="13"/>
  <c r="BW27" i="13"/>
  <c r="R28" i="13"/>
  <c r="S28" i="13"/>
  <c r="V28" i="13"/>
  <c r="AT28" i="13"/>
  <c r="BW28" i="13"/>
  <c r="R29" i="13"/>
  <c r="S29" i="13"/>
  <c r="V29" i="13"/>
  <c r="AT29" i="13"/>
  <c r="R30" i="13"/>
  <c r="S30" i="13"/>
  <c r="V30" i="13"/>
  <c r="AT30" i="13"/>
  <c r="BW30" i="13"/>
  <c r="R31" i="13"/>
  <c r="S31" i="13"/>
  <c r="V31" i="13"/>
  <c r="AT31" i="13"/>
  <c r="BW31" i="13"/>
  <c r="R32" i="13"/>
  <c r="S32" i="13"/>
  <c r="V32" i="13"/>
  <c r="AT32" i="13"/>
  <c r="BW32" i="13"/>
  <c r="R33" i="13"/>
  <c r="S33" i="13"/>
  <c r="V33" i="13"/>
  <c r="AT33" i="13"/>
  <c r="BW33" i="13"/>
  <c r="R34" i="13"/>
  <c r="S34" i="13"/>
  <c r="V34" i="13"/>
  <c r="AT34" i="13"/>
  <c r="R35" i="13"/>
  <c r="S35" i="13"/>
  <c r="V35" i="13"/>
  <c r="AT35" i="13"/>
  <c r="BW35" i="13"/>
  <c r="L36" i="13"/>
  <c r="W36" i="13"/>
  <c r="X36" i="13"/>
  <c r="Z36" i="13"/>
  <c r="AA36" i="13" s="1"/>
  <c r="AB36" i="13"/>
  <c r="CC36" i="13" s="1"/>
  <c r="BY36" i="13"/>
  <c r="CE36" i="13" s="1"/>
  <c r="BZ36" i="13"/>
  <c r="CA36" i="13"/>
  <c r="CB36" i="13"/>
  <c r="CD36" i="13"/>
  <c r="L37" i="13"/>
  <c r="W37" i="13"/>
  <c r="X37" i="13"/>
  <c r="Z37" i="13"/>
  <c r="AA37" i="13" s="1"/>
  <c r="AB37" i="13"/>
  <c r="CC37" i="13" s="1"/>
  <c r="BY37" i="13"/>
  <c r="CE37" i="13" s="1"/>
  <c r="BZ37" i="13"/>
  <c r="CA37" i="13"/>
  <c r="CB37" i="13"/>
  <c r="CD37" i="13"/>
  <c r="L38" i="13"/>
  <c r="W38" i="13"/>
  <c r="X38" i="13"/>
  <c r="Z38" i="13"/>
  <c r="AA38" i="13" s="1"/>
  <c r="AB38" i="13"/>
  <c r="CC38" i="13" s="1"/>
  <c r="BY38" i="13"/>
  <c r="CE38" i="13" s="1"/>
  <c r="BZ38" i="13"/>
  <c r="CA38" i="13"/>
  <c r="CB38" i="13"/>
  <c r="CD38" i="13"/>
  <c r="L39" i="13"/>
  <c r="W39" i="13"/>
  <c r="X39" i="13"/>
  <c r="Z39" i="13"/>
  <c r="AA39" i="13" s="1"/>
  <c r="AB39" i="13"/>
  <c r="CC39" i="13" s="1"/>
  <c r="BY39" i="13"/>
  <c r="CE39" i="13" s="1"/>
  <c r="BZ39" i="13"/>
  <c r="CA39" i="13"/>
  <c r="CB39" i="13"/>
  <c r="CD39" i="13"/>
  <c r="L40" i="13"/>
  <c r="W40" i="13"/>
  <c r="X40" i="13"/>
  <c r="Z40" i="13"/>
  <c r="AA40" i="13" s="1"/>
  <c r="AB40" i="13"/>
  <c r="CC40" i="13" s="1"/>
  <c r="BY40" i="13"/>
  <c r="Y40" i="13" s="1"/>
  <c r="BZ40" i="13"/>
  <c r="CA40" i="13"/>
  <c r="CB40" i="13"/>
  <c r="CD40" i="13"/>
  <c r="L41" i="13"/>
  <c r="W41" i="13"/>
  <c r="X41" i="13"/>
  <c r="Z41" i="13"/>
  <c r="AA41" i="13" s="1"/>
  <c r="AB41" i="13"/>
  <c r="CC41" i="13" s="1"/>
  <c r="BY41" i="13"/>
  <c r="Y41" i="13" s="1"/>
  <c r="BZ41" i="13"/>
  <c r="CA41" i="13"/>
  <c r="CB41" i="13"/>
  <c r="CD41" i="13"/>
  <c r="L42" i="13"/>
  <c r="W42" i="13"/>
  <c r="X42" i="13"/>
  <c r="Z42" i="13"/>
  <c r="AA42" i="13" s="1"/>
  <c r="AB42" i="13"/>
  <c r="CC42" i="13" s="1"/>
  <c r="BY42" i="13"/>
  <c r="Y42" i="13" s="1"/>
  <c r="BZ42" i="13"/>
  <c r="CA42" i="13"/>
  <c r="CB42" i="13"/>
  <c r="CD42" i="13"/>
  <c r="CB9" i="13" l="1"/>
  <c r="BV9" i="13"/>
  <c r="BY13" i="13"/>
  <c r="BZ5" i="13"/>
  <c r="BZ4" i="13"/>
  <c r="Z30" i="13"/>
  <c r="AA30" i="13" s="1"/>
  <c r="Q4" i="13"/>
  <c r="L12" i="13"/>
  <c r="Z14" i="13"/>
  <c r="AA14" i="13" s="1"/>
  <c r="L31" i="13"/>
  <c r="BT10" i="13"/>
  <c r="BZ10" i="13"/>
  <c r="Z10" i="13"/>
  <c r="AA10" i="13" s="1"/>
  <c r="Z34" i="13"/>
  <c r="BY10" i="13"/>
  <c r="BL14" i="13"/>
  <c r="BZ14" i="13" s="1"/>
  <c r="CE40" i="13"/>
  <c r="L11" i="13"/>
  <c r="BM9" i="13"/>
  <c r="BM10" i="13" s="1"/>
  <c r="BM11" i="13" s="1"/>
  <c r="BM12" i="13" s="1"/>
  <c r="BM13" i="13" s="1"/>
  <c r="BM14" i="13" s="1"/>
  <c r="BM15" i="13" s="1"/>
  <c r="BM16" i="13" s="1"/>
  <c r="BM17" i="13" s="1"/>
  <c r="BM18" i="13" s="1"/>
  <c r="BM19" i="13" s="1"/>
  <c r="BM20" i="13" s="1"/>
  <c r="BM21" i="13" s="1"/>
  <c r="BM22" i="13" s="1"/>
  <c r="BM23" i="13" s="1"/>
  <c r="BM24" i="13" s="1"/>
  <c r="BM25" i="13" s="1"/>
  <c r="BM26" i="13" s="1"/>
  <c r="BM27" i="13" s="1"/>
  <c r="BM28" i="13" s="1"/>
  <c r="BM29" i="13" s="1"/>
  <c r="BM30" i="13" s="1"/>
  <c r="BM31" i="13" s="1"/>
  <c r="BM32" i="13" s="1"/>
  <c r="BM33" i="13" s="1"/>
  <c r="BM34" i="13" s="1"/>
  <c r="BM35" i="13" s="1"/>
  <c r="Z33" i="13"/>
  <c r="AA33" i="13" s="1"/>
  <c r="BP10" i="13"/>
  <c r="BP12" i="13" s="1"/>
  <c r="L34" i="13"/>
  <c r="Z18" i="13"/>
  <c r="AA18" i="13" s="1"/>
  <c r="Z35" i="13"/>
  <c r="AA35" i="13" s="1"/>
  <c r="L15" i="13"/>
  <c r="Z28" i="13"/>
  <c r="AA28" i="13" s="1"/>
  <c r="X7" i="13"/>
  <c r="L13" i="13"/>
  <c r="W22" i="13"/>
  <c r="W29" i="13"/>
  <c r="L24" i="13"/>
  <c r="L14" i="13"/>
  <c r="Z9" i="13"/>
  <c r="AA9" i="13" s="1"/>
  <c r="L35" i="13"/>
  <c r="Z26" i="13"/>
  <c r="AA26" i="13" s="1"/>
  <c r="Y8" i="13"/>
  <c r="CB11" i="13"/>
  <c r="L28" i="13"/>
  <c r="Z12" i="13"/>
  <c r="AA12" i="13" s="1"/>
  <c r="BJ15" i="13"/>
  <c r="BJ16" i="13" s="1"/>
  <c r="Y39" i="13"/>
  <c r="Z15" i="13"/>
  <c r="CA8" i="13"/>
  <c r="CE8" i="13" s="1"/>
  <c r="BK17" i="13"/>
  <c r="Z16" i="13"/>
  <c r="AA16" i="13" s="1"/>
  <c r="Z11" i="13"/>
  <c r="X32" i="13"/>
  <c r="CE41" i="13"/>
  <c r="BY14" i="13"/>
  <c r="Y38" i="13"/>
  <c r="CE42" i="13"/>
  <c r="Z17" i="13"/>
  <c r="AA17" i="13" s="1"/>
  <c r="CE9" i="13"/>
  <c r="BT14" i="13"/>
  <c r="Y37" i="13"/>
  <c r="L33" i="13"/>
  <c r="W31" i="13"/>
  <c r="CA6" i="13"/>
  <c r="CA4" i="13" s="1"/>
  <c r="W32" i="13"/>
  <c r="Z25" i="13"/>
  <c r="AA25" i="13" s="1"/>
  <c r="L25" i="13"/>
  <c r="W24" i="13"/>
  <c r="X33" i="13"/>
  <c r="L30" i="13"/>
  <c r="W27" i="13"/>
  <c r="Z27" i="13"/>
  <c r="AA27" i="13" s="1"/>
  <c r="L27" i="13"/>
  <c r="CE7" i="13"/>
  <c r="Y7" i="13"/>
  <c r="W33" i="13"/>
  <c r="W19" i="13"/>
  <c r="X19" i="13"/>
  <c r="W15" i="13"/>
  <c r="Z19" i="13"/>
  <c r="L19" i="13"/>
  <c r="W14" i="13"/>
  <c r="W17" i="13"/>
  <c r="X12" i="13"/>
  <c r="X8" i="13"/>
  <c r="Y36" i="13"/>
  <c r="X34" i="13"/>
  <c r="X28" i="13"/>
  <c r="X26" i="13"/>
  <c r="L18" i="13"/>
  <c r="AT6" i="13"/>
  <c r="W34" i="13"/>
  <c r="X30" i="13"/>
  <c r="W28" i="13"/>
  <c r="X22" i="13"/>
  <c r="X21" i="13"/>
  <c r="X20" i="13"/>
  <c r="X15" i="13"/>
  <c r="Z31" i="13"/>
  <c r="AA31" i="13" s="1"/>
  <c r="W30" i="13"/>
  <c r="L29" i="13"/>
  <c r="W21" i="13"/>
  <c r="W20" i="13"/>
  <c r="X35" i="13"/>
  <c r="Z29" i="13"/>
  <c r="W26" i="13"/>
  <c r="Z24" i="13"/>
  <c r="AA24" i="13" s="1"/>
  <c r="X23" i="13"/>
  <c r="Q3" i="13"/>
  <c r="R4" i="13"/>
  <c r="W35" i="13"/>
  <c r="L32" i="13"/>
  <c r="X31" i="13"/>
  <c r="X25" i="13"/>
  <c r="W23" i="13"/>
  <c r="Z32" i="13"/>
  <c r="AA32" i="13" s="1"/>
  <c r="X29" i="13"/>
  <c r="W25" i="13"/>
  <c r="X24" i="13"/>
  <c r="Z22" i="13"/>
  <c r="AA22" i="13" s="1"/>
  <c r="L22" i="13"/>
  <c r="Z21" i="13"/>
  <c r="AA21" i="13" s="1"/>
  <c r="Z20" i="13"/>
  <c r="AA20" i="13" s="1"/>
  <c r="W8" i="13"/>
  <c r="L26" i="13"/>
  <c r="X14" i="13"/>
  <c r="X27" i="13"/>
  <c r="Z23" i="13"/>
  <c r="L23" i="13"/>
  <c r="X17" i="13"/>
  <c r="W16" i="13"/>
  <c r="X13" i="13"/>
  <c r="X9" i="13"/>
  <c r="W13" i="13"/>
  <c r="L10" i="13"/>
  <c r="W9" i="13"/>
  <c r="W7" i="13"/>
  <c r="X11" i="13"/>
  <c r="AM38" i="13"/>
  <c r="W11" i="13"/>
  <c r="X18" i="13"/>
  <c r="X10" i="13"/>
  <c r="L8" i="13"/>
  <c r="W18" i="13"/>
  <c r="W10" i="13"/>
  <c r="Z8" i="13"/>
  <c r="Q7" i="13"/>
  <c r="L16" i="13"/>
  <c r="AH7" i="13"/>
  <c r="W12" i="13"/>
  <c r="Z13" i="13"/>
  <c r="AA13" i="13" s="1"/>
  <c r="L21" i="13"/>
  <c r="L20" i="13"/>
  <c r="L17" i="13"/>
  <c r="X16" i="13"/>
  <c r="L9" i="13"/>
  <c r="CB12" i="13" l="1"/>
  <c r="BV12" i="13"/>
  <c r="BP13" i="13"/>
  <c r="BV13" i="13" s="1"/>
  <c r="BQ10" i="13"/>
  <c r="BV10" i="13" s="1"/>
  <c r="BN21" i="13"/>
  <c r="BN23" i="13"/>
  <c r="BN14" i="13"/>
  <c r="BN34" i="13"/>
  <c r="BN11" i="13"/>
  <c r="CA11" i="13" s="1"/>
  <c r="BO17" i="13"/>
  <c r="BN15" i="13"/>
  <c r="BN17" i="13"/>
  <c r="BO34" i="13"/>
  <c r="BN29" i="13"/>
  <c r="BU9" i="13"/>
  <c r="BN19" i="13"/>
  <c r="CA9" i="13"/>
  <c r="Y9" i="13" s="1"/>
  <c r="BO21" i="13"/>
  <c r="BO14" i="13"/>
  <c r="CA5" i="13"/>
  <c r="CB6" i="13"/>
  <c r="CB4" i="13" s="1"/>
  <c r="BT15" i="13"/>
  <c r="BY15" i="13"/>
  <c r="BZ15" i="13"/>
  <c r="S4" i="13"/>
  <c r="R3" i="13"/>
  <c r="BP14" i="13"/>
  <c r="CB13" i="13"/>
  <c r="CA10" i="13"/>
  <c r="BU10" i="13"/>
  <c r="Z7" i="13"/>
  <c r="AA7" i="13" s="1"/>
  <c r="AA8" i="13"/>
  <c r="BU11" i="13"/>
  <c r="O7" i="13"/>
  <c r="Q8" i="13"/>
  <c r="AN38" i="13"/>
  <c r="CB5" i="13" l="1"/>
  <c r="CC6" i="13"/>
  <c r="BP16" i="13"/>
  <c r="BV16" i="13" s="1"/>
  <c r="BQ14" i="13"/>
  <c r="BY16" i="13"/>
  <c r="BZ16" i="13"/>
  <c r="BT16" i="13"/>
  <c r="BL17" i="13"/>
  <c r="BZ17" i="13" s="1"/>
  <c r="BJ17" i="13"/>
  <c r="BJ18" i="13" s="1"/>
  <c r="Y11" i="13"/>
  <c r="CE11" i="13"/>
  <c r="O8" i="13"/>
  <c r="Q9" i="13"/>
  <c r="N7" i="13"/>
  <c r="BU16" i="13"/>
  <c r="CA16" i="13"/>
  <c r="CA12" i="13"/>
  <c r="BU12" i="13"/>
  <c r="AC8" i="13"/>
  <c r="T4" i="13"/>
  <c r="S3" i="13"/>
  <c r="AA11" i="13"/>
  <c r="AA15" i="13" s="1"/>
  <c r="AB7" i="13"/>
  <c r="BW29" i="13"/>
  <c r="AO38" i="13"/>
  <c r="BR14" i="13" l="1"/>
  <c r="BW14" i="13" s="1"/>
  <c r="BV14" i="13"/>
  <c r="CD6" i="13"/>
  <c r="CD4" i="13" s="1"/>
  <c r="CC4" i="13"/>
  <c r="Y12" i="13"/>
  <c r="CE12" i="13"/>
  <c r="CB14" i="13"/>
  <c r="CB15" i="13"/>
  <c r="BY17" i="13"/>
  <c r="BT17" i="13"/>
  <c r="AB15" i="13"/>
  <c r="AC15" i="13"/>
  <c r="CA13" i="13"/>
  <c r="BU13" i="13"/>
  <c r="Q10" i="13"/>
  <c r="O9" i="13"/>
  <c r="CC7" i="13"/>
  <c r="AG7" i="13"/>
  <c r="N8" i="13"/>
  <c r="U4" i="13"/>
  <c r="T3" i="13"/>
  <c r="AP38" i="13"/>
  <c r="AH8" i="13"/>
  <c r="AC9" i="13"/>
  <c r="AB8" i="13"/>
  <c r="AB11" i="13"/>
  <c r="AC11" i="13"/>
  <c r="AA19" i="13"/>
  <c r="BK21" i="13" l="1"/>
  <c r="BY18" i="13"/>
  <c r="BZ18" i="13"/>
  <c r="BT18" i="13"/>
  <c r="BJ19" i="13"/>
  <c r="BJ20" i="13" s="1"/>
  <c r="Y13" i="13"/>
  <c r="CE13" i="13"/>
  <c r="Q11" i="13"/>
  <c r="O10" i="13"/>
  <c r="CB10" i="13"/>
  <c r="BW10" i="13"/>
  <c r="AG8" i="13"/>
  <c r="CD8" i="13" s="1"/>
  <c r="CC8" i="13"/>
  <c r="AB9" i="13"/>
  <c r="CA14" i="13"/>
  <c r="BU14" i="13"/>
  <c r="AH11" i="13"/>
  <c r="AC12" i="13"/>
  <c r="V4" i="13"/>
  <c r="W4" i="13" s="1"/>
  <c r="X4" i="13" s="1"/>
  <c r="U3" i="13"/>
  <c r="P6" i="13" s="1"/>
  <c r="AC19" i="13"/>
  <c r="AB19" i="13"/>
  <c r="AH9" i="13"/>
  <c r="AC10" i="13"/>
  <c r="AH10" i="13" s="1"/>
  <c r="AQ38" i="13"/>
  <c r="AA23" i="13"/>
  <c r="N9" i="13"/>
  <c r="AH15" i="13"/>
  <c r="AC16" i="13"/>
  <c r="AG11" i="13"/>
  <c r="CC11" i="13"/>
  <c r="AB12" i="13"/>
  <c r="BP17" i="13"/>
  <c r="CB16" i="13"/>
  <c r="CD7" i="13"/>
  <c r="CC15" i="13"/>
  <c r="AG15" i="13"/>
  <c r="AB16" i="13"/>
  <c r="CE14" i="13" l="1"/>
  <c r="Y14" i="13"/>
  <c r="BQ17" i="13"/>
  <c r="Y16" i="13"/>
  <c r="CE16" i="13"/>
  <c r="CE10" i="13"/>
  <c r="Y10" i="13"/>
  <c r="BY19" i="13"/>
  <c r="BZ19" i="13"/>
  <c r="BT19" i="13"/>
  <c r="P7" i="13"/>
  <c r="P11" i="13"/>
  <c r="P8" i="13"/>
  <c r="P15" i="13"/>
  <c r="AR38" i="13"/>
  <c r="AC23" i="13"/>
  <c r="AB23" i="13"/>
  <c r="K3" i="13"/>
  <c r="BU15" i="13"/>
  <c r="CA15" i="13"/>
  <c r="P19" i="13"/>
  <c r="CC19" i="13"/>
  <c r="AG19" i="13"/>
  <c r="AB20" i="13"/>
  <c r="N10" i="13"/>
  <c r="CC12" i="13"/>
  <c r="AG12" i="13"/>
  <c r="P12" i="13"/>
  <c r="AB13" i="13"/>
  <c r="CD11" i="13"/>
  <c r="AH19" i="13"/>
  <c r="AC20" i="13"/>
  <c r="O11" i="13"/>
  <c r="Q12" i="13"/>
  <c r="BP18" i="13"/>
  <c r="CC16" i="13"/>
  <c r="AG16" i="13"/>
  <c r="P16" i="13"/>
  <c r="AB17" i="13"/>
  <c r="AA29" i="13"/>
  <c r="AH12" i="13"/>
  <c r="AC13" i="13"/>
  <c r="CD15" i="13"/>
  <c r="AC17" i="13"/>
  <c r="AH16" i="13"/>
  <c r="P9" i="13"/>
  <c r="CC9" i="13"/>
  <c r="AB10" i="13"/>
  <c r="AG9" i="13"/>
  <c r="CD9" i="13" s="1"/>
  <c r="BR17" i="13" l="1"/>
  <c r="BW17" i="13" s="1"/>
  <c r="BV17" i="13"/>
  <c r="CB17" i="13"/>
  <c r="BQ18" i="13"/>
  <c r="BV18" i="13" s="1"/>
  <c r="BP20" i="13"/>
  <c r="BV20" i="13" s="1"/>
  <c r="BL21" i="13"/>
  <c r="BZ21" i="13" s="1"/>
  <c r="BJ21" i="13"/>
  <c r="BT20" i="13"/>
  <c r="BY20" i="13"/>
  <c r="BZ20" i="13"/>
  <c r="CD16" i="13"/>
  <c r="Y15" i="13"/>
  <c r="CE15" i="13"/>
  <c r="P13" i="13"/>
  <c r="CC13" i="13"/>
  <c r="AB14" i="13"/>
  <c r="AG13" i="13"/>
  <c r="CD13" i="13" s="1"/>
  <c r="AC29" i="13"/>
  <c r="AB29" i="13"/>
  <c r="P23" i="13"/>
  <c r="CC23" i="13"/>
  <c r="AG23" i="13"/>
  <c r="AB24" i="13"/>
  <c r="AH20" i="13"/>
  <c r="AC21" i="13"/>
  <c r="CD12" i="13"/>
  <c r="AH23" i="13"/>
  <c r="AC24" i="13"/>
  <c r="P17" i="13"/>
  <c r="CC17" i="13"/>
  <c r="AB18" i="13"/>
  <c r="AG17" i="13"/>
  <c r="P20" i="13"/>
  <c r="CC20" i="13"/>
  <c r="AG20" i="13"/>
  <c r="AB21" i="13"/>
  <c r="AS38" i="13"/>
  <c r="CD19" i="13"/>
  <c r="CA17" i="13"/>
  <c r="CE17" i="13" s="1"/>
  <c r="BU17" i="13"/>
  <c r="P10" i="13"/>
  <c r="CC10" i="13"/>
  <c r="AG10" i="13"/>
  <c r="AC18" i="13"/>
  <c r="AH18" i="13" s="1"/>
  <c r="AH17" i="13"/>
  <c r="CB18" i="13"/>
  <c r="Q13" i="13"/>
  <c r="O12" i="13"/>
  <c r="AA34" i="13"/>
  <c r="AH13" i="13"/>
  <c r="AC14" i="13"/>
  <c r="AH14" i="13" s="1"/>
  <c r="N11" i="13"/>
  <c r="BU29" i="13"/>
  <c r="Y17" i="13" l="1"/>
  <c r="CD23" i="13"/>
  <c r="BY21" i="13"/>
  <c r="BJ22" i="13"/>
  <c r="BT21" i="13"/>
  <c r="CD17" i="13"/>
  <c r="N12" i="13"/>
  <c r="CD20" i="13"/>
  <c r="CD10" i="13"/>
  <c r="P18" i="13"/>
  <c r="CC18" i="13"/>
  <c r="AG18" i="13"/>
  <c r="CD18" i="13" s="1"/>
  <c r="CC29" i="13"/>
  <c r="P29" i="13"/>
  <c r="AB30" i="13"/>
  <c r="AG29" i="13"/>
  <c r="BU18" i="13"/>
  <c r="CA18" i="13"/>
  <c r="Y18" i="13" s="1"/>
  <c r="AH29" i="13"/>
  <c r="AC30" i="13"/>
  <c r="P24" i="13"/>
  <c r="CC24" i="13"/>
  <c r="AG24" i="13"/>
  <c r="AB25" i="13"/>
  <c r="AC34" i="13"/>
  <c r="AB34" i="13"/>
  <c r="AH24" i="13"/>
  <c r="AC25" i="13"/>
  <c r="AC26" i="13" s="1"/>
  <c r="AC27" i="13" s="1"/>
  <c r="AC28" i="13" s="1"/>
  <c r="P14" i="13"/>
  <c r="AG14" i="13"/>
  <c r="CD14" i="13" s="1"/>
  <c r="CC14" i="13"/>
  <c r="Q14" i="13"/>
  <c r="O13" i="13"/>
  <c r="P21" i="13"/>
  <c r="CC21" i="13"/>
  <c r="AG21" i="13"/>
  <c r="AB22" i="13"/>
  <c r="CB19" i="13"/>
  <c r="AH21" i="13"/>
  <c r="AC22" i="13"/>
  <c r="AH22" i="13" s="1"/>
  <c r="BK24" i="13" l="1"/>
  <c r="BJ23" i="13"/>
  <c r="CE18" i="13"/>
  <c r="BY22" i="13"/>
  <c r="BT22" i="13"/>
  <c r="BZ22" i="13"/>
  <c r="CD29" i="13"/>
  <c r="CD21" i="13"/>
  <c r="CC34" i="13"/>
  <c r="AB35" i="13"/>
  <c r="AG34" i="13"/>
  <c r="P30" i="13"/>
  <c r="AG30" i="13"/>
  <c r="CC30" i="13"/>
  <c r="AB31" i="13"/>
  <c r="AH34" i="13"/>
  <c r="AC35" i="13"/>
  <c r="AH35" i="13" s="1"/>
  <c r="N13" i="13"/>
  <c r="CC25" i="13"/>
  <c r="AG25" i="13"/>
  <c r="CD25" i="13" s="1"/>
  <c r="P25" i="13"/>
  <c r="AB26" i="13"/>
  <c r="O14" i="13"/>
  <c r="Q15" i="13"/>
  <c r="CD24" i="13"/>
  <c r="CB20" i="13"/>
  <c r="BP21" i="13"/>
  <c r="BQ21" i="13" s="1"/>
  <c r="AH30" i="13"/>
  <c r="AC31" i="13"/>
  <c r="P22" i="13"/>
  <c r="CC22" i="13"/>
  <c r="AG22" i="13"/>
  <c r="CD22" i="13" s="1"/>
  <c r="BU19" i="13"/>
  <c r="CA19" i="13"/>
  <c r="BR21" i="13" l="1"/>
  <c r="BV21" i="13"/>
  <c r="BL24" i="13"/>
  <c r="BI23" i="13"/>
  <c r="BT23" i="13"/>
  <c r="BY23" i="13"/>
  <c r="BJ24" i="13"/>
  <c r="BZ23" i="13"/>
  <c r="BW21" i="13"/>
  <c r="BP22" i="13"/>
  <c r="BQ22" i="13" s="1"/>
  <c r="BV22" i="13" s="1"/>
  <c r="CE19" i="13"/>
  <c r="Y19" i="13"/>
  <c r="AH31" i="13"/>
  <c r="AC32" i="13"/>
  <c r="AG31" i="13"/>
  <c r="P31" i="13"/>
  <c r="CC31" i="13"/>
  <c r="AB32" i="13"/>
  <c r="BU20" i="13"/>
  <c r="CA20" i="13"/>
  <c r="Y20" i="13" s="1"/>
  <c r="CD30" i="13"/>
  <c r="CD34" i="13"/>
  <c r="Q16" i="13"/>
  <c r="O15" i="13"/>
  <c r="AG35" i="13"/>
  <c r="CD35" i="13" s="1"/>
  <c r="CC35" i="13"/>
  <c r="N14" i="13"/>
  <c r="P26" i="13"/>
  <c r="CC26" i="13"/>
  <c r="AG26" i="13"/>
  <c r="AB27" i="13"/>
  <c r="BP24" i="13" l="1"/>
  <c r="BQ24" i="13" s="1"/>
  <c r="CE20" i="13"/>
  <c r="CB22" i="13"/>
  <c r="BY24" i="13"/>
  <c r="BZ24" i="13"/>
  <c r="BJ25" i="13"/>
  <c r="BT24" i="13"/>
  <c r="CD31" i="13"/>
  <c r="CB21" i="13"/>
  <c r="BU21" i="13"/>
  <c r="CA21" i="13"/>
  <c r="P32" i="13"/>
  <c r="CC32" i="13"/>
  <c r="AB33" i="13"/>
  <c r="AK37" i="13" s="1"/>
  <c r="AG32" i="13"/>
  <c r="CD26" i="13"/>
  <c r="N15" i="13"/>
  <c r="P27" i="13"/>
  <c r="CC27" i="13"/>
  <c r="AG27" i="13"/>
  <c r="CD27" i="13" s="1"/>
  <c r="AB28" i="13"/>
  <c r="O16" i="13"/>
  <c r="Q17" i="13"/>
  <c r="AC33" i="13"/>
  <c r="AH33" i="13" s="1"/>
  <c r="AH32" i="13"/>
  <c r="BR24" i="13" l="1"/>
  <c r="BW24" i="13" s="1"/>
  <c r="AP37" i="13"/>
  <c r="AP48" i="13" s="1"/>
  <c r="AP76" i="13" s="1"/>
  <c r="Y21" i="13"/>
  <c r="CE21" i="13"/>
  <c r="BY25" i="13"/>
  <c r="BJ26" i="13"/>
  <c r="BZ25" i="13"/>
  <c r="BT25" i="13"/>
  <c r="CB23" i="13"/>
  <c r="CD32" i="13"/>
  <c r="P33" i="13"/>
  <c r="AG33" i="13"/>
  <c r="CC33" i="13"/>
  <c r="AO37" i="13"/>
  <c r="AN37" i="13"/>
  <c r="AQ37" i="13"/>
  <c r="AB5" i="13"/>
  <c r="O17" i="13"/>
  <c r="Q18" i="13"/>
  <c r="N16" i="13"/>
  <c r="AK49" i="13"/>
  <c r="AK44" i="13"/>
  <c r="AK45" i="13"/>
  <c r="AK46" i="13"/>
  <c r="AK47" i="13"/>
  <c r="AM37" i="13"/>
  <c r="AJ37" i="13"/>
  <c r="AJ49" i="13" s="1"/>
  <c r="CA23" i="13"/>
  <c r="BU23" i="13"/>
  <c r="P28" i="13"/>
  <c r="CC28" i="13"/>
  <c r="AG28" i="13"/>
  <c r="CD28" i="13" s="1"/>
  <c r="AK48" i="13"/>
  <c r="BU25" i="13"/>
  <c r="AL37" i="13"/>
  <c r="AL49" i="13" s="1"/>
  <c r="AR37" i="13"/>
  <c r="AR49" i="13" s="1"/>
  <c r="AS37" i="13"/>
  <c r="AS49" i="13" s="1"/>
  <c r="BV24" i="13" l="1"/>
  <c r="AP46" i="13"/>
  <c r="AP45" i="13"/>
  <c r="AP44" i="13"/>
  <c r="AP43" i="13"/>
  <c r="AP42" i="13"/>
  <c r="AP62" i="13"/>
  <c r="AP49" i="13"/>
  <c r="AP63" i="13" s="1"/>
  <c r="AP47" i="13"/>
  <c r="AP61" i="13" s="1"/>
  <c r="BP25" i="13"/>
  <c r="BV25" i="13" s="1"/>
  <c r="CB24" i="13"/>
  <c r="BT26" i="13"/>
  <c r="BJ27" i="13"/>
  <c r="BJ28" i="13" s="1"/>
  <c r="BJ29" i="13" s="1"/>
  <c r="BY26" i="13"/>
  <c r="BZ26" i="13"/>
  <c r="CE23" i="13"/>
  <c r="Y23" i="13"/>
  <c r="AJ77" i="13"/>
  <c r="AJ63" i="13"/>
  <c r="AS77" i="13"/>
  <c r="AS63" i="13"/>
  <c r="AR77" i="13"/>
  <c r="AR63" i="13"/>
  <c r="O18" i="13"/>
  <c r="Q19" i="13"/>
  <c r="AQ40" i="13"/>
  <c r="AQ41" i="13"/>
  <c r="AQ42" i="13"/>
  <c r="AQ43" i="13"/>
  <c r="AQ44" i="13"/>
  <c r="AQ45" i="13"/>
  <c r="AQ46" i="13"/>
  <c r="AQ47" i="13"/>
  <c r="AQ48" i="13"/>
  <c r="AM44" i="13"/>
  <c r="AM45" i="13"/>
  <c r="AM46" i="13"/>
  <c r="AM47" i="13"/>
  <c r="AM48" i="13"/>
  <c r="AN46" i="13"/>
  <c r="AN47" i="13"/>
  <c r="AN48" i="13"/>
  <c r="AK77" i="13"/>
  <c r="AK63" i="13"/>
  <c r="AO45" i="13"/>
  <c r="AO46" i="13"/>
  <c r="AO47" i="13"/>
  <c r="AO48" i="13"/>
  <c r="AL77" i="13"/>
  <c r="AL63" i="13"/>
  <c r="AP50" i="13"/>
  <c r="AQ50" i="13"/>
  <c r="N17" i="13"/>
  <c r="AR50" i="13"/>
  <c r="AS50" i="13"/>
  <c r="AJ50" i="13"/>
  <c r="AL50" i="13"/>
  <c r="AM50" i="13"/>
  <c r="AK50" i="13"/>
  <c r="AN50" i="13"/>
  <c r="AO50" i="13"/>
  <c r="CA24" i="13"/>
  <c r="CA25" i="13"/>
  <c r="BU24" i="13"/>
  <c r="AK62" i="13"/>
  <c r="AK76" i="13"/>
  <c r="AK59" i="13"/>
  <c r="AK73" i="13"/>
  <c r="AQ49" i="13"/>
  <c r="CD33" i="13"/>
  <c r="AG5" i="13"/>
  <c r="AG6" i="13" s="1"/>
  <c r="AS40" i="13"/>
  <c r="AS41" i="13"/>
  <c r="AS42" i="13"/>
  <c r="AS43" i="13"/>
  <c r="AS44" i="13"/>
  <c r="AS45" i="13"/>
  <c r="AS46" i="13"/>
  <c r="AS47" i="13"/>
  <c r="AS48" i="13"/>
  <c r="AK72" i="13"/>
  <c r="AK58" i="13"/>
  <c r="AK61" i="13"/>
  <c r="AK75" i="13"/>
  <c r="AK60" i="13"/>
  <c r="AK74" i="13"/>
  <c r="AO49" i="13"/>
  <c r="AL44" i="13"/>
  <c r="AL45" i="13"/>
  <c r="AL46" i="13"/>
  <c r="AL47" i="13"/>
  <c r="AL48" i="13"/>
  <c r="AP60" i="13"/>
  <c r="AP74" i="13"/>
  <c r="AN49" i="13"/>
  <c r="AJ40" i="13"/>
  <c r="AJ41" i="13"/>
  <c r="AJ8" i="13" s="1"/>
  <c r="AJ42" i="13"/>
  <c r="AJ9" i="13" s="1"/>
  <c r="AJ43" i="13"/>
  <c r="AJ10" i="13" s="1"/>
  <c r="AJ44" i="13"/>
  <c r="AJ45" i="13"/>
  <c r="AJ46" i="13"/>
  <c r="AJ47" i="13"/>
  <c r="AJ48" i="13"/>
  <c r="AR40" i="13"/>
  <c r="AR41" i="13"/>
  <c r="AR42" i="13"/>
  <c r="AR43" i="13"/>
  <c r="AR44" i="13"/>
  <c r="AR45" i="13"/>
  <c r="AR46" i="13"/>
  <c r="AR47" i="13"/>
  <c r="AR48" i="13"/>
  <c r="AP73" i="13"/>
  <c r="AP59" i="13"/>
  <c r="CA22" i="13"/>
  <c r="BU22" i="13"/>
  <c r="AM49" i="13"/>
  <c r="AJ11" i="13" l="1"/>
  <c r="AJ12" i="13"/>
  <c r="AP56" i="13"/>
  <c r="AP71" i="13"/>
  <c r="AP58" i="13"/>
  <c r="AJ13" i="13"/>
  <c r="AJ14" i="13" s="1"/>
  <c r="AJ15" i="13" s="1"/>
  <c r="AJ16" i="13" s="1"/>
  <c r="AJ17" i="13" s="1"/>
  <c r="AP75" i="13"/>
  <c r="AP70" i="13"/>
  <c r="AP77" i="13"/>
  <c r="AP57" i="13"/>
  <c r="AP72" i="13"/>
  <c r="CE22" i="13"/>
  <c r="Y22" i="13"/>
  <c r="Y24" i="13"/>
  <c r="CE24" i="13"/>
  <c r="BT27" i="13"/>
  <c r="BZ27" i="13"/>
  <c r="BY27" i="13"/>
  <c r="CB25" i="13"/>
  <c r="BP26" i="13"/>
  <c r="BV26" i="13" s="1"/>
  <c r="AL61" i="13"/>
  <c r="AL75" i="13"/>
  <c r="AJ59" i="13"/>
  <c r="AJ73" i="13"/>
  <c r="AJ58" i="13"/>
  <c r="AJ72" i="13"/>
  <c r="AM75" i="13"/>
  <c r="AM61" i="13"/>
  <c r="AQ58" i="13"/>
  <c r="AQ72" i="13"/>
  <c r="AS76" i="13"/>
  <c r="AS62" i="13"/>
  <c r="AQ73" i="13"/>
  <c r="AQ59" i="13"/>
  <c r="AR75" i="13"/>
  <c r="AR61" i="13"/>
  <c r="AJ57" i="13"/>
  <c r="AJ26" i="13" s="1"/>
  <c r="AJ71" i="13"/>
  <c r="AL58" i="13"/>
  <c r="AL72" i="13"/>
  <c r="AS60" i="13"/>
  <c r="AS74" i="13"/>
  <c r="AQ77" i="13"/>
  <c r="AQ63" i="13"/>
  <c r="AN64" i="13"/>
  <c r="AN78" i="13"/>
  <c r="AM60" i="13"/>
  <c r="AM74" i="13"/>
  <c r="AQ71" i="13"/>
  <c r="AQ57" i="13"/>
  <c r="AR59" i="13"/>
  <c r="AR73" i="13"/>
  <c r="AJ56" i="13"/>
  <c r="AJ25" i="13" s="1"/>
  <c r="AJ70" i="13"/>
  <c r="AS73" i="13"/>
  <c r="AS59" i="13"/>
  <c r="AK78" i="13"/>
  <c r="AK64" i="13"/>
  <c r="AO76" i="13"/>
  <c r="AO62" i="13"/>
  <c r="AN62" i="13"/>
  <c r="AN76" i="13"/>
  <c r="AM59" i="13"/>
  <c r="AM73" i="13"/>
  <c r="AQ56" i="13"/>
  <c r="AQ70" i="13"/>
  <c r="AQ60" i="13"/>
  <c r="AQ74" i="13"/>
  <c r="AR72" i="13"/>
  <c r="AR58" i="13"/>
  <c r="AJ69" i="13"/>
  <c r="AJ55" i="13"/>
  <c r="AJ24" i="13" s="1"/>
  <c r="AS72" i="13"/>
  <c r="AS58" i="13"/>
  <c r="AM78" i="13"/>
  <c r="AM64" i="13"/>
  <c r="AO75" i="13"/>
  <c r="AO61" i="13"/>
  <c r="AN75" i="13"/>
  <c r="AN61" i="13"/>
  <c r="AM58" i="13"/>
  <c r="AM72" i="13"/>
  <c r="AQ69" i="13"/>
  <c r="AQ55" i="13"/>
  <c r="AR71" i="13"/>
  <c r="AR57" i="13"/>
  <c r="AJ7" i="13"/>
  <c r="AJ68" i="13"/>
  <c r="AJ54" i="13"/>
  <c r="AJ23" i="13" s="1"/>
  <c r="AS71" i="13"/>
  <c r="AS57" i="13"/>
  <c r="AL78" i="13"/>
  <c r="AL64" i="13"/>
  <c r="AO60" i="13"/>
  <c r="AO74" i="13"/>
  <c r="AN60" i="13"/>
  <c r="AN74" i="13"/>
  <c r="AQ7" i="13"/>
  <c r="AQ8" i="13" s="1"/>
  <c r="AQ9" i="13" s="1"/>
  <c r="AQ10" i="13" s="1"/>
  <c r="AQ11" i="13" s="1"/>
  <c r="AQ12" i="13" s="1"/>
  <c r="AQ13" i="13" s="1"/>
  <c r="AQ14" i="13" s="1"/>
  <c r="AQ15" i="13" s="1"/>
  <c r="AQ16" i="13" s="1"/>
  <c r="AQ17" i="13" s="1"/>
  <c r="AQ54" i="13"/>
  <c r="AQ23" i="13" s="1"/>
  <c r="AQ68" i="13"/>
  <c r="AJ60" i="13"/>
  <c r="AJ74" i="13"/>
  <c r="AR70" i="13"/>
  <c r="AR56" i="13"/>
  <c r="AS56" i="13"/>
  <c r="AS70" i="13"/>
  <c r="AJ78" i="13"/>
  <c r="AJ64" i="13"/>
  <c r="AO73" i="13"/>
  <c r="AO59" i="13"/>
  <c r="AR76" i="13"/>
  <c r="AR62" i="13"/>
  <c r="AL73" i="13"/>
  <c r="AL59" i="13"/>
  <c r="AR55" i="13"/>
  <c r="AR69" i="13"/>
  <c r="AS55" i="13"/>
  <c r="AS69" i="13"/>
  <c r="AS78" i="13"/>
  <c r="AS64" i="13"/>
  <c r="AL60" i="13"/>
  <c r="AL74" i="13"/>
  <c r="AR60" i="13"/>
  <c r="AR74" i="13"/>
  <c r="AR54" i="13"/>
  <c r="AR23" i="13" s="1"/>
  <c r="AR7" i="13"/>
  <c r="AR8" i="13" s="1"/>
  <c r="AR9" i="13" s="1"/>
  <c r="AR10" i="13" s="1"/>
  <c r="AR11" i="13" s="1"/>
  <c r="AR12" i="13" s="1"/>
  <c r="AR13" i="13" s="1"/>
  <c r="AR14" i="13" s="1"/>
  <c r="AR15" i="13" s="1"/>
  <c r="AR16" i="13" s="1"/>
  <c r="AR17" i="13" s="1"/>
  <c r="AR68" i="13"/>
  <c r="AO77" i="13"/>
  <c r="AO63" i="13"/>
  <c r="AS7" i="13"/>
  <c r="AS8" i="13" s="1"/>
  <c r="AS9" i="13" s="1"/>
  <c r="AS10" i="13" s="1"/>
  <c r="AS11" i="13" s="1"/>
  <c r="AS12" i="13" s="1"/>
  <c r="AS13" i="13" s="1"/>
  <c r="AS14" i="13" s="1"/>
  <c r="AS15" i="13" s="1"/>
  <c r="AS16" i="13" s="1"/>
  <c r="AS17" i="13" s="1"/>
  <c r="AS54" i="13"/>
  <c r="AS23" i="13" s="1"/>
  <c r="AS68" i="13"/>
  <c r="AR64" i="13"/>
  <c r="AR78" i="13"/>
  <c r="AO78" i="13"/>
  <c r="AO64" i="13"/>
  <c r="AN63" i="13"/>
  <c r="AN77" i="13"/>
  <c r="AJ62" i="13"/>
  <c r="AJ76" i="13"/>
  <c r="BU26" i="13"/>
  <c r="CA26" i="13"/>
  <c r="AQ76" i="13"/>
  <c r="AQ62" i="13"/>
  <c r="O19" i="13"/>
  <c r="Q20" i="13"/>
  <c r="AP64" i="13"/>
  <c r="AP78" i="13"/>
  <c r="AM76" i="13"/>
  <c r="AM62" i="13"/>
  <c r="AS61" i="13"/>
  <c r="AS75" i="13"/>
  <c r="AM63" i="13"/>
  <c r="AM77" i="13"/>
  <c r="AJ61" i="13"/>
  <c r="AJ75" i="13"/>
  <c r="AL62" i="13"/>
  <c r="AL76" i="13"/>
  <c r="AQ64" i="13"/>
  <c r="AQ78" i="13"/>
  <c r="AQ75" i="13"/>
  <c r="AQ61" i="13"/>
  <c r="AJ51" i="13"/>
  <c r="AL51" i="13"/>
  <c r="AM51" i="13"/>
  <c r="AN51" i="13"/>
  <c r="AP51" i="13"/>
  <c r="AQ51" i="13"/>
  <c r="AK51" i="13"/>
  <c r="AO51" i="13"/>
  <c r="N18" i="13"/>
  <c r="AR51" i="13"/>
  <c r="AS51" i="13"/>
  <c r="AJ18" i="13" l="1"/>
  <c r="AQ24" i="13"/>
  <c r="AQ25" i="13" s="1"/>
  <c r="AQ26" i="13" s="1"/>
  <c r="AQ27" i="13" s="1"/>
  <c r="AQ28" i="13" s="1"/>
  <c r="AQ29" i="13" s="1"/>
  <c r="AQ30" i="13" s="1"/>
  <c r="AQ31" i="13" s="1"/>
  <c r="AQ32" i="13" s="1"/>
  <c r="AQ33" i="13" s="1"/>
  <c r="Y25" i="13"/>
  <c r="CE25" i="13"/>
  <c r="BP27" i="13"/>
  <c r="BV27" i="13" s="1"/>
  <c r="CB26" i="13"/>
  <c r="AJ27" i="13"/>
  <c r="AS24" i="13"/>
  <c r="AS25" i="13" s="1"/>
  <c r="AS26" i="13" s="1"/>
  <c r="AS27" i="13" s="1"/>
  <c r="AS28" i="13" s="1"/>
  <c r="AS29" i="13" s="1"/>
  <c r="AS30" i="13" s="1"/>
  <c r="AS31" i="13" s="1"/>
  <c r="AS32" i="13" s="1"/>
  <c r="AS33" i="13" s="1"/>
  <c r="BK34" i="13"/>
  <c r="BZ28" i="13"/>
  <c r="BT28" i="13"/>
  <c r="BY28" i="13"/>
  <c r="AS18" i="13"/>
  <c r="AS65" i="13"/>
  <c r="AS79" i="13"/>
  <c r="AL52" i="13"/>
  <c r="AM52" i="13"/>
  <c r="AN52" i="13"/>
  <c r="AP52" i="13"/>
  <c r="AQ52" i="13"/>
  <c r="N19" i="13"/>
  <c r="AR52" i="13"/>
  <c r="AR39" i="13" s="1"/>
  <c r="AJ52" i="13"/>
  <c r="AK52" i="13"/>
  <c r="AO52" i="13"/>
  <c r="AS52" i="13"/>
  <c r="AS39" i="13" s="1"/>
  <c r="AR18" i="13"/>
  <c r="AR65" i="13"/>
  <c r="AR79" i="13"/>
  <c r="AJ79" i="13"/>
  <c r="AJ65" i="13"/>
  <c r="AO79" i="13"/>
  <c r="AO65" i="13"/>
  <c r="AR24" i="13"/>
  <c r="AR25" i="13" s="1"/>
  <c r="AR26" i="13" s="1"/>
  <c r="AR27" i="13" s="1"/>
  <c r="AR28" i="13" s="1"/>
  <c r="AR29" i="13" s="1"/>
  <c r="AR30" i="13" s="1"/>
  <c r="AR31" i="13" s="1"/>
  <c r="AR32" i="13" s="1"/>
  <c r="AR33" i="13" s="1"/>
  <c r="AK79" i="13"/>
  <c r="AK65" i="13"/>
  <c r="CA27" i="13"/>
  <c r="BU27" i="13"/>
  <c r="AQ18" i="13"/>
  <c r="AQ79" i="13"/>
  <c r="AQ65" i="13"/>
  <c r="AJ28" i="13"/>
  <c r="AJ29" i="13" s="1"/>
  <c r="AJ30" i="13" s="1"/>
  <c r="AJ31" i="13" s="1"/>
  <c r="AJ32" i="13" s="1"/>
  <c r="AJ33" i="13" s="1"/>
  <c r="AP65" i="13"/>
  <c r="AP79" i="13"/>
  <c r="AN79" i="13"/>
  <c r="AN65" i="13"/>
  <c r="O20" i="13"/>
  <c r="N20" i="13" s="1"/>
  <c r="Q21" i="13"/>
  <c r="AM79" i="13"/>
  <c r="AM65" i="13"/>
  <c r="AL79" i="13"/>
  <c r="AL65" i="13"/>
  <c r="AJ19" i="13" l="1"/>
  <c r="Y26" i="13"/>
  <c r="CE26" i="13"/>
  <c r="BZ29" i="13"/>
  <c r="BJ30" i="13"/>
  <c r="BT29" i="13"/>
  <c r="BY29" i="13"/>
  <c r="BP28" i="13"/>
  <c r="CB27" i="13"/>
  <c r="AP80" i="13"/>
  <c r="AP66" i="13"/>
  <c r="AN80" i="13"/>
  <c r="AN66" i="13"/>
  <c r="AR34" i="13"/>
  <c r="CA29" i="13"/>
  <c r="BU28" i="13"/>
  <c r="CA28" i="13"/>
  <c r="AM80" i="13"/>
  <c r="AM66" i="13"/>
  <c r="AQ80" i="13"/>
  <c r="AQ66" i="13"/>
  <c r="AQ19" i="13"/>
  <c r="AL80" i="13"/>
  <c r="AL66" i="13"/>
  <c r="AQ39" i="13"/>
  <c r="AS19" i="13"/>
  <c r="AS66" i="13"/>
  <c r="AS80" i="13"/>
  <c r="AS34" i="13"/>
  <c r="O21" i="13"/>
  <c r="N21" i="13" s="1"/>
  <c r="Q22" i="13"/>
  <c r="AQ34" i="13"/>
  <c r="AO80" i="13"/>
  <c r="AO66" i="13"/>
  <c r="AK80" i="13"/>
  <c r="AK66" i="13"/>
  <c r="AJ34" i="13"/>
  <c r="AJ66" i="13"/>
  <c r="AJ80" i="13"/>
  <c r="AR19" i="13"/>
  <c r="AR80" i="13"/>
  <c r="AR66" i="13"/>
  <c r="AJ39" i="13"/>
  <c r="AJ35" i="13" l="1"/>
  <c r="BP30" i="13"/>
  <c r="BV30" i="13" s="1"/>
  <c r="BQ28" i="13"/>
  <c r="Y27" i="13"/>
  <c r="CE27" i="13"/>
  <c r="BT30" i="13"/>
  <c r="BY30" i="13"/>
  <c r="BZ30" i="13"/>
  <c r="BJ31" i="13"/>
  <c r="AR35" i="13"/>
  <c r="AK41" i="13"/>
  <c r="AK8" i="13" s="1"/>
  <c r="AK42" i="13"/>
  <c r="AK9" i="13" s="1"/>
  <c r="AK43" i="13"/>
  <c r="AK10" i="13" s="1"/>
  <c r="AK11" i="13" s="1"/>
  <c r="AK12" i="13" s="1"/>
  <c r="AK13" i="13" s="1"/>
  <c r="AK14" i="13" s="1"/>
  <c r="AK15" i="13" s="1"/>
  <c r="AK16" i="13" s="1"/>
  <c r="AK17" i="13" s="1"/>
  <c r="AK18" i="13" s="1"/>
  <c r="AK19" i="13" s="1"/>
  <c r="AK40" i="13"/>
  <c r="AK7" i="13" s="1"/>
  <c r="O22" i="13"/>
  <c r="N22" i="13" s="1"/>
  <c r="Q23" i="13"/>
  <c r="CA30" i="13"/>
  <c r="BU30" i="13"/>
  <c r="AQ35" i="13"/>
  <c r="AS35" i="13"/>
  <c r="CB28" i="13" l="1"/>
  <c r="BV28" i="13"/>
  <c r="CE28" i="13"/>
  <c r="Y28" i="13"/>
  <c r="BJ32" i="13"/>
  <c r="BJ33" i="13" s="1"/>
  <c r="BT31" i="13"/>
  <c r="BY31" i="13"/>
  <c r="BZ31" i="13"/>
  <c r="CB29" i="13"/>
  <c r="CA31" i="13"/>
  <c r="BU31" i="13"/>
  <c r="O23" i="13"/>
  <c r="N23" i="13" s="1"/>
  <c r="Q24" i="13"/>
  <c r="AK39" i="13"/>
  <c r="AK68" i="13"/>
  <c r="AK54" i="13"/>
  <c r="AK23" i="13" s="1"/>
  <c r="AK57" i="13"/>
  <c r="AK26" i="13" s="1"/>
  <c r="AK27" i="13" s="1"/>
  <c r="AK28" i="13" s="1"/>
  <c r="AK29" i="13" s="1"/>
  <c r="AK30" i="13" s="1"/>
  <c r="AK31" i="13" s="1"/>
  <c r="AK32" i="13" s="1"/>
  <c r="AK33" i="13" s="1"/>
  <c r="AK34" i="13" s="1"/>
  <c r="AK35" i="13" s="1"/>
  <c r="AK71" i="13"/>
  <c r="AK56" i="13"/>
  <c r="AK25" i="13" s="1"/>
  <c r="AK70" i="13"/>
  <c r="AK55" i="13"/>
  <c r="AK24" i="13" s="1"/>
  <c r="AK69" i="13"/>
  <c r="Y29" i="13" l="1"/>
  <c r="CE29" i="13"/>
  <c r="BP31" i="13"/>
  <c r="BV31" i="13" s="1"/>
  <c r="CB30" i="13"/>
  <c r="BT32" i="13"/>
  <c r="BY32" i="13"/>
  <c r="BZ32" i="13"/>
  <c r="O24" i="13"/>
  <c r="N24" i="13" s="1"/>
  <c r="Q25" i="13"/>
  <c r="AL40" i="13"/>
  <c r="AL7" i="13" s="1"/>
  <c r="AL41" i="13"/>
  <c r="AL8" i="13" s="1"/>
  <c r="AL42" i="13"/>
  <c r="AL9" i="13" s="1"/>
  <c r="AL43" i="13"/>
  <c r="AL10" i="13" s="1"/>
  <c r="AL11" i="13" s="1"/>
  <c r="AL12" i="13" s="1"/>
  <c r="AL13" i="13" s="1"/>
  <c r="AL14" i="13" s="1"/>
  <c r="AL15" i="13" s="1"/>
  <c r="AL16" i="13" s="1"/>
  <c r="AL17" i="13" s="1"/>
  <c r="AL18" i="13" s="1"/>
  <c r="AL19" i="13" s="1"/>
  <c r="CA32" i="13"/>
  <c r="BU32" i="13"/>
  <c r="CE30" i="13" l="1"/>
  <c r="Y30" i="13"/>
  <c r="BL34" i="13"/>
  <c r="BZ34" i="13" s="1"/>
  <c r="BJ34" i="13"/>
  <c r="BT33" i="13"/>
  <c r="BY33" i="13"/>
  <c r="BZ33" i="13"/>
  <c r="CB31" i="13"/>
  <c r="BP32" i="13"/>
  <c r="BV32" i="13" s="1"/>
  <c r="AL39" i="13"/>
  <c r="AL68" i="13"/>
  <c r="AL54" i="13"/>
  <c r="AL23" i="13" s="1"/>
  <c r="O25" i="13"/>
  <c r="N25" i="13" s="1"/>
  <c r="Q26" i="13"/>
  <c r="CA33" i="13"/>
  <c r="BU33" i="13"/>
  <c r="AL57" i="13"/>
  <c r="AL26" i="13" s="1"/>
  <c r="AL27" i="13" s="1"/>
  <c r="AL28" i="13" s="1"/>
  <c r="AL29" i="13" s="1"/>
  <c r="AL30" i="13" s="1"/>
  <c r="AL31" i="13" s="1"/>
  <c r="AL32" i="13" s="1"/>
  <c r="AL33" i="13" s="1"/>
  <c r="AL34" i="13" s="1"/>
  <c r="AL35" i="13" s="1"/>
  <c r="AL71" i="13"/>
  <c r="AL56" i="13"/>
  <c r="AL25" i="13" s="1"/>
  <c r="AL70" i="13"/>
  <c r="AL55" i="13"/>
  <c r="AL24" i="13" s="1"/>
  <c r="AL69" i="13"/>
  <c r="BP34" i="13" l="1"/>
  <c r="BQ34" i="13" s="1"/>
  <c r="BP33" i="13"/>
  <c r="BV33" i="13" s="1"/>
  <c r="Y31" i="13"/>
  <c r="CE31" i="13"/>
  <c r="BJ35" i="13"/>
  <c r="BY34" i="13"/>
  <c r="BT34" i="13"/>
  <c r="CB32" i="13"/>
  <c r="O26" i="13"/>
  <c r="N26" i="13" s="1"/>
  <c r="Q27" i="13"/>
  <c r="CA35" i="13"/>
  <c r="BU35" i="13"/>
  <c r="AM40" i="13"/>
  <c r="AM7" i="13" s="1"/>
  <c r="AM41" i="13"/>
  <c r="AM8" i="13" s="1"/>
  <c r="AM42" i="13"/>
  <c r="AM9" i="13" s="1"/>
  <c r="AM43" i="13"/>
  <c r="AM10" i="13" s="1"/>
  <c r="AM11" i="13" s="1"/>
  <c r="AM12" i="13" s="1"/>
  <c r="AM13" i="13" s="1"/>
  <c r="AM14" i="13" s="1"/>
  <c r="AM15" i="13" s="1"/>
  <c r="AM16" i="13" s="1"/>
  <c r="AM17" i="13" s="1"/>
  <c r="AM18" i="13" s="1"/>
  <c r="AM19" i="13" s="1"/>
  <c r="BR34" i="13" l="1"/>
  <c r="BV34" i="13"/>
  <c r="Y32" i="13"/>
  <c r="CE32" i="13"/>
  <c r="BP35" i="13"/>
  <c r="BV35" i="13" s="1"/>
  <c r="CB33" i="13"/>
  <c r="BT35" i="13"/>
  <c r="BY35" i="13"/>
  <c r="BZ35" i="13"/>
  <c r="AM57" i="13"/>
  <c r="AM26" i="13" s="1"/>
  <c r="AM27" i="13" s="1"/>
  <c r="AM28" i="13" s="1"/>
  <c r="AM29" i="13" s="1"/>
  <c r="AM30" i="13" s="1"/>
  <c r="AM31" i="13" s="1"/>
  <c r="AM32" i="13" s="1"/>
  <c r="AM33" i="13" s="1"/>
  <c r="AM34" i="13" s="1"/>
  <c r="AM35" i="13" s="1"/>
  <c r="AM71" i="13"/>
  <c r="AM55" i="13"/>
  <c r="AM24" i="13" s="1"/>
  <c r="AM69" i="13"/>
  <c r="CA34" i="13"/>
  <c r="BU34" i="13"/>
  <c r="AM70" i="13"/>
  <c r="AM56" i="13"/>
  <c r="AM25" i="13" s="1"/>
  <c r="AM39" i="13"/>
  <c r="AM68" i="13"/>
  <c r="AM54" i="13"/>
  <c r="AM23" i="13" s="1"/>
  <c r="O27" i="13"/>
  <c r="N27" i="13" s="1"/>
  <c r="Q28" i="13"/>
  <c r="Y33" i="13" l="1"/>
  <c r="CE33" i="13"/>
  <c r="BW34" i="13"/>
  <c r="CB34" i="13"/>
  <c r="CB35" i="13"/>
  <c r="Y35" i="13" s="1"/>
  <c r="O28" i="13"/>
  <c r="N28" i="13" s="1"/>
  <c r="Q29" i="13"/>
  <c r="AN41" i="13"/>
  <c r="AN8" i="13" s="1"/>
  <c r="AN42" i="13"/>
  <c r="AN9" i="13" s="1"/>
  <c r="AN40" i="13"/>
  <c r="AN7" i="13" s="1"/>
  <c r="AN43" i="13"/>
  <c r="AN10" i="13" s="1"/>
  <c r="AN44" i="13"/>
  <c r="AN11" i="13" s="1"/>
  <c r="AN45" i="13"/>
  <c r="AN12" i="13" s="1"/>
  <c r="AN13" i="13" s="1"/>
  <c r="AN14" i="13" s="1"/>
  <c r="AN15" i="13" s="1"/>
  <c r="AN16" i="13" s="1"/>
  <c r="AN17" i="13" s="1"/>
  <c r="AN18" i="13" s="1"/>
  <c r="AN19" i="13" s="1"/>
  <c r="CE34" i="13" l="1"/>
  <c r="Y34" i="13"/>
  <c r="CE35" i="13"/>
  <c r="AN70" i="13"/>
  <c r="AN56" i="13"/>
  <c r="AN25" i="13" s="1"/>
  <c r="AN72" i="13"/>
  <c r="AN58" i="13"/>
  <c r="AN27" i="13" s="1"/>
  <c r="AN69" i="13"/>
  <c r="AN55" i="13"/>
  <c r="AN24" i="13" s="1"/>
  <c r="AN73" i="13"/>
  <c r="AN59" i="13"/>
  <c r="AN28" i="13" s="1"/>
  <c r="AN29" i="13" s="1"/>
  <c r="AN30" i="13" s="1"/>
  <c r="AN31" i="13" s="1"/>
  <c r="AN32" i="13" s="1"/>
  <c r="AN33" i="13" s="1"/>
  <c r="AN34" i="13" s="1"/>
  <c r="AN35" i="13" s="1"/>
  <c r="AN39" i="13"/>
  <c r="AN54" i="13"/>
  <c r="AN23" i="13" s="1"/>
  <c r="AN68" i="13"/>
  <c r="O29" i="13"/>
  <c r="N29" i="13" s="1"/>
  <c r="Q30" i="13"/>
  <c r="AN71" i="13"/>
  <c r="AN57" i="13"/>
  <c r="AN26" i="13" s="1"/>
  <c r="Q31" i="13" l="1"/>
  <c r="O30" i="13"/>
  <c r="N30" i="13" s="1"/>
  <c r="AO41" i="13"/>
  <c r="AO8" i="13" s="1"/>
  <c r="AO42" i="13"/>
  <c r="AO9" i="13" s="1"/>
  <c r="AO43" i="13"/>
  <c r="AO10" i="13" s="1"/>
  <c r="AO44" i="13"/>
  <c r="AO11" i="13" s="1"/>
  <c r="AO12" i="13" s="1"/>
  <c r="AO13" i="13" s="1"/>
  <c r="AO14" i="13" s="1"/>
  <c r="AO15" i="13" s="1"/>
  <c r="AO16" i="13" s="1"/>
  <c r="AO17" i="13" s="1"/>
  <c r="AO18" i="13" s="1"/>
  <c r="AO19" i="13" s="1"/>
  <c r="AO40" i="13"/>
  <c r="AO7" i="13" s="1"/>
  <c r="AO69" i="13" l="1"/>
  <c r="AO55" i="13"/>
  <c r="AO24" i="13" s="1"/>
  <c r="AO39" i="13"/>
  <c r="AO54" i="13"/>
  <c r="AO23" i="13" s="1"/>
  <c r="AO68" i="13"/>
  <c r="AO72" i="13"/>
  <c r="AO58" i="13"/>
  <c r="AO27" i="13" s="1"/>
  <c r="AO28" i="13" s="1"/>
  <c r="AO29" i="13" s="1"/>
  <c r="AO30" i="13" s="1"/>
  <c r="AO31" i="13" s="1"/>
  <c r="AO32" i="13" s="1"/>
  <c r="AO33" i="13" s="1"/>
  <c r="AO34" i="13" s="1"/>
  <c r="AO35" i="13" s="1"/>
  <c r="AO71" i="13"/>
  <c r="AO57" i="13"/>
  <c r="AO26" i="13" s="1"/>
  <c r="AO56" i="13"/>
  <c r="AO25" i="13" s="1"/>
  <c r="AO70" i="13"/>
  <c r="O31" i="13"/>
  <c r="N31" i="13" s="1"/>
  <c r="Q32" i="13"/>
  <c r="AP41" i="13" l="1"/>
  <c r="AP8" i="13" s="1"/>
  <c r="AP9" i="13" s="1"/>
  <c r="AP10" i="13" s="1"/>
  <c r="AP11" i="13" s="1"/>
  <c r="AP12" i="13" s="1"/>
  <c r="AP13" i="13" s="1"/>
  <c r="AP14" i="13" s="1"/>
  <c r="AP15" i="13" s="1"/>
  <c r="AP16" i="13" s="1"/>
  <c r="AP17" i="13" s="1"/>
  <c r="AP18" i="13" s="1"/>
  <c r="AP19" i="13" s="1"/>
  <c r="AP40" i="13"/>
  <c r="AP7" i="13" s="1"/>
  <c r="Q33" i="13"/>
  <c r="O32" i="13"/>
  <c r="N32" i="13" s="1"/>
  <c r="O33" i="13" l="1"/>
  <c r="N33" i="13" s="1"/>
  <c r="Q34" i="13"/>
  <c r="AP39" i="13"/>
  <c r="AP54" i="13"/>
  <c r="AP23" i="13" s="1"/>
  <c r="AP68" i="13"/>
  <c r="AP55" i="13"/>
  <c r="AP24" i="13" s="1"/>
  <c r="AP25" i="13" s="1"/>
  <c r="AP26" i="13" s="1"/>
  <c r="AP27" i="13" s="1"/>
  <c r="AP28" i="13" s="1"/>
  <c r="AP29" i="13" s="1"/>
  <c r="AP30" i="13" s="1"/>
  <c r="AP31" i="13" s="1"/>
  <c r="AP32" i="13" s="1"/>
  <c r="AP33" i="13" s="1"/>
  <c r="AP34" i="13" s="1"/>
  <c r="AP35" i="13" s="1"/>
  <c r="AP69" i="13"/>
  <c r="O34" i="13" l="1"/>
  <c r="Q35" i="13"/>
  <c r="O35" i="13" s="1"/>
  <c r="N35" i="13" l="1"/>
  <c r="P35" i="13"/>
  <c r="N34" i="13"/>
  <c r="P34" i="13"/>
  <c r="BH3" i="7" l="1"/>
  <c r="BH8" i="7"/>
  <c r="BH9" i="7" s="1"/>
  <c r="BH10" i="7" s="1"/>
  <c r="BH11" i="7" s="1"/>
  <c r="BI9" i="7"/>
  <c r="BI10" i="7" s="1"/>
  <c r="BI11" i="7" s="1"/>
  <c r="BI12" i="7" s="1"/>
  <c r="BI13" i="7" s="1"/>
  <c r="BI14" i="7" s="1"/>
  <c r="BI16" i="7" s="1"/>
  <c r="BI18" i="7" s="1"/>
  <c r="BI19" i="7" s="1"/>
  <c r="BI20" i="7" s="1"/>
  <c r="BI21" i="7" s="1"/>
  <c r="BI23" i="7" s="1"/>
  <c r="BI24" i="7" s="1"/>
  <c r="BI25" i="7" s="1"/>
  <c r="BI26" i="7" s="1"/>
  <c r="BI27" i="7" s="1"/>
  <c r="BI28" i="7" s="1"/>
  <c r="BI29" i="7" s="1"/>
  <c r="BI30" i="7" s="1"/>
  <c r="BI31" i="7" s="1"/>
  <c r="BI32" i="7" s="1"/>
  <c r="BI33" i="7" s="1"/>
  <c r="BI34" i="7" s="1"/>
  <c r="BI35" i="7" s="1"/>
  <c r="Y42" i="7"/>
  <c r="Y41" i="7"/>
  <c r="Y40" i="7"/>
  <c r="Y39" i="7"/>
  <c r="Y38" i="7"/>
  <c r="Y37" i="7"/>
  <c r="Y36" i="7"/>
  <c r="BF3" i="7"/>
  <c r="BJ3" i="7"/>
  <c r="BI3" i="7"/>
  <c r="BG42" i="7"/>
  <c r="BF42" i="7"/>
  <c r="BG41" i="7"/>
  <c r="BF41" i="7"/>
  <c r="BG40" i="7"/>
  <c r="BF40" i="7"/>
  <c r="BG39" i="7"/>
  <c r="BF39" i="7"/>
  <c r="BG38" i="7"/>
  <c r="BF38" i="7"/>
  <c r="AH3" i="7"/>
  <c r="AC3" i="7"/>
  <c r="AB3" i="7"/>
  <c r="Q7" i="7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42" i="7"/>
  <c r="Q41" i="7"/>
  <c r="Q40" i="7"/>
  <c r="Q39" i="7"/>
  <c r="Q38" i="7"/>
  <c r="Q37" i="7"/>
  <c r="Q36" i="7"/>
  <c r="AC37" i="7"/>
  <c r="AC38" i="7"/>
  <c r="AC39" i="7"/>
  <c r="AC40" i="7"/>
  <c r="AC41" i="7"/>
  <c r="AC42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X8" i="7"/>
  <c r="W8" i="7"/>
  <c r="X7" i="7"/>
  <c r="W7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 s="1"/>
  <c r="B7" i="7" l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AA35" i="7"/>
  <c r="AA33" i="7"/>
  <c r="AA32" i="7"/>
  <c r="AA31" i="7"/>
  <c r="AA30" i="7"/>
  <c r="AA28" i="7"/>
  <c r="AA27" i="7"/>
  <c r="AA26" i="7"/>
  <c r="AE25" i="7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A25" i="7"/>
  <c r="AA24" i="7"/>
  <c r="AE23" i="7"/>
  <c r="AA22" i="7"/>
  <c r="AA21" i="7"/>
  <c r="AA20" i="7"/>
  <c r="AA18" i="7"/>
  <c r="AA17" i="7"/>
  <c r="AA16" i="7"/>
  <c r="AA14" i="7"/>
  <c r="AA13" i="7"/>
  <c r="AA11" i="7"/>
  <c r="AA9" i="7"/>
  <c r="AA7" i="7"/>
  <c r="L8" i="7"/>
  <c r="AH7" i="7"/>
  <c r="O7" i="7"/>
  <c r="N7" i="7" s="1"/>
  <c r="AB6" i="7"/>
  <c r="AK5" i="7"/>
  <c r="AL5" i="7" s="1"/>
  <c r="AM5" i="7" s="1"/>
  <c r="AN5" i="7" s="1"/>
  <c r="AO5" i="7" s="1"/>
  <c r="AU5" i="7"/>
  <c r="AV5" i="7" s="1"/>
  <c r="AW5" i="7" s="1"/>
  <c r="AX5" i="7" s="1"/>
  <c r="AY5" i="7" s="1"/>
  <c r="AZ5" i="7" s="1"/>
  <c r="BA5" i="7" s="1"/>
  <c r="BB5" i="7" s="1"/>
  <c r="BC5" i="7" s="1"/>
  <c r="BD5" i="7" s="1"/>
  <c r="P4" i="7"/>
  <c r="X3" i="7"/>
  <c r="W3" i="7"/>
  <c r="V3" i="7"/>
  <c r="O3" i="7"/>
  <c r="BE1" i="7"/>
  <c r="AT1" i="7"/>
  <c r="AD1" i="7"/>
  <c r="M1" i="7"/>
  <c r="K1" i="7"/>
  <c r="AB7" i="7" l="1"/>
  <c r="AA8" i="7"/>
  <c r="P3" i="7"/>
  <c r="Q4" i="7"/>
  <c r="O8" i="7"/>
  <c r="N8" i="7" s="1"/>
  <c r="AP5" i="7"/>
  <c r="AB8" i="7" l="1"/>
  <c r="AC8" i="7"/>
  <c r="AC9" i="7" s="1"/>
  <c r="AG7" i="7"/>
  <c r="Y7" i="7" s="1"/>
  <c r="AB9" i="7"/>
  <c r="AA10" i="7"/>
  <c r="AA12" i="7" s="1"/>
  <c r="Q3" i="7"/>
  <c r="R4" i="7"/>
  <c r="AG8" i="7"/>
  <c r="AG9" i="7"/>
  <c r="O9" i="7"/>
  <c r="N9" i="7" s="1"/>
  <c r="AQ5" i="7"/>
  <c r="AA15" i="7" l="1"/>
  <c r="AB15" i="7" s="1"/>
  <c r="AC10" i="7"/>
  <c r="AC11" i="7" s="1"/>
  <c r="AC12" i="7" s="1"/>
  <c r="AC13" i="7" s="1"/>
  <c r="AC14" i="7" s="1"/>
  <c r="AH8" i="7"/>
  <c r="Y8" i="7" s="1"/>
  <c r="AH9" i="7"/>
  <c r="Y9" i="7" s="1"/>
  <c r="AB10" i="7"/>
  <c r="R3" i="7"/>
  <c r="S4" i="7"/>
  <c r="O10" i="7"/>
  <c r="N10" i="7" s="1"/>
  <c r="AR5" i="7"/>
  <c r="AH10" i="7" l="1"/>
  <c r="AG15" i="7"/>
  <c r="AB16" i="7"/>
  <c r="AA19" i="7"/>
  <c r="AC15" i="7"/>
  <c r="AB11" i="7"/>
  <c r="AG10" i="7"/>
  <c r="Y10" i="7" s="1"/>
  <c r="AG16" i="7"/>
  <c r="AB12" i="7"/>
  <c r="O11" i="7"/>
  <c r="N11" i="7" s="1"/>
  <c r="AH11" i="7"/>
  <c r="S3" i="7"/>
  <c r="T4" i="7"/>
  <c r="AS5" i="7"/>
  <c r="AG11" i="7" l="1"/>
  <c r="AB17" i="7"/>
  <c r="AC19" i="7"/>
  <c r="AB19" i="7"/>
  <c r="AA23" i="7"/>
  <c r="AA29" i="7" s="1"/>
  <c r="AC16" i="7"/>
  <c r="AH15" i="7"/>
  <c r="O12" i="7"/>
  <c r="N12" i="7" s="1"/>
  <c r="AH12" i="7"/>
  <c r="AG12" i="7"/>
  <c r="Y12" i="7" s="1"/>
  <c r="AB13" i="7"/>
  <c r="U4" i="7"/>
  <c r="T3" i="7"/>
  <c r="AG17" i="7" l="1"/>
  <c r="Y11" i="7"/>
  <c r="AB18" i="7"/>
  <c r="AC17" i="7"/>
  <c r="AH16" i="7"/>
  <c r="AB23" i="7"/>
  <c r="AC23" i="7"/>
  <c r="AA34" i="7"/>
  <c r="AC29" i="7"/>
  <c r="AB29" i="7"/>
  <c r="AG19" i="7"/>
  <c r="AB20" i="7"/>
  <c r="AC20" i="7"/>
  <c r="AH19" i="7"/>
  <c r="AG36" i="7"/>
  <c r="AB37" i="7"/>
  <c r="AH36" i="7"/>
  <c r="AG13" i="7"/>
  <c r="AB14" i="7"/>
  <c r="O13" i="7"/>
  <c r="N13" i="7" s="1"/>
  <c r="AH13" i="7"/>
  <c r="V4" i="7"/>
  <c r="W4" i="7" s="1"/>
  <c r="X4" i="7" s="1"/>
  <c r="U3" i="7"/>
  <c r="M3" i="7" s="1"/>
  <c r="Y13" i="7" l="1"/>
  <c r="AG18" i="7"/>
  <c r="AG20" i="7"/>
  <c r="AB21" i="7"/>
  <c r="AC24" i="7"/>
  <c r="AH23" i="7"/>
  <c r="AC21" i="7"/>
  <c r="AH20" i="7"/>
  <c r="AG23" i="7"/>
  <c r="AB24" i="7"/>
  <c r="AC30" i="7"/>
  <c r="AH29" i="7"/>
  <c r="AC34" i="7"/>
  <c r="AB34" i="7"/>
  <c r="AB30" i="7"/>
  <c r="AG29" i="7"/>
  <c r="AC18" i="7"/>
  <c r="AH17" i="7"/>
  <c r="AH14" i="7"/>
  <c r="AH37" i="7"/>
  <c r="AG37" i="7"/>
  <c r="AB38" i="7"/>
  <c r="P38" i="7" s="1"/>
  <c r="K3" i="7"/>
  <c r="P7" i="7"/>
  <c r="P37" i="7"/>
  <c r="P9" i="7"/>
  <c r="P8" i="7"/>
  <c r="P10" i="7"/>
  <c r="P15" i="7"/>
  <c r="P19" i="7"/>
  <c r="P23" i="7"/>
  <c r="P20" i="7"/>
  <c r="P11" i="7"/>
  <c r="P16" i="7"/>
  <c r="P17" i="7"/>
  <c r="P12" i="7"/>
  <c r="P14" i="7"/>
  <c r="AG14" i="7"/>
  <c r="O14" i="7"/>
  <c r="N14" i="7" s="1"/>
  <c r="P18" i="7"/>
  <c r="P13" i="7"/>
  <c r="Y14" i="7" l="1"/>
  <c r="P21" i="7"/>
  <c r="AH18" i="7"/>
  <c r="P24" i="7"/>
  <c r="AC35" i="7"/>
  <c r="AH34" i="7"/>
  <c r="AC22" i="7"/>
  <c r="AH22" i="7" s="1"/>
  <c r="AH21" i="7"/>
  <c r="AC31" i="7"/>
  <c r="AH30" i="7"/>
  <c r="AC25" i="7"/>
  <c r="AH24" i="7"/>
  <c r="AB22" i="7"/>
  <c r="AG21" i="7"/>
  <c r="AG24" i="7"/>
  <c r="AB25" i="7"/>
  <c r="AB31" i="7"/>
  <c r="AG30" i="7"/>
  <c r="AG34" i="7"/>
  <c r="AB35" i="7"/>
  <c r="AB39" i="7"/>
  <c r="AG38" i="7"/>
  <c r="AH38" i="7"/>
  <c r="O15" i="7"/>
  <c r="N15" i="7" s="1"/>
  <c r="Y15" i="7" s="1"/>
  <c r="AC26" i="7" l="1"/>
  <c r="AH25" i="7"/>
  <c r="AG22" i="7"/>
  <c r="P22" i="7"/>
  <c r="AG31" i="7"/>
  <c r="AB32" i="7"/>
  <c r="AC32" i="7"/>
  <c r="AH31" i="7"/>
  <c r="AB36" i="7"/>
  <c r="P36" i="7" s="1"/>
  <c r="AG35" i="7"/>
  <c r="AG25" i="7"/>
  <c r="AB26" i="7"/>
  <c r="P25" i="7"/>
  <c r="AC36" i="7"/>
  <c r="AH35" i="7"/>
  <c r="AH39" i="7"/>
  <c r="AG39" i="7"/>
  <c r="AB40" i="7"/>
  <c r="P39" i="7"/>
  <c r="O16" i="7"/>
  <c r="N16" i="7" s="1"/>
  <c r="Y16" i="7" s="1"/>
  <c r="AC33" i="7" l="1"/>
  <c r="AH33" i="7" s="1"/>
  <c r="AH32" i="7"/>
  <c r="AB33" i="7"/>
  <c r="AG32" i="7"/>
  <c r="AG26" i="7"/>
  <c r="AB27" i="7"/>
  <c r="P26" i="7"/>
  <c r="AC27" i="7"/>
  <c r="AH26" i="7"/>
  <c r="AH40" i="7"/>
  <c r="AG40" i="7"/>
  <c r="AB41" i="7"/>
  <c r="P40" i="7"/>
  <c r="O17" i="7"/>
  <c r="N17" i="7" s="1"/>
  <c r="Y17" i="7" s="1"/>
  <c r="AC28" i="7" l="1"/>
  <c r="AH28" i="7" s="1"/>
  <c r="AH27" i="7"/>
  <c r="AG33" i="7"/>
  <c r="P27" i="7"/>
  <c r="AG27" i="7"/>
  <c r="AB28" i="7"/>
  <c r="AG41" i="7"/>
  <c r="AB42" i="7"/>
  <c r="AQ4" i="7" s="1"/>
  <c r="P41" i="7"/>
  <c r="AR4" i="7"/>
  <c r="AH41" i="7"/>
  <c r="AH42" i="7"/>
  <c r="O18" i="7"/>
  <c r="N18" i="7" s="1"/>
  <c r="Y18" i="7" s="1"/>
  <c r="AM4" i="7" l="1"/>
  <c r="AM12" i="7" s="1"/>
  <c r="AN4" i="7"/>
  <c r="AN14" i="7" s="1"/>
  <c r="AG28" i="7"/>
  <c r="P28" i="7"/>
  <c r="AP4" i="7"/>
  <c r="AO4" i="7"/>
  <c r="AO13" i="7" s="1"/>
  <c r="AB5" i="7"/>
  <c r="AJ4" i="7"/>
  <c r="AJ13" i="7" s="1"/>
  <c r="AS4" i="7"/>
  <c r="AS8" i="7" s="1"/>
  <c r="AL4" i="7"/>
  <c r="AL15" i="7" s="1"/>
  <c r="AR8" i="7"/>
  <c r="AR13" i="7"/>
  <c r="AR9" i="7"/>
  <c r="AR14" i="7"/>
  <c r="AR10" i="7"/>
  <c r="AR15" i="7"/>
  <c r="AR11" i="7"/>
  <c r="AR7" i="7"/>
  <c r="AR12" i="7"/>
  <c r="AG42" i="7"/>
  <c r="P42" i="7"/>
  <c r="AK4" i="7"/>
  <c r="AM15" i="7"/>
  <c r="AQ10" i="7"/>
  <c r="AQ13" i="7"/>
  <c r="AQ14" i="7"/>
  <c r="AQ15" i="7"/>
  <c r="AQ12" i="7"/>
  <c r="AQ9" i="7"/>
  <c r="AQ11" i="7"/>
  <c r="O19" i="7"/>
  <c r="N19" i="7" s="1"/>
  <c r="Y19" i="7" s="1"/>
  <c r="AM14" i="7" l="1"/>
  <c r="AM11" i="7"/>
  <c r="AM13" i="7"/>
  <c r="AG5" i="7"/>
  <c r="AG6" i="7" s="1"/>
  <c r="AN15" i="7"/>
  <c r="AN13" i="7"/>
  <c r="AN25" i="7" s="1"/>
  <c r="AO15" i="7"/>
  <c r="AO27" i="7" s="1"/>
  <c r="AJ12" i="7"/>
  <c r="AJ24" i="7" s="1"/>
  <c r="AS7" i="7"/>
  <c r="AS29" i="7" s="1"/>
  <c r="AS14" i="7"/>
  <c r="AS26" i="7" s="1"/>
  <c r="AJ15" i="7"/>
  <c r="AJ37" i="7" s="1"/>
  <c r="AL12" i="7"/>
  <c r="AL24" i="7" s="1"/>
  <c r="AL13" i="7"/>
  <c r="AL35" i="7" s="1"/>
  <c r="AS11" i="7"/>
  <c r="AS23" i="7" s="1"/>
  <c r="AJ10" i="7"/>
  <c r="AJ22" i="7" s="1"/>
  <c r="AJ11" i="7"/>
  <c r="AJ33" i="7" s="1"/>
  <c r="AJ8" i="7"/>
  <c r="AU8" i="7" s="1"/>
  <c r="AL14" i="7"/>
  <c r="AL36" i="7" s="1"/>
  <c r="AL11" i="7"/>
  <c r="AL33" i="7" s="1"/>
  <c r="AS10" i="7"/>
  <c r="AS32" i="7" s="1"/>
  <c r="AO14" i="7"/>
  <c r="AO26" i="7" s="1"/>
  <c r="AS13" i="7"/>
  <c r="AS25" i="7" s="1"/>
  <c r="AS12" i="7"/>
  <c r="AS24" i="7" s="1"/>
  <c r="AS15" i="7"/>
  <c r="AS27" i="7" s="1"/>
  <c r="AJ7" i="7"/>
  <c r="AU7" i="7" s="1"/>
  <c r="AJ14" i="7"/>
  <c r="AJ36" i="7" s="1"/>
  <c r="AS9" i="7"/>
  <c r="AS21" i="7" s="1"/>
  <c r="AJ9" i="7"/>
  <c r="AJ31" i="7" s="1"/>
  <c r="BC7" i="7"/>
  <c r="BC8" i="7" s="1"/>
  <c r="BC9" i="7" s="1"/>
  <c r="BC10" i="7" s="1"/>
  <c r="BC11" i="7" s="1"/>
  <c r="BC12" i="7" s="1"/>
  <c r="BC13" i="7" s="1"/>
  <c r="BC14" i="7" s="1"/>
  <c r="BC15" i="7" s="1"/>
  <c r="AR19" i="7"/>
  <c r="BC19" i="7" s="1"/>
  <c r="AR29" i="7"/>
  <c r="AR6" i="7"/>
  <c r="AS30" i="7"/>
  <c r="AS20" i="7"/>
  <c r="AQ26" i="7"/>
  <c r="AQ36" i="7"/>
  <c r="BF36" i="7" s="1"/>
  <c r="AM36" i="7"/>
  <c r="AM26" i="7"/>
  <c r="AR23" i="7"/>
  <c r="AR33" i="7"/>
  <c r="AR30" i="7"/>
  <c r="AR20" i="7"/>
  <c r="AR27" i="7"/>
  <c r="AR37" i="7"/>
  <c r="BG37" i="7" s="1"/>
  <c r="AQ22" i="7"/>
  <c r="AQ32" i="7"/>
  <c r="AR31" i="7"/>
  <c r="AR21" i="7"/>
  <c r="AM33" i="7"/>
  <c r="AM23" i="7"/>
  <c r="AQ23" i="7"/>
  <c r="AQ33" i="7"/>
  <c r="AM24" i="7"/>
  <c r="AM34" i="7"/>
  <c r="AJ35" i="7"/>
  <c r="AJ25" i="7"/>
  <c r="AR36" i="7"/>
  <c r="BG36" i="7" s="1"/>
  <c r="AR26" i="7"/>
  <c r="AM35" i="7"/>
  <c r="AM25" i="7"/>
  <c r="AQ31" i="7"/>
  <c r="AQ21" i="7"/>
  <c r="AM37" i="7"/>
  <c r="AM27" i="7"/>
  <c r="AR35" i="7"/>
  <c r="AR25" i="7"/>
  <c r="AQ34" i="7"/>
  <c r="AQ24" i="7"/>
  <c r="AN37" i="7"/>
  <c r="AN27" i="7"/>
  <c r="AO35" i="7"/>
  <c r="AO25" i="7"/>
  <c r="AQ35" i="7"/>
  <c r="AQ25" i="7"/>
  <c r="AR32" i="7"/>
  <c r="AR22" i="7"/>
  <c r="AK14" i="7"/>
  <c r="AK12" i="7"/>
  <c r="AK13" i="7"/>
  <c r="AK15" i="7"/>
  <c r="AQ37" i="7"/>
  <c r="BF37" i="7" s="1"/>
  <c r="AQ27" i="7"/>
  <c r="AR24" i="7"/>
  <c r="AR34" i="7"/>
  <c r="AL37" i="7"/>
  <c r="AL27" i="7"/>
  <c r="AN36" i="7"/>
  <c r="AN26" i="7"/>
  <c r="O20" i="7"/>
  <c r="N20" i="7" s="1"/>
  <c r="Y20" i="7" s="1"/>
  <c r="AO37" i="7" l="1"/>
  <c r="AO36" i="7"/>
  <c r="AS22" i="7"/>
  <c r="AJ34" i="7"/>
  <c r="AN35" i="7"/>
  <c r="AS34" i="7"/>
  <c r="AS36" i="7"/>
  <c r="BD7" i="7"/>
  <c r="BD8" i="7" s="1"/>
  <c r="AJ27" i="7"/>
  <c r="AS19" i="7"/>
  <c r="BD19" i="7" s="1"/>
  <c r="BD20" i="7" s="1"/>
  <c r="BD21" i="7" s="1"/>
  <c r="BD22" i="7" s="1"/>
  <c r="BD23" i="7" s="1"/>
  <c r="BD24" i="7" s="1"/>
  <c r="BD25" i="7" s="1"/>
  <c r="BD26" i="7" s="1"/>
  <c r="BD27" i="7" s="1"/>
  <c r="BD9" i="7"/>
  <c r="BD10" i="7" s="1"/>
  <c r="BD11" i="7" s="1"/>
  <c r="BD12" i="7" s="1"/>
  <c r="BD13" i="7" s="1"/>
  <c r="BD14" i="7" s="1"/>
  <c r="BD15" i="7" s="1"/>
  <c r="AS35" i="7"/>
  <c r="AS31" i="7"/>
  <c r="AS37" i="7"/>
  <c r="AL25" i="7"/>
  <c r="AS33" i="7"/>
  <c r="AJ29" i="7"/>
  <c r="AU9" i="7"/>
  <c r="AU10" i="7" s="1"/>
  <c r="AU11" i="7" s="1"/>
  <c r="AU12" i="7" s="1"/>
  <c r="AU13" i="7" s="1"/>
  <c r="AU14" i="7" s="1"/>
  <c r="AU15" i="7" s="1"/>
  <c r="AL26" i="7"/>
  <c r="AJ23" i="7"/>
  <c r="AJ19" i="7"/>
  <c r="AU19" i="7" s="1"/>
  <c r="AJ20" i="7"/>
  <c r="AU20" i="7" s="1"/>
  <c r="AJ6" i="7"/>
  <c r="AK10" i="7" s="1"/>
  <c r="AK32" i="7" s="1"/>
  <c r="AJ30" i="7"/>
  <c r="AL34" i="7"/>
  <c r="AJ32" i="7"/>
  <c r="AS6" i="7"/>
  <c r="AJ26" i="7"/>
  <c r="AJ21" i="7"/>
  <c r="AU21" i="7" s="1"/>
  <c r="AU22" i="7" s="1"/>
  <c r="AL23" i="7"/>
  <c r="AK36" i="7"/>
  <c r="AK26" i="7"/>
  <c r="AK37" i="7"/>
  <c r="AK27" i="7"/>
  <c r="AK25" i="7"/>
  <c r="AK35" i="7"/>
  <c r="AK34" i="7"/>
  <c r="AK24" i="7"/>
  <c r="BC20" i="7"/>
  <c r="BC21" i="7" s="1"/>
  <c r="BC22" i="7" s="1"/>
  <c r="BC23" i="7" s="1"/>
  <c r="BC24" i="7" s="1"/>
  <c r="BC25" i="7" s="1"/>
  <c r="BC26" i="7" s="1"/>
  <c r="BC27" i="7" s="1"/>
  <c r="O21" i="7"/>
  <c r="N21" i="7" s="1"/>
  <c r="Y21" i="7" s="1"/>
  <c r="AK7" i="7" l="1"/>
  <c r="AU23" i="7"/>
  <c r="AU24" i="7" s="1"/>
  <c r="AU25" i="7" s="1"/>
  <c r="AU26" i="7" s="1"/>
  <c r="AU27" i="7" s="1"/>
  <c r="AK11" i="7"/>
  <c r="AK33" i="7" s="1"/>
  <c r="AK9" i="7"/>
  <c r="AK21" i="7" s="1"/>
  <c r="AK8" i="7"/>
  <c r="AV8" i="7" s="1"/>
  <c r="AV9" i="7" s="1"/>
  <c r="AV10" i="7" s="1"/>
  <c r="AV11" i="7" s="1"/>
  <c r="AV12" i="7" s="1"/>
  <c r="AV13" i="7" s="1"/>
  <c r="AV14" i="7" s="1"/>
  <c r="AV15" i="7" s="1"/>
  <c r="AK22" i="7"/>
  <c r="AK20" i="7"/>
  <c r="AV20" i="7" s="1"/>
  <c r="AK19" i="7"/>
  <c r="AV19" i="7" s="1"/>
  <c r="AK6" i="7"/>
  <c r="AK29" i="7"/>
  <c r="AV7" i="7"/>
  <c r="O22" i="7"/>
  <c r="N22" i="7" s="1"/>
  <c r="Y22" i="7" s="1"/>
  <c r="AK30" i="7" l="1"/>
  <c r="AV21" i="7"/>
  <c r="AV22" i="7" s="1"/>
  <c r="AK31" i="7"/>
  <c r="AK23" i="7"/>
  <c r="AL10" i="7"/>
  <c r="AL7" i="7"/>
  <c r="AL9" i="7"/>
  <c r="AL8" i="7"/>
  <c r="O23" i="7"/>
  <c r="N23" i="7" s="1"/>
  <c r="Y23" i="7" s="1"/>
  <c r="AV23" i="7" l="1"/>
  <c r="AV24" i="7" s="1"/>
  <c r="AV25" i="7" s="1"/>
  <c r="AV26" i="7" s="1"/>
  <c r="AV27" i="7" s="1"/>
  <c r="AW7" i="7"/>
  <c r="AL6" i="7"/>
  <c r="AL19" i="7"/>
  <c r="AW19" i="7" s="1"/>
  <c r="AL29" i="7"/>
  <c r="AW8" i="7"/>
  <c r="AW9" i="7" s="1"/>
  <c r="AW10" i="7" s="1"/>
  <c r="AW11" i="7" s="1"/>
  <c r="AW12" i="7" s="1"/>
  <c r="AW13" i="7" s="1"/>
  <c r="AW14" i="7" s="1"/>
  <c r="AW15" i="7" s="1"/>
  <c r="AL20" i="7"/>
  <c r="AW20" i="7" s="1"/>
  <c r="AL30" i="7"/>
  <c r="AL21" i="7"/>
  <c r="AW21" i="7" s="1"/>
  <c r="AL31" i="7"/>
  <c r="AL32" i="7"/>
  <c r="AL22" i="7"/>
  <c r="O24" i="7"/>
  <c r="N24" i="7" s="1"/>
  <c r="Y24" i="7" s="1"/>
  <c r="AW22" i="7" l="1"/>
  <c r="AW23" i="7" s="1"/>
  <c r="AW24" i="7" s="1"/>
  <c r="AW25" i="7" s="1"/>
  <c r="AW26" i="7" s="1"/>
  <c r="AW27" i="7" s="1"/>
  <c r="AM10" i="7"/>
  <c r="AM7" i="7"/>
  <c r="AM8" i="7"/>
  <c r="AM9" i="7"/>
  <c r="O25" i="7"/>
  <c r="N25" i="7" s="1"/>
  <c r="Y25" i="7" s="1"/>
  <c r="AM20" i="7" l="1"/>
  <c r="AX20" i="7" s="1"/>
  <c r="AM30" i="7"/>
  <c r="AM29" i="7"/>
  <c r="AM19" i="7"/>
  <c r="AX19" i="7" s="1"/>
  <c r="AM6" i="7"/>
  <c r="AX7" i="7"/>
  <c r="AX8" i="7" s="1"/>
  <c r="AX9" i="7" s="1"/>
  <c r="AX10" i="7" s="1"/>
  <c r="AX11" i="7" s="1"/>
  <c r="AX12" i="7" s="1"/>
  <c r="AX13" i="7" s="1"/>
  <c r="AX14" i="7" s="1"/>
  <c r="AX15" i="7" s="1"/>
  <c r="AM22" i="7"/>
  <c r="AM32" i="7"/>
  <c r="AM21" i="7"/>
  <c r="AM31" i="7"/>
  <c r="O26" i="7"/>
  <c r="N26" i="7" s="1"/>
  <c r="Y26" i="7" s="1"/>
  <c r="AN10" i="7" l="1"/>
  <c r="AN11" i="7"/>
  <c r="AN9" i="7"/>
  <c r="AN7" i="7"/>
  <c r="AN12" i="7"/>
  <c r="AN8" i="7"/>
  <c r="AX21" i="7"/>
  <c r="AX22" i="7" s="1"/>
  <c r="AX23" i="7" s="1"/>
  <c r="AX24" i="7" s="1"/>
  <c r="AX25" i="7" s="1"/>
  <c r="AX26" i="7" s="1"/>
  <c r="AX27" i="7" s="1"/>
  <c r="O27" i="7"/>
  <c r="N27" i="7" s="1"/>
  <c r="Y27" i="7" s="1"/>
  <c r="AN29" i="7" l="1"/>
  <c r="AN6" i="7"/>
  <c r="AO12" i="7" s="1"/>
  <c r="AY7" i="7"/>
  <c r="AN19" i="7"/>
  <c r="AY19" i="7" s="1"/>
  <c r="AN20" i="7"/>
  <c r="AY20" i="7" s="1"/>
  <c r="AY8" i="7"/>
  <c r="AY9" i="7" s="1"/>
  <c r="AY10" i="7" s="1"/>
  <c r="AY11" i="7" s="1"/>
  <c r="AY12" i="7" s="1"/>
  <c r="AY13" i="7" s="1"/>
  <c r="AY14" i="7" s="1"/>
  <c r="AY15" i="7" s="1"/>
  <c r="AN30" i="7"/>
  <c r="AN24" i="7"/>
  <c r="AN21" i="7"/>
  <c r="AY21" i="7" s="1"/>
  <c r="AY22" i="7" s="1"/>
  <c r="AN31" i="7"/>
  <c r="AN33" i="7"/>
  <c r="AN23" i="7"/>
  <c r="AN22" i="7"/>
  <c r="AN32" i="7"/>
  <c r="O28" i="7"/>
  <c r="N28" i="7" s="1"/>
  <c r="AO24" i="7" l="1"/>
  <c r="AY23" i="7"/>
  <c r="AY24" i="7" s="1"/>
  <c r="AY25" i="7" s="1"/>
  <c r="AY26" i="7" s="1"/>
  <c r="AY27" i="7" s="1"/>
  <c r="Y28" i="7"/>
  <c r="AN34" i="7" s="1"/>
  <c r="AO11" i="7"/>
  <c r="AO8" i="7"/>
  <c r="AO9" i="7"/>
  <c r="AO7" i="7"/>
  <c r="AO10" i="7"/>
  <c r="O29" i="7"/>
  <c r="N29" i="7" l="1"/>
  <c r="Y29" i="7" s="1"/>
  <c r="AO29" i="7" s="1"/>
  <c r="P29" i="7"/>
  <c r="AO34" i="7"/>
  <c r="AZ7" i="7"/>
  <c r="AZ8" i="7" s="1"/>
  <c r="AZ9" i="7" s="1"/>
  <c r="AZ10" i="7" s="1"/>
  <c r="AZ11" i="7" s="1"/>
  <c r="AZ12" i="7" s="1"/>
  <c r="AZ13" i="7" s="1"/>
  <c r="AZ14" i="7" s="1"/>
  <c r="AZ15" i="7" s="1"/>
  <c r="AO19" i="7"/>
  <c r="AZ19" i="7" s="1"/>
  <c r="AO6" i="7"/>
  <c r="AO22" i="7"/>
  <c r="AZ22" i="7" s="1"/>
  <c r="AO21" i="7"/>
  <c r="AZ21" i="7" s="1"/>
  <c r="AO20" i="7"/>
  <c r="AZ20" i="7" s="1"/>
  <c r="AO23" i="7"/>
  <c r="O30" i="7"/>
  <c r="N30" i="7" l="1"/>
  <c r="Y30" i="7" s="1"/>
  <c r="AO30" i="7" s="1"/>
  <c r="P30" i="7"/>
  <c r="AZ23" i="7"/>
  <c r="AZ24" i="7" s="1"/>
  <c r="AZ25" i="7" s="1"/>
  <c r="AZ26" i="7" s="1"/>
  <c r="AZ27" i="7" s="1"/>
  <c r="AP12" i="7"/>
  <c r="AP13" i="7"/>
  <c r="AP14" i="7"/>
  <c r="AP10" i="7"/>
  <c r="AP9" i="7"/>
  <c r="AP11" i="7"/>
  <c r="AP15" i="7"/>
  <c r="AP7" i="7"/>
  <c r="AP8" i="7"/>
  <c r="O31" i="7"/>
  <c r="N31" i="7" l="1"/>
  <c r="P31" i="7"/>
  <c r="Y31" i="7"/>
  <c r="AO31" i="7" s="1"/>
  <c r="AP20" i="7"/>
  <c r="BA20" i="7" s="1"/>
  <c r="AP6" i="7"/>
  <c r="AP19" i="7"/>
  <c r="BA19" i="7" s="1"/>
  <c r="BA7" i="7"/>
  <c r="BA8" i="7" s="1"/>
  <c r="BA9" i="7" s="1"/>
  <c r="BA10" i="7" s="1"/>
  <c r="BA11" i="7" s="1"/>
  <c r="BA12" i="7" s="1"/>
  <c r="BA13" i="7" s="1"/>
  <c r="BA14" i="7" s="1"/>
  <c r="BA15" i="7" s="1"/>
  <c r="AP21" i="7"/>
  <c r="AP35" i="7"/>
  <c r="AP25" i="7"/>
  <c r="AP37" i="7"/>
  <c r="AP27" i="7"/>
  <c r="AP22" i="7"/>
  <c r="AP34" i="7"/>
  <c r="AP24" i="7"/>
  <c r="AP23" i="7"/>
  <c r="AP36" i="7"/>
  <c r="AP26" i="7"/>
  <c r="O32" i="7"/>
  <c r="AP31" i="7" l="1"/>
  <c r="N32" i="7"/>
  <c r="P32" i="7"/>
  <c r="AQ7" i="7"/>
  <c r="AQ8" i="7"/>
  <c r="Y32" i="7"/>
  <c r="BA21" i="7"/>
  <c r="BA22" i="7" s="1"/>
  <c r="BA23" i="7" s="1"/>
  <c r="BA24" i="7" s="1"/>
  <c r="BA25" i="7" s="1"/>
  <c r="BA26" i="7" s="1"/>
  <c r="BA27" i="7" s="1"/>
  <c r="O33" i="7"/>
  <c r="N33" i="7" l="1"/>
  <c r="P33" i="7"/>
  <c r="AQ30" i="7"/>
  <c r="AQ20" i="7"/>
  <c r="AO32" i="7"/>
  <c r="AP32" i="7"/>
  <c r="BB7" i="7"/>
  <c r="BB8" i="7" s="1"/>
  <c r="BB9" i="7" s="1"/>
  <c r="BB10" i="7" s="1"/>
  <c r="BB11" i="7" s="1"/>
  <c r="BB12" i="7" s="1"/>
  <c r="BB13" i="7" s="1"/>
  <c r="BB14" i="7" s="1"/>
  <c r="BB15" i="7" s="1"/>
  <c r="AQ6" i="7"/>
  <c r="AQ19" i="7"/>
  <c r="BB19" i="7" s="1"/>
  <c r="AQ29" i="7"/>
  <c r="Y33" i="7"/>
  <c r="O34" i="7"/>
  <c r="BB20" i="7" l="1"/>
  <c r="BB21" i="7" s="1"/>
  <c r="BB22" i="7" s="1"/>
  <c r="BB23" i="7" s="1"/>
  <c r="BB24" i="7" s="1"/>
  <c r="BB25" i="7" s="1"/>
  <c r="BB26" i="7" s="1"/>
  <c r="BB27" i="7" s="1"/>
  <c r="AO33" i="7"/>
  <c r="AP33" i="7"/>
  <c r="P34" i="7"/>
  <c r="N34" i="7"/>
  <c r="O35" i="7"/>
  <c r="Y34" i="7" l="1"/>
  <c r="AP29" i="7" s="1"/>
  <c r="P35" i="7"/>
  <c r="N35" i="7"/>
  <c r="O36" i="7"/>
  <c r="N36" i="7" s="1"/>
  <c r="Y35" i="7" l="1"/>
  <c r="AP30" i="7" s="1"/>
  <c r="O37" i="7"/>
  <c r="N37" i="7" s="1"/>
  <c r="O38" i="7" l="1"/>
  <c r="N38" i="7" s="1"/>
  <c r="O39" i="7" l="1"/>
  <c r="N39" i="7" s="1"/>
  <c r="O40" i="7" l="1"/>
  <c r="N40" i="7" s="1"/>
  <c r="O42" i="7" l="1"/>
  <c r="N42" i="7" s="1"/>
  <c r="O41" i="7"/>
  <c r="N41" i="7" s="1"/>
</calcChain>
</file>

<file path=xl/sharedStrings.xml><?xml version="1.0" encoding="utf-8"?>
<sst xmlns="http://schemas.openxmlformats.org/spreadsheetml/2006/main" count="415" uniqueCount="104">
  <si>
    <t>i</t>
  </si>
  <si>
    <t>-</t>
  </si>
  <si>
    <t>geometry</t>
  </si>
  <si>
    <t xml:space="preserve"> </t>
  </si>
  <si>
    <t>POINT (464172.2813 7607930.25)</t>
  </si>
  <si>
    <t>POINT (464822.2813 7609305.25)</t>
  </si>
  <si>
    <t>POINT (464784.7813 7609967.75)</t>
  </si>
  <si>
    <t>POINT (464297.2813 7610630.25)</t>
  </si>
  <si>
    <t>POINT (464909.7813 7609892.75)</t>
  </si>
  <si>
    <t>POINT (465534.7813 7610505.25)</t>
  </si>
  <si>
    <t>POINT (466097.2813 7610467.75)</t>
  </si>
  <si>
    <t>POINT (466622.2813 7609955.25)</t>
  </si>
  <si>
    <t>POINT (468284.7813 7609942.75)</t>
  </si>
  <si>
    <t>POINT (464384.7813 7611405.25)</t>
  </si>
  <si>
    <t>POINT (465284.7813 7611667.75)</t>
  </si>
  <si>
    <t>POINT (465422.2813 7612830.25)</t>
  </si>
  <si>
    <t>POINT (464872.2813 7613880.25)</t>
  </si>
  <si>
    <t>POINT (465672.2813 7613092.75)</t>
  </si>
  <si>
    <t>POINT (466597.2813 7613155.25)</t>
  </si>
  <si>
    <t>POINT (467384.7813 7612080.25)</t>
  </si>
  <si>
    <t>POINT (468434.7813 7611380.25)</t>
  </si>
  <si>
    <t>POINT (467172.2813 7613492.75)</t>
  </si>
  <si>
    <t>POINT (467797.2813 7613980.25)</t>
  </si>
  <si>
    <t>POINT (468797.2813 7612842.75)</t>
  </si>
  <si>
    <t>POINT (469934.7813 7612342.75)</t>
  </si>
  <si>
    <t>POINT (468047.2813 7614180.25)</t>
  </si>
  <si>
    <t>POINT (468834.7813 7614292.75)</t>
  </si>
  <si>
    <t>POINT (468397.2813 7614955.25)</t>
  </si>
  <si>
    <t>POINT (468334.7813 7615805.25)</t>
  </si>
  <si>
    <t>POINT (468059.7813 7616642.75)</t>
  </si>
  <si>
    <t>POINT (467509.7813 7616967.75)</t>
  </si>
  <si>
    <t>POINT (469922.2813 7614405.25)</t>
  </si>
  <si>
    <t>POINT (471134.7813 7613992.75)</t>
  </si>
  <si>
    <t>x</t>
  </si>
  <si>
    <t>y</t>
  </si>
  <si>
    <t>DRN_L.csv</t>
  </si>
  <si>
    <t>X</t>
  </si>
  <si>
    <t>Y</t>
  </si>
  <si>
    <t>Z</t>
  </si>
  <si>
    <t>Z2</t>
  </si>
  <si>
    <t>[1001]</t>
  </si>
  <si>
    <t>[976]</t>
  </si>
  <si>
    <t>[907]</t>
  </si>
  <si>
    <t>[989]</t>
  </si>
  <si>
    <t>[961]</t>
  </si>
  <si>
    <t>[937]</t>
  </si>
  <si>
    <t>[903]</t>
  </si>
  <si>
    <t>[889]</t>
  </si>
  <si>
    <t>[969]</t>
  </si>
  <si>
    <t>[911]</t>
  </si>
  <si>
    <t>[888]</t>
  </si>
  <si>
    <t>[880]</t>
  </si>
  <si>
    <t>[896]</t>
  </si>
  <si>
    <t>[890]</t>
  </si>
  <si>
    <t>[877]</t>
  </si>
  <si>
    <t>[863]</t>
  </si>
  <si>
    <t>[854]</t>
  </si>
  <si>
    <t>[847]</t>
  </si>
  <si>
    <t>[844]</t>
  </si>
  <si>
    <t>[928]</t>
  </si>
  <si>
    <t>[895]</t>
  </si>
  <si>
    <t>[865]</t>
  </si>
  <si>
    <t>[856]</t>
  </si>
  <si>
    <t>[846]</t>
  </si>
  <si>
    <t>[842]</t>
  </si>
  <si>
    <t>new tests</t>
  </si>
  <si>
    <t>REF.</t>
  </si>
  <si>
    <t>Tacho</t>
  </si>
  <si>
    <t>B</t>
  </si>
  <si>
    <t>S_D</t>
  </si>
  <si>
    <t>←</t>
  </si>
  <si>
    <t>C</t>
  </si>
  <si>
    <t>D</t>
  </si>
  <si>
    <t>S_P</t>
  </si>
  <si>
    <t>Manual</t>
  </si>
  <si>
    <t>sfr_pakdata</t>
  </si>
  <si>
    <t>Width</t>
  </si>
  <si>
    <t>Roughness</t>
  </si>
  <si>
    <t>z</t>
  </si>
  <si>
    <t>j</t>
  </si>
  <si>
    <t>?</t>
  </si>
  <si>
    <t>012..</t>
  </si>
  <si>
    <t>Q</t>
  </si>
  <si>
    <t>W</t>
  </si>
  <si>
    <t>K</t>
  </si>
  <si>
    <t>R</t>
  </si>
  <si>
    <t>DIST</t>
  </si>
  <si>
    <t>|</t>
  </si>
  <si>
    <t>RES</t>
  </si>
  <si>
    <t>OUT</t>
  </si>
  <si>
    <t>MIN</t>
  </si>
  <si>
    <t>M</t>
  </si>
  <si>
    <t>SFR</t>
  </si>
  <si>
    <t>S_C</t>
  </si>
  <si>
    <t>connectiondata</t>
  </si>
  <si>
    <t>Q ?</t>
  </si>
  <si>
    <t>sfr_spd</t>
  </si>
  <si>
    <t>S_S</t>
  </si>
  <si>
    <t>inflow</t>
  </si>
  <si>
    <t>status</t>
  </si>
  <si>
    <t>simple</t>
  </si>
  <si>
    <t>stage</t>
  </si>
  <si>
    <t>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</si>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</sst>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7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sz val="5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5"/>
      <color rgb="FFFF0000"/>
      <name val="Calibri"/>
      <family val="2"/>
      <scheme val="minor"/>
    </font>
    <font>
      <sz val="6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"/>
      <color theme="1"/>
      <name val="Calibri"/>
      <family val="2"/>
    </font>
    <font>
      <sz val="7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7"/>
      <color rgb="FF0000FF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b/>
      <sz val="8"/>
      <color theme="1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6FCB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17" fillId="34" borderId="0" xfId="0" applyFont="1" applyFill="1" applyAlignment="1">
      <alignment horizontal="left"/>
    </xf>
    <xf numFmtId="0" fontId="21" fillId="35" borderId="0" xfId="0" applyFont="1" applyFill="1" applyAlignment="1">
      <alignment horizontal="center"/>
    </xf>
    <xf numFmtId="0" fontId="22" fillId="35" borderId="0" xfId="0" applyFont="1" applyFill="1"/>
    <xf numFmtId="0" fontId="22" fillId="35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25" fillId="35" borderId="0" xfId="0" applyFont="1" applyFill="1"/>
    <xf numFmtId="0" fontId="0" fillId="35" borderId="0" xfId="0" applyFill="1" applyAlignment="1">
      <alignment horizontal="center" vertical="center"/>
    </xf>
    <xf numFmtId="0" fontId="21" fillId="35" borderId="0" xfId="0" applyFont="1" applyFill="1"/>
    <xf numFmtId="0" fontId="24" fillId="35" borderId="0" xfId="0" applyFont="1" applyFill="1"/>
    <xf numFmtId="0" fontId="19" fillId="35" borderId="0" xfId="0" applyFont="1" applyFill="1"/>
    <xf numFmtId="0" fontId="23" fillId="35" borderId="0" xfId="0" applyFont="1" applyFill="1"/>
    <xf numFmtId="0" fontId="19" fillId="37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6" fillId="33" borderId="0" xfId="0" applyFont="1" applyFill="1"/>
    <xf numFmtId="0" fontId="26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6" fillId="35" borderId="0" xfId="0" applyFont="1" applyFill="1"/>
    <xf numFmtId="1" fontId="19" fillId="33" borderId="0" xfId="0" applyNumberFormat="1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18" fillId="35" borderId="0" xfId="0" applyFont="1" applyFill="1"/>
    <xf numFmtId="0" fontId="18" fillId="35" borderId="0" xfId="0" applyFont="1" applyFill="1" applyAlignment="1">
      <alignment horizontal="center"/>
    </xf>
    <xf numFmtId="0" fontId="27" fillId="35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1" fillId="0" borderId="0" xfId="0" applyFont="1"/>
    <xf numFmtId="0" fontId="24" fillId="0" borderId="0" xfId="0" applyFont="1"/>
    <xf numFmtId="0" fontId="25" fillId="0" borderId="0" xfId="0" applyFont="1"/>
    <xf numFmtId="0" fontId="23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20" fillId="35" borderId="0" xfId="0" applyFont="1" applyFill="1"/>
    <xf numFmtId="0" fontId="28" fillId="33" borderId="0" xfId="0" applyFont="1" applyFill="1" applyAlignment="1">
      <alignment horizontal="center"/>
    </xf>
    <xf numFmtId="0" fontId="29" fillId="39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right"/>
    </xf>
    <xf numFmtId="0" fontId="25" fillId="35" borderId="0" xfId="0" applyFont="1" applyFill="1" applyAlignment="1">
      <alignment horizontal="center" vertical="center"/>
    </xf>
    <xf numFmtId="0" fontId="30" fillId="38" borderId="0" xfId="0" applyFont="1" applyFill="1" applyAlignment="1">
      <alignment horizontal="center" vertical="center"/>
    </xf>
    <xf numFmtId="0" fontId="31" fillId="40" borderId="0" xfId="0" applyFont="1" applyFill="1" applyAlignment="1">
      <alignment horizontal="center"/>
    </xf>
    <xf numFmtId="0" fontId="32" fillId="36" borderId="0" xfId="0" applyFont="1" applyFill="1" applyAlignment="1">
      <alignment horizontal="center"/>
    </xf>
    <xf numFmtId="0" fontId="33" fillId="35" borderId="0" xfId="0" applyFont="1" applyFill="1" applyAlignment="1">
      <alignment vertical="center"/>
    </xf>
    <xf numFmtId="0" fontId="24" fillId="35" borderId="0" xfId="0" applyFont="1" applyFill="1" applyAlignment="1">
      <alignment horizontal="center" vertical="center"/>
    </xf>
    <xf numFmtId="0" fontId="34" fillId="34" borderId="0" xfId="0" applyFont="1" applyFill="1" applyAlignment="1">
      <alignment vertical="center"/>
    </xf>
    <xf numFmtId="0" fontId="34" fillId="34" borderId="0" xfId="0" applyFont="1" applyFill="1"/>
    <xf numFmtId="0" fontId="23" fillId="39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23" fillId="42" borderId="0" xfId="0" applyFont="1" applyFill="1" applyAlignment="1">
      <alignment horizontal="center" vertical="center"/>
    </xf>
    <xf numFmtId="0" fontId="35" fillId="41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/>
    </xf>
    <xf numFmtId="1" fontId="36" fillId="38" borderId="0" xfId="0" applyNumberFormat="1" applyFont="1" applyFill="1" applyAlignment="1">
      <alignment horizontal="center"/>
    </xf>
    <xf numFmtId="0" fontId="37" fillId="35" borderId="0" xfId="0" applyFont="1" applyFill="1" applyAlignment="1">
      <alignment horizontal="center" vertical="center"/>
    </xf>
    <xf numFmtId="0" fontId="38" fillId="35" borderId="0" xfId="0" applyFont="1" applyFill="1"/>
    <xf numFmtId="0" fontId="39" fillId="35" borderId="0" xfId="0" applyFont="1" applyFill="1" applyAlignment="1">
      <alignment horizontal="center"/>
    </xf>
    <xf numFmtId="0" fontId="24" fillId="33" borderId="0" xfId="0" applyFont="1" applyFill="1" applyAlignment="1">
      <alignment horizontal="center" vertical="center"/>
    </xf>
    <xf numFmtId="0" fontId="40" fillId="33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41" fillId="35" borderId="0" xfId="0" applyFont="1" applyFill="1"/>
    <xf numFmtId="0" fontId="18" fillId="35" borderId="0" xfId="0" applyFont="1" applyFill="1" applyAlignment="1">
      <alignment vertical="center"/>
    </xf>
    <xf numFmtId="0" fontId="33" fillId="35" borderId="0" xfId="0" applyFont="1" applyFill="1" applyAlignment="1">
      <alignment horizontal="center" vertical="center"/>
    </xf>
    <xf numFmtId="0" fontId="33" fillId="35" borderId="0" xfId="0" applyFont="1" applyFill="1"/>
    <xf numFmtId="0" fontId="19" fillId="35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left"/>
    </xf>
    <xf numFmtId="0" fontId="29" fillId="35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42" fillId="43" borderId="0" xfId="0" applyFont="1" applyFill="1" applyAlignment="1">
      <alignment horizontal="left" vertical="center"/>
    </xf>
    <xf numFmtId="0" fontId="42" fillId="43" borderId="0" xfId="0" applyFont="1" applyFill="1" applyAlignment="1">
      <alignment horizontal="center" vertical="center"/>
    </xf>
    <xf numFmtId="0" fontId="43" fillId="43" borderId="0" xfId="0" applyFont="1" applyFill="1" applyAlignment="1">
      <alignment horizontal="left" vertical="center"/>
    </xf>
    <xf numFmtId="0" fontId="44" fillId="43" borderId="0" xfId="0" applyFont="1" applyFill="1" applyAlignment="1">
      <alignment horizontal="left" vertical="center"/>
    </xf>
    <xf numFmtId="0" fontId="45" fillId="44" borderId="0" xfId="0" applyFont="1" applyFill="1" applyAlignment="1">
      <alignment horizontal="center" vertical="center"/>
    </xf>
    <xf numFmtId="0" fontId="45" fillId="43" borderId="0" xfId="0" applyFont="1" applyFill="1" applyAlignment="1">
      <alignment horizontal="left" vertical="center"/>
    </xf>
    <xf numFmtId="0" fontId="45" fillId="43" borderId="0" xfId="0" applyFont="1" applyFill="1" applyAlignment="1">
      <alignment horizontal="center" vertical="center"/>
    </xf>
    <xf numFmtId="0" fontId="46" fillId="43" borderId="0" xfId="0" applyFont="1" applyFill="1" applyAlignment="1">
      <alignment horizontal="left" vertical="center"/>
    </xf>
    <xf numFmtId="0" fontId="47" fillId="40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3" fillId="37" borderId="0" xfId="0" applyFont="1" applyFill="1" applyAlignment="1">
      <alignment horizontal="center" vertical="center"/>
    </xf>
    <xf numFmtId="1" fontId="21" fillId="35" borderId="0" xfId="0" applyNumberFormat="1" applyFont="1" applyFill="1"/>
    <xf numFmtId="0" fontId="29" fillId="45" borderId="0" xfId="0" applyFont="1" applyFill="1" applyAlignment="1">
      <alignment horizontal="center" vertical="center"/>
    </xf>
    <xf numFmtId="0" fontId="46" fillId="44" borderId="0" xfId="0" applyFont="1" applyFill="1" applyAlignment="1">
      <alignment horizontal="left" vertical="center"/>
    </xf>
    <xf numFmtId="0" fontId="48" fillId="4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left"/>
    </xf>
    <xf numFmtId="0" fontId="49" fillId="35" borderId="0" xfId="0" applyFont="1" applyFill="1" applyAlignment="1">
      <alignment horizontal="center"/>
    </xf>
    <xf numFmtId="0" fontId="23" fillId="35" borderId="0" xfId="0" applyFont="1" applyFill="1" applyAlignment="1">
      <alignment horizontal="center" vertical="center"/>
    </xf>
    <xf numFmtId="1" fontId="24" fillId="35" borderId="0" xfId="0" applyNumberFormat="1" applyFont="1" applyFill="1" applyAlignment="1">
      <alignment horizontal="center"/>
    </xf>
    <xf numFmtId="0" fontId="23" fillId="45" borderId="0" xfId="0" applyFont="1" applyFill="1" applyAlignment="1">
      <alignment horizontal="center" vertical="center"/>
    </xf>
    <xf numFmtId="164" fontId="23" fillId="33" borderId="0" xfId="0" applyNumberFormat="1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47" fillId="38" borderId="0" xfId="0" applyFont="1" applyFill="1" applyAlignment="1">
      <alignment horizontal="center" vertical="center"/>
    </xf>
    <xf numFmtId="0" fontId="23" fillId="4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center" vertical="center"/>
    </xf>
    <xf numFmtId="0" fontId="23" fillId="0" borderId="0" xfId="0" applyFont="1"/>
    <xf numFmtId="0" fontId="32" fillId="48" borderId="0" xfId="0" applyFont="1" applyFill="1" applyAlignment="1">
      <alignment horizontal="center"/>
    </xf>
    <xf numFmtId="0" fontId="36" fillId="40" borderId="0" xfId="0" applyFont="1" applyFill="1" applyAlignment="1">
      <alignment horizontal="center" vertical="center"/>
    </xf>
    <xf numFmtId="0" fontId="36" fillId="47" borderId="0" xfId="0" applyFont="1" applyFill="1" applyAlignment="1">
      <alignment horizontal="center" vertical="center"/>
    </xf>
    <xf numFmtId="0" fontId="37" fillId="35" borderId="0" xfId="0" applyFont="1" applyFill="1" applyAlignment="1">
      <alignment horizontal="center"/>
    </xf>
    <xf numFmtId="0" fontId="18" fillId="50" borderId="0" xfId="0" applyFont="1" applyFill="1" applyAlignment="1">
      <alignment horizontal="center" vertical="center"/>
    </xf>
    <xf numFmtId="0" fontId="18" fillId="45" borderId="0" xfId="0" applyFont="1" applyFill="1" applyAlignment="1">
      <alignment horizontal="center" vertical="center"/>
    </xf>
    <xf numFmtId="0" fontId="32" fillId="36" borderId="0" xfId="0" applyFont="1" applyFill="1" applyAlignment="1">
      <alignment horizontal="center" vertical="center"/>
    </xf>
    <xf numFmtId="0" fontId="48" fillId="35" borderId="0" xfId="0" applyFont="1" applyFill="1" applyAlignment="1">
      <alignment horizontal="center" vertical="center"/>
    </xf>
    <xf numFmtId="0" fontId="50" fillId="35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51" fillId="35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38" fillId="33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/>
    </xf>
    <xf numFmtId="0" fontId="38" fillId="33" borderId="0" xfId="0" applyFont="1" applyFill="1" applyAlignment="1">
      <alignment horizontal="right" vertical="center"/>
    </xf>
    <xf numFmtId="0" fontId="34" fillId="37" borderId="0" xfId="0" applyFont="1" applyFill="1" applyAlignment="1">
      <alignment vertical="center"/>
    </xf>
    <xf numFmtId="0" fontId="17" fillId="38" borderId="0" xfId="0" applyFont="1" applyFill="1" applyAlignment="1">
      <alignment horizontal="left" vertical="center"/>
    </xf>
    <xf numFmtId="0" fontId="36" fillId="51" borderId="0" xfId="0" applyFont="1" applyFill="1" applyAlignment="1">
      <alignment horizontal="center" vertical="center"/>
    </xf>
    <xf numFmtId="0" fontId="18" fillId="49" borderId="0" xfId="0" applyFont="1" applyFill="1" applyAlignment="1">
      <alignment horizontal="right" vertical="center"/>
    </xf>
    <xf numFmtId="0" fontId="18" fillId="46" borderId="0" xfId="0" applyFont="1" applyFill="1" applyAlignment="1">
      <alignment horizontal="right" vertical="center"/>
    </xf>
    <xf numFmtId="164" fontId="18" fillId="33" borderId="0" xfId="0" applyNumberFormat="1" applyFont="1" applyFill="1" applyAlignment="1">
      <alignment horizontal="center" vertical="center"/>
    </xf>
    <xf numFmtId="0" fontId="18" fillId="52" borderId="0" xfId="0" applyFont="1" applyFill="1" applyAlignment="1">
      <alignment horizontal="center" vertical="center"/>
    </xf>
    <xf numFmtId="0" fontId="23" fillId="41" borderId="0" xfId="0" applyFont="1" applyFill="1" applyAlignment="1">
      <alignment horizontal="center" vertical="center"/>
    </xf>
    <xf numFmtId="0" fontId="21" fillId="50" borderId="0" xfId="0" applyFont="1" applyFill="1" applyAlignment="1">
      <alignment horizontal="center" vertical="center"/>
    </xf>
    <xf numFmtId="0" fontId="21" fillId="53" borderId="0" xfId="0" applyFont="1" applyFill="1" applyAlignment="1">
      <alignment horizontal="center" vertical="center"/>
    </xf>
    <xf numFmtId="0" fontId="40" fillId="35" borderId="0" xfId="0" applyFont="1" applyFill="1" applyAlignment="1">
      <alignment horizontal="center" vertical="center"/>
    </xf>
    <xf numFmtId="0" fontId="23" fillId="54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0" fontId="36" fillId="36" borderId="0" xfId="0" applyFont="1" applyFill="1" applyAlignment="1">
      <alignment horizontal="center" vertical="center"/>
    </xf>
    <xf numFmtId="0" fontId="23" fillId="50" borderId="0" xfId="0" applyFont="1" applyFill="1" applyAlignment="1">
      <alignment horizontal="center" vertical="center"/>
    </xf>
    <xf numFmtId="0" fontId="31" fillId="38" borderId="0" xfId="0" applyFont="1" applyFill="1" applyAlignment="1">
      <alignment horizontal="center" vertical="center"/>
    </xf>
    <xf numFmtId="165" fontId="23" fillId="35" borderId="0" xfId="0" applyNumberFormat="1" applyFont="1" applyFill="1" applyAlignment="1">
      <alignment horizontal="center" vertical="center"/>
    </xf>
    <xf numFmtId="0" fontId="23" fillId="35" borderId="0" xfId="0" applyNumberFormat="1" applyFont="1" applyFill="1" applyAlignment="1">
      <alignment horizontal="center" vertical="center"/>
    </xf>
    <xf numFmtId="165" fontId="23" fillId="33" borderId="0" xfId="0" applyNumberFormat="1" applyFont="1" applyFill="1" applyAlignment="1">
      <alignment horizontal="center" vertical="center"/>
    </xf>
    <xf numFmtId="0" fontId="52" fillId="33" borderId="0" xfId="0" applyFont="1" applyFill="1" applyAlignment="1">
      <alignment horizontal="center" vertical="center"/>
    </xf>
    <xf numFmtId="0" fontId="23" fillId="33" borderId="0" xfId="0" applyNumberFormat="1" applyFont="1" applyFill="1" applyAlignment="1">
      <alignment horizontal="center" vertical="center"/>
    </xf>
    <xf numFmtId="0" fontId="18" fillId="37" borderId="0" xfId="0" applyNumberFormat="1" applyFont="1" applyFill="1" applyAlignment="1">
      <alignment horizontal="center"/>
    </xf>
    <xf numFmtId="0" fontId="18" fillId="33" borderId="0" xfId="0" applyNumberFormat="1" applyFont="1" applyFill="1" applyAlignment="1">
      <alignment horizontal="center" vertical="center"/>
    </xf>
    <xf numFmtId="0" fontId="18" fillId="52" borderId="0" xfId="0" applyNumberFormat="1" applyFont="1" applyFill="1" applyAlignment="1">
      <alignment horizontal="center" vertical="center"/>
    </xf>
    <xf numFmtId="0" fontId="18" fillId="41" borderId="0" xfId="0" applyNumberFormat="1" applyFont="1" applyFill="1" applyAlignment="1">
      <alignment horizontal="center" vertical="center"/>
    </xf>
    <xf numFmtId="0" fontId="23" fillId="41" borderId="0" xfId="0" applyNumberFormat="1" applyFont="1" applyFill="1" applyAlignment="1">
      <alignment horizontal="center" vertical="center"/>
    </xf>
    <xf numFmtId="0" fontId="32" fillId="36" borderId="0" xfId="0" applyNumberFormat="1" applyFont="1" applyFill="1" applyAlignment="1">
      <alignment horizontal="center" vertical="center"/>
    </xf>
    <xf numFmtId="0" fontId="32" fillId="47" borderId="0" xfId="0" applyNumberFormat="1" applyFont="1" applyFill="1" applyAlignment="1">
      <alignment horizontal="center" vertical="center"/>
    </xf>
    <xf numFmtId="0" fontId="0" fillId="0" borderId="0" xfId="0" applyNumberFormat="1"/>
    <xf numFmtId="0" fontId="21" fillId="33" borderId="0" xfId="0" applyNumberFormat="1" applyFont="1" applyFill="1" applyAlignment="1">
      <alignment horizontal="center" vertical="center"/>
    </xf>
    <xf numFmtId="0" fontId="18" fillId="50" borderId="0" xfId="0" applyNumberFormat="1" applyFont="1" applyFill="1" applyAlignment="1">
      <alignment horizontal="center" vertical="center"/>
    </xf>
    <xf numFmtId="0" fontId="36" fillId="36" borderId="0" xfId="0" applyNumberFormat="1" applyFont="1" applyFill="1" applyAlignment="1">
      <alignment horizontal="center" vertical="center"/>
    </xf>
    <xf numFmtId="0" fontId="23" fillId="50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FF"/>
      <color rgb="FF0000FF"/>
      <color rgb="FF66FF99"/>
      <color rgb="FFFFCCFF"/>
      <color rgb="FF6CA644"/>
      <color rgb="FFB6F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rgbClr val="FF0000"/>
                </a:solidFill>
                <a:prstDash val="dash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FF6F663-D34E-45E3-9A70-CF22508185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265-4534-9E52-E736748D72F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683C98-58F5-4D22-9ECF-373D33A56BB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265-4534-9E52-E736748D72F1}"/>
                </c:ext>
              </c:extLst>
            </c:dLbl>
            <c:dLbl>
              <c:idx val="2"/>
              <c:layout>
                <c:manualLayout>
                  <c:x val="-2.498449376070995E-2"/>
                  <c:y val="0"/>
                </c:manualLayout>
              </c:layout>
              <c:tx>
                <c:rich>
                  <a:bodyPr/>
                  <a:lstStyle/>
                  <a:p>
                    <a:fld id="{188E2B2E-EC06-4C5E-A8D3-A4F5EBE1EC1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265-4534-9E52-E736748D72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96A4D8-CC3F-4616-BF49-2FA73A4AFE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265-4534-9E52-E736748D72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9CD95D-7023-48DB-A52D-28FE0B5DD8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265-4534-9E52-E736748D72F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5B71F6-4FF9-4B87-B5CB-4CC7C7BF51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265-4534-9E52-E736748D72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3CF5C0-0BE0-42E9-9C6B-43CBC47D906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265-4534-9E52-E736748D72F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299A87F-B38E-4A9F-8394-22B7D82DB30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265-4534-9E52-E736748D72F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8E4EC90-3457-4EDE-9816-2185D9C731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265-4534-9E52-E736748D72F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A575110-95AE-4E0A-8F48-0E31FAA9E75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265-4534-9E52-E736748D72F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518A85E-88D0-4BB4-8D50-03A7DB9631C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265-4534-9E52-E736748D72F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6464BDF-04F0-4DF1-A840-FF6CAFA8D86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265-4534-9E52-E736748D72F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8735E0A-35FB-4260-8114-F1FE8182ED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265-4534-9E52-E736748D72F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7892FA6-96B2-45F7-875C-C7983761676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265-4534-9E52-E736748D72F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5738057-A96D-4BEC-A21F-0B96E088CD1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265-4534-9E52-E736748D72F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7A67C0-EB0C-4FD3-9A14-8C3C637857E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265-4534-9E52-E736748D72F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67FDED6-73DA-46F1-9EFE-990CBC06B72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265-4534-9E52-E736748D72F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D8DA7EA-CF33-4F53-837F-CEC50D3227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265-4534-9E52-E736748D72F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3B6A63D-222B-4AF6-9E14-6FDD6A9042F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265-4534-9E52-E736748D72F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9ABE171-289F-4949-9E6A-9F48B63D549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265-4534-9E52-E736748D72F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E810494-1436-4EB6-ACF9-ACB82B63183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265-4534-9E52-E736748D72F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5504FA1-D329-4DC8-A09A-5B78718C9F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265-4534-9E52-E736748D72F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7611CE1-6C78-453E-8CDD-421E4374B7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265-4534-9E52-E736748D72F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3F59C5E-7C1D-40D1-A74E-73BDB27E044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265-4534-9E52-E736748D72F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7D3971F-7765-4ADD-851D-4E920B5D6C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265-4534-9E52-E736748D72F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B2BC244-823D-4EA1-A56F-B0C4FDEE255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265-4534-9E52-E736748D72F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2BF7BCA-9163-4269-AF35-851ED23F56C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265-4534-9E52-E736748D72F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7289D78-55EC-48A4-8457-2543AC2922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265-4534-9E52-E736748D72F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50A9354-D88D-4D54-A8EA-DB37EFC9B4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265-4534-9E52-E736748D72F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265-4534-9E52-E736748D72F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265-4534-9E52-E736748D72F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265-4534-9E52-E736748D72F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265-4534-9E52-E736748D72F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265-4534-9E52-E736748D72F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265-4534-9E52-E736748D72F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265-4534-9E52-E736748D72F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'T1'!$R$7:$R$42</c:f>
              <c:numCache>
                <c:formatCode>General</c:formatCode>
                <c:ptCount val="36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468047.28129999997</c:v>
                </c:pt>
                <c:pt idx="5">
                  <c:v>471134.78129999997</c:v>
                </c:pt>
                <c:pt idx="6">
                  <c:v>469922.28129999997</c:v>
                </c:pt>
                <c:pt idx="7">
                  <c:v>468834.78129999997</c:v>
                </c:pt>
                <c:pt idx="8">
                  <c:v>469934.78129999997</c:v>
                </c:pt>
                <c:pt idx="9">
                  <c:v>468797.28129999997</c:v>
                </c:pt>
                <c:pt idx="10">
                  <c:v>467797.28129999997</c:v>
                </c:pt>
                <c:pt idx="11">
                  <c:v>467172.28129999997</c:v>
                </c:pt>
                <c:pt idx="12">
                  <c:v>468434.78129999997</c:v>
                </c:pt>
                <c:pt idx="13">
                  <c:v>467384.78129999997</c:v>
                </c:pt>
                <c:pt idx="14">
                  <c:v>466597.28129999997</c:v>
                </c:pt>
                <c:pt idx="15">
                  <c:v>465672.28129999997</c:v>
                </c:pt>
                <c:pt idx="16">
                  <c:v>464872.28129999997</c:v>
                </c:pt>
                <c:pt idx="17">
                  <c:v>465422.28129999997</c:v>
                </c:pt>
                <c:pt idx="18">
                  <c:v>465284.78129999997</c:v>
                </c:pt>
                <c:pt idx="19">
                  <c:v>464384.78129999997</c:v>
                </c:pt>
                <c:pt idx="20">
                  <c:v>464297.28129999997</c:v>
                </c:pt>
                <c:pt idx="21">
                  <c:v>464784.78129999997</c:v>
                </c:pt>
                <c:pt idx="22">
                  <c:v>468284.78129999997</c:v>
                </c:pt>
                <c:pt idx="23">
                  <c:v>466622.28129999997</c:v>
                </c:pt>
                <c:pt idx="24">
                  <c:v>466097.28129999997</c:v>
                </c:pt>
                <c:pt idx="25">
                  <c:v>465534.78129999997</c:v>
                </c:pt>
                <c:pt idx="26">
                  <c:v>464909.78129999997</c:v>
                </c:pt>
                <c:pt idx="27">
                  <c:v>464822.28129999997</c:v>
                </c:pt>
                <c:pt idx="28">
                  <c:v>464172.28129999997</c:v>
                </c:pt>
              </c:numCache>
            </c:numRef>
          </c:xVal>
          <c:yVal>
            <c:numRef>
              <c:f>'T1'!$S$7:$S$42</c:f>
              <c:numCache>
                <c:formatCode>General</c:formatCode>
                <c:ptCount val="36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7614180.25</c:v>
                </c:pt>
                <c:pt idx="5">
                  <c:v>7613992.75</c:v>
                </c:pt>
                <c:pt idx="6">
                  <c:v>7614405.25</c:v>
                </c:pt>
                <c:pt idx="7">
                  <c:v>7614292.75</c:v>
                </c:pt>
                <c:pt idx="8">
                  <c:v>7612342.75</c:v>
                </c:pt>
                <c:pt idx="9">
                  <c:v>7612842.75</c:v>
                </c:pt>
                <c:pt idx="10">
                  <c:v>7613980.25</c:v>
                </c:pt>
                <c:pt idx="11">
                  <c:v>7613492.75</c:v>
                </c:pt>
                <c:pt idx="12">
                  <c:v>7611380.25</c:v>
                </c:pt>
                <c:pt idx="13">
                  <c:v>7612080.25</c:v>
                </c:pt>
                <c:pt idx="14">
                  <c:v>7613155.25</c:v>
                </c:pt>
                <c:pt idx="15">
                  <c:v>7613092.75</c:v>
                </c:pt>
                <c:pt idx="16">
                  <c:v>7613880.25</c:v>
                </c:pt>
                <c:pt idx="17">
                  <c:v>7612830.25</c:v>
                </c:pt>
                <c:pt idx="18">
                  <c:v>7611667.75</c:v>
                </c:pt>
                <c:pt idx="19">
                  <c:v>7611405.25</c:v>
                </c:pt>
                <c:pt idx="20">
                  <c:v>7610630.25</c:v>
                </c:pt>
                <c:pt idx="21">
                  <c:v>7609967.75</c:v>
                </c:pt>
                <c:pt idx="22">
                  <c:v>7609942.75</c:v>
                </c:pt>
                <c:pt idx="23">
                  <c:v>7609955.25</c:v>
                </c:pt>
                <c:pt idx="24">
                  <c:v>7610467.75</c:v>
                </c:pt>
                <c:pt idx="25">
                  <c:v>7610505.25</c:v>
                </c:pt>
                <c:pt idx="26">
                  <c:v>7609892.75</c:v>
                </c:pt>
                <c:pt idx="27">
                  <c:v>7609305.25</c:v>
                </c:pt>
                <c:pt idx="28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'T1'!$O$7:$O$42</c15:f>
                <c15:dlblRangeCache>
                  <c:ptCount val="3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5265-4534-9E52-E736748D7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8263616"/>
        <c:crosses val="autoZero"/>
        <c:crossBetween val="midCat"/>
      </c:valAx>
      <c:valAx>
        <c:axId val="458263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10"/>
          <c:order val="0"/>
          <c:tx>
            <c:strRef>
              <c:f>'T1'!$D$5</c:f>
              <c:strCache>
                <c:ptCount val="1"/>
                <c:pt idx="0">
                  <c:v>B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C60-4EC4-9D10-1958F74269E9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C60-4EC4-9D10-1958F74269E9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C60-4EC4-9D10-1958F74269E9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9C60-4EC4-9D10-1958F74269E9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9C60-4EC4-9D10-1958F74269E9}"/>
              </c:ext>
            </c:extLst>
          </c:dPt>
          <c:xVal>
            <c:numRef>
              <c:f>'T1'!$C$7:$C$42</c:f>
              <c:numCache>
                <c:formatCode>General</c:formatCode>
                <c:ptCount val="36"/>
                <c:pt idx="0">
                  <c:v>471134.78129999997</c:v>
                </c:pt>
                <c:pt idx="1">
                  <c:v>469922.28129999997</c:v>
                </c:pt>
                <c:pt idx="2">
                  <c:v>468834.78129999997</c:v>
                </c:pt>
                <c:pt idx="3">
                  <c:v>467509.78129999997</c:v>
                </c:pt>
                <c:pt idx="4">
                  <c:v>468059.78129999997</c:v>
                </c:pt>
                <c:pt idx="5">
                  <c:v>468334.78129999997</c:v>
                </c:pt>
                <c:pt idx="6">
                  <c:v>468397.28129999997</c:v>
                </c:pt>
                <c:pt idx="7">
                  <c:v>468047.28129999997</c:v>
                </c:pt>
                <c:pt idx="8">
                  <c:v>468834.78129999997</c:v>
                </c:pt>
                <c:pt idx="9">
                  <c:v>468047.28129999997</c:v>
                </c:pt>
                <c:pt idx="10">
                  <c:v>467797.28129999997</c:v>
                </c:pt>
                <c:pt idx="11">
                  <c:v>469934.78129999997</c:v>
                </c:pt>
                <c:pt idx="12">
                  <c:v>468797.28129999997</c:v>
                </c:pt>
                <c:pt idx="13">
                  <c:v>467797.28129999997</c:v>
                </c:pt>
                <c:pt idx="14">
                  <c:v>467172.28129999997</c:v>
                </c:pt>
                <c:pt idx="15">
                  <c:v>466597.28129999997</c:v>
                </c:pt>
                <c:pt idx="16">
                  <c:v>468434.78129999997</c:v>
                </c:pt>
                <c:pt idx="17">
                  <c:v>467384.78129999997</c:v>
                </c:pt>
                <c:pt idx="18">
                  <c:v>466597.28129999997</c:v>
                </c:pt>
                <c:pt idx="19">
                  <c:v>465672.28129999997</c:v>
                </c:pt>
                <c:pt idx="20">
                  <c:v>465422.28129999997</c:v>
                </c:pt>
                <c:pt idx="21">
                  <c:v>464872.28129999997</c:v>
                </c:pt>
                <c:pt idx="22">
                  <c:v>465422.28129999997</c:v>
                </c:pt>
                <c:pt idx="23">
                  <c:v>465284.78129999997</c:v>
                </c:pt>
                <c:pt idx="24">
                  <c:v>464384.78129999997</c:v>
                </c:pt>
                <c:pt idx="25">
                  <c:v>464297.28129999997</c:v>
                </c:pt>
                <c:pt idx="26">
                  <c:v>468284.78129999997</c:v>
                </c:pt>
                <c:pt idx="27">
                  <c:v>466622.28129999997</c:v>
                </c:pt>
                <c:pt idx="28">
                  <c:v>466097.28129999997</c:v>
                </c:pt>
                <c:pt idx="29">
                  <c:v>465534.78129999997</c:v>
                </c:pt>
                <c:pt idx="30">
                  <c:v>464909.78129999997</c:v>
                </c:pt>
                <c:pt idx="31">
                  <c:v>464822.28129999997</c:v>
                </c:pt>
                <c:pt idx="32">
                  <c:v>464297.28129999997</c:v>
                </c:pt>
                <c:pt idx="33">
                  <c:v>464784.78129999997</c:v>
                </c:pt>
                <c:pt idx="34">
                  <c:v>464822.28129999997</c:v>
                </c:pt>
                <c:pt idx="35">
                  <c:v>464172.28129999997</c:v>
                </c:pt>
              </c:numCache>
            </c:numRef>
          </c:xVal>
          <c:yVal>
            <c:numRef>
              <c:f>'T1'!$D$7:$D$42</c:f>
              <c:numCache>
                <c:formatCode>General</c:formatCode>
                <c:ptCount val="36"/>
                <c:pt idx="0">
                  <c:v>7613992.75</c:v>
                </c:pt>
                <c:pt idx="1">
                  <c:v>7614405.25</c:v>
                </c:pt>
                <c:pt idx="2">
                  <c:v>7614292.75</c:v>
                </c:pt>
                <c:pt idx="3">
                  <c:v>7616967.75</c:v>
                </c:pt>
                <c:pt idx="4">
                  <c:v>7616642.75</c:v>
                </c:pt>
                <c:pt idx="5">
                  <c:v>7615805.25</c:v>
                </c:pt>
                <c:pt idx="6">
                  <c:v>7614955.25</c:v>
                </c:pt>
                <c:pt idx="7">
                  <c:v>7614180.25</c:v>
                </c:pt>
                <c:pt idx="8">
                  <c:v>7614292.75</c:v>
                </c:pt>
                <c:pt idx="9">
                  <c:v>7614180.25</c:v>
                </c:pt>
                <c:pt idx="10">
                  <c:v>7613980.25</c:v>
                </c:pt>
                <c:pt idx="11">
                  <c:v>7612342.75</c:v>
                </c:pt>
                <c:pt idx="12">
                  <c:v>7612842.75</c:v>
                </c:pt>
                <c:pt idx="13">
                  <c:v>7613980.25</c:v>
                </c:pt>
                <c:pt idx="14">
                  <c:v>7613492.75</c:v>
                </c:pt>
                <c:pt idx="15">
                  <c:v>7613155.25</c:v>
                </c:pt>
                <c:pt idx="16">
                  <c:v>7611380.25</c:v>
                </c:pt>
                <c:pt idx="17">
                  <c:v>7612080.25</c:v>
                </c:pt>
                <c:pt idx="18">
                  <c:v>7613155.25</c:v>
                </c:pt>
                <c:pt idx="19">
                  <c:v>7613092.75</c:v>
                </c:pt>
                <c:pt idx="20">
                  <c:v>7612830.25</c:v>
                </c:pt>
                <c:pt idx="21">
                  <c:v>7613880.25</c:v>
                </c:pt>
                <c:pt idx="22">
                  <c:v>7612830.25</c:v>
                </c:pt>
                <c:pt idx="23">
                  <c:v>7611667.75</c:v>
                </c:pt>
                <c:pt idx="24">
                  <c:v>7611405.25</c:v>
                </c:pt>
                <c:pt idx="25">
                  <c:v>7610630.25</c:v>
                </c:pt>
                <c:pt idx="26">
                  <c:v>7609942.75</c:v>
                </c:pt>
                <c:pt idx="27">
                  <c:v>7609955.25</c:v>
                </c:pt>
                <c:pt idx="28">
                  <c:v>7610467.75</c:v>
                </c:pt>
                <c:pt idx="29">
                  <c:v>7610505.25</c:v>
                </c:pt>
                <c:pt idx="30">
                  <c:v>7609892.75</c:v>
                </c:pt>
                <c:pt idx="31">
                  <c:v>7609305.25</c:v>
                </c:pt>
                <c:pt idx="32">
                  <c:v>7610630.25</c:v>
                </c:pt>
                <c:pt idx="33">
                  <c:v>7609967.75</c:v>
                </c:pt>
                <c:pt idx="34">
                  <c:v>7609305.25</c:v>
                </c:pt>
                <c:pt idx="35">
                  <c:v>7607930.25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60-4EC4-9D10-1958F74269E9}"/>
            </c:ext>
          </c:extLst>
        </c:ser>
        <c:ser>
          <c:idx val="0"/>
          <c:order val="1"/>
          <c:tx>
            <c:strRef>
              <c:f>'T1'!$AU$5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4507ED6-A2C4-47A4-A95B-8C3AB157F7E6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C60-4EC4-9D10-1958F74269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00DFCF-7B6D-4241-AE0D-100F94A20A1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C60-4EC4-9D10-1958F74269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AE8387-7F2B-4583-B87A-141D856030A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C60-4EC4-9D10-1958F74269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655404-F54C-479A-AF1D-F2D21901E6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C60-4EC4-9D10-1958F74269E9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3371E9-6B8D-4D79-9A87-57E801BE0F94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208043-B398-4FFB-860F-D2C56F9D451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1ECB07-B377-423F-97E2-8A3693B4BE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CE875F-C7DE-485B-8E76-AF7AC83B15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B86A37-5F23-47CB-9965-89494710113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'T1'!$AU$7:$AU$15</c:f>
              <c:numCache>
                <c:formatCode>General</c:formatCode>
                <c:ptCount val="9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468047.28129999997</c:v>
                </c:pt>
                <c:pt idx="5">
                  <c:v>468047.28129999997</c:v>
                </c:pt>
                <c:pt idx="6">
                  <c:v>468047.28129999997</c:v>
                </c:pt>
                <c:pt idx="7">
                  <c:v>468047.28129999997</c:v>
                </c:pt>
                <c:pt idx="8">
                  <c:v>468047.28129999997</c:v>
                </c:pt>
              </c:numCache>
            </c:numRef>
          </c:xVal>
          <c:yVal>
            <c:numRef>
              <c:f>'T1'!$AU$19:$AU$27</c:f>
              <c:numCache>
                <c:formatCode>General</c:formatCode>
                <c:ptCount val="9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7614180.25</c:v>
                </c:pt>
                <c:pt idx="5">
                  <c:v>7614180.25</c:v>
                </c:pt>
                <c:pt idx="6">
                  <c:v>7614180.25</c:v>
                </c:pt>
                <c:pt idx="7">
                  <c:v>7614180.25</c:v>
                </c:pt>
                <c:pt idx="8">
                  <c:v>7614180.25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'T1'!$AJ$29:$AJ$37</c15:f>
                <c15:dlblRangeCache>
                  <c:ptCount val="9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9C60-4EC4-9D10-1958F74269E9}"/>
            </c:ext>
          </c:extLst>
        </c:ser>
        <c:ser>
          <c:idx val="1"/>
          <c:order val="2"/>
          <c:tx>
            <c:strRef>
              <c:f>'T1'!$AV$5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CAAEE2-9CFB-4B4A-B25D-9F7856D733E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C60-4EC4-9D10-1958F74269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E8104C-FAAA-4EA3-A1E9-AB51602F8C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C60-4EC4-9D10-1958F74269E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C6148CF-1378-43C3-B18A-1FF88A6C9B25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C60-4EC4-9D10-1958F74269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D828A2-39BE-416C-B80E-EFBE80BC9D2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C60-4EC4-9D10-1958F74269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2B8C1B-F2DB-4611-B0C6-913D7FCA19F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BACFB13-6668-446F-BA8D-2A2C3F8C59B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500000E-8FDD-40CE-B1B7-42D4530746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2B556B-0147-47A0-99A0-CD4F197C9E9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43F55D-8F29-4747-99D8-54354236B5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'T1'!$AV$7:$AV$15</c:f>
              <c:numCache>
                <c:formatCode>General</c:formatCode>
                <c:ptCount val="9"/>
                <c:pt idx="0">
                  <c:v>471134.78129999997</c:v>
                </c:pt>
                <c:pt idx="1">
                  <c:v>469922.28129999997</c:v>
                </c:pt>
                <c:pt idx="2">
                  <c:v>468834.78129999997</c:v>
                </c:pt>
                <c:pt idx="3">
                  <c:v>468834.78129999997</c:v>
                </c:pt>
                <c:pt idx="4">
                  <c:v>468834.78129999997</c:v>
                </c:pt>
                <c:pt idx="5">
                  <c:v>468834.78129999997</c:v>
                </c:pt>
                <c:pt idx="6">
                  <c:v>468834.78129999997</c:v>
                </c:pt>
                <c:pt idx="7">
                  <c:v>468834.78129999997</c:v>
                </c:pt>
                <c:pt idx="8">
                  <c:v>468834.78129999997</c:v>
                </c:pt>
              </c:numCache>
            </c:numRef>
          </c:xVal>
          <c:yVal>
            <c:numRef>
              <c:f>'T1'!$AV$19:$AV$27</c:f>
              <c:numCache>
                <c:formatCode>General</c:formatCode>
                <c:ptCount val="9"/>
                <c:pt idx="0">
                  <c:v>7613992.75</c:v>
                </c:pt>
                <c:pt idx="1">
                  <c:v>7614405.25</c:v>
                </c:pt>
                <c:pt idx="2">
                  <c:v>7614292.75</c:v>
                </c:pt>
                <c:pt idx="3">
                  <c:v>7614292.75</c:v>
                </c:pt>
                <c:pt idx="4">
                  <c:v>7614292.75</c:v>
                </c:pt>
                <c:pt idx="5">
                  <c:v>7614292.75</c:v>
                </c:pt>
                <c:pt idx="6">
                  <c:v>7614292.75</c:v>
                </c:pt>
                <c:pt idx="7">
                  <c:v>7614292.75</c:v>
                </c:pt>
                <c:pt idx="8">
                  <c:v>7614292.75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'T1'!$AK$29:$AK$37</c15:f>
                <c15:dlblRangeCache>
                  <c:ptCount val="9"/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F-9C60-4EC4-9D10-1958F74269E9}"/>
            </c:ext>
          </c:extLst>
        </c:ser>
        <c:ser>
          <c:idx val="2"/>
          <c:order val="3"/>
          <c:tx>
            <c:strRef>
              <c:f>'T1'!$AW$5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DC9370-828F-4839-B265-FB55A7D6057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C60-4EC4-9D10-1958F74269E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3371AC-14AB-433A-B8FA-DEEFF00C653C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C60-4EC4-9D10-1958F74269E9}"/>
                </c:ext>
              </c:extLst>
            </c:dLbl>
            <c:dLbl>
              <c:idx val="2"/>
              <c:layout>
                <c:manualLayout>
                  <c:x val="-6.3263567860469133E-2"/>
                  <c:y val="-2.62008793684464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8E09739-85D7-45A3-AC40-03DD06728A0E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9C60-4EC4-9D10-1958F74269E9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059E4B-760E-4733-8F93-17C926F63E6F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C60-4EC4-9D10-1958F74269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639B1A-9E80-467B-B958-7BAD2839BB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678C610-C1D5-4E84-A781-0D8514CAD90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5321FB-3680-49B0-BF92-412BA86E6DA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30C24F4-DDBA-49E7-BEA8-4E0B80BA25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75F64E3-FC93-47A4-B6FA-F14957D467F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'T1'!$AW$7:$AW$15</c:f>
              <c:numCache>
                <c:formatCode>General</c:formatCode>
                <c:ptCount val="9"/>
                <c:pt idx="0">
                  <c:v>469934.78129999997</c:v>
                </c:pt>
                <c:pt idx="1">
                  <c:v>468797.28129999997</c:v>
                </c:pt>
                <c:pt idx="2">
                  <c:v>467797.28129999997</c:v>
                </c:pt>
                <c:pt idx="3">
                  <c:v>467172.28129999997</c:v>
                </c:pt>
                <c:pt idx="4">
                  <c:v>467172.28129999997</c:v>
                </c:pt>
                <c:pt idx="5">
                  <c:v>467172.28129999997</c:v>
                </c:pt>
                <c:pt idx="6">
                  <c:v>467172.28129999997</c:v>
                </c:pt>
                <c:pt idx="7">
                  <c:v>467172.28129999997</c:v>
                </c:pt>
                <c:pt idx="8">
                  <c:v>467172.28129999997</c:v>
                </c:pt>
              </c:numCache>
            </c:numRef>
          </c:xVal>
          <c:yVal>
            <c:numRef>
              <c:f>'T1'!$AW$19:$AW$27</c:f>
              <c:numCache>
                <c:formatCode>General</c:formatCode>
                <c:ptCount val="9"/>
                <c:pt idx="0">
                  <c:v>7612342.75</c:v>
                </c:pt>
                <c:pt idx="1">
                  <c:v>7612842.75</c:v>
                </c:pt>
                <c:pt idx="2">
                  <c:v>7613980.25</c:v>
                </c:pt>
                <c:pt idx="3">
                  <c:v>7613492.75</c:v>
                </c:pt>
                <c:pt idx="4">
                  <c:v>7613492.75</c:v>
                </c:pt>
                <c:pt idx="5">
                  <c:v>7613492.75</c:v>
                </c:pt>
                <c:pt idx="6">
                  <c:v>7613492.75</c:v>
                </c:pt>
                <c:pt idx="7">
                  <c:v>7613492.75</c:v>
                </c:pt>
                <c:pt idx="8">
                  <c:v>7613492.75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'T1'!$AL$29:$AL$37</c15:f>
                <c15:dlblRangeCache>
                  <c:ptCount val="9"/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4-9C60-4EC4-9D10-1958F74269E9}"/>
            </c:ext>
          </c:extLst>
        </c:ser>
        <c:ser>
          <c:idx val="5"/>
          <c:order val="4"/>
          <c:tx>
            <c:strRef>
              <c:f>'T1'!$AX$5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BAF214B-ECA2-44FD-9EFF-C338BD6E63C2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C60-4EC4-9D10-1958F74269E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8E644B-FC0F-4409-985A-E5163537A36E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C60-4EC4-9D10-1958F74269E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1634F8-AA7D-468D-B8AC-AC1AA77E3BA5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C60-4EC4-9D10-1958F74269E9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DAE263-74CE-4A6F-A0F4-B5F51A9BB7D5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C60-4EC4-9D10-1958F74269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CE0A5FA-F0EC-42F7-BA16-FB3E1AC4AB3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8F6839-39FF-4A08-B4F8-6887F7536C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F1A1C4-886D-41A1-B647-81819313606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684FA5B-069B-407B-A8BA-A5695CFE3EF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F7C72B1-F7D3-4131-9DA9-11F727757A6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'T1'!$AX$7:$AX$15</c:f>
              <c:numCache>
                <c:formatCode>General</c:formatCode>
                <c:ptCount val="9"/>
                <c:pt idx="0">
                  <c:v>468434.78129999997</c:v>
                </c:pt>
                <c:pt idx="1">
                  <c:v>467384.78129999997</c:v>
                </c:pt>
                <c:pt idx="2">
                  <c:v>466597.28129999997</c:v>
                </c:pt>
                <c:pt idx="3">
                  <c:v>465672.28129999997</c:v>
                </c:pt>
                <c:pt idx="4">
                  <c:v>465672.28129999997</c:v>
                </c:pt>
                <c:pt idx="5">
                  <c:v>465672.28129999997</c:v>
                </c:pt>
                <c:pt idx="6">
                  <c:v>465672.28129999997</c:v>
                </c:pt>
                <c:pt idx="7">
                  <c:v>465672.28129999997</c:v>
                </c:pt>
                <c:pt idx="8">
                  <c:v>465672.28129999997</c:v>
                </c:pt>
              </c:numCache>
            </c:numRef>
          </c:xVal>
          <c:yVal>
            <c:numRef>
              <c:f>'T1'!$AX$19:$AX$27</c:f>
              <c:numCache>
                <c:formatCode>General</c:formatCode>
                <c:ptCount val="9"/>
                <c:pt idx="0">
                  <c:v>7611380.25</c:v>
                </c:pt>
                <c:pt idx="1">
                  <c:v>7612080.25</c:v>
                </c:pt>
                <c:pt idx="2">
                  <c:v>7613155.25</c:v>
                </c:pt>
                <c:pt idx="3">
                  <c:v>7613092.75</c:v>
                </c:pt>
                <c:pt idx="4">
                  <c:v>7613092.75</c:v>
                </c:pt>
                <c:pt idx="5">
                  <c:v>7613092.75</c:v>
                </c:pt>
                <c:pt idx="6">
                  <c:v>7613092.75</c:v>
                </c:pt>
                <c:pt idx="7">
                  <c:v>7613092.75</c:v>
                </c:pt>
                <c:pt idx="8">
                  <c:v>7613092.75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'T1'!$AM$29:$AM$37</c15:f>
                <c15:dlblRangeCache>
                  <c:ptCount val="9"/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9-9C60-4EC4-9D10-1958F74269E9}"/>
            </c:ext>
          </c:extLst>
        </c:ser>
        <c:ser>
          <c:idx val="6"/>
          <c:order val="5"/>
          <c:tx>
            <c:strRef>
              <c:f>'T1'!$AY$5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562F9A-E6BD-4E85-B513-C54A092037A9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C60-4EC4-9D10-1958F74269E9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8183E2-E53F-4164-A026-8CFED6A71347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C60-4EC4-9D10-1958F74269E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F9EBE88-03F5-45AA-A085-CB092E9EAED7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9C60-4EC4-9D10-1958F74269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B0F358-D889-4FA1-9C8C-9064F2EBD74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9C60-4EC4-9D10-1958F74269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AB9A41-C92E-4C25-BA59-28DC2163EB9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9C60-4EC4-9D10-1958F74269E9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1B03BAA-149A-41EE-B4AF-08C646233BAC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D912CE3-93A1-4937-AA70-6004B2C2EC2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AD4E1E4-7396-4AF4-855C-3E79C3B954C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85B3CE1-3F97-40D5-9688-D9FF48EE28C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'T1'!$AY$7:$AY$15</c:f>
              <c:numCache>
                <c:formatCode>General</c:formatCode>
                <c:ptCount val="9"/>
                <c:pt idx="0">
                  <c:v>464872.28129999997</c:v>
                </c:pt>
                <c:pt idx="1">
                  <c:v>465422.28129999997</c:v>
                </c:pt>
                <c:pt idx="2">
                  <c:v>465284.78129999997</c:v>
                </c:pt>
                <c:pt idx="3">
                  <c:v>464384.78129999997</c:v>
                </c:pt>
                <c:pt idx="4">
                  <c:v>464297.28129999997</c:v>
                </c:pt>
                <c:pt idx="5">
                  <c:v>464784.78129999997</c:v>
                </c:pt>
                <c:pt idx="6">
                  <c:v>464784.78129999997</c:v>
                </c:pt>
                <c:pt idx="7">
                  <c:v>464784.78129999997</c:v>
                </c:pt>
                <c:pt idx="8">
                  <c:v>464784.78129999997</c:v>
                </c:pt>
              </c:numCache>
            </c:numRef>
          </c:xVal>
          <c:yVal>
            <c:numRef>
              <c:f>'T1'!$AY$19:$AY$27</c:f>
              <c:numCache>
                <c:formatCode>General</c:formatCode>
                <c:ptCount val="9"/>
                <c:pt idx="0">
                  <c:v>7613880.25</c:v>
                </c:pt>
                <c:pt idx="1">
                  <c:v>7612830.25</c:v>
                </c:pt>
                <c:pt idx="2">
                  <c:v>7611667.75</c:v>
                </c:pt>
                <c:pt idx="3">
                  <c:v>7611405.25</c:v>
                </c:pt>
                <c:pt idx="4">
                  <c:v>7610630.25</c:v>
                </c:pt>
                <c:pt idx="5">
                  <c:v>7609967.75</c:v>
                </c:pt>
                <c:pt idx="6">
                  <c:v>7609967.75</c:v>
                </c:pt>
                <c:pt idx="7">
                  <c:v>7609967.75</c:v>
                </c:pt>
                <c:pt idx="8">
                  <c:v>7609967.75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'T1'!$AN$29:$AN$38</c15:f>
                <c15:dlblRangeCache>
                  <c:ptCount val="10"/>
                  <c:pt idx="0">
                    <c:v>16</c:v>
                  </c:pt>
                  <c:pt idx="1">
                    <c:v>17</c:v>
                  </c:pt>
                  <c:pt idx="2">
                    <c:v>18</c:v>
                  </c:pt>
                  <c:pt idx="3">
                    <c:v>19</c:v>
                  </c:pt>
                  <c:pt idx="4">
                    <c:v>20</c:v>
                  </c:pt>
                  <c:pt idx="5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BE-9C60-4EC4-9D10-1958F74269E9}"/>
            </c:ext>
          </c:extLst>
        </c:ser>
        <c:ser>
          <c:idx val="7"/>
          <c:order val="6"/>
          <c:tx>
            <c:strRef>
              <c:f>'T1'!$AZ$5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4E9983-3444-4000-A5E3-B60E89BA3124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9C60-4EC4-9D10-1958F74269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4C13F5-391F-4881-B4DE-62F1F4A99E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9C60-4EC4-9D10-1958F74269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01A942-90ED-4C55-9E0F-4DBE32C2BC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9C60-4EC4-9D10-1958F74269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BAF690-12C9-4218-A98F-54E653A8AED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9C60-4EC4-9D10-1958F74269E9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554238-F676-4313-8485-0F5E64B3E154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CC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CC4E36-FA03-42DF-8360-23A372D95AF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8A5162-BC36-470A-AA54-1C2E0DC81F2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21B7F8-BF3D-4509-8A8D-33C9F585DA2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5BDFB59-FB63-41B5-94C4-E587ED20E8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9C60-4EC4-9D10-1958F74269E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'T1'!$AZ$7:$AZ$15</c:f>
              <c:numCache>
                <c:formatCode>General</c:formatCode>
                <c:ptCount val="9"/>
                <c:pt idx="0">
                  <c:v>468284.78129999997</c:v>
                </c:pt>
                <c:pt idx="1">
                  <c:v>466622.28129999997</c:v>
                </c:pt>
                <c:pt idx="2">
                  <c:v>466097.28129999997</c:v>
                </c:pt>
                <c:pt idx="3">
                  <c:v>465534.78129999997</c:v>
                </c:pt>
                <c:pt idx="4">
                  <c:v>464909.78129999997</c:v>
                </c:pt>
                <c:pt idx="5">
                  <c:v>464909.78129999997</c:v>
                </c:pt>
                <c:pt idx="6">
                  <c:v>464909.78129999997</c:v>
                </c:pt>
                <c:pt idx="7">
                  <c:v>464909.78129999997</c:v>
                </c:pt>
                <c:pt idx="8">
                  <c:v>464909.78129999997</c:v>
                </c:pt>
              </c:numCache>
            </c:numRef>
          </c:xVal>
          <c:yVal>
            <c:numRef>
              <c:f>'T1'!$AZ$19:$AZ$27</c:f>
              <c:numCache>
                <c:formatCode>General</c:formatCode>
                <c:ptCount val="9"/>
                <c:pt idx="0">
                  <c:v>7609942.75</c:v>
                </c:pt>
                <c:pt idx="1">
                  <c:v>7609955.25</c:v>
                </c:pt>
                <c:pt idx="2">
                  <c:v>7610467.75</c:v>
                </c:pt>
                <c:pt idx="3">
                  <c:v>7610505.25</c:v>
                </c:pt>
                <c:pt idx="4">
                  <c:v>7609892.75</c:v>
                </c:pt>
                <c:pt idx="5">
                  <c:v>7609892.75</c:v>
                </c:pt>
                <c:pt idx="6">
                  <c:v>7609892.75</c:v>
                </c:pt>
                <c:pt idx="7">
                  <c:v>7609892.75</c:v>
                </c:pt>
                <c:pt idx="8">
                  <c:v>7609892.75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'T1'!$AO$29:$AO$37</c15:f>
                <c15:dlblRangeCache>
                  <c:ptCount val="9"/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3-9C60-4EC4-9D10-1958F74269E9}"/>
            </c:ext>
          </c:extLst>
        </c:ser>
        <c:ser>
          <c:idx val="8"/>
          <c:order val="7"/>
          <c:tx>
            <c:strRef>
              <c:f>'T1'!$BA$5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94F5B9-7C70-4E20-9177-2FA04044EEB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B6FCB8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9C60-4EC4-9D10-1958F74269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29EF72-64B0-4545-8F31-1F7757C82D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9C60-4EC4-9D10-1958F74269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88C6AD-FFF8-4C34-BE86-42046D2A1F1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9C60-4EC4-9D10-1958F74269E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8DD886-C964-4F4F-9112-83A62BF3C77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9C60-4EC4-9D10-1958F74269E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D67AF5-1C7C-4D8B-9F2A-8413145C60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9C60-4EC4-9D10-1958F74269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88BE9E2-E53A-412B-8852-BB23966792E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9C60-4EC4-9D10-1958F74269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4AF6553-1251-4FBF-A6BD-4D40FCF3CE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9C60-4EC4-9D10-1958F74269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63F3928-9907-489D-BD4F-AF2D5C6433C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9C60-4EC4-9D10-1958F74269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66FAB6-BD4A-4289-9F6F-6B4222B322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9C60-4EC4-9D10-1958F74269E9}"/>
                </c:ext>
              </c:extLst>
            </c:dLbl>
            <c:spPr>
              <a:solidFill>
                <a:srgbClr val="FFCC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'T1'!$BA$7:$BA$15</c:f>
              <c:numCache>
                <c:formatCode>General</c:formatCode>
                <c:ptCount val="9"/>
                <c:pt idx="0">
                  <c:v>464822.28129999997</c:v>
                </c:pt>
                <c:pt idx="1">
                  <c:v>464172.28129999997</c:v>
                </c:pt>
                <c:pt idx="2">
                  <c:v>464172.28129999997</c:v>
                </c:pt>
                <c:pt idx="3">
                  <c:v>464172.28129999997</c:v>
                </c:pt>
                <c:pt idx="4">
                  <c:v>464172.28129999997</c:v>
                </c:pt>
                <c:pt idx="5">
                  <c:v>464172.28129999997</c:v>
                </c:pt>
                <c:pt idx="6">
                  <c:v>464172.28129999997</c:v>
                </c:pt>
                <c:pt idx="7">
                  <c:v>464172.28129999997</c:v>
                </c:pt>
                <c:pt idx="8">
                  <c:v>464172.28129999997</c:v>
                </c:pt>
              </c:numCache>
            </c:numRef>
          </c:xVal>
          <c:yVal>
            <c:numRef>
              <c:f>'T1'!$BA$19:$BA$27</c:f>
              <c:numCache>
                <c:formatCode>General</c:formatCode>
                <c:ptCount val="9"/>
                <c:pt idx="0">
                  <c:v>7609305.25</c:v>
                </c:pt>
                <c:pt idx="1">
                  <c:v>7607930.25</c:v>
                </c:pt>
                <c:pt idx="2">
                  <c:v>7607930.25</c:v>
                </c:pt>
                <c:pt idx="3">
                  <c:v>7607930.25</c:v>
                </c:pt>
                <c:pt idx="4">
                  <c:v>7607930.25</c:v>
                </c:pt>
                <c:pt idx="5">
                  <c:v>7607930.25</c:v>
                </c:pt>
                <c:pt idx="6">
                  <c:v>7607930.25</c:v>
                </c:pt>
                <c:pt idx="7">
                  <c:v>7607930.25</c:v>
                </c:pt>
                <c:pt idx="8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'T1'!$AP$29:$AP$37</c15:f>
                <c15:dlblRangeCache>
                  <c:ptCount val="9"/>
                  <c:pt idx="0">
                    <c:v>27</c:v>
                  </c:pt>
                  <c:pt idx="1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08-9C60-4EC4-9D10-1958F742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203115739564811"/>
          <c:y val="0.92960513693111368"/>
          <c:w val="0.76796884260435183"/>
          <c:h val="6.7804116449269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A289073-7CD5-4B01-AF03-ADE9D75A890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D5-4680-BADC-700D57B594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72812C-F29E-4E96-83CE-AA3A513640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D5-4680-BADC-700D57B594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8FA510-62E7-4960-81B6-2EDC578BB5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7D5-4680-BADC-700D57B594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E3378B-F9D3-4B31-89FB-F823A2966B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7D5-4680-BADC-700D57B5941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A9F592-B53E-454A-A302-D591F66E02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D5-4680-BADC-700D57B5941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BFEA1E-E2FA-45D6-80E0-2C3F1BCAFB9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D5-4680-BADC-700D57B5941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F78FFE-0488-4FD8-AD57-F9D87CC1344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D5-4680-BADC-700D57B5941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1280A94-FC82-49A6-BDE4-A26C4C4A6B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D5-4680-BADC-700D57B5941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C72379-09EB-4C8D-B2E1-48C6268CC9F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D5-4680-BADC-700D57B5941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91E03C-85BE-4F66-910C-EDD52ECB84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D5-4680-BADC-700D57B5941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DEE03F-0BF0-4CAC-98B1-FB1C1B052BF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D5-4680-BADC-700D57B5941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D402329-58B7-48C7-A7C6-656D5304F23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7D5-4680-BADC-700D57B5941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64A144D-A8B0-48AA-87C3-5FFF764C40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7D5-4680-BADC-700D57B594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954ADB3-F38B-460B-A460-00BB4AF6F0D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7D5-4680-BADC-700D57B5941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59729B4-F434-4696-AFEF-BE45999116A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7D5-4680-BADC-700D57B5941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49BCEBC-DF24-4797-A44D-818427DEB9C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7D5-4680-BADC-700D57B5941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C014789-4892-4F9D-B374-3116815CC52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7D5-4680-BADC-700D57B5941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22F81FA-DC99-4250-BAF1-59C38BA1D14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7D5-4680-BADC-700D57B5941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CCE741C-9CBB-4426-B4BC-0ECB5730F19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7D5-4680-BADC-700D57B5941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9E309A2-F06A-4BF7-B0E7-504A52E062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7D5-4680-BADC-700D57B5941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6A3C634-0107-4273-A443-6C57EB84457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7D5-4680-BADC-700D57B5941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2CAD4AE-7621-4951-9659-82E20D6EA9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7D5-4680-BADC-700D57B5941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411744E-D701-4AC3-BB09-2BAB460DAB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7D5-4680-BADC-700D57B5941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D28BAE8-1D00-4C41-8E4B-091A8C847B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7D5-4680-BADC-700D57B5941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05AC5D3-24CC-4049-96F4-2DC38B6D9BB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7D5-4680-BADC-700D57B5941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2FFF95C-79EF-4AA5-B030-BB6E86CAE1A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7D5-4680-BADC-700D57B5941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973C6C6-CD17-4831-A087-6D1690A1816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7D5-4680-BADC-700D57B5941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5292619-E93B-422C-B4D6-C0458B0C6A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7D5-4680-BADC-700D57B5941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0DD340D-784F-4FE0-8D8A-D364A21E5B0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7D5-4680-BADC-700D57B59418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strRef>
              <c:f>'T1'!$O$7:$O$42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xVal>
          <c:yVal>
            <c:numRef>
              <c:f>'T1'!$V$7:$V$42</c:f>
              <c:numCache>
                <c:formatCode>General</c:formatCode>
                <c:ptCount val="36"/>
                <c:pt idx="0">
                  <c:v>989</c:v>
                </c:pt>
                <c:pt idx="1">
                  <c:v>961</c:v>
                </c:pt>
                <c:pt idx="2">
                  <c:v>937</c:v>
                </c:pt>
                <c:pt idx="3">
                  <c:v>903</c:v>
                </c:pt>
                <c:pt idx="4">
                  <c:v>889</c:v>
                </c:pt>
                <c:pt idx="5">
                  <c:v>1001</c:v>
                </c:pt>
                <c:pt idx="6">
                  <c:v>976</c:v>
                </c:pt>
                <c:pt idx="7">
                  <c:v>907</c:v>
                </c:pt>
                <c:pt idx="8">
                  <c:v>969</c:v>
                </c:pt>
                <c:pt idx="9">
                  <c:v>911</c:v>
                </c:pt>
                <c:pt idx="10">
                  <c:v>888</c:v>
                </c:pt>
                <c:pt idx="11">
                  <c:v>880</c:v>
                </c:pt>
                <c:pt idx="12">
                  <c:v>911</c:v>
                </c:pt>
                <c:pt idx="13">
                  <c:v>896</c:v>
                </c:pt>
                <c:pt idx="14">
                  <c:v>880</c:v>
                </c:pt>
                <c:pt idx="15">
                  <c:v>880</c:v>
                </c:pt>
                <c:pt idx="16">
                  <c:v>890</c:v>
                </c:pt>
                <c:pt idx="17">
                  <c:v>877</c:v>
                </c:pt>
                <c:pt idx="18">
                  <c:v>863</c:v>
                </c:pt>
                <c:pt idx="19">
                  <c:v>854</c:v>
                </c:pt>
                <c:pt idx="20">
                  <c:v>847</c:v>
                </c:pt>
                <c:pt idx="21">
                  <c:v>844</c:v>
                </c:pt>
                <c:pt idx="22">
                  <c:v>928</c:v>
                </c:pt>
                <c:pt idx="23">
                  <c:v>895</c:v>
                </c:pt>
                <c:pt idx="24">
                  <c:v>865</c:v>
                </c:pt>
                <c:pt idx="25">
                  <c:v>856</c:v>
                </c:pt>
                <c:pt idx="26">
                  <c:v>844</c:v>
                </c:pt>
                <c:pt idx="27">
                  <c:v>846</c:v>
                </c:pt>
                <c:pt idx="28">
                  <c:v>842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'T1'!$Y$7:$Y$42</c15:f>
                <c15:dlblRangeCache>
                  <c:ptCount val="36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57D5-4680-BADC-700D57B5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609231"/>
        <c:axId val="1753610191"/>
      </c:scatterChart>
      <c:valAx>
        <c:axId val="175360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10191"/>
        <c:crosses val="autoZero"/>
        <c:crossBetween val="midCat"/>
      </c:valAx>
      <c:valAx>
        <c:axId val="17536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0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9803972051175E-2"/>
          <c:y val="3.15871186693686E-2"/>
          <c:w val="0.89884957840760382"/>
          <c:h val="0.93617785635184236"/>
        </c:manualLayout>
      </c:layout>
      <c:scatterChart>
        <c:scatterStyle val="lineMarker"/>
        <c:varyColors val="0"/>
        <c:ser>
          <c:idx val="10"/>
          <c:order val="0"/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0DD-4FD1-A7C4-F554C984214D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0DD-4FD1-A7C4-F554C984214D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60DD-4FD1-A7C4-F554C984214D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60DD-4FD1-A7C4-F554C984214D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60DD-4FD1-A7C4-F554C984214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D87C697-D2B5-480F-9F07-6C4EAD40452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0DD-4FD1-A7C4-F554C98421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B338B73-7A39-4E01-8353-07B2DFC170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0DD-4FD1-A7C4-F554C98421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1E2C42-C558-4169-B261-B05AA70626F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0DD-4FD1-A7C4-F554C98421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5D4CFA-8D4B-48EE-B334-ACE167EC2E1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0DD-4FD1-A7C4-F554C98421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102B3A-FEAD-4BF0-B5BB-8BCC95BBD89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0DD-4FD1-A7C4-F554C98421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A20039-A395-4A95-8F64-E12E65F98A4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0DD-4FD1-A7C4-F554C984214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7C08336-24F2-415F-AEE8-496409A631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0DD-4FD1-A7C4-F554C98421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A3F890-6311-4503-85ED-DED7EC985BB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0DD-4FD1-A7C4-F554C984214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2B7754-C0F4-401A-9618-A9C8E77865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0DD-4FD1-A7C4-F554C98421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A33366-2880-4339-BD45-BD592BA9222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0DD-4FD1-A7C4-F554C984214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4926CB4-3D99-4E3A-8848-263E0E2AC85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0DD-4FD1-A7C4-F554C98421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5EE111-81D3-4992-B2B7-801C012DAD6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0DD-4FD1-A7C4-F554C984214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959081-E88E-4593-8602-2D064F6476E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0DD-4FD1-A7C4-F554C98421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E90A51B-F641-4D6C-BF16-3E745FA66A0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0DD-4FD1-A7C4-F554C98421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3120C12-380C-4B77-8A7E-C24A1F6CA45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0DD-4FD1-A7C4-F554C984214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9DD3D25-00F8-40D4-8379-CC44056F47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0DD-4FD1-A7C4-F554C98421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9D514F7-A094-4C3A-AFEC-872AEEAD4E2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0DD-4FD1-A7C4-F554C984214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B6B00A0-B630-4660-A7C5-62200F5D40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0DD-4FD1-A7C4-F554C98421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1A0FD84-1981-4A77-BB9F-1DCEB4D6D7D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0DD-4FD1-A7C4-F554C984214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1A4DBF5-B8FE-48E8-B068-811E9D4AD13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0DD-4FD1-A7C4-F554C98421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795E59A-EDDE-4F0D-8CB5-D5C5F4F470A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0DD-4FD1-A7C4-F554C98421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8B094D7-785D-4D9C-B71E-BD12E4A89BB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0DD-4FD1-A7C4-F554C98421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37B541C-6871-4733-A80D-2F348DB8408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0DD-4FD1-A7C4-F554C984214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2FEE75D-7376-4B03-8A9B-0EDD839F67C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0DD-4FD1-A7C4-F554C984214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C2BE75B-8A6F-4F3C-A92B-D79F3F9A379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0DD-4FD1-A7C4-F554C984214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3ACCA6C-2305-47F2-95A4-80ACB068E6B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0DD-4FD1-A7C4-F554C984214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E49D25C-CA54-444B-A5D5-A7027D7945D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0DD-4FD1-A7C4-F554C984214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0A53C6B-A84F-4293-B4BC-CE3C3869209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0DD-4FD1-A7C4-F554C984214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0166334-2148-4A95-94B6-53ECE805EEA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0DD-4FD1-A7C4-F554C98421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0DD-4FD1-A7C4-F554C984214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0DD-4FD1-A7C4-F554C984214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0DD-4FD1-A7C4-F554C984214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0DD-4FD1-A7C4-F554C984214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0DD-4FD1-A7C4-F554C984214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0DD-4FD1-A7C4-F554C984214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0DD-4FD1-A7C4-F554C98421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T4d!$R$7:$R$42</c:f>
              <c:numCache>
                <c:formatCode>General</c:formatCode>
                <c:ptCount val="36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471134.78129999997</c:v>
                </c:pt>
                <c:pt idx="5">
                  <c:v>469922.28129999997</c:v>
                </c:pt>
                <c:pt idx="6">
                  <c:v>468834.78129999997</c:v>
                </c:pt>
                <c:pt idx="7">
                  <c:v>468047.28129999997</c:v>
                </c:pt>
                <c:pt idx="8">
                  <c:v>469934.78129999997</c:v>
                </c:pt>
                <c:pt idx="9">
                  <c:v>468797.28129999997</c:v>
                </c:pt>
                <c:pt idx="10">
                  <c:v>467797.28129999997</c:v>
                </c:pt>
                <c:pt idx="11">
                  <c:v>467172.28129999997</c:v>
                </c:pt>
                <c:pt idx="12">
                  <c:v>468434.78129999997</c:v>
                </c:pt>
                <c:pt idx="13">
                  <c:v>467384.78129999997</c:v>
                </c:pt>
                <c:pt idx="14">
                  <c:v>466597.28129999997</c:v>
                </c:pt>
                <c:pt idx="15">
                  <c:v>465672.28129999997</c:v>
                </c:pt>
                <c:pt idx="16">
                  <c:v>464872.28129999997</c:v>
                </c:pt>
                <c:pt idx="17">
                  <c:v>465422.28129999997</c:v>
                </c:pt>
                <c:pt idx="18">
                  <c:v>465284.78129999997</c:v>
                </c:pt>
                <c:pt idx="19">
                  <c:v>464384.78129999997</c:v>
                </c:pt>
                <c:pt idx="20">
                  <c:v>464297.28129999997</c:v>
                </c:pt>
                <c:pt idx="21">
                  <c:v>464784.78129999997</c:v>
                </c:pt>
                <c:pt idx="22">
                  <c:v>468284.78129999997</c:v>
                </c:pt>
                <c:pt idx="23">
                  <c:v>466622.28129999997</c:v>
                </c:pt>
                <c:pt idx="24">
                  <c:v>466097.28129999997</c:v>
                </c:pt>
                <c:pt idx="25">
                  <c:v>465534.78129999997</c:v>
                </c:pt>
                <c:pt idx="26">
                  <c:v>464909.78129999997</c:v>
                </c:pt>
                <c:pt idx="27">
                  <c:v>464822.28129999997</c:v>
                </c:pt>
                <c:pt idx="28">
                  <c:v>464172.28129999997</c:v>
                </c:pt>
              </c:numCache>
            </c:numRef>
          </c:xVal>
          <c:yVal>
            <c:numRef>
              <c:f>T4d!$S$7:$S$42</c:f>
              <c:numCache>
                <c:formatCode>General</c:formatCode>
                <c:ptCount val="36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7613992.75</c:v>
                </c:pt>
                <c:pt idx="5">
                  <c:v>7614405.25</c:v>
                </c:pt>
                <c:pt idx="6">
                  <c:v>7614292.75</c:v>
                </c:pt>
                <c:pt idx="7">
                  <c:v>7614180.25</c:v>
                </c:pt>
                <c:pt idx="8">
                  <c:v>7612342.75</c:v>
                </c:pt>
                <c:pt idx="9">
                  <c:v>7612842.75</c:v>
                </c:pt>
                <c:pt idx="10">
                  <c:v>7613980.25</c:v>
                </c:pt>
                <c:pt idx="11">
                  <c:v>7613492.75</c:v>
                </c:pt>
                <c:pt idx="12">
                  <c:v>7611380.25</c:v>
                </c:pt>
                <c:pt idx="13">
                  <c:v>7612080.25</c:v>
                </c:pt>
                <c:pt idx="14">
                  <c:v>7613155.25</c:v>
                </c:pt>
                <c:pt idx="15">
                  <c:v>7613092.75</c:v>
                </c:pt>
                <c:pt idx="16">
                  <c:v>7613880.25</c:v>
                </c:pt>
                <c:pt idx="17">
                  <c:v>7612830.25</c:v>
                </c:pt>
                <c:pt idx="18">
                  <c:v>7611667.75</c:v>
                </c:pt>
                <c:pt idx="19">
                  <c:v>7611405.25</c:v>
                </c:pt>
                <c:pt idx="20">
                  <c:v>7610630.25</c:v>
                </c:pt>
                <c:pt idx="21">
                  <c:v>7609967.75</c:v>
                </c:pt>
                <c:pt idx="22">
                  <c:v>7609942.75</c:v>
                </c:pt>
                <c:pt idx="23">
                  <c:v>7609955.25</c:v>
                </c:pt>
                <c:pt idx="24">
                  <c:v>7610467.75</c:v>
                </c:pt>
                <c:pt idx="25">
                  <c:v>7610505.25</c:v>
                </c:pt>
                <c:pt idx="26">
                  <c:v>7609892.75</c:v>
                </c:pt>
                <c:pt idx="27">
                  <c:v>7609305.25</c:v>
                </c:pt>
                <c:pt idx="28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T4d!$O$7:$O$42</c15:f>
                <c15:dlblRangeCache>
                  <c:ptCount val="3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60DD-4FD1-A7C4-F554C984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layout>
        <c:manualLayout>
          <c:xMode val="edge"/>
          <c:yMode val="edge"/>
          <c:x val="0.92341214310651198"/>
          <c:y val="2.9121132972695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3.6694051905900735E-2"/>
          <c:y val="2.7183670402142084E-2"/>
          <c:w val="0.94429307167449805"/>
          <c:h val="0.94954830803953949"/>
        </c:manualLayout>
      </c:layout>
      <c:scatterChart>
        <c:scatterStyle val="lineMarker"/>
        <c:varyColors val="0"/>
        <c:ser>
          <c:idx val="10"/>
          <c:order val="0"/>
          <c:tx>
            <c:strRef>
              <c:f>T4d!$AH$4</c:f>
              <c:strCache>
                <c:ptCount val="1"/>
                <c:pt idx="0">
                  <c:v>B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T4d!$R$7:$R$42</c:f>
              <c:numCache>
                <c:formatCode>General</c:formatCode>
                <c:ptCount val="36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471134.78129999997</c:v>
                </c:pt>
                <c:pt idx="5">
                  <c:v>469922.28129999997</c:v>
                </c:pt>
                <c:pt idx="6">
                  <c:v>468834.78129999997</c:v>
                </c:pt>
                <c:pt idx="7">
                  <c:v>468047.28129999997</c:v>
                </c:pt>
                <c:pt idx="8">
                  <c:v>469934.78129999997</c:v>
                </c:pt>
                <c:pt idx="9">
                  <c:v>468797.28129999997</c:v>
                </c:pt>
                <c:pt idx="10">
                  <c:v>467797.28129999997</c:v>
                </c:pt>
                <c:pt idx="11">
                  <c:v>467172.28129999997</c:v>
                </c:pt>
                <c:pt idx="12">
                  <c:v>468434.78129999997</c:v>
                </c:pt>
                <c:pt idx="13">
                  <c:v>467384.78129999997</c:v>
                </c:pt>
                <c:pt idx="14">
                  <c:v>466597.28129999997</c:v>
                </c:pt>
                <c:pt idx="15">
                  <c:v>465672.28129999997</c:v>
                </c:pt>
                <c:pt idx="16">
                  <c:v>464872.28129999997</c:v>
                </c:pt>
                <c:pt idx="17">
                  <c:v>465422.28129999997</c:v>
                </c:pt>
                <c:pt idx="18">
                  <c:v>465284.78129999997</c:v>
                </c:pt>
                <c:pt idx="19">
                  <c:v>464384.78129999997</c:v>
                </c:pt>
                <c:pt idx="20">
                  <c:v>464297.28129999997</c:v>
                </c:pt>
                <c:pt idx="21">
                  <c:v>464784.78129999997</c:v>
                </c:pt>
                <c:pt idx="22">
                  <c:v>468284.78129999997</c:v>
                </c:pt>
                <c:pt idx="23">
                  <c:v>466622.28129999997</c:v>
                </c:pt>
                <c:pt idx="24">
                  <c:v>466097.28129999997</c:v>
                </c:pt>
                <c:pt idx="25">
                  <c:v>465534.78129999997</c:v>
                </c:pt>
                <c:pt idx="26">
                  <c:v>464909.78129999997</c:v>
                </c:pt>
                <c:pt idx="27">
                  <c:v>464822.28129999997</c:v>
                </c:pt>
                <c:pt idx="28">
                  <c:v>464172.28129999997</c:v>
                </c:pt>
              </c:numCache>
            </c:numRef>
          </c:xVal>
          <c:yVal>
            <c:numRef>
              <c:f>T4d!$S$7:$S$42</c:f>
              <c:numCache>
                <c:formatCode>General</c:formatCode>
                <c:ptCount val="36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7613992.75</c:v>
                </c:pt>
                <c:pt idx="5">
                  <c:v>7614405.25</c:v>
                </c:pt>
                <c:pt idx="6">
                  <c:v>7614292.75</c:v>
                </c:pt>
                <c:pt idx="7">
                  <c:v>7614180.25</c:v>
                </c:pt>
                <c:pt idx="8">
                  <c:v>7612342.75</c:v>
                </c:pt>
                <c:pt idx="9">
                  <c:v>7612842.75</c:v>
                </c:pt>
                <c:pt idx="10">
                  <c:v>7613980.25</c:v>
                </c:pt>
                <c:pt idx="11">
                  <c:v>7613492.75</c:v>
                </c:pt>
                <c:pt idx="12">
                  <c:v>7611380.25</c:v>
                </c:pt>
                <c:pt idx="13">
                  <c:v>7612080.25</c:v>
                </c:pt>
                <c:pt idx="14">
                  <c:v>7613155.25</c:v>
                </c:pt>
                <c:pt idx="15">
                  <c:v>7613092.75</c:v>
                </c:pt>
                <c:pt idx="16">
                  <c:v>7613880.25</c:v>
                </c:pt>
                <c:pt idx="17">
                  <c:v>7612830.25</c:v>
                </c:pt>
                <c:pt idx="18">
                  <c:v>7611667.75</c:v>
                </c:pt>
                <c:pt idx="19">
                  <c:v>7611405.25</c:v>
                </c:pt>
                <c:pt idx="20">
                  <c:v>7610630.25</c:v>
                </c:pt>
                <c:pt idx="21">
                  <c:v>7609967.75</c:v>
                </c:pt>
                <c:pt idx="22">
                  <c:v>7609942.75</c:v>
                </c:pt>
                <c:pt idx="23">
                  <c:v>7609955.25</c:v>
                </c:pt>
                <c:pt idx="24">
                  <c:v>7610467.75</c:v>
                </c:pt>
                <c:pt idx="25">
                  <c:v>7610505.25</c:v>
                </c:pt>
                <c:pt idx="26">
                  <c:v>7609892.75</c:v>
                </c:pt>
                <c:pt idx="27">
                  <c:v>7609305.25</c:v>
                </c:pt>
                <c:pt idx="28">
                  <c:v>7607930.25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5-4F84-83A9-CC6ACC56A4FA}"/>
            </c:ext>
          </c:extLst>
        </c:ser>
        <c:ser>
          <c:idx val="0"/>
          <c:order val="1"/>
          <c:tx>
            <c:strRef>
              <c:f>T4d!$AJ$5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0FA2492-AAC7-41B4-B4CD-A9DFFD334073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FE5-4F84-83A9-CC6ACC56A4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C56D62-81CA-4DF1-B3B7-B8079001CC3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FE5-4F84-83A9-CC6ACC56A4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1EAE8E-5201-4043-A89D-7F4769A05AD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FE5-4F84-83A9-CC6ACC56A4F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E49BABC-9B0B-43C8-857B-BFD5F28217B7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FE5-4F84-83A9-CC6ACC56A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E5-4F84-83A9-CC6ACC56A4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FE5-4F84-83A9-CC6ACC56A4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FE5-4F84-83A9-CC6ACC56A4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FE5-4F84-83A9-CC6ACC56A4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T4d!$AJ$7:$AJ$19</c:f>
              <c:numCache>
                <c:formatCode>General</c:formatCode>
                <c:ptCount val="13"/>
                <c:pt idx="0">
                  <c:v>467509.78129999997</c:v>
                </c:pt>
                <c:pt idx="1">
                  <c:v>468059.78129999997</c:v>
                </c:pt>
                <c:pt idx="2">
                  <c:v>468334.78129999997</c:v>
                </c:pt>
                <c:pt idx="3">
                  <c:v>468397.28129999997</c:v>
                </c:pt>
                <c:pt idx="4">
                  <c:v>468397.28129999997</c:v>
                </c:pt>
                <c:pt idx="5">
                  <c:v>468397.28129999997</c:v>
                </c:pt>
                <c:pt idx="6">
                  <c:v>468397.28129999997</c:v>
                </c:pt>
                <c:pt idx="7">
                  <c:v>468397.28129999997</c:v>
                </c:pt>
                <c:pt idx="8">
                  <c:v>468397.28129999997</c:v>
                </c:pt>
                <c:pt idx="9">
                  <c:v>468397.28129999997</c:v>
                </c:pt>
                <c:pt idx="10">
                  <c:v>468397.28129999997</c:v>
                </c:pt>
                <c:pt idx="11">
                  <c:v>468397.28129999997</c:v>
                </c:pt>
                <c:pt idx="12">
                  <c:v>468397.28129999997</c:v>
                </c:pt>
              </c:numCache>
            </c:numRef>
          </c:xVal>
          <c:yVal>
            <c:numRef>
              <c:f>T4d!$AJ$23:$AJ$35</c:f>
              <c:numCache>
                <c:formatCode>General</c:formatCode>
                <c:ptCount val="13"/>
                <c:pt idx="0">
                  <c:v>7616967.75</c:v>
                </c:pt>
                <c:pt idx="1">
                  <c:v>7616642.75</c:v>
                </c:pt>
                <c:pt idx="2">
                  <c:v>7615805.25</c:v>
                </c:pt>
                <c:pt idx="3">
                  <c:v>7614955.25</c:v>
                </c:pt>
                <c:pt idx="4">
                  <c:v>7614955.25</c:v>
                </c:pt>
                <c:pt idx="5">
                  <c:v>7614955.25</c:v>
                </c:pt>
                <c:pt idx="6">
                  <c:v>7614955.25</c:v>
                </c:pt>
                <c:pt idx="7">
                  <c:v>7614955.25</c:v>
                </c:pt>
                <c:pt idx="8">
                  <c:v>7614955.25</c:v>
                </c:pt>
                <c:pt idx="9">
                  <c:v>7614955.25</c:v>
                </c:pt>
                <c:pt idx="10">
                  <c:v>7614955.25</c:v>
                </c:pt>
                <c:pt idx="11">
                  <c:v>7614955.25</c:v>
                </c:pt>
                <c:pt idx="12">
                  <c:v>7614955.25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T4d!$AJ$68:$AJ$76</c15:f>
                <c15:dlblRangeCache>
                  <c:ptCount val="9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3FE5-4F84-83A9-CC6ACC56A4FA}"/>
            </c:ext>
          </c:extLst>
        </c:ser>
        <c:ser>
          <c:idx val="1"/>
          <c:order val="2"/>
          <c:tx>
            <c:strRef>
              <c:f>T4d!$AK$5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F4476E-F321-48E2-A7D2-DD634F9756C4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FE5-4F84-83A9-CC6ACC56A4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CD5858-9F07-48CD-996F-3D21C6C0B78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E5-4F84-83A9-CC6ACC56A4F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9D7AFD-2E88-4476-83C2-8911411C96F6}" type="CELLRANG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FE5-4F84-83A9-CC6ACC56A4F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CAD9BA5-70A5-47FB-A90F-77EAF840E12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 w="28575">
                  <a:solidFill>
                    <a:srgbClr val="0000FF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FE5-4F84-83A9-CC6ACC56A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FE5-4F84-83A9-CC6ACC56A4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FE5-4F84-83A9-CC6ACC56A4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FE5-4F84-83A9-CC6ACC56A4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FE5-4F84-83A9-CC6ACC56A4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T4d!$AK$7:$AK$19</c:f>
              <c:numCache>
                <c:formatCode>General</c:formatCode>
                <c:ptCount val="13"/>
                <c:pt idx="0">
                  <c:v>471134.78129999997</c:v>
                </c:pt>
                <c:pt idx="1">
                  <c:v>469922.28129999997</c:v>
                </c:pt>
                <c:pt idx="2">
                  <c:v>468834.78129999997</c:v>
                </c:pt>
                <c:pt idx="3">
                  <c:v>468047.28129999997</c:v>
                </c:pt>
                <c:pt idx="4">
                  <c:v>468047.28129999997</c:v>
                </c:pt>
                <c:pt idx="5">
                  <c:v>468047.28129999997</c:v>
                </c:pt>
                <c:pt idx="6">
                  <c:v>468047.28129999997</c:v>
                </c:pt>
                <c:pt idx="7">
                  <c:v>468047.28129999997</c:v>
                </c:pt>
                <c:pt idx="8">
                  <c:v>468047.28129999997</c:v>
                </c:pt>
                <c:pt idx="9">
                  <c:v>468047.28129999997</c:v>
                </c:pt>
                <c:pt idx="10">
                  <c:v>468047.28129999997</c:v>
                </c:pt>
                <c:pt idx="11">
                  <c:v>468047.28129999997</c:v>
                </c:pt>
                <c:pt idx="12">
                  <c:v>468047.28129999997</c:v>
                </c:pt>
              </c:numCache>
            </c:numRef>
          </c:xVal>
          <c:yVal>
            <c:numRef>
              <c:f>T4d!$AK$23:$AK$35</c:f>
              <c:numCache>
                <c:formatCode>General</c:formatCode>
                <c:ptCount val="13"/>
                <c:pt idx="0">
                  <c:v>7613992.75</c:v>
                </c:pt>
                <c:pt idx="1">
                  <c:v>7614405.25</c:v>
                </c:pt>
                <c:pt idx="2">
                  <c:v>7614292.75</c:v>
                </c:pt>
                <c:pt idx="3">
                  <c:v>7614180.25</c:v>
                </c:pt>
                <c:pt idx="4">
                  <c:v>7614180.25</c:v>
                </c:pt>
                <c:pt idx="5">
                  <c:v>7614180.25</c:v>
                </c:pt>
                <c:pt idx="6">
                  <c:v>7614180.25</c:v>
                </c:pt>
                <c:pt idx="7">
                  <c:v>7614180.25</c:v>
                </c:pt>
                <c:pt idx="8">
                  <c:v>7614180.25</c:v>
                </c:pt>
                <c:pt idx="9">
                  <c:v>7614180.25</c:v>
                </c:pt>
                <c:pt idx="10">
                  <c:v>7614180.25</c:v>
                </c:pt>
                <c:pt idx="11">
                  <c:v>7614180.25</c:v>
                </c:pt>
                <c:pt idx="12">
                  <c:v>7614180.25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T4d!$AK$68:$AK$80</c15:f>
                <c15:dlblRangeCache>
                  <c:ptCount val="13"/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3FE5-4F84-83A9-CC6ACC56A4FA}"/>
            </c:ext>
          </c:extLst>
        </c:ser>
        <c:ser>
          <c:idx val="2"/>
          <c:order val="3"/>
          <c:tx>
            <c:strRef>
              <c:f>T4d!$AL$5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8E8E18-C597-4F59-8968-BB0DEF9843CC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FE5-4F84-83A9-CC6ACC56A4F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12DF4E-1118-4D36-9E9A-A3BEE47B6F6F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FE5-4F84-83A9-CC6ACC56A4F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BDA3DF-3AEA-4EB1-AF50-30937993EC3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3FE5-4F84-83A9-CC6ACC56A4F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2D44F1-0445-490F-8016-404F4FE5C8F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3FE5-4F84-83A9-CC6ACC56A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FE5-4F84-83A9-CC6ACC56A4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FE5-4F84-83A9-CC6ACC56A4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FE5-4F84-83A9-CC6ACC56A4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FE5-4F84-83A9-CC6ACC56A4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T4d!$AL$7:$AL$19</c:f>
              <c:numCache>
                <c:formatCode>General</c:formatCode>
                <c:ptCount val="13"/>
                <c:pt idx="0">
                  <c:v>469934.78129999997</c:v>
                </c:pt>
                <c:pt idx="1">
                  <c:v>468797.28129999997</c:v>
                </c:pt>
                <c:pt idx="2">
                  <c:v>467797.28129999997</c:v>
                </c:pt>
                <c:pt idx="3">
                  <c:v>467172.28129999997</c:v>
                </c:pt>
                <c:pt idx="4">
                  <c:v>467172.28129999997</c:v>
                </c:pt>
                <c:pt idx="5">
                  <c:v>467172.28129999997</c:v>
                </c:pt>
                <c:pt idx="6">
                  <c:v>467172.28129999997</c:v>
                </c:pt>
                <c:pt idx="7">
                  <c:v>467172.28129999997</c:v>
                </c:pt>
                <c:pt idx="8">
                  <c:v>467172.28129999997</c:v>
                </c:pt>
                <c:pt idx="9">
                  <c:v>467172.28129999997</c:v>
                </c:pt>
                <c:pt idx="10">
                  <c:v>467172.28129999997</c:v>
                </c:pt>
                <c:pt idx="11">
                  <c:v>467172.28129999997</c:v>
                </c:pt>
                <c:pt idx="12">
                  <c:v>467172.28129999997</c:v>
                </c:pt>
              </c:numCache>
            </c:numRef>
          </c:xVal>
          <c:yVal>
            <c:numRef>
              <c:f>T4d!$AL$23:$AL$35</c:f>
              <c:numCache>
                <c:formatCode>General</c:formatCode>
                <c:ptCount val="13"/>
                <c:pt idx="0">
                  <c:v>7612342.75</c:v>
                </c:pt>
                <c:pt idx="1">
                  <c:v>7612842.75</c:v>
                </c:pt>
                <c:pt idx="2">
                  <c:v>7613980.25</c:v>
                </c:pt>
                <c:pt idx="3">
                  <c:v>7613492.75</c:v>
                </c:pt>
                <c:pt idx="4">
                  <c:v>7613492.75</c:v>
                </c:pt>
                <c:pt idx="5">
                  <c:v>7613492.75</c:v>
                </c:pt>
                <c:pt idx="6">
                  <c:v>7613492.75</c:v>
                </c:pt>
                <c:pt idx="7">
                  <c:v>7613492.75</c:v>
                </c:pt>
                <c:pt idx="8">
                  <c:v>7613492.75</c:v>
                </c:pt>
                <c:pt idx="9">
                  <c:v>7613492.75</c:v>
                </c:pt>
                <c:pt idx="10">
                  <c:v>7613492.75</c:v>
                </c:pt>
                <c:pt idx="11">
                  <c:v>7613492.75</c:v>
                </c:pt>
                <c:pt idx="12">
                  <c:v>7613492.75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T4d!$AL$68:$AL$80</c15:f>
                <c15:dlblRangeCache>
                  <c:ptCount val="13"/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3FE5-4F84-83A9-CC6ACC56A4FA}"/>
            </c:ext>
          </c:extLst>
        </c:ser>
        <c:ser>
          <c:idx val="5"/>
          <c:order val="4"/>
          <c:tx>
            <c:strRef>
              <c:f>T4d!$AM$5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9CFAF73-3B98-4227-AD07-476D0DBB48E8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FE5-4F84-83A9-CC6ACC56A4F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DFDF64-3FE7-45FF-981C-61B3C4112A1D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FE5-4F84-83A9-CC6ACC56A4F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7641CE0-5B0D-4DBF-9992-19C8676FE9B2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3FE5-4F84-83A9-CC6ACC56A4F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8D710D5-8B4A-4654-98F3-9D7EC4BC8CF9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3FE5-4F84-83A9-CC6ACC56A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FE5-4F84-83A9-CC6ACC56A4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FE5-4F84-83A9-CC6ACC56A4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FE5-4F84-83A9-CC6ACC56A4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FE5-4F84-83A9-CC6ACC56A4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T4d!$AM$7:$AM$19</c:f>
              <c:numCache>
                <c:formatCode>General</c:formatCode>
                <c:ptCount val="13"/>
                <c:pt idx="0">
                  <c:v>468434.78129999997</c:v>
                </c:pt>
                <c:pt idx="1">
                  <c:v>467384.78129999997</c:v>
                </c:pt>
                <c:pt idx="2">
                  <c:v>466597.28129999997</c:v>
                </c:pt>
                <c:pt idx="3">
                  <c:v>465672.28129999997</c:v>
                </c:pt>
                <c:pt idx="4">
                  <c:v>465672.28129999997</c:v>
                </c:pt>
                <c:pt idx="5">
                  <c:v>465672.28129999997</c:v>
                </c:pt>
                <c:pt idx="6">
                  <c:v>465672.28129999997</c:v>
                </c:pt>
                <c:pt idx="7">
                  <c:v>465672.28129999997</c:v>
                </c:pt>
                <c:pt idx="8">
                  <c:v>465672.28129999997</c:v>
                </c:pt>
                <c:pt idx="9">
                  <c:v>465672.28129999997</c:v>
                </c:pt>
                <c:pt idx="10">
                  <c:v>465672.28129999997</c:v>
                </c:pt>
                <c:pt idx="11">
                  <c:v>465672.28129999997</c:v>
                </c:pt>
                <c:pt idx="12">
                  <c:v>465672.28129999997</c:v>
                </c:pt>
              </c:numCache>
            </c:numRef>
          </c:xVal>
          <c:yVal>
            <c:numRef>
              <c:f>T4d!$AM$23:$AM$35</c:f>
              <c:numCache>
                <c:formatCode>General</c:formatCode>
                <c:ptCount val="13"/>
                <c:pt idx="0">
                  <c:v>7611380.25</c:v>
                </c:pt>
                <c:pt idx="1">
                  <c:v>7612080.25</c:v>
                </c:pt>
                <c:pt idx="2">
                  <c:v>7613155.25</c:v>
                </c:pt>
                <c:pt idx="3">
                  <c:v>7613092.75</c:v>
                </c:pt>
                <c:pt idx="4">
                  <c:v>7613092.75</c:v>
                </c:pt>
                <c:pt idx="5">
                  <c:v>7613092.75</c:v>
                </c:pt>
                <c:pt idx="6">
                  <c:v>7613092.75</c:v>
                </c:pt>
                <c:pt idx="7">
                  <c:v>7613092.75</c:v>
                </c:pt>
                <c:pt idx="8">
                  <c:v>7613092.75</c:v>
                </c:pt>
                <c:pt idx="9">
                  <c:v>7613092.75</c:v>
                </c:pt>
                <c:pt idx="10">
                  <c:v>7613092.75</c:v>
                </c:pt>
                <c:pt idx="11">
                  <c:v>7613092.75</c:v>
                </c:pt>
                <c:pt idx="12">
                  <c:v>7613092.75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T4d!$AM$68:$AM$80</c15:f>
                <c15:dlblRangeCache>
                  <c:ptCount val="13"/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3FE5-4F84-83A9-CC6ACC56A4FA}"/>
            </c:ext>
          </c:extLst>
        </c:ser>
        <c:ser>
          <c:idx val="6"/>
          <c:order val="5"/>
          <c:tx>
            <c:strRef>
              <c:f>T4d!$AN$5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B1F4AD-8A31-4D83-A0DB-3F27F2F7F37E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 w="38100">
                  <a:solidFill>
                    <a:srgbClr val="FFFF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FE5-4F84-83A9-CC6ACC56A4F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10678B1-C091-4852-B039-7B79966038D9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3FE5-4F84-83A9-CC6ACC56A4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639810-53D1-469A-AEA6-E704E4CD177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FE5-4F84-83A9-CC6ACC56A4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5E3E0C-5C65-43C2-97D8-ABB63CA803D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FE5-4F84-83A9-CC6ACC56A4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E51785-D99F-4CB5-A50C-624E5FBBD62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3FE5-4F84-83A9-CC6ACC56A4F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A50AD0-48C7-4A4B-B2A9-95D88D683AE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0000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3FE5-4F84-83A9-CC6ACC56A4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2D676A-5363-4731-AEBB-F1EA317359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3FE5-4F84-83A9-CC6ACC56A4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D9A891-E944-449F-8FA0-2004E85A17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FE5-4F84-83A9-CC6ACC56A4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AFC85DE-CA23-4B03-B574-849266E4EB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3FE5-4F84-83A9-CC6ACC56A4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E5AC343-5518-4C41-A4D6-4F5FC851D2D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FE5-4F84-83A9-CC6ACC56A4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F00B2B3-76DE-41FE-BEBE-6F7E9EFD41B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3FE5-4F84-83A9-CC6ACC56A4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DB9FC5-A4C6-43F9-882F-FAD64BF0EF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FE5-4F84-83A9-CC6ACC56A4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BB4D069-E5D4-4F8C-88D8-92DF33F9DC7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T4d!$AN$7:$AN$19</c:f>
              <c:numCache>
                <c:formatCode>General</c:formatCode>
                <c:ptCount val="13"/>
                <c:pt idx="0">
                  <c:v>464872.28129999997</c:v>
                </c:pt>
                <c:pt idx="1">
                  <c:v>465422.28129999997</c:v>
                </c:pt>
                <c:pt idx="2">
                  <c:v>465284.78129999997</c:v>
                </c:pt>
                <c:pt idx="3">
                  <c:v>464384.78129999997</c:v>
                </c:pt>
                <c:pt idx="4">
                  <c:v>464297.28129999997</c:v>
                </c:pt>
                <c:pt idx="5">
                  <c:v>464784.78129999997</c:v>
                </c:pt>
                <c:pt idx="6">
                  <c:v>464784.78129999997</c:v>
                </c:pt>
                <c:pt idx="7">
                  <c:v>464784.78129999997</c:v>
                </c:pt>
                <c:pt idx="8">
                  <c:v>464784.78129999997</c:v>
                </c:pt>
                <c:pt idx="9">
                  <c:v>464784.78129999997</c:v>
                </c:pt>
                <c:pt idx="10">
                  <c:v>464784.78129999997</c:v>
                </c:pt>
                <c:pt idx="11">
                  <c:v>464784.78129999997</c:v>
                </c:pt>
                <c:pt idx="12">
                  <c:v>464784.78129999997</c:v>
                </c:pt>
              </c:numCache>
            </c:numRef>
          </c:xVal>
          <c:yVal>
            <c:numRef>
              <c:f>T4d!$AN$23:$AN$35</c:f>
              <c:numCache>
                <c:formatCode>General</c:formatCode>
                <c:ptCount val="13"/>
                <c:pt idx="0">
                  <c:v>7613880.25</c:v>
                </c:pt>
                <c:pt idx="1">
                  <c:v>7612830.25</c:v>
                </c:pt>
                <c:pt idx="2">
                  <c:v>7611667.75</c:v>
                </c:pt>
                <c:pt idx="3">
                  <c:v>7611405.25</c:v>
                </c:pt>
                <c:pt idx="4">
                  <c:v>7610630.25</c:v>
                </c:pt>
                <c:pt idx="5">
                  <c:v>7609967.75</c:v>
                </c:pt>
                <c:pt idx="6">
                  <c:v>7609967.75</c:v>
                </c:pt>
                <c:pt idx="7">
                  <c:v>7609967.75</c:v>
                </c:pt>
                <c:pt idx="8">
                  <c:v>7609967.75</c:v>
                </c:pt>
                <c:pt idx="9">
                  <c:v>7609967.75</c:v>
                </c:pt>
                <c:pt idx="10">
                  <c:v>7609967.75</c:v>
                </c:pt>
                <c:pt idx="11">
                  <c:v>7609967.75</c:v>
                </c:pt>
                <c:pt idx="12">
                  <c:v>7609967.75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T4d!$AN$68:$AN$80</c15:f>
                <c15:dlblRangeCache>
                  <c:ptCount val="13"/>
                  <c:pt idx="0">
                    <c:v>16</c:v>
                  </c:pt>
                  <c:pt idx="1">
                    <c:v>17</c:v>
                  </c:pt>
                  <c:pt idx="2">
                    <c:v>18</c:v>
                  </c:pt>
                  <c:pt idx="3">
                    <c:v>19</c:v>
                  </c:pt>
                  <c:pt idx="4">
                    <c:v>20</c:v>
                  </c:pt>
                  <c:pt idx="5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3FE5-4F84-83A9-CC6ACC56A4FA}"/>
            </c:ext>
          </c:extLst>
        </c:ser>
        <c:ser>
          <c:idx val="7"/>
          <c:order val="6"/>
          <c:tx>
            <c:strRef>
              <c:f>T4d!$AO$5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44C452-621E-4A9B-9184-306C19E5ACBA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3FE5-4F84-83A9-CC6ACC56A4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3D97E9-D866-481B-B3FC-7E5041798C6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FE5-4F84-83A9-CC6ACC56A4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DB7B68-D96F-4B36-8F95-7F9DB96496E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3FE5-4F84-83A9-CC6ACC56A4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9A8019-4F59-4FAC-99BE-FD8346BD0A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FE5-4F84-83A9-CC6ACC56A4F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8DCAD9A-393D-41EA-B53F-50E81FF0C564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3FE5-4F84-83A9-CC6ACC56A4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FE5-4F84-83A9-CC6ACC56A4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3FE5-4F84-83A9-CC6ACC56A4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FE5-4F84-83A9-CC6ACC56A4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T4d!$AO$7:$AO$19</c:f>
              <c:numCache>
                <c:formatCode>General</c:formatCode>
                <c:ptCount val="13"/>
                <c:pt idx="0">
                  <c:v>468284.78129999997</c:v>
                </c:pt>
                <c:pt idx="1">
                  <c:v>466622.28129999997</c:v>
                </c:pt>
                <c:pt idx="2">
                  <c:v>466097.28129999997</c:v>
                </c:pt>
                <c:pt idx="3">
                  <c:v>465534.78129999997</c:v>
                </c:pt>
                <c:pt idx="4">
                  <c:v>464909.78129999997</c:v>
                </c:pt>
                <c:pt idx="5">
                  <c:v>464909.78129999997</c:v>
                </c:pt>
                <c:pt idx="6">
                  <c:v>464909.78129999997</c:v>
                </c:pt>
                <c:pt idx="7">
                  <c:v>464909.78129999997</c:v>
                </c:pt>
                <c:pt idx="8">
                  <c:v>464909.78129999997</c:v>
                </c:pt>
                <c:pt idx="9">
                  <c:v>464909.78129999997</c:v>
                </c:pt>
                <c:pt idx="10">
                  <c:v>464909.78129999997</c:v>
                </c:pt>
                <c:pt idx="11">
                  <c:v>464909.78129999997</c:v>
                </c:pt>
                <c:pt idx="12">
                  <c:v>464909.78129999997</c:v>
                </c:pt>
              </c:numCache>
            </c:numRef>
          </c:xVal>
          <c:yVal>
            <c:numRef>
              <c:f>T4d!$AO$23:$AO$35</c:f>
              <c:numCache>
                <c:formatCode>General</c:formatCode>
                <c:ptCount val="13"/>
                <c:pt idx="0">
                  <c:v>7609942.75</c:v>
                </c:pt>
                <c:pt idx="1">
                  <c:v>7609955.25</c:v>
                </c:pt>
                <c:pt idx="2">
                  <c:v>7610467.75</c:v>
                </c:pt>
                <c:pt idx="3">
                  <c:v>7610505.25</c:v>
                </c:pt>
                <c:pt idx="4">
                  <c:v>7609892.75</c:v>
                </c:pt>
                <c:pt idx="5">
                  <c:v>7609892.75</c:v>
                </c:pt>
                <c:pt idx="6">
                  <c:v>7609892.75</c:v>
                </c:pt>
                <c:pt idx="7">
                  <c:v>7609892.75</c:v>
                </c:pt>
                <c:pt idx="8">
                  <c:v>7609892.75</c:v>
                </c:pt>
                <c:pt idx="9">
                  <c:v>7609892.75</c:v>
                </c:pt>
                <c:pt idx="10">
                  <c:v>7609892.75</c:v>
                </c:pt>
                <c:pt idx="11">
                  <c:v>7609892.75</c:v>
                </c:pt>
                <c:pt idx="12">
                  <c:v>7609892.75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T4d!$AO$68:$AO$76</c15:f>
                <c15:dlblRangeCache>
                  <c:ptCount val="9"/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4-3FE5-4F84-83A9-CC6ACC56A4FA}"/>
            </c:ext>
          </c:extLst>
        </c:ser>
        <c:ser>
          <c:idx val="3"/>
          <c:order val="7"/>
          <c:tx>
            <c:strRef>
              <c:f>T4d!$AP$5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E2A68D-E44F-40F1-BCFB-B81D357B4B01}" type="CELLRANG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FE5-4F84-83A9-CC6ACC56A4F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5B2D0D-A474-42A8-A987-8187C573C86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66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3FE5-4F84-83A9-CC6ACC56A4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3FE5-4F84-83A9-CC6ACC56A4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3FE5-4F84-83A9-CC6ACC56A4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3FE5-4F84-83A9-CC6ACC56A4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3FE5-4F84-83A9-CC6ACC56A4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3FE5-4F84-83A9-CC6ACC56A4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3FE5-4F84-83A9-CC6ACC56A4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3FE5-4F84-83A9-CC6ACC56A4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3FE5-4F84-83A9-CC6ACC56A4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3FE5-4F84-83A9-CC6ACC56A4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3FE5-4F84-83A9-CC6ACC56A4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3FE5-4F84-83A9-CC6ACC56A4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T4d!$AP$7:$AP$19</c:f>
              <c:numCache>
                <c:formatCode>General</c:formatCode>
                <c:ptCount val="13"/>
                <c:pt idx="0">
                  <c:v>464822.28129999997</c:v>
                </c:pt>
                <c:pt idx="1">
                  <c:v>464172.28129999997</c:v>
                </c:pt>
                <c:pt idx="2">
                  <c:v>464172.28129999997</c:v>
                </c:pt>
                <c:pt idx="3">
                  <c:v>464172.28129999997</c:v>
                </c:pt>
                <c:pt idx="4">
                  <c:v>464172.28129999997</c:v>
                </c:pt>
                <c:pt idx="5">
                  <c:v>464172.28129999997</c:v>
                </c:pt>
                <c:pt idx="6">
                  <c:v>464172.28129999997</c:v>
                </c:pt>
                <c:pt idx="7">
                  <c:v>464172.28129999997</c:v>
                </c:pt>
                <c:pt idx="8">
                  <c:v>464172.28129999997</c:v>
                </c:pt>
                <c:pt idx="9">
                  <c:v>464172.28129999997</c:v>
                </c:pt>
                <c:pt idx="10">
                  <c:v>464172.28129999997</c:v>
                </c:pt>
                <c:pt idx="11">
                  <c:v>464172.28129999997</c:v>
                </c:pt>
                <c:pt idx="12">
                  <c:v>464172.28129999997</c:v>
                </c:pt>
              </c:numCache>
            </c:numRef>
          </c:xVal>
          <c:yVal>
            <c:numRef>
              <c:f>T4d!$AP$23:$AP$35</c:f>
              <c:numCache>
                <c:formatCode>General</c:formatCode>
                <c:ptCount val="13"/>
                <c:pt idx="0">
                  <c:v>7609305.25</c:v>
                </c:pt>
                <c:pt idx="1">
                  <c:v>7607930.25</c:v>
                </c:pt>
                <c:pt idx="2">
                  <c:v>7607930.25</c:v>
                </c:pt>
                <c:pt idx="3">
                  <c:v>7607930.25</c:v>
                </c:pt>
                <c:pt idx="4">
                  <c:v>7607930.25</c:v>
                </c:pt>
                <c:pt idx="5">
                  <c:v>7607930.25</c:v>
                </c:pt>
                <c:pt idx="6">
                  <c:v>7607930.25</c:v>
                </c:pt>
                <c:pt idx="7">
                  <c:v>7607930.25</c:v>
                </c:pt>
                <c:pt idx="8">
                  <c:v>7607930.25</c:v>
                </c:pt>
                <c:pt idx="9">
                  <c:v>7607930.25</c:v>
                </c:pt>
                <c:pt idx="10">
                  <c:v>7607930.25</c:v>
                </c:pt>
                <c:pt idx="11">
                  <c:v>7607930.25</c:v>
                </c:pt>
                <c:pt idx="12">
                  <c:v>7607930.25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T4d!$AP$68:$AP$80</c15:f>
                <c15:dlblRangeCache>
                  <c:ptCount val="13"/>
                  <c:pt idx="0">
                    <c:v>27</c:v>
                  </c:pt>
                  <c:pt idx="1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FE5-4F84-83A9-CC6ACC56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94873368209853381"/>
          <c:y val="6.3342646309459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7.9227657735522899E-2"/>
          <c:y val="6.04689835244357E-2"/>
          <c:w val="0.89109144338807256"/>
          <c:h val="0.83644035772767333"/>
        </c:manualLayout>
      </c:layout>
      <c:scatterChart>
        <c:scatterStyle val="lineMarker"/>
        <c:varyColors val="0"/>
        <c:ser>
          <c:idx val="0"/>
          <c:order val="0"/>
          <c:tx>
            <c:strRef>
              <c:f>T4d!$BB$6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7BA9C9C-587B-4A0E-BDC1-157FB7A3F1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250-493E-8EFF-BC09E16C0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80230C-C6E0-4FF4-BB88-4C6BF1310D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250-493E-8EFF-BC09E16C0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AB5CED-A910-4F2D-BB72-6FB6937E736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50-493E-8EFF-BC09E16C0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E3F019-FD79-4E07-A97B-697A88CB7E8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50-493E-8EFF-BC09E16C0AE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7498A5-6D50-4133-85F6-70177D18CD4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50-493E-8EFF-BC09E16C0AE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F586D5-E591-47C8-A11C-B091B20D967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250-493E-8EFF-BC09E16C0AE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90BB48-560B-43D8-8D51-6DE494391B0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250-493E-8EFF-BC09E16C0AE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4A8529-8816-43EA-B999-05EFFA39540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250-493E-8EFF-BC09E16C0AE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FFD2B9-2EF6-41A7-97AA-3A7C77A6C9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250-493E-8EFF-BC09E16C0AE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9FD2696-5930-4983-8C63-E15024DA735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250-493E-8EFF-BC09E16C0AE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806803C-9DA3-43B1-93E3-6BD1246FCF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250-493E-8EFF-BC09E16C0AE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B12F2C6-091E-40D0-83E7-87667B7A0EA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250-493E-8EFF-BC09E16C0AE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ECA0E9B-2412-4DB5-8881-A6709FDBF6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250-493E-8EFF-BC09E16C0AE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C1BABB-82E9-4CF4-83BC-F02CFCF805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250-493E-8EFF-BC09E16C0AE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D394B8D-12D7-4CA2-AD89-C563229AA26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250-493E-8EFF-BC09E16C0AE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B455932-EE37-4495-B439-E51CDAD180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250-493E-8EFF-BC09E16C0AE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FEE601C-AB36-4CCB-B057-A2B9BC411B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250-493E-8EFF-BC09E16C0AE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2F09F36-0830-49B5-81F8-95E686D26C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250-493E-8EFF-BC09E16C0AE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7C49595-0C97-4BC8-A9DF-BCE4BEE7A6B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250-493E-8EFF-BC09E16C0AE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93AD6CE-94EE-47F7-8A71-CF1A95D87B6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250-493E-8EFF-BC09E16C0AE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2ED1FC-BFF6-4AF3-9093-7DFFBDE2F7B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250-493E-8EFF-BC09E16C0AE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4CA2F4-4E9D-4276-981B-527E4F7EF7F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250-493E-8EFF-BC09E16C0AE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A4EF312-B660-4687-AC68-38373117FD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250-493E-8EFF-BC09E16C0AE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EDAC583-AB41-4C08-AFF2-62CE7746AC3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250-493E-8EFF-BC09E16C0AE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72CB8F9-B77A-42F1-AB56-2AB0C9EE320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250-493E-8EFF-BC09E16C0AE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6881FC1-93EE-4E76-921B-90F56E81532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250-493E-8EFF-BC09E16C0AE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3D93A00-1A80-42F3-A445-141D671ABB6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250-493E-8EFF-BC09E16C0AE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35664CD-AD5B-45DE-AD15-3FBB7239A4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250-493E-8EFF-BC09E16C0AE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584596A-CD22-435F-8C30-5D20D90A2BA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250-493E-8EFF-BC09E16C0AE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250-493E-8EFF-BC09E16C0AE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250-493E-8EFF-BC09E16C0AE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250-493E-8EFF-BC09E16C0AE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250-493E-8EFF-BC09E16C0AE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250-493E-8EFF-BC09E16C0AE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250-493E-8EFF-BC09E16C0AE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250-493E-8EFF-BC09E16C0AEE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T4d!$O$7:$O$42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T4d!$AT$7:$AT$42</c:f>
              <c:numCache>
                <c:formatCode>0</c:formatCode>
                <c:ptCount val="36"/>
                <c:pt idx="0">
                  <c:v>147</c:v>
                </c:pt>
                <c:pt idx="1">
                  <c:v>119</c:v>
                </c:pt>
                <c:pt idx="2">
                  <c:v>95</c:v>
                </c:pt>
                <c:pt idx="3">
                  <c:v>61</c:v>
                </c:pt>
                <c:pt idx="4">
                  <c:v>159</c:v>
                </c:pt>
                <c:pt idx="5">
                  <c:v>134</c:v>
                </c:pt>
                <c:pt idx="6">
                  <c:v>65</c:v>
                </c:pt>
                <c:pt idx="7">
                  <c:v>47</c:v>
                </c:pt>
                <c:pt idx="8">
                  <c:v>127</c:v>
                </c:pt>
                <c:pt idx="9">
                  <c:v>69</c:v>
                </c:pt>
                <c:pt idx="10">
                  <c:v>46</c:v>
                </c:pt>
                <c:pt idx="11">
                  <c:v>38</c:v>
                </c:pt>
                <c:pt idx="12">
                  <c:v>69</c:v>
                </c:pt>
                <c:pt idx="13">
                  <c:v>54</c:v>
                </c:pt>
                <c:pt idx="14">
                  <c:v>38</c:v>
                </c:pt>
                <c:pt idx="15">
                  <c:v>38</c:v>
                </c:pt>
                <c:pt idx="16">
                  <c:v>48</c:v>
                </c:pt>
                <c:pt idx="17">
                  <c:v>35</c:v>
                </c:pt>
                <c:pt idx="18">
                  <c:v>21</c:v>
                </c:pt>
                <c:pt idx="19">
                  <c:v>12</c:v>
                </c:pt>
                <c:pt idx="20">
                  <c:v>5</c:v>
                </c:pt>
                <c:pt idx="21">
                  <c:v>2</c:v>
                </c:pt>
                <c:pt idx="22">
                  <c:v>86</c:v>
                </c:pt>
                <c:pt idx="23">
                  <c:v>53</c:v>
                </c:pt>
                <c:pt idx="24">
                  <c:v>23</c:v>
                </c:pt>
                <c:pt idx="25">
                  <c:v>14</c:v>
                </c:pt>
                <c:pt idx="26">
                  <c:v>2</c:v>
                </c:pt>
                <c:pt idx="27">
                  <c:v>4</c:v>
                </c:pt>
                <c:pt idx="28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T4d!$BJ$7:$BJ$42</c15:f>
                <c15:dlblRangeCache>
                  <c:ptCount val="36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8250-493E-8EFF-BC09E16C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609231"/>
        <c:axId val="1753610191"/>
      </c:scatterChart>
      <c:valAx>
        <c:axId val="1753609231"/>
        <c:scaling>
          <c:orientation val="minMax"/>
          <c:max val="3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10191"/>
        <c:crosses val="autoZero"/>
        <c:crossBetween val="midCat"/>
        <c:majorUnit val="1"/>
      </c:valAx>
      <c:valAx>
        <c:axId val="1753610191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09231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44</xdr:row>
      <xdr:rowOff>0</xdr:rowOff>
    </xdr:from>
    <xdr:to>
      <xdr:col>32</xdr:col>
      <xdr:colOff>66675</xdr:colOff>
      <xdr:row>73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5BB390-4E22-4E8C-8B4E-7AE5F9F73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85725</xdr:colOff>
      <xdr:row>3</xdr:row>
      <xdr:rowOff>19051</xdr:rowOff>
    </xdr:from>
    <xdr:to>
      <xdr:col>76</xdr:col>
      <xdr:colOff>504825</xdr:colOff>
      <xdr:row>44</xdr:row>
      <xdr:rowOff>147638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70C7D7F-B6AC-7CE5-1304-E1FEED03DDAA}"/>
            </a:ext>
          </a:extLst>
        </xdr:cNvPr>
        <xdr:cNvGrpSpPr/>
      </xdr:nvGrpSpPr>
      <xdr:grpSpPr>
        <a:xfrm>
          <a:off x="13763625" y="476251"/>
          <a:ext cx="5905500" cy="6376987"/>
          <a:chOff x="10696575" y="190501"/>
          <a:chExt cx="5905500" cy="6376987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F43AFE7-EA16-4F75-955D-283B11795B2D}"/>
              </a:ext>
            </a:extLst>
          </xdr:cNvPr>
          <xdr:cNvGraphicFramePr>
            <a:graphicFrameLocks/>
          </xdr:cNvGraphicFramePr>
        </xdr:nvGraphicFramePr>
        <xdr:xfrm>
          <a:off x="10696575" y="190501"/>
          <a:ext cx="5905500" cy="43624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0BA6A55-8D08-4DED-A1B6-121BBE243733}"/>
              </a:ext>
            </a:extLst>
          </xdr:cNvPr>
          <xdr:cNvGraphicFramePr>
            <a:graphicFrameLocks/>
          </xdr:cNvGraphicFramePr>
        </xdr:nvGraphicFramePr>
        <xdr:xfrm>
          <a:off x="10706100" y="4657725"/>
          <a:ext cx="5895975" cy="19097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26</xdr:col>
      <xdr:colOff>9525</xdr:colOff>
      <xdr:row>2</xdr:row>
      <xdr:rowOff>123825</xdr:rowOff>
    </xdr:from>
    <xdr:to>
      <xdr:col>28</xdr:col>
      <xdr:colOff>190499</xdr:colOff>
      <xdr:row>36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207195-2405-4CAF-AADD-F65E003A045B}"/>
            </a:ext>
          </a:extLst>
        </xdr:cNvPr>
        <xdr:cNvSpPr/>
      </xdr:nvSpPr>
      <xdr:spPr>
        <a:xfrm>
          <a:off x="5800725" y="428625"/>
          <a:ext cx="581024" cy="5133975"/>
        </a:xfrm>
        <a:prstGeom prst="rect">
          <a:avLst/>
        </a:prstGeom>
        <a:solidFill>
          <a:srgbClr val="F2F2F2">
            <a:alpha val="8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21</xdr:col>
      <xdr:colOff>228600</xdr:colOff>
      <xdr:row>0</xdr:row>
      <xdr:rowOff>47625</xdr:rowOff>
    </xdr:from>
    <xdr:to>
      <xdr:col>23</xdr:col>
      <xdr:colOff>192232</xdr:colOff>
      <xdr:row>2</xdr:row>
      <xdr:rowOff>71870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55EAAC0-ABFB-4DD4-B80D-17C2E39F3B8A}"/>
            </a:ext>
          </a:extLst>
        </xdr:cNvPr>
        <xdr:cNvSpPr/>
      </xdr:nvSpPr>
      <xdr:spPr>
        <a:xfrm>
          <a:off x="4486275" y="47625"/>
          <a:ext cx="458932" cy="329045"/>
        </a:xfrm>
        <a:prstGeom prst="rightArrow">
          <a:avLst/>
        </a:prstGeom>
        <a:solidFill>
          <a:srgbClr val="00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63</xdr:row>
      <xdr:rowOff>85725</xdr:rowOff>
    </xdr:from>
    <xdr:to>
      <xdr:col>32</xdr:col>
      <xdr:colOff>19050</xdr:colOff>
      <xdr:row>92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D3286-6CA3-4191-87D6-00D2F3F74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115166</xdr:colOff>
      <xdr:row>44</xdr:row>
      <xdr:rowOff>129629</xdr:rowOff>
    </xdr:from>
    <xdr:to>
      <xdr:col>31</xdr:col>
      <xdr:colOff>43296</xdr:colOff>
      <xdr:row>68</xdr:row>
      <xdr:rowOff>122961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10EDBB-4D74-45F1-98C6-A58D0342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3566" y="8511629"/>
          <a:ext cx="16387330" cy="4565332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84</xdr:col>
      <xdr:colOff>69273</xdr:colOff>
      <xdr:row>29</xdr:row>
      <xdr:rowOff>117053</xdr:rowOff>
    </xdr:from>
    <xdr:to>
      <xdr:col>99</xdr:col>
      <xdr:colOff>181840</xdr:colOff>
      <xdr:row>73</xdr:row>
      <xdr:rowOff>58448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ED22CA8-68A9-4CA0-8D55-B98CE021CF07}"/>
            </a:ext>
          </a:extLst>
        </xdr:cNvPr>
        <xdr:cNvGrpSpPr>
          <a:grpSpLocks noChangeAspect="1"/>
        </xdr:cNvGrpSpPr>
      </xdr:nvGrpSpPr>
      <xdr:grpSpPr>
        <a:xfrm>
          <a:off x="11239500" y="3831803"/>
          <a:ext cx="4649931" cy="5656395"/>
          <a:chOff x="9211153" y="1805620"/>
          <a:chExt cx="6098067" cy="596031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0B81EE9-F930-AB9A-B6D5-325A95538B62}"/>
              </a:ext>
            </a:extLst>
          </xdr:cNvPr>
          <xdr:cNvGraphicFramePr>
            <a:graphicFrameLocks/>
          </xdr:cNvGraphicFramePr>
        </xdr:nvGraphicFramePr>
        <xdr:xfrm>
          <a:off x="9212734" y="1805620"/>
          <a:ext cx="6092151" cy="47714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4BA3BE32-82DE-AED3-DBD6-006934F55D58}"/>
              </a:ext>
            </a:extLst>
          </xdr:cNvPr>
          <xdr:cNvGraphicFramePr/>
        </xdr:nvGraphicFramePr>
        <xdr:xfrm>
          <a:off x="9211153" y="6561061"/>
          <a:ext cx="6098067" cy="12048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73</xdr:col>
      <xdr:colOff>0</xdr:colOff>
      <xdr:row>2</xdr:row>
      <xdr:rowOff>43294</xdr:rowOff>
    </xdr:from>
    <xdr:to>
      <xdr:col>75</xdr:col>
      <xdr:colOff>86591</xdr:colOff>
      <xdr:row>4</xdr:row>
      <xdr:rowOff>102605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1504B8A4-E642-4B02-8828-00768493F896}"/>
            </a:ext>
          </a:extLst>
        </xdr:cNvPr>
        <xdr:cNvSpPr/>
      </xdr:nvSpPr>
      <xdr:spPr>
        <a:xfrm rot="10800000">
          <a:off x="9576955" y="285749"/>
          <a:ext cx="450272" cy="301765"/>
        </a:xfrm>
        <a:prstGeom prst="rightArrow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3D40-B30E-4F83-85BB-71DB9D76051C}">
  <sheetPr>
    <tabColor rgb="FFFFFF00"/>
  </sheetPr>
  <dimension ref="A1:CR1200"/>
  <sheetViews>
    <sheetView topLeftCell="R1" workbookViewId="0">
      <selection activeCell="BE1" sqref="AO1:BE1048576"/>
    </sheetView>
  </sheetViews>
  <sheetFormatPr defaultRowHeight="12" customHeight="1" x14ac:dyDescent="0.25"/>
  <cols>
    <col min="1" max="1" width="2.5703125" customWidth="1"/>
    <col min="2" max="2" width="2.42578125" style="37" bestFit="1" customWidth="1"/>
    <col min="3" max="5" width="1.85546875" style="37" customWidth="1"/>
    <col min="6" max="8" width="2" style="33" customWidth="1"/>
    <col min="9" max="9" width="1.7109375" style="34" customWidth="1"/>
    <col min="10" max="10" width="5.5703125" style="34" customWidth="1"/>
    <col min="11" max="11" width="1.85546875" style="37" bestFit="1" customWidth="1"/>
    <col min="12" max="12" width="8.42578125" style="32" customWidth="1"/>
    <col min="13" max="13" width="1.85546875" style="37" bestFit="1" customWidth="1"/>
    <col min="14" max="14" width="3.28515625" style="37" customWidth="1"/>
    <col min="15" max="15" width="3.7109375" style="2" customWidth="1"/>
    <col min="16" max="16" width="3.7109375" customWidth="1"/>
    <col min="17" max="17" width="3.7109375" style="2" customWidth="1"/>
    <col min="18" max="20" width="3.7109375" customWidth="1"/>
    <col min="21" max="24" width="3.7109375" style="2" customWidth="1"/>
    <col min="25" max="25" width="5.7109375" style="2" bestFit="1" customWidth="1"/>
    <col min="26" max="26" width="6.140625" style="32" customWidth="1"/>
    <col min="27" max="28" width="3" style="1" bestFit="1" customWidth="1"/>
    <col min="29" max="29" width="3" style="1" customWidth="1"/>
    <col min="30" max="30" width="1.85546875" style="35" bestFit="1" customWidth="1"/>
    <col min="31" max="32" width="1.85546875" style="35" customWidth="1"/>
    <col min="33" max="34" width="4.140625" style="35" customWidth="1"/>
    <col min="35" max="35" width="1.85546875" style="35" customWidth="1"/>
    <col min="36" max="40" width="0.140625" customWidth="1"/>
    <col min="41" max="45" width="2.85546875" customWidth="1"/>
    <col min="46" max="46" width="2.85546875" style="35" customWidth="1"/>
    <col min="47" max="56" width="2.85546875" style="36" customWidth="1"/>
    <col min="57" max="57" width="2.85546875" style="35" customWidth="1"/>
    <col min="58" max="67" width="4.28515625" style="35" customWidth="1"/>
  </cols>
  <sheetData>
    <row r="1" spans="1:96" ht="12" customHeight="1" x14ac:dyDescent="0.25">
      <c r="A1" s="8"/>
      <c r="B1" s="8"/>
      <c r="C1" s="8"/>
      <c r="D1" s="8"/>
      <c r="E1" s="8"/>
      <c r="F1" s="9"/>
      <c r="G1" s="9"/>
      <c r="H1" s="9"/>
      <c r="I1" s="10"/>
      <c r="J1" s="10"/>
      <c r="K1" s="8">
        <f>COLUMN()</f>
        <v>11</v>
      </c>
      <c r="L1" s="11"/>
      <c r="M1" s="8">
        <f>COLUMN()</f>
        <v>13</v>
      </c>
      <c r="N1" s="8"/>
      <c r="O1" s="4"/>
      <c r="P1" s="3"/>
      <c r="Q1" s="4"/>
      <c r="R1" s="3"/>
      <c r="S1" s="3"/>
      <c r="T1" s="3"/>
      <c r="U1" s="4"/>
      <c r="V1" s="4"/>
      <c r="W1" s="4"/>
      <c r="X1" s="4"/>
      <c r="Y1" s="4"/>
      <c r="Z1" s="12"/>
      <c r="AA1" s="4"/>
      <c r="AB1" s="4"/>
      <c r="AC1" s="4"/>
      <c r="AD1" s="8">
        <f>COLUMN()</f>
        <v>30</v>
      </c>
      <c r="AE1" s="8"/>
      <c r="AF1" s="8"/>
      <c r="AG1" s="8"/>
      <c r="AH1" s="8"/>
      <c r="AI1" s="8"/>
      <c r="AJ1" s="4"/>
      <c r="AK1" s="4"/>
      <c r="AL1" s="4"/>
      <c r="AM1" s="4"/>
      <c r="AN1" s="4"/>
      <c r="AO1" s="4"/>
      <c r="AP1" s="4"/>
      <c r="AQ1" s="4"/>
      <c r="AR1" s="4"/>
      <c r="AS1" s="4"/>
      <c r="AT1" s="8">
        <f>COLUMN()</f>
        <v>46</v>
      </c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8">
        <f>COLUMN()</f>
        <v>57</v>
      </c>
      <c r="BF1" s="8"/>
      <c r="BG1" s="8"/>
      <c r="BH1" s="8"/>
      <c r="BI1" s="8"/>
      <c r="BJ1" s="8"/>
      <c r="BK1" s="8"/>
      <c r="BL1" s="8"/>
      <c r="BM1" s="8"/>
      <c r="BN1" s="8"/>
      <c r="BO1" s="8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</row>
    <row r="2" spans="1:96" ht="12" customHeight="1" x14ac:dyDescent="0.25">
      <c r="A2" s="3"/>
      <c r="B2" s="7" t="s">
        <v>35</v>
      </c>
      <c r="C2" s="7"/>
      <c r="D2" s="7"/>
      <c r="E2" s="7"/>
      <c r="F2" s="7"/>
      <c r="G2" s="7"/>
      <c r="H2" s="7"/>
      <c r="I2" s="7"/>
      <c r="J2" s="44" t="s">
        <v>67</v>
      </c>
      <c r="K2" s="14"/>
      <c r="L2" s="1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4"/>
      <c r="Z2" s="11"/>
      <c r="AA2" s="15"/>
      <c r="AB2" s="15"/>
      <c r="AC2" s="15"/>
      <c r="AD2" s="16"/>
      <c r="AE2" s="16"/>
      <c r="AF2" s="16"/>
      <c r="AG2" s="15"/>
      <c r="AH2" s="15"/>
      <c r="AI2" s="16"/>
      <c r="AJ2" s="3"/>
      <c r="AK2" s="3"/>
      <c r="AL2" s="3"/>
      <c r="AM2" s="3"/>
      <c r="AN2" s="3"/>
      <c r="AO2" s="3"/>
      <c r="AP2" s="3"/>
      <c r="AQ2" s="3"/>
      <c r="AR2" s="3"/>
      <c r="AS2" s="3"/>
      <c r="AT2" s="16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ht="12" customHeight="1" x14ac:dyDescent="0.25">
      <c r="A3" s="3"/>
      <c r="B3" s="14"/>
      <c r="C3" s="14"/>
      <c r="D3" s="14"/>
      <c r="E3" s="10"/>
      <c r="F3" s="10"/>
      <c r="G3" s="10"/>
      <c r="H3" s="10"/>
      <c r="I3" s="10"/>
      <c r="J3" s="10"/>
      <c r="K3" s="14">
        <f>MAX(L3:V3)</f>
        <v>7</v>
      </c>
      <c r="L3" s="11"/>
      <c r="M3" s="14">
        <f>MAX(O3:X3)</f>
        <v>7</v>
      </c>
      <c r="N3" s="14"/>
      <c r="O3" s="45">
        <f t="shared" ref="O3:V3" si="0">IF(ISNUMBER(O5),O4,"")</f>
        <v>1</v>
      </c>
      <c r="P3" s="45">
        <f t="shared" si="0"/>
        <v>2</v>
      </c>
      <c r="Q3" s="45">
        <f t="shared" si="0"/>
        <v>3</v>
      </c>
      <c r="R3" s="45">
        <f t="shared" si="0"/>
        <v>4</v>
      </c>
      <c r="S3" s="45">
        <f t="shared" si="0"/>
        <v>5</v>
      </c>
      <c r="T3" s="45">
        <f t="shared" si="0"/>
        <v>6</v>
      </c>
      <c r="U3" s="45">
        <f t="shared" si="0"/>
        <v>7</v>
      </c>
      <c r="V3" s="45" t="str">
        <f t="shared" si="0"/>
        <v/>
      </c>
      <c r="W3" s="45" t="str">
        <f>IF(ISNUMBER(W5),W4,"")</f>
        <v/>
      </c>
      <c r="X3" s="45" t="str">
        <f>IF(ISNUMBER(X5),X4,"")</f>
        <v/>
      </c>
      <c r="Y3" s="47">
        <v>1</v>
      </c>
      <c r="Z3" s="11"/>
      <c r="AA3" s="15"/>
      <c r="AB3" s="49" t="str">
        <f>IF(AB4=$CO$2,AB4,"")</f>
        <v/>
      </c>
      <c r="AC3" s="49" t="str">
        <f>IF(AC4=$Y3,AC4,"")</f>
        <v/>
      </c>
      <c r="AD3" s="8"/>
      <c r="AE3" s="8"/>
      <c r="AF3" s="8"/>
      <c r="AG3" s="49"/>
      <c r="AH3" s="49" t="str">
        <f>IF(AH4=$Y3,AH4,"")</f>
        <v/>
      </c>
      <c r="AI3" s="8"/>
      <c r="AJ3" s="4"/>
      <c r="AK3" s="4"/>
      <c r="AL3" s="4"/>
      <c r="AM3" s="4"/>
      <c r="AN3" s="4"/>
      <c r="AO3" s="4"/>
      <c r="AP3" s="4"/>
      <c r="AQ3" s="4"/>
      <c r="AR3" s="4"/>
      <c r="AS3" s="4"/>
      <c r="AT3" s="8"/>
      <c r="AU3" s="11"/>
      <c r="AV3" s="18"/>
      <c r="AW3" s="18"/>
      <c r="AX3" s="18"/>
      <c r="AY3" s="18"/>
      <c r="AZ3" s="18"/>
      <c r="BA3" s="18"/>
      <c r="BB3" s="18"/>
      <c r="BC3" s="18"/>
      <c r="BD3" s="18"/>
      <c r="BE3" s="16"/>
      <c r="BF3" s="59">
        <f>IF(BF4=$Y3,BF4,"")</f>
        <v>1</v>
      </c>
      <c r="BG3" s="60"/>
      <c r="BH3" s="59" t="str">
        <f t="shared" ref="BH3:BJ3" si="1">IF(BH4=$Y3,BH4,"")</f>
        <v/>
      </c>
      <c r="BI3" s="59" t="str">
        <f t="shared" si="1"/>
        <v/>
      </c>
      <c r="BJ3" s="59" t="str">
        <f t="shared" si="1"/>
        <v/>
      </c>
      <c r="BK3" s="59"/>
      <c r="BL3" s="16"/>
      <c r="BM3" s="16"/>
      <c r="BN3" s="16"/>
      <c r="BO3" s="16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ht="12" customHeight="1" x14ac:dyDescent="0.25">
      <c r="A4" s="3"/>
      <c r="B4" s="14"/>
      <c r="C4" s="14"/>
      <c r="D4" s="14"/>
      <c r="E4" s="14"/>
      <c r="F4" s="9"/>
      <c r="G4" s="9"/>
      <c r="H4" s="9"/>
      <c r="I4" s="10"/>
      <c r="J4" s="10"/>
      <c r="K4" s="14"/>
      <c r="L4" s="11"/>
      <c r="M4" s="14"/>
      <c r="N4" s="14"/>
      <c r="O4" s="20">
        <v>1</v>
      </c>
      <c r="P4" s="20">
        <f t="shared" ref="P4:V4" si="2">O4+1</f>
        <v>2</v>
      </c>
      <c r="Q4" s="20">
        <f t="shared" si="2"/>
        <v>3</v>
      </c>
      <c r="R4" s="20">
        <f t="shared" si="2"/>
        <v>4</v>
      </c>
      <c r="S4" s="20">
        <f t="shared" si="2"/>
        <v>5</v>
      </c>
      <c r="T4" s="20">
        <f t="shared" si="2"/>
        <v>6</v>
      </c>
      <c r="U4" s="20">
        <f t="shared" si="2"/>
        <v>7</v>
      </c>
      <c r="V4" s="20">
        <f t="shared" si="2"/>
        <v>8</v>
      </c>
      <c r="W4" s="20">
        <f>V4+1</f>
        <v>9</v>
      </c>
      <c r="X4" s="20">
        <f>W4+1</f>
        <v>10</v>
      </c>
      <c r="Y4" s="4"/>
      <c r="Z4" s="11"/>
      <c r="AA4" s="15"/>
      <c r="AB4" s="50">
        <v>2</v>
      </c>
      <c r="AC4" s="50">
        <v>2</v>
      </c>
      <c r="AD4" s="16"/>
      <c r="AE4" s="57" t="s">
        <v>0</v>
      </c>
      <c r="AF4" s="57" t="s">
        <v>0</v>
      </c>
      <c r="AG4" s="50">
        <v>3</v>
      </c>
      <c r="AH4" s="50">
        <v>3</v>
      </c>
      <c r="AI4" s="16"/>
      <c r="AJ4" s="19">
        <f t="shared" ref="AJ4:AS4" si="3">COUNTIF($AB7:$AB42,"="&amp;AJ5)</f>
        <v>5</v>
      </c>
      <c r="AK4" s="19">
        <f t="shared" si="3"/>
        <v>3</v>
      </c>
      <c r="AL4" s="19">
        <f t="shared" si="3"/>
        <v>4</v>
      </c>
      <c r="AM4" s="19">
        <f t="shared" si="3"/>
        <v>4</v>
      </c>
      <c r="AN4" s="19">
        <f t="shared" si="3"/>
        <v>6</v>
      </c>
      <c r="AO4" s="19">
        <f t="shared" si="3"/>
        <v>5</v>
      </c>
      <c r="AP4" s="19">
        <f t="shared" si="3"/>
        <v>2</v>
      </c>
      <c r="AQ4" s="19">
        <f t="shared" si="3"/>
        <v>0</v>
      </c>
      <c r="AR4" s="19">
        <f t="shared" si="3"/>
        <v>0</v>
      </c>
      <c r="AS4" s="19">
        <f t="shared" si="3"/>
        <v>0</v>
      </c>
      <c r="AT4" s="16"/>
      <c r="AU4" s="21">
        <v>1</v>
      </c>
      <c r="AV4" s="21">
        <v>1</v>
      </c>
      <c r="AW4" s="21">
        <v>1</v>
      </c>
      <c r="AX4" s="21">
        <v>1</v>
      </c>
      <c r="AY4" s="21">
        <v>1</v>
      </c>
      <c r="AZ4" s="21">
        <v>1</v>
      </c>
      <c r="BA4" s="21">
        <v>1</v>
      </c>
      <c r="BB4" s="21">
        <v>1</v>
      </c>
      <c r="BC4" s="21">
        <v>1</v>
      </c>
      <c r="BD4" s="21">
        <v>1</v>
      </c>
      <c r="BE4" s="16"/>
      <c r="BF4" s="50">
        <v>1</v>
      </c>
      <c r="BG4" s="19"/>
      <c r="BH4" s="50">
        <v>4</v>
      </c>
      <c r="BI4" s="50">
        <v>5</v>
      </c>
      <c r="BJ4" s="50">
        <v>6</v>
      </c>
      <c r="BK4" s="50"/>
      <c r="BL4" s="16"/>
      <c r="BM4" s="16"/>
      <c r="BN4" s="16"/>
      <c r="BO4" s="16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ht="12" customHeight="1" x14ac:dyDescent="0.25">
      <c r="A5" s="10"/>
      <c r="B5" s="43" t="s">
        <v>66</v>
      </c>
      <c r="C5" s="43"/>
      <c r="D5" s="10" t="s">
        <v>68</v>
      </c>
      <c r="E5" s="3"/>
      <c r="F5" s="41" t="s">
        <v>65</v>
      </c>
      <c r="G5" s="3"/>
      <c r="H5" s="3"/>
      <c r="I5" s="3"/>
      <c r="J5" s="3"/>
      <c r="K5" s="3"/>
      <c r="L5" s="6"/>
      <c r="M5" s="3"/>
      <c r="N5" s="3"/>
      <c r="O5" s="46">
        <v>1</v>
      </c>
      <c r="P5" s="46">
        <v>1</v>
      </c>
      <c r="Q5" s="46">
        <v>1</v>
      </c>
      <c r="R5" s="46">
        <v>1</v>
      </c>
      <c r="S5" s="46">
        <v>1</v>
      </c>
      <c r="T5" s="46">
        <v>1</v>
      </c>
      <c r="U5" s="46">
        <v>1</v>
      </c>
      <c r="V5" s="46"/>
      <c r="W5" s="46"/>
      <c r="X5" s="46"/>
      <c r="Y5" s="38"/>
      <c r="Z5" s="38"/>
      <c r="AA5" s="39"/>
      <c r="AB5" s="39">
        <f>MAX(AB7:AB42)</f>
        <v>7</v>
      </c>
      <c r="AC5" s="39"/>
      <c r="AD5" s="19"/>
      <c r="AE5" s="19">
        <v>0</v>
      </c>
      <c r="AF5" s="19">
        <v>0</v>
      </c>
      <c r="AG5" s="39">
        <f>MAX(AG7:AG42)</f>
        <v>10</v>
      </c>
      <c r="AH5" s="39"/>
      <c r="AI5" s="16"/>
      <c r="AJ5" s="20">
        <v>1</v>
      </c>
      <c r="AK5" s="20">
        <f t="shared" ref="AK5:AS5" si="4">AJ5+1</f>
        <v>2</v>
      </c>
      <c r="AL5" s="20">
        <f t="shared" si="4"/>
        <v>3</v>
      </c>
      <c r="AM5" s="20">
        <f t="shared" si="4"/>
        <v>4</v>
      </c>
      <c r="AN5" s="20">
        <f t="shared" si="4"/>
        <v>5</v>
      </c>
      <c r="AO5" s="20">
        <f t="shared" si="4"/>
        <v>6</v>
      </c>
      <c r="AP5" s="20">
        <f t="shared" si="4"/>
        <v>7</v>
      </c>
      <c r="AQ5" s="20">
        <f t="shared" si="4"/>
        <v>8</v>
      </c>
      <c r="AR5" s="20">
        <f t="shared" si="4"/>
        <v>9</v>
      </c>
      <c r="AS5" s="20">
        <f t="shared" si="4"/>
        <v>10</v>
      </c>
      <c r="AT5" s="16"/>
      <c r="AU5" s="20">
        <f>AT4+1</f>
        <v>1</v>
      </c>
      <c r="AV5" s="20">
        <f t="shared" ref="AV5:BD5" si="5">AU5+1</f>
        <v>2</v>
      </c>
      <c r="AW5" s="20">
        <f t="shared" si="5"/>
        <v>3</v>
      </c>
      <c r="AX5" s="20">
        <f t="shared" si="5"/>
        <v>4</v>
      </c>
      <c r="AY5" s="20">
        <f t="shared" si="5"/>
        <v>5</v>
      </c>
      <c r="AZ5" s="20">
        <f t="shared" si="5"/>
        <v>6</v>
      </c>
      <c r="BA5" s="20">
        <f t="shared" si="5"/>
        <v>7</v>
      </c>
      <c r="BB5" s="20">
        <f t="shared" si="5"/>
        <v>8</v>
      </c>
      <c r="BC5" s="20">
        <f t="shared" si="5"/>
        <v>9</v>
      </c>
      <c r="BD5" s="20">
        <f t="shared" si="5"/>
        <v>10</v>
      </c>
      <c r="BE5" s="16"/>
      <c r="BF5" s="51" t="s">
        <v>69</v>
      </c>
      <c r="BG5" s="52"/>
      <c r="BH5" s="52"/>
      <c r="BI5" s="52"/>
      <c r="BJ5" s="52"/>
      <c r="BK5" s="52"/>
      <c r="BL5" s="16"/>
      <c r="BM5" s="16"/>
      <c r="BN5" s="16"/>
      <c r="BO5" s="16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ht="12" customHeight="1" x14ac:dyDescent="0.25">
      <c r="A6" s="3"/>
      <c r="B6" s="22"/>
      <c r="C6" s="22"/>
      <c r="D6" s="22"/>
      <c r="E6" s="14"/>
      <c r="F6" s="22" t="s">
        <v>36</v>
      </c>
      <c r="G6" s="22" t="s">
        <v>37</v>
      </c>
      <c r="H6" s="22" t="s">
        <v>2</v>
      </c>
      <c r="I6" s="23" t="s">
        <v>38</v>
      </c>
      <c r="J6" s="42" t="s">
        <v>38</v>
      </c>
      <c r="K6" s="14"/>
      <c r="L6" s="6"/>
      <c r="M6" s="14"/>
      <c r="N6" s="14"/>
      <c r="O6" s="5"/>
      <c r="P6" s="24"/>
      <c r="Q6" s="24"/>
      <c r="R6" s="25" t="s">
        <v>36</v>
      </c>
      <c r="S6" s="25" t="s">
        <v>37</v>
      </c>
      <c r="T6" s="25" t="s">
        <v>2</v>
      </c>
      <c r="U6" s="25" t="s">
        <v>38</v>
      </c>
      <c r="V6" s="25" t="s">
        <v>39</v>
      </c>
      <c r="W6" s="25"/>
      <c r="X6" s="25"/>
      <c r="Y6" s="39" t="s">
        <v>3</v>
      </c>
      <c r="Z6" s="39" t="s">
        <v>3</v>
      </c>
      <c r="AA6" s="39">
        <v>1</v>
      </c>
      <c r="AB6" s="39">
        <f>IF(AA6=0,AB5,AA6)</f>
        <v>1</v>
      </c>
      <c r="AC6" s="39"/>
      <c r="AD6" s="19"/>
      <c r="AE6" s="19">
        <v>0</v>
      </c>
      <c r="AF6" s="19">
        <v>0</v>
      </c>
      <c r="AG6" s="39">
        <f>IF(AD6=0,AG5,AD6)</f>
        <v>10</v>
      </c>
      <c r="AH6" s="39"/>
      <c r="AI6" s="16"/>
      <c r="AJ6" s="10">
        <f t="shared" ref="AJ6:AS6" si="6">MAX(AJ7:AJ15)</f>
        <v>5</v>
      </c>
      <c r="AK6" s="10">
        <f t="shared" si="6"/>
        <v>8</v>
      </c>
      <c r="AL6" s="10">
        <f t="shared" si="6"/>
        <v>12</v>
      </c>
      <c r="AM6" s="10">
        <f t="shared" si="6"/>
        <v>16</v>
      </c>
      <c r="AN6" s="10">
        <f t="shared" si="6"/>
        <v>22</v>
      </c>
      <c r="AO6" s="10">
        <f t="shared" si="6"/>
        <v>27</v>
      </c>
      <c r="AP6" s="10">
        <f t="shared" si="6"/>
        <v>29</v>
      </c>
      <c r="AQ6" s="10">
        <f t="shared" si="6"/>
        <v>0</v>
      </c>
      <c r="AR6" s="10">
        <f t="shared" si="6"/>
        <v>0</v>
      </c>
      <c r="AS6" s="10">
        <f t="shared" si="6"/>
        <v>0</v>
      </c>
      <c r="AT6" s="16"/>
      <c r="AU6" s="18" t="s">
        <v>33</v>
      </c>
      <c r="AV6" s="18" t="s">
        <v>33</v>
      </c>
      <c r="AW6" s="18" t="s">
        <v>33</v>
      </c>
      <c r="AX6" s="18" t="s">
        <v>33</v>
      </c>
      <c r="AY6" s="18" t="s">
        <v>33</v>
      </c>
      <c r="AZ6" s="18" t="s">
        <v>33</v>
      </c>
      <c r="BA6" s="18" t="s">
        <v>33</v>
      </c>
      <c r="BB6" s="18" t="s">
        <v>33</v>
      </c>
      <c r="BC6" s="18" t="s">
        <v>33</v>
      </c>
      <c r="BD6" s="18" t="s">
        <v>33</v>
      </c>
      <c r="BE6" s="16"/>
      <c r="BF6" s="21"/>
      <c r="BG6" s="21">
        <v>0</v>
      </c>
      <c r="BH6" s="21">
        <v>1</v>
      </c>
      <c r="BI6" s="21">
        <v>2</v>
      </c>
      <c r="BJ6" s="21">
        <v>3</v>
      </c>
      <c r="BK6" s="21"/>
      <c r="BL6" s="16"/>
      <c r="BM6" s="16"/>
      <c r="BN6" s="16"/>
      <c r="BO6" s="16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ht="12" customHeight="1" x14ac:dyDescent="0.25">
      <c r="A7" s="3"/>
      <c r="B7" s="23">
        <f t="shared" ref="B7:B42" si="7">IF(ISNUMBER(C7),B6+1,"")</f>
        <v>1</v>
      </c>
      <c r="C7" s="48">
        <v>471134.78129999997</v>
      </c>
      <c r="D7" s="48">
        <v>7613992.75</v>
      </c>
      <c r="E7" s="14"/>
      <c r="F7" s="48">
        <v>467509.78129999997</v>
      </c>
      <c r="G7" s="48">
        <v>7616967.75</v>
      </c>
      <c r="H7" s="29" t="s">
        <v>30</v>
      </c>
      <c r="I7" s="30" t="s">
        <v>43</v>
      </c>
      <c r="J7" s="30">
        <v>989</v>
      </c>
      <c r="K7" s="14"/>
      <c r="L7" s="27" t="s">
        <v>1</v>
      </c>
      <c r="M7" s="14"/>
      <c r="N7" s="61">
        <f>IF(ISNUMBER(O7),O7-1,"")</f>
        <v>0</v>
      </c>
      <c r="O7" s="6">
        <f t="shared" ref="O7:O42" si="8">IF(ISNUMBER(Q7),ROW()-ROW(O$6),"")</f>
        <v>1</v>
      </c>
      <c r="P7" s="38" t="str">
        <f t="shared" ref="P7:P42" si="9">IF($AB7=M$3,O7,"")</f>
        <v/>
      </c>
      <c r="Q7" s="28">
        <f>IF(ISNUMBER(R7),Q6+1,"")</f>
        <v>1</v>
      </c>
      <c r="R7" s="48">
        <v>467509.78129999997</v>
      </c>
      <c r="S7" s="48">
        <v>7616967.75</v>
      </c>
      <c r="T7" s="29" t="s">
        <v>30</v>
      </c>
      <c r="U7" s="30" t="s">
        <v>43</v>
      </c>
      <c r="V7" s="30">
        <v>989</v>
      </c>
      <c r="W7" s="25">
        <f>IF(ISNUMBER(R7),R7-MIN(R$7:R$42),"")</f>
        <v>3337.5</v>
      </c>
      <c r="X7" s="25">
        <f>IF(ISNUMBER(R7),S7-MIN(S$7:S$42),"")</f>
        <v>9037.5</v>
      </c>
      <c r="Y7" s="25">
        <f t="shared" ref="Y7:Y42" si="10">IF(ISNUMBER(R7),_xlfn.IFS($Y$3=0,_xlfn.CONCAT(ROUND(W7,0),", ",ROUND(X7,0)),$Y$3=1,N7,$Y$3=2,_xlfn.CONCAT(AB7,AC7),$Y$3=3,_xlfn.CONCAT(AG7,AH7),$Y$3=4,BH7,$Y$3=5,BI7,$Y$3=6,BJ7),"")</f>
        <v>0</v>
      </c>
      <c r="Z7" s="58">
        <f>Z8-Z8/3</f>
        <v>18.666666666666664</v>
      </c>
      <c r="AA7" s="39">
        <f>IF(Z7&lt;0,MAX(AA$6:AA6)+1,0)</f>
        <v>0</v>
      </c>
      <c r="AB7" s="39">
        <f t="shared" ref="AB7:AB35" si="11">IF(ISNUMBER(R7),IF(AA7=0,AB6,AA7),"")</f>
        <v>1</v>
      </c>
      <c r="AC7" s="39">
        <v>1</v>
      </c>
      <c r="AD7" s="19"/>
      <c r="AE7" s="19">
        <v>0</v>
      </c>
      <c r="AF7" s="19">
        <v>0</v>
      </c>
      <c r="AG7" s="39">
        <f t="shared" ref="AG7:AG42" si="12">IF(ISNUMBER(R7),AB7+AE7,"")</f>
        <v>1</v>
      </c>
      <c r="AH7" s="39">
        <f t="shared" ref="AH7:AH42" si="13">IF(ISNUMBER(S7),AC7+AF7,"")</f>
        <v>1</v>
      </c>
      <c r="AI7" s="16"/>
      <c r="AJ7" s="40">
        <f t="shared" ref="AJ7:AJ15" si="14">IF($O7&lt;=AJ$4,$O7+AD$6,"")</f>
        <v>1</v>
      </c>
      <c r="AK7" s="40">
        <f t="shared" ref="AK7:AS15" si="15">IF($O7&lt;=AK$4,$O7+AJ$6,"")</f>
        <v>6</v>
      </c>
      <c r="AL7" s="40">
        <f t="shared" si="15"/>
        <v>9</v>
      </c>
      <c r="AM7" s="40">
        <f t="shared" si="15"/>
        <v>13</v>
      </c>
      <c r="AN7" s="40">
        <f t="shared" si="15"/>
        <v>17</v>
      </c>
      <c r="AO7" s="40">
        <f t="shared" si="15"/>
        <v>23</v>
      </c>
      <c r="AP7" s="40">
        <f t="shared" si="15"/>
        <v>28</v>
      </c>
      <c r="AQ7" s="40" t="str">
        <f t="shared" si="15"/>
        <v/>
      </c>
      <c r="AR7" s="40" t="str">
        <f t="shared" si="15"/>
        <v/>
      </c>
      <c r="AS7" s="40" t="str">
        <f t="shared" si="15"/>
        <v/>
      </c>
      <c r="AT7" s="31"/>
      <c r="AU7" s="40">
        <f t="shared" ref="AU7:AU15" si="16">IF(ISNUMBER(AJ7),INDEX($R$7:$S$42,AJ7,AU$4),AU6)</f>
        <v>467509.78129999997</v>
      </c>
      <c r="AV7" s="40">
        <f t="shared" ref="AV7:AV15" si="17">IF(ISNUMBER(AK7),INDEX($R$7:$S$42,AK7,AV$4),AV6)</f>
        <v>471134.78129999997</v>
      </c>
      <c r="AW7" s="40">
        <f t="shared" ref="AW7:AW15" si="18">IF(ISNUMBER(AL7),INDEX($R$7:$S$42,AL7,AW$4),AW6)</f>
        <v>469934.78129999997</v>
      </c>
      <c r="AX7" s="40">
        <f t="shared" ref="AX7:AX15" si="19">IF(ISNUMBER(AM7),INDEX($R$7:$S$42,AM7,AX$4),AX6)</f>
        <v>468434.78129999997</v>
      </c>
      <c r="AY7" s="40">
        <f t="shared" ref="AY7:AY15" si="20">IF(ISNUMBER(AN7),INDEX($R$7:$S$42,AN7,AY$4),AY6)</f>
        <v>464872.28129999997</v>
      </c>
      <c r="AZ7" s="40">
        <f t="shared" ref="AZ7:AZ15" si="21">IF(ISNUMBER(AO7),INDEX($R$7:$S$42,AO7,AZ$4),AZ6)</f>
        <v>468284.78129999997</v>
      </c>
      <c r="BA7" s="40">
        <f t="shared" ref="BA7:BA15" si="22">IF(ISNUMBER(AP7),INDEX($R$7:$S$42,AP7,BA$4),BA6)</f>
        <v>464822.28129999997</v>
      </c>
      <c r="BB7" s="40" t="str">
        <f t="shared" ref="BB7:BB15" si="23">IF(ISNUMBER(AQ7),INDEX($R$7:$S$42,AQ7,BB$4),BB6)</f>
        <v>x</v>
      </c>
      <c r="BC7" s="40" t="str">
        <f t="shared" ref="BC7:BC15" si="24">IF(ISNUMBER(AR7),INDEX($R$7:$S$42,AR7,BC$4),BC6)</f>
        <v>x</v>
      </c>
      <c r="BD7" s="40" t="str">
        <f t="shared" ref="BD7:BD15" si="25">IF(ISNUMBER(AS7),INDEX($R$7:$S$42,AS7,BD$4),BD6)</f>
        <v>x</v>
      </c>
      <c r="BE7" s="18"/>
      <c r="BF7" s="53">
        <v>0</v>
      </c>
      <c r="BG7" s="39">
        <v>0</v>
      </c>
      <c r="BH7" s="54">
        <v>0</v>
      </c>
      <c r="BI7" s="56" t="s">
        <v>70</v>
      </c>
      <c r="BJ7" s="54" t="s">
        <v>3</v>
      </c>
      <c r="BK7" s="54"/>
      <c r="BL7" s="18"/>
      <c r="BM7" s="18"/>
      <c r="BN7" s="18"/>
      <c r="BO7" s="18"/>
      <c r="BP7" s="18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ht="12" customHeight="1" x14ac:dyDescent="0.25">
      <c r="A8" s="3"/>
      <c r="B8" s="23">
        <f t="shared" si="7"/>
        <v>2</v>
      </c>
      <c r="C8" s="48">
        <v>469922.28129999997</v>
      </c>
      <c r="D8" s="48">
        <v>7614405.25</v>
      </c>
      <c r="E8" s="14"/>
      <c r="F8" s="48">
        <v>468059.78129999997</v>
      </c>
      <c r="G8" s="48">
        <v>7616642.75</v>
      </c>
      <c r="H8" s="29" t="s">
        <v>29</v>
      </c>
      <c r="I8" s="30" t="s">
        <v>44</v>
      </c>
      <c r="J8" s="30">
        <v>961</v>
      </c>
      <c r="K8" s="14"/>
      <c r="L8" s="27">
        <f t="shared" ref="L8:L42" si="26">IF(ISNUMBER(R8),SQRT((R8-R7)^2+(S8-S7)^2),"")</f>
        <v>638.84661695903185</v>
      </c>
      <c r="M8" s="14"/>
      <c r="N8" s="61">
        <f t="shared" ref="N8:N42" si="27">IF(ISNUMBER(O8),O8-1,"")</f>
        <v>1</v>
      </c>
      <c r="O8" s="6">
        <f t="shared" si="8"/>
        <v>2</v>
      </c>
      <c r="P8" s="38" t="str">
        <f t="shared" si="9"/>
        <v/>
      </c>
      <c r="Q8" s="28">
        <f>IF(ISNUMBER(R8),Q7+1,"")</f>
        <v>2</v>
      </c>
      <c r="R8" s="48">
        <v>468059.78129999997</v>
      </c>
      <c r="S8" s="48">
        <v>7616642.75</v>
      </c>
      <c r="T8" s="29" t="s">
        <v>29</v>
      </c>
      <c r="U8" s="30" t="s">
        <v>44</v>
      </c>
      <c r="V8" s="30">
        <v>961</v>
      </c>
      <c r="W8" s="25">
        <f t="shared" ref="W8:W32" si="28">IF(ISNUMBER(R8),R8-MIN(R$7:R$42),"")</f>
        <v>3887.5</v>
      </c>
      <c r="X8" s="25">
        <f t="shared" ref="X8:X32" si="29">IF(ISNUMBER(R8),S8-MIN(S$7:S$42),"")</f>
        <v>8712.5</v>
      </c>
      <c r="Y8" s="25">
        <f t="shared" si="10"/>
        <v>1</v>
      </c>
      <c r="Z8" s="38">
        <f>IF(ISNUMBER(R8),V7-V8,"")</f>
        <v>28</v>
      </c>
      <c r="AA8" s="39">
        <f>IF(Z8&lt;0,MAX(AA$6:AA7)+1,0)</f>
        <v>0</v>
      </c>
      <c r="AB8" s="39">
        <f t="shared" si="11"/>
        <v>1</v>
      </c>
      <c r="AC8" s="39">
        <f>IF(ISNUMBER(R7),IF(AA8&lt;&gt;0,1,AC7+1),"")</f>
        <v>2</v>
      </c>
      <c r="AD8" s="19"/>
      <c r="AE8" s="19">
        <v>0</v>
      </c>
      <c r="AF8" s="19">
        <v>0</v>
      </c>
      <c r="AG8" s="39">
        <f t="shared" si="12"/>
        <v>1</v>
      </c>
      <c r="AH8" s="39">
        <f t="shared" si="13"/>
        <v>2</v>
      </c>
      <c r="AI8" s="16"/>
      <c r="AJ8" s="40">
        <f t="shared" si="14"/>
        <v>2</v>
      </c>
      <c r="AK8" s="40">
        <f t="shared" si="15"/>
        <v>7</v>
      </c>
      <c r="AL8" s="40">
        <f t="shared" si="15"/>
        <v>10</v>
      </c>
      <c r="AM8" s="40">
        <f t="shared" si="15"/>
        <v>14</v>
      </c>
      <c r="AN8" s="40">
        <f t="shared" si="15"/>
        <v>18</v>
      </c>
      <c r="AO8" s="40">
        <f t="shared" si="15"/>
        <v>24</v>
      </c>
      <c r="AP8" s="40">
        <f t="shared" si="15"/>
        <v>29</v>
      </c>
      <c r="AQ8" s="40" t="str">
        <f t="shared" si="15"/>
        <v/>
      </c>
      <c r="AR8" s="40" t="str">
        <f t="shared" si="15"/>
        <v/>
      </c>
      <c r="AS8" s="40" t="str">
        <f t="shared" si="15"/>
        <v/>
      </c>
      <c r="AT8" s="31"/>
      <c r="AU8" s="40">
        <f t="shared" si="16"/>
        <v>468059.78129999997</v>
      </c>
      <c r="AV8" s="40">
        <f t="shared" si="17"/>
        <v>469922.28129999997</v>
      </c>
      <c r="AW8" s="40">
        <f t="shared" si="18"/>
        <v>468797.28129999997</v>
      </c>
      <c r="AX8" s="40">
        <f t="shared" si="19"/>
        <v>467384.78129999997</v>
      </c>
      <c r="AY8" s="40">
        <f t="shared" si="20"/>
        <v>465422.28129999997</v>
      </c>
      <c r="AZ8" s="40">
        <f t="shared" si="21"/>
        <v>466622.28129999997</v>
      </c>
      <c r="BA8" s="40">
        <f t="shared" si="22"/>
        <v>464172.28129999997</v>
      </c>
      <c r="BB8" s="40" t="str">
        <f t="shared" si="23"/>
        <v>x</v>
      </c>
      <c r="BC8" s="40" t="str">
        <f t="shared" si="24"/>
        <v>x</v>
      </c>
      <c r="BD8" s="40" t="str">
        <f t="shared" si="25"/>
        <v>x</v>
      </c>
      <c r="BE8" s="18"/>
      <c r="BF8" s="39">
        <v>1</v>
      </c>
      <c r="BG8" s="39">
        <v>1</v>
      </c>
      <c r="BH8" s="54">
        <f t="shared" ref="BH8:BH10" si="30">BH7+1</f>
        <v>1</v>
      </c>
      <c r="BI8" s="54">
        <v>-1</v>
      </c>
      <c r="BJ8" s="54" t="s">
        <v>3</v>
      </c>
      <c r="BK8" s="54"/>
      <c r="BL8" s="18"/>
      <c r="BM8" s="18"/>
      <c r="BN8" s="18"/>
      <c r="BO8" s="18"/>
      <c r="BP8" s="18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ht="12" customHeight="1" x14ac:dyDescent="0.25">
      <c r="A9" s="3"/>
      <c r="B9" s="23">
        <f t="shared" si="7"/>
        <v>3</v>
      </c>
      <c r="C9" s="48">
        <v>468834.78129999997</v>
      </c>
      <c r="D9" s="48">
        <v>7614292.75</v>
      </c>
      <c r="E9" s="14"/>
      <c r="F9" s="48">
        <v>468334.78129999997</v>
      </c>
      <c r="G9" s="48">
        <v>7615805.25</v>
      </c>
      <c r="H9" s="29" t="s">
        <v>28</v>
      </c>
      <c r="I9" s="30" t="s">
        <v>45</v>
      </c>
      <c r="J9" s="30">
        <v>937</v>
      </c>
      <c r="K9" s="14"/>
      <c r="L9" s="27">
        <f t="shared" si="26"/>
        <v>881.49376061319913</v>
      </c>
      <c r="M9" s="14"/>
      <c r="N9" s="61">
        <f t="shared" si="27"/>
        <v>2</v>
      </c>
      <c r="O9" s="6">
        <f t="shared" si="8"/>
        <v>3</v>
      </c>
      <c r="P9" s="38" t="str">
        <f t="shared" si="9"/>
        <v/>
      </c>
      <c r="Q9" s="28">
        <f t="shared" ref="Q9:Q42" si="31">IF(ISNUMBER(R9),Q8+1,"")</f>
        <v>3</v>
      </c>
      <c r="R9" s="48">
        <v>468334.78129999997</v>
      </c>
      <c r="S9" s="48">
        <v>7615805.25</v>
      </c>
      <c r="T9" s="29" t="s">
        <v>28</v>
      </c>
      <c r="U9" s="30" t="s">
        <v>45</v>
      </c>
      <c r="V9" s="30">
        <v>937</v>
      </c>
      <c r="W9" s="25">
        <f t="shared" si="28"/>
        <v>4162.5</v>
      </c>
      <c r="X9" s="25">
        <f t="shared" si="29"/>
        <v>7875</v>
      </c>
      <c r="Y9" s="25">
        <f t="shared" si="10"/>
        <v>2</v>
      </c>
      <c r="Z9" s="38">
        <f t="shared" ref="Z9:Z35" si="32">IF(ISNUMBER(R9),V8-V9,"")</f>
        <v>24</v>
      </c>
      <c r="AA9" s="39">
        <f>IF(Z9&lt;0,MAX(AA$6:AA8)+1,0)</f>
        <v>0</v>
      </c>
      <c r="AB9" s="39">
        <f t="shared" si="11"/>
        <v>1</v>
      </c>
      <c r="AC9" s="39">
        <f t="shared" ref="AC9:AC42" si="33">IF(ISNUMBER(R8),IF(AA9&lt;&gt;0,1,AC8+1),"")</f>
        <v>3</v>
      </c>
      <c r="AD9" s="19"/>
      <c r="AE9" s="19">
        <v>0</v>
      </c>
      <c r="AF9" s="19">
        <v>0</v>
      </c>
      <c r="AG9" s="39">
        <f t="shared" si="12"/>
        <v>1</v>
      </c>
      <c r="AH9" s="39">
        <f t="shared" si="13"/>
        <v>3</v>
      </c>
      <c r="AI9" s="16"/>
      <c r="AJ9" s="40">
        <f t="shared" si="14"/>
        <v>3</v>
      </c>
      <c r="AK9" s="40">
        <f t="shared" si="15"/>
        <v>8</v>
      </c>
      <c r="AL9" s="40">
        <f t="shared" si="15"/>
        <v>11</v>
      </c>
      <c r="AM9" s="40">
        <f t="shared" si="15"/>
        <v>15</v>
      </c>
      <c r="AN9" s="40">
        <f t="shared" si="15"/>
        <v>19</v>
      </c>
      <c r="AO9" s="40">
        <f t="shared" si="15"/>
        <v>25</v>
      </c>
      <c r="AP9" s="40" t="str">
        <f t="shared" si="15"/>
        <v/>
      </c>
      <c r="AQ9" s="40" t="str">
        <f t="shared" si="15"/>
        <v/>
      </c>
      <c r="AR9" s="40" t="str">
        <f t="shared" si="15"/>
        <v/>
      </c>
      <c r="AS9" s="40" t="str">
        <f t="shared" si="15"/>
        <v/>
      </c>
      <c r="AT9" s="31"/>
      <c r="AU9" s="40">
        <f t="shared" si="16"/>
        <v>468334.78129999997</v>
      </c>
      <c r="AV9" s="40">
        <f t="shared" si="17"/>
        <v>468834.78129999997</v>
      </c>
      <c r="AW9" s="40">
        <f t="shared" si="18"/>
        <v>467797.28129999997</v>
      </c>
      <c r="AX9" s="40">
        <f t="shared" si="19"/>
        <v>466597.28129999997</v>
      </c>
      <c r="AY9" s="40">
        <f t="shared" si="20"/>
        <v>465284.78129999997</v>
      </c>
      <c r="AZ9" s="40">
        <f t="shared" si="21"/>
        <v>466097.28129999997</v>
      </c>
      <c r="BA9" s="40">
        <f t="shared" si="22"/>
        <v>464172.28129999997</v>
      </c>
      <c r="BB9" s="40" t="str">
        <f t="shared" si="23"/>
        <v>x</v>
      </c>
      <c r="BC9" s="40" t="str">
        <f t="shared" si="24"/>
        <v>x</v>
      </c>
      <c r="BD9" s="40" t="str">
        <f t="shared" si="25"/>
        <v>x</v>
      </c>
      <c r="BE9" s="18"/>
      <c r="BF9" s="39">
        <v>2</v>
      </c>
      <c r="BG9" s="39">
        <v>2</v>
      </c>
      <c r="BH9" s="54">
        <f t="shared" si="30"/>
        <v>2</v>
      </c>
      <c r="BI9" s="54">
        <f>BI8-1</f>
        <v>-2</v>
      </c>
      <c r="BJ9" s="54" t="s">
        <v>3</v>
      </c>
      <c r="BK9" s="54"/>
      <c r="BL9" s="18"/>
      <c r="BM9" s="18"/>
      <c r="BN9" s="18"/>
      <c r="BO9" s="18"/>
      <c r="BP9" s="18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ht="12" customHeight="1" x14ac:dyDescent="0.25">
      <c r="A10" s="3"/>
      <c r="B10" s="23">
        <f t="shared" si="7"/>
        <v>4</v>
      </c>
      <c r="C10" s="48">
        <v>467509.78129999997</v>
      </c>
      <c r="D10" s="48">
        <v>7616967.75</v>
      </c>
      <c r="E10" s="14"/>
      <c r="F10" s="48">
        <v>468397.28129999997</v>
      </c>
      <c r="G10" s="48">
        <v>7614955.25</v>
      </c>
      <c r="H10" s="29" t="s">
        <v>27</v>
      </c>
      <c r="I10" s="30" t="s">
        <v>46</v>
      </c>
      <c r="J10" s="30">
        <v>903</v>
      </c>
      <c r="K10" s="14"/>
      <c r="L10" s="27">
        <f t="shared" si="26"/>
        <v>852.29469668653928</v>
      </c>
      <c r="M10" s="14"/>
      <c r="N10" s="61">
        <f t="shared" si="27"/>
        <v>3</v>
      </c>
      <c r="O10" s="6">
        <f t="shared" si="8"/>
        <v>4</v>
      </c>
      <c r="P10" s="38" t="str">
        <f t="shared" si="9"/>
        <v/>
      </c>
      <c r="Q10" s="28">
        <f t="shared" si="31"/>
        <v>4</v>
      </c>
      <c r="R10" s="48">
        <v>468397.28129999997</v>
      </c>
      <c r="S10" s="48">
        <v>7614955.25</v>
      </c>
      <c r="T10" s="29" t="s">
        <v>27</v>
      </c>
      <c r="U10" s="30" t="s">
        <v>46</v>
      </c>
      <c r="V10" s="30">
        <v>903</v>
      </c>
      <c r="W10" s="25">
        <f t="shared" si="28"/>
        <v>4225</v>
      </c>
      <c r="X10" s="25">
        <f t="shared" si="29"/>
        <v>7025</v>
      </c>
      <c r="Y10" s="25">
        <f t="shared" si="10"/>
        <v>3</v>
      </c>
      <c r="Z10" s="38">
        <f t="shared" si="32"/>
        <v>34</v>
      </c>
      <c r="AA10" s="39">
        <f>IF(Z10&lt;0,MAX(AA$6:AA9)+1,0)</f>
        <v>0</v>
      </c>
      <c r="AB10" s="39">
        <f t="shared" si="11"/>
        <v>1</v>
      </c>
      <c r="AC10" s="39">
        <f t="shared" si="33"/>
        <v>4</v>
      </c>
      <c r="AD10" s="19"/>
      <c r="AE10" s="19">
        <v>0</v>
      </c>
      <c r="AF10" s="19">
        <v>0</v>
      </c>
      <c r="AG10" s="39">
        <f t="shared" si="12"/>
        <v>1</v>
      </c>
      <c r="AH10" s="39">
        <f t="shared" si="13"/>
        <v>4</v>
      </c>
      <c r="AI10" s="16"/>
      <c r="AJ10" s="40">
        <f t="shared" si="14"/>
        <v>4</v>
      </c>
      <c r="AK10" s="40" t="str">
        <f t="shared" si="15"/>
        <v/>
      </c>
      <c r="AL10" s="40">
        <f t="shared" si="15"/>
        <v>12</v>
      </c>
      <c r="AM10" s="40">
        <f t="shared" si="15"/>
        <v>16</v>
      </c>
      <c r="AN10" s="40">
        <f t="shared" si="15"/>
        <v>20</v>
      </c>
      <c r="AO10" s="40">
        <f t="shared" si="15"/>
        <v>26</v>
      </c>
      <c r="AP10" s="40" t="str">
        <f t="shared" si="15"/>
        <v/>
      </c>
      <c r="AQ10" s="40" t="str">
        <f t="shared" si="15"/>
        <v/>
      </c>
      <c r="AR10" s="40" t="str">
        <f t="shared" si="15"/>
        <v/>
      </c>
      <c r="AS10" s="40" t="str">
        <f t="shared" si="15"/>
        <v/>
      </c>
      <c r="AT10" s="31"/>
      <c r="AU10" s="40">
        <f t="shared" si="16"/>
        <v>468397.28129999997</v>
      </c>
      <c r="AV10" s="40">
        <f t="shared" si="17"/>
        <v>468834.78129999997</v>
      </c>
      <c r="AW10" s="40">
        <f t="shared" si="18"/>
        <v>467172.28129999997</v>
      </c>
      <c r="AX10" s="40">
        <f t="shared" si="19"/>
        <v>465672.28129999997</v>
      </c>
      <c r="AY10" s="40">
        <f t="shared" si="20"/>
        <v>464384.78129999997</v>
      </c>
      <c r="AZ10" s="40">
        <f t="shared" si="21"/>
        <v>465534.78129999997</v>
      </c>
      <c r="BA10" s="40">
        <f t="shared" si="22"/>
        <v>464172.28129999997</v>
      </c>
      <c r="BB10" s="40" t="str">
        <f t="shared" si="23"/>
        <v>x</v>
      </c>
      <c r="BC10" s="40" t="str">
        <f t="shared" si="24"/>
        <v>x</v>
      </c>
      <c r="BD10" s="40" t="str">
        <f t="shared" si="25"/>
        <v>x</v>
      </c>
      <c r="BE10" s="18"/>
      <c r="BF10" s="39">
        <v>3</v>
      </c>
      <c r="BG10" s="39">
        <v>3</v>
      </c>
      <c r="BH10" s="54">
        <f t="shared" si="30"/>
        <v>3</v>
      </c>
      <c r="BI10" s="54">
        <f t="shared" ref="BI10:BI18" si="34">BI9-1</f>
        <v>-3</v>
      </c>
      <c r="BJ10" s="54" t="s">
        <v>3</v>
      </c>
      <c r="BK10" s="54"/>
      <c r="BL10" s="18"/>
      <c r="BM10" s="18"/>
      <c r="BN10" s="18"/>
      <c r="BO10" s="18"/>
      <c r="BP10" s="18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ht="12" customHeight="1" x14ac:dyDescent="0.25">
      <c r="A11" s="3"/>
      <c r="B11" s="23">
        <f t="shared" si="7"/>
        <v>5</v>
      </c>
      <c r="C11" s="48">
        <v>468059.78129999997</v>
      </c>
      <c r="D11" s="48">
        <v>7616642.75</v>
      </c>
      <c r="E11" s="14"/>
      <c r="F11" s="48">
        <v>468047.28129999997</v>
      </c>
      <c r="G11" s="48">
        <v>7614180.25</v>
      </c>
      <c r="H11" s="29" t="s">
        <v>25</v>
      </c>
      <c r="I11" s="30" t="s">
        <v>47</v>
      </c>
      <c r="J11" s="30">
        <v>889</v>
      </c>
      <c r="K11" s="14"/>
      <c r="L11" s="27">
        <f t="shared" si="26"/>
        <v>850.36756758474746</v>
      </c>
      <c r="M11" s="14"/>
      <c r="N11" s="61">
        <f t="shared" si="27"/>
        <v>4</v>
      </c>
      <c r="O11" s="6">
        <f t="shared" si="8"/>
        <v>5</v>
      </c>
      <c r="P11" s="38" t="str">
        <f t="shared" si="9"/>
        <v/>
      </c>
      <c r="Q11" s="28">
        <f t="shared" si="31"/>
        <v>5</v>
      </c>
      <c r="R11" s="48">
        <v>468047.28129999997</v>
      </c>
      <c r="S11" s="48">
        <v>7614180.25</v>
      </c>
      <c r="T11" s="29" t="s">
        <v>25</v>
      </c>
      <c r="U11" s="30" t="s">
        <v>47</v>
      </c>
      <c r="V11" s="30">
        <v>889</v>
      </c>
      <c r="W11" s="25">
        <f t="shared" si="28"/>
        <v>3875</v>
      </c>
      <c r="X11" s="25">
        <f t="shared" si="29"/>
        <v>6250</v>
      </c>
      <c r="Y11" s="25">
        <f t="shared" si="10"/>
        <v>4</v>
      </c>
      <c r="Z11" s="38">
        <f t="shared" si="32"/>
        <v>14</v>
      </c>
      <c r="AA11" s="39">
        <f>IF(Z11&lt;0,MAX(AA$6:AA10)+1,0)</f>
        <v>0</v>
      </c>
      <c r="AB11" s="39">
        <f t="shared" si="11"/>
        <v>1</v>
      </c>
      <c r="AC11" s="39">
        <f t="shared" si="33"/>
        <v>5</v>
      </c>
      <c r="AD11" s="19"/>
      <c r="AE11" s="19">
        <v>0</v>
      </c>
      <c r="AF11" s="19">
        <v>0</v>
      </c>
      <c r="AG11" s="39">
        <f t="shared" si="12"/>
        <v>1</v>
      </c>
      <c r="AH11" s="39">
        <f t="shared" si="13"/>
        <v>5</v>
      </c>
      <c r="AI11" s="16"/>
      <c r="AJ11" s="40">
        <f t="shared" si="14"/>
        <v>5</v>
      </c>
      <c r="AK11" s="40" t="str">
        <f t="shared" si="15"/>
        <v/>
      </c>
      <c r="AL11" s="40" t="str">
        <f t="shared" si="15"/>
        <v/>
      </c>
      <c r="AM11" s="40" t="str">
        <f t="shared" si="15"/>
        <v/>
      </c>
      <c r="AN11" s="40">
        <f t="shared" si="15"/>
        <v>21</v>
      </c>
      <c r="AO11" s="40">
        <f t="shared" si="15"/>
        <v>27</v>
      </c>
      <c r="AP11" s="40" t="str">
        <f t="shared" si="15"/>
        <v/>
      </c>
      <c r="AQ11" s="40" t="str">
        <f t="shared" si="15"/>
        <v/>
      </c>
      <c r="AR11" s="40" t="str">
        <f t="shared" si="15"/>
        <v/>
      </c>
      <c r="AS11" s="40" t="str">
        <f t="shared" si="15"/>
        <v/>
      </c>
      <c r="AT11" s="31"/>
      <c r="AU11" s="40">
        <f t="shared" si="16"/>
        <v>468047.28129999997</v>
      </c>
      <c r="AV11" s="40">
        <f t="shared" si="17"/>
        <v>468834.78129999997</v>
      </c>
      <c r="AW11" s="40">
        <f t="shared" si="18"/>
        <v>467172.28129999997</v>
      </c>
      <c r="AX11" s="40">
        <f t="shared" si="19"/>
        <v>465672.28129999997</v>
      </c>
      <c r="AY11" s="40">
        <f t="shared" si="20"/>
        <v>464297.28129999997</v>
      </c>
      <c r="AZ11" s="40">
        <f t="shared" si="21"/>
        <v>464909.78129999997</v>
      </c>
      <c r="BA11" s="40">
        <f t="shared" si="22"/>
        <v>464172.28129999997</v>
      </c>
      <c r="BB11" s="40" t="str">
        <f t="shared" si="23"/>
        <v>x</v>
      </c>
      <c r="BC11" s="40" t="str">
        <f t="shared" si="24"/>
        <v>x</v>
      </c>
      <c r="BD11" s="40" t="str">
        <f t="shared" si="25"/>
        <v>x</v>
      </c>
      <c r="BE11" s="18"/>
      <c r="BF11" s="55">
        <v>4</v>
      </c>
      <c r="BG11" s="39">
        <v>4</v>
      </c>
      <c r="BH11" s="54">
        <f t="shared" ref="BH11" si="35">BH10+1</f>
        <v>4</v>
      </c>
      <c r="BI11" s="54">
        <f t="shared" si="34"/>
        <v>-4</v>
      </c>
      <c r="BJ11" s="54" t="s">
        <v>3</v>
      </c>
      <c r="BK11" s="54"/>
      <c r="BL11" s="18"/>
      <c r="BM11" s="18"/>
      <c r="BN11" s="18"/>
      <c r="BO11" s="18"/>
      <c r="BP11" s="18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ht="12" customHeight="1" x14ac:dyDescent="0.25">
      <c r="A12" s="3"/>
      <c r="B12" s="23">
        <f t="shared" si="7"/>
        <v>6</v>
      </c>
      <c r="C12" s="48">
        <v>468334.78129999997</v>
      </c>
      <c r="D12" s="48">
        <v>7615805.25</v>
      </c>
      <c r="E12" s="14"/>
      <c r="F12" s="48">
        <v>471134.78129999997</v>
      </c>
      <c r="G12" s="48">
        <v>7613992.75</v>
      </c>
      <c r="H12" s="29" t="s">
        <v>32</v>
      </c>
      <c r="I12" s="30" t="s">
        <v>40</v>
      </c>
      <c r="J12" s="30">
        <v>1001</v>
      </c>
      <c r="K12" s="14"/>
      <c r="L12" s="27">
        <f t="shared" si="26"/>
        <v>3093.1880802822193</v>
      </c>
      <c r="M12" s="14"/>
      <c r="N12" s="61">
        <f t="shared" si="27"/>
        <v>5</v>
      </c>
      <c r="O12" s="6">
        <f t="shared" si="8"/>
        <v>6</v>
      </c>
      <c r="P12" s="38" t="str">
        <f t="shared" si="9"/>
        <v/>
      </c>
      <c r="Q12" s="28">
        <f t="shared" si="31"/>
        <v>6</v>
      </c>
      <c r="R12" s="48">
        <v>471134.78129999997</v>
      </c>
      <c r="S12" s="48">
        <v>7613992.75</v>
      </c>
      <c r="T12" s="29" t="s">
        <v>32</v>
      </c>
      <c r="U12" s="30" t="s">
        <v>40</v>
      </c>
      <c r="V12" s="30">
        <v>1001</v>
      </c>
      <c r="W12" s="25">
        <f t="shared" si="28"/>
        <v>6962.5</v>
      </c>
      <c r="X12" s="25">
        <f t="shared" si="29"/>
        <v>6062.5</v>
      </c>
      <c r="Y12" s="25">
        <f t="shared" si="10"/>
        <v>5</v>
      </c>
      <c r="Z12" s="38">
        <f t="shared" si="32"/>
        <v>-112</v>
      </c>
      <c r="AA12" s="39">
        <f>IF(Z12&lt;0,MAX(AA$6:AA11)+1,0)</f>
        <v>2</v>
      </c>
      <c r="AB12" s="39">
        <f t="shared" si="11"/>
        <v>2</v>
      </c>
      <c r="AC12" s="39">
        <f t="shared" si="33"/>
        <v>1</v>
      </c>
      <c r="AD12" s="19"/>
      <c r="AE12" s="19">
        <v>0</v>
      </c>
      <c r="AF12" s="19">
        <v>0</v>
      </c>
      <c r="AG12" s="39">
        <f t="shared" si="12"/>
        <v>2</v>
      </c>
      <c r="AH12" s="39">
        <f t="shared" si="13"/>
        <v>1</v>
      </c>
      <c r="AI12" s="16"/>
      <c r="AJ12" s="40" t="str">
        <f t="shared" si="14"/>
        <v/>
      </c>
      <c r="AK12" s="40" t="str">
        <f t="shared" si="15"/>
        <v/>
      </c>
      <c r="AL12" s="40" t="str">
        <f t="shared" si="15"/>
        <v/>
      </c>
      <c r="AM12" s="40" t="str">
        <f t="shared" si="15"/>
        <v/>
      </c>
      <c r="AN12" s="40">
        <f t="shared" si="15"/>
        <v>22</v>
      </c>
      <c r="AO12" s="40" t="str">
        <f t="shared" si="15"/>
        <v/>
      </c>
      <c r="AP12" s="40" t="str">
        <f t="shared" si="15"/>
        <v/>
      </c>
      <c r="AQ12" s="40" t="str">
        <f t="shared" si="15"/>
        <v/>
      </c>
      <c r="AR12" s="40" t="str">
        <f t="shared" si="15"/>
        <v/>
      </c>
      <c r="AS12" s="40" t="str">
        <f t="shared" si="15"/>
        <v/>
      </c>
      <c r="AT12" s="16"/>
      <c r="AU12" s="40">
        <f t="shared" si="16"/>
        <v>468047.28129999997</v>
      </c>
      <c r="AV12" s="40">
        <f t="shared" si="17"/>
        <v>468834.78129999997</v>
      </c>
      <c r="AW12" s="40">
        <f t="shared" si="18"/>
        <v>467172.28129999997</v>
      </c>
      <c r="AX12" s="40">
        <f t="shared" si="19"/>
        <v>465672.28129999997</v>
      </c>
      <c r="AY12" s="40">
        <f t="shared" si="20"/>
        <v>464784.78129999997</v>
      </c>
      <c r="AZ12" s="40">
        <f t="shared" si="21"/>
        <v>464909.78129999997</v>
      </c>
      <c r="BA12" s="40">
        <f t="shared" si="22"/>
        <v>464172.28129999997</v>
      </c>
      <c r="BB12" s="40" t="str">
        <f t="shared" si="23"/>
        <v>x</v>
      </c>
      <c r="BC12" s="40" t="str">
        <f t="shared" si="24"/>
        <v>x</v>
      </c>
      <c r="BD12" s="40" t="str">
        <f t="shared" si="25"/>
        <v>x</v>
      </c>
      <c r="BE12" s="18"/>
      <c r="BF12" s="53">
        <v>5</v>
      </c>
      <c r="BG12" s="39">
        <v>5</v>
      </c>
      <c r="BH12" s="54">
        <v>5</v>
      </c>
      <c r="BI12" s="54">
        <f t="shared" si="34"/>
        <v>-5</v>
      </c>
      <c r="BJ12" s="54" t="s">
        <v>3</v>
      </c>
      <c r="BK12" s="54"/>
      <c r="BL12" s="18"/>
      <c r="BM12" s="18"/>
      <c r="BN12" s="18"/>
      <c r="BO12" s="18"/>
      <c r="BP12" s="18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ht="12" customHeight="1" x14ac:dyDescent="0.25">
      <c r="A13" s="3"/>
      <c r="B13" s="23">
        <f t="shared" si="7"/>
        <v>7</v>
      </c>
      <c r="C13" s="48">
        <v>468397.28129999997</v>
      </c>
      <c r="D13" s="48">
        <v>7614955.25</v>
      </c>
      <c r="E13" s="14"/>
      <c r="F13" s="48">
        <v>469922.28129999997</v>
      </c>
      <c r="G13" s="48">
        <v>7614405.25</v>
      </c>
      <c r="H13" s="29" t="s">
        <v>31</v>
      </c>
      <c r="I13" s="30" t="s">
        <v>41</v>
      </c>
      <c r="J13" s="30">
        <v>976</v>
      </c>
      <c r="K13" s="14"/>
      <c r="L13" s="27">
        <f t="shared" si="26"/>
        <v>1280.7468524263488</v>
      </c>
      <c r="M13" s="14"/>
      <c r="N13" s="61">
        <f t="shared" si="27"/>
        <v>6</v>
      </c>
      <c r="O13" s="6">
        <f t="shared" si="8"/>
        <v>7</v>
      </c>
      <c r="P13" s="38" t="str">
        <f t="shared" si="9"/>
        <v/>
      </c>
      <c r="Q13" s="28">
        <f t="shared" si="31"/>
        <v>7</v>
      </c>
      <c r="R13" s="48">
        <v>469922.28129999997</v>
      </c>
      <c r="S13" s="48">
        <v>7614405.25</v>
      </c>
      <c r="T13" s="29" t="s">
        <v>31</v>
      </c>
      <c r="U13" s="30" t="s">
        <v>41</v>
      </c>
      <c r="V13" s="30">
        <v>976</v>
      </c>
      <c r="W13" s="25">
        <f t="shared" si="28"/>
        <v>5750</v>
      </c>
      <c r="X13" s="25">
        <f t="shared" si="29"/>
        <v>6475</v>
      </c>
      <c r="Y13" s="25">
        <f t="shared" si="10"/>
        <v>6</v>
      </c>
      <c r="Z13" s="38">
        <f t="shared" si="32"/>
        <v>25</v>
      </c>
      <c r="AA13" s="39">
        <f>IF(Z13&lt;0,MAX(AA$6:AA12)+1,0)</f>
        <v>0</v>
      </c>
      <c r="AB13" s="39">
        <f t="shared" si="11"/>
        <v>2</v>
      </c>
      <c r="AC13" s="39">
        <f t="shared" si="33"/>
        <v>2</v>
      </c>
      <c r="AD13" s="19"/>
      <c r="AE13" s="19">
        <v>0</v>
      </c>
      <c r="AF13" s="19">
        <v>0</v>
      </c>
      <c r="AG13" s="39">
        <f t="shared" si="12"/>
        <v>2</v>
      </c>
      <c r="AH13" s="39">
        <f t="shared" si="13"/>
        <v>2</v>
      </c>
      <c r="AI13" s="16"/>
      <c r="AJ13" s="40" t="str">
        <f t="shared" si="14"/>
        <v/>
      </c>
      <c r="AK13" s="40" t="str">
        <f t="shared" si="15"/>
        <v/>
      </c>
      <c r="AL13" s="40" t="str">
        <f t="shared" si="15"/>
        <v/>
      </c>
      <c r="AM13" s="40" t="str">
        <f t="shared" si="15"/>
        <v/>
      </c>
      <c r="AN13" s="40" t="str">
        <f t="shared" si="15"/>
        <v/>
      </c>
      <c r="AO13" s="40" t="str">
        <f t="shared" si="15"/>
        <v/>
      </c>
      <c r="AP13" s="40" t="str">
        <f t="shared" si="15"/>
        <v/>
      </c>
      <c r="AQ13" s="40" t="str">
        <f t="shared" si="15"/>
        <v/>
      </c>
      <c r="AR13" s="40" t="str">
        <f t="shared" si="15"/>
        <v/>
      </c>
      <c r="AS13" s="40" t="str">
        <f t="shared" si="15"/>
        <v/>
      </c>
      <c r="AT13" s="16"/>
      <c r="AU13" s="40">
        <f t="shared" si="16"/>
        <v>468047.28129999997</v>
      </c>
      <c r="AV13" s="40">
        <f t="shared" si="17"/>
        <v>468834.78129999997</v>
      </c>
      <c r="AW13" s="40">
        <f t="shared" si="18"/>
        <v>467172.28129999997</v>
      </c>
      <c r="AX13" s="40">
        <f t="shared" si="19"/>
        <v>465672.28129999997</v>
      </c>
      <c r="AY13" s="40">
        <f t="shared" si="20"/>
        <v>464784.78129999997</v>
      </c>
      <c r="AZ13" s="40">
        <f t="shared" si="21"/>
        <v>464909.78129999997</v>
      </c>
      <c r="BA13" s="40">
        <f t="shared" si="22"/>
        <v>464172.28129999997</v>
      </c>
      <c r="BB13" s="40" t="str">
        <f t="shared" si="23"/>
        <v>x</v>
      </c>
      <c r="BC13" s="40" t="str">
        <f t="shared" si="24"/>
        <v>x</v>
      </c>
      <c r="BD13" s="40" t="str">
        <f t="shared" si="25"/>
        <v>x</v>
      </c>
      <c r="BE13" s="18"/>
      <c r="BF13" s="39">
        <v>6</v>
      </c>
      <c r="BG13" s="39">
        <v>6</v>
      </c>
      <c r="BH13" s="54">
        <v>6</v>
      </c>
      <c r="BI13" s="54">
        <f t="shared" si="34"/>
        <v>-6</v>
      </c>
      <c r="BJ13" s="54" t="s">
        <v>3</v>
      </c>
      <c r="BK13" s="54"/>
      <c r="BL13" s="18"/>
      <c r="BM13" s="18"/>
      <c r="BN13" s="18"/>
      <c r="BO13" s="18"/>
      <c r="BP13" s="1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ht="12" customHeight="1" x14ac:dyDescent="0.25">
      <c r="A14" s="3"/>
      <c r="B14" s="23">
        <f t="shared" si="7"/>
        <v>8</v>
      </c>
      <c r="C14" s="48">
        <v>468047.28129999997</v>
      </c>
      <c r="D14" s="48">
        <v>7614180.25</v>
      </c>
      <c r="E14" s="14"/>
      <c r="F14" s="48">
        <v>468834.78129999997</v>
      </c>
      <c r="G14" s="48">
        <v>7614292.75</v>
      </c>
      <c r="H14" s="29" t="s">
        <v>26</v>
      </c>
      <c r="I14" s="30" t="s">
        <v>42</v>
      </c>
      <c r="J14" s="30">
        <v>907</v>
      </c>
      <c r="K14" s="14"/>
      <c r="L14" s="27">
        <f t="shared" si="26"/>
        <v>1093.3034802834939</v>
      </c>
      <c r="M14" s="14"/>
      <c r="N14" s="61">
        <f t="shared" si="27"/>
        <v>7</v>
      </c>
      <c r="O14" s="6">
        <f t="shared" si="8"/>
        <v>8</v>
      </c>
      <c r="P14" s="38" t="str">
        <f t="shared" si="9"/>
        <v/>
      </c>
      <c r="Q14" s="28">
        <f t="shared" si="31"/>
        <v>8</v>
      </c>
      <c r="R14" s="48">
        <v>468834.78129999997</v>
      </c>
      <c r="S14" s="48">
        <v>7614292.75</v>
      </c>
      <c r="T14" s="29" t="s">
        <v>26</v>
      </c>
      <c r="U14" s="30" t="s">
        <v>42</v>
      </c>
      <c r="V14" s="30">
        <v>907</v>
      </c>
      <c r="W14" s="25">
        <f t="shared" si="28"/>
        <v>4662.5</v>
      </c>
      <c r="X14" s="25">
        <f t="shared" si="29"/>
        <v>6362.5</v>
      </c>
      <c r="Y14" s="25">
        <f t="shared" si="10"/>
        <v>7</v>
      </c>
      <c r="Z14" s="38">
        <f t="shared" si="32"/>
        <v>69</v>
      </c>
      <c r="AA14" s="39">
        <f>IF(Z14&lt;0,MAX(AA$6:AA13)+1,0)</f>
        <v>0</v>
      </c>
      <c r="AB14" s="39">
        <f t="shared" si="11"/>
        <v>2</v>
      </c>
      <c r="AC14" s="39">
        <f t="shared" si="33"/>
        <v>3</v>
      </c>
      <c r="AD14" s="19"/>
      <c r="AE14" s="19">
        <v>0</v>
      </c>
      <c r="AF14" s="19">
        <v>0</v>
      </c>
      <c r="AG14" s="39">
        <f t="shared" si="12"/>
        <v>2</v>
      </c>
      <c r="AH14" s="39">
        <f t="shared" si="13"/>
        <v>3</v>
      </c>
      <c r="AI14" s="16"/>
      <c r="AJ14" s="40" t="str">
        <f t="shared" si="14"/>
        <v/>
      </c>
      <c r="AK14" s="40" t="str">
        <f t="shared" si="15"/>
        <v/>
      </c>
      <c r="AL14" s="40" t="str">
        <f t="shared" si="15"/>
        <v/>
      </c>
      <c r="AM14" s="40" t="str">
        <f t="shared" si="15"/>
        <v/>
      </c>
      <c r="AN14" s="40" t="str">
        <f t="shared" si="15"/>
        <v/>
      </c>
      <c r="AO14" s="40" t="str">
        <f t="shared" si="15"/>
        <v/>
      </c>
      <c r="AP14" s="40" t="str">
        <f t="shared" si="15"/>
        <v/>
      </c>
      <c r="AQ14" s="40" t="str">
        <f t="shared" si="15"/>
        <v/>
      </c>
      <c r="AR14" s="40" t="str">
        <f t="shared" si="15"/>
        <v/>
      </c>
      <c r="AS14" s="40" t="str">
        <f t="shared" si="15"/>
        <v/>
      </c>
      <c r="AT14" s="16"/>
      <c r="AU14" s="40">
        <f t="shared" si="16"/>
        <v>468047.28129999997</v>
      </c>
      <c r="AV14" s="40">
        <f t="shared" si="17"/>
        <v>468834.78129999997</v>
      </c>
      <c r="AW14" s="40">
        <f t="shared" si="18"/>
        <v>467172.28129999997</v>
      </c>
      <c r="AX14" s="40">
        <f t="shared" si="19"/>
        <v>465672.28129999997</v>
      </c>
      <c r="AY14" s="40">
        <f t="shared" si="20"/>
        <v>464784.78129999997</v>
      </c>
      <c r="AZ14" s="40">
        <f t="shared" si="21"/>
        <v>464909.78129999997</v>
      </c>
      <c r="BA14" s="40">
        <f t="shared" si="22"/>
        <v>464172.28129999997</v>
      </c>
      <c r="BB14" s="40" t="str">
        <f t="shared" si="23"/>
        <v>x</v>
      </c>
      <c r="BC14" s="40" t="str">
        <f t="shared" si="24"/>
        <v>x</v>
      </c>
      <c r="BD14" s="40" t="str">
        <f t="shared" si="25"/>
        <v>x</v>
      </c>
      <c r="BE14" s="18"/>
      <c r="BF14" s="55">
        <v>7</v>
      </c>
      <c r="BG14" s="39">
        <v>7</v>
      </c>
      <c r="BH14" s="54">
        <v>7</v>
      </c>
      <c r="BI14" s="54">
        <f t="shared" si="34"/>
        <v>-7</v>
      </c>
      <c r="BJ14" s="54" t="s">
        <v>3</v>
      </c>
      <c r="BK14" s="54"/>
      <c r="BL14" s="18"/>
      <c r="BM14" s="18"/>
      <c r="BN14" s="18"/>
      <c r="BO14" s="18"/>
      <c r="BP14" s="18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ht="12" customHeight="1" x14ac:dyDescent="0.25">
      <c r="A15" s="3"/>
      <c r="B15" s="23">
        <f t="shared" si="7"/>
        <v>9</v>
      </c>
      <c r="C15" s="48">
        <v>468834.78129999997</v>
      </c>
      <c r="D15" s="48">
        <v>7614292.75</v>
      </c>
      <c r="E15" s="14"/>
      <c r="F15" s="48">
        <v>469934.78129999997</v>
      </c>
      <c r="G15" s="48">
        <v>7612342.75</v>
      </c>
      <c r="H15" s="29" t="s">
        <v>24</v>
      </c>
      <c r="I15" s="30" t="s">
        <v>48</v>
      </c>
      <c r="J15" s="30">
        <v>969</v>
      </c>
      <c r="K15" s="14"/>
      <c r="L15" s="27">
        <f t="shared" si="26"/>
        <v>2238.8613177238112</v>
      </c>
      <c r="M15" s="14"/>
      <c r="N15" s="61">
        <f t="shared" si="27"/>
        <v>8</v>
      </c>
      <c r="O15" s="6">
        <f t="shared" si="8"/>
        <v>9</v>
      </c>
      <c r="P15" s="38" t="str">
        <f t="shared" si="9"/>
        <v/>
      </c>
      <c r="Q15" s="28">
        <f t="shared" si="31"/>
        <v>9</v>
      </c>
      <c r="R15" s="48">
        <v>469934.78129999997</v>
      </c>
      <c r="S15" s="48">
        <v>7612342.75</v>
      </c>
      <c r="T15" s="29" t="s">
        <v>24</v>
      </c>
      <c r="U15" s="30" t="s">
        <v>48</v>
      </c>
      <c r="V15" s="30">
        <v>969</v>
      </c>
      <c r="W15" s="25">
        <f t="shared" si="28"/>
        <v>5762.5</v>
      </c>
      <c r="X15" s="25">
        <f t="shared" si="29"/>
        <v>4412.5</v>
      </c>
      <c r="Y15" s="25">
        <f t="shared" si="10"/>
        <v>8</v>
      </c>
      <c r="Z15" s="38">
        <f t="shared" si="32"/>
        <v>-62</v>
      </c>
      <c r="AA15" s="39">
        <f>IF(Z15&lt;0,MAX(AA$6:AA14)+1,0)</f>
        <v>3</v>
      </c>
      <c r="AB15" s="39">
        <f t="shared" si="11"/>
        <v>3</v>
      </c>
      <c r="AC15" s="39">
        <f t="shared" si="33"/>
        <v>1</v>
      </c>
      <c r="AD15" s="19"/>
      <c r="AE15" s="19">
        <v>0</v>
      </c>
      <c r="AF15" s="19">
        <v>0</v>
      </c>
      <c r="AG15" s="39">
        <f t="shared" si="12"/>
        <v>3</v>
      </c>
      <c r="AH15" s="39">
        <f t="shared" si="13"/>
        <v>1</v>
      </c>
      <c r="AI15" s="16"/>
      <c r="AJ15" s="40" t="str">
        <f t="shared" si="14"/>
        <v/>
      </c>
      <c r="AK15" s="40" t="str">
        <f t="shared" si="15"/>
        <v/>
      </c>
      <c r="AL15" s="40" t="str">
        <f t="shared" si="15"/>
        <v/>
      </c>
      <c r="AM15" s="40" t="str">
        <f t="shared" si="15"/>
        <v/>
      </c>
      <c r="AN15" s="40" t="str">
        <f t="shared" si="15"/>
        <v/>
      </c>
      <c r="AO15" s="40" t="str">
        <f t="shared" si="15"/>
        <v/>
      </c>
      <c r="AP15" s="40" t="str">
        <f t="shared" si="15"/>
        <v/>
      </c>
      <c r="AQ15" s="40" t="str">
        <f t="shared" si="15"/>
        <v/>
      </c>
      <c r="AR15" s="40" t="str">
        <f t="shared" si="15"/>
        <v/>
      </c>
      <c r="AS15" s="40" t="str">
        <f t="shared" si="15"/>
        <v/>
      </c>
      <c r="AT15" s="16"/>
      <c r="AU15" s="40">
        <f t="shared" si="16"/>
        <v>468047.28129999997</v>
      </c>
      <c r="AV15" s="40">
        <f t="shared" si="17"/>
        <v>468834.78129999997</v>
      </c>
      <c r="AW15" s="40">
        <f t="shared" si="18"/>
        <v>467172.28129999997</v>
      </c>
      <c r="AX15" s="40">
        <f t="shared" si="19"/>
        <v>465672.28129999997</v>
      </c>
      <c r="AY15" s="40">
        <f t="shared" si="20"/>
        <v>464784.78129999997</v>
      </c>
      <c r="AZ15" s="40">
        <f t="shared" si="21"/>
        <v>464909.78129999997</v>
      </c>
      <c r="BA15" s="40">
        <f t="shared" si="22"/>
        <v>464172.28129999997</v>
      </c>
      <c r="BB15" s="40" t="str">
        <f t="shared" si="23"/>
        <v>x</v>
      </c>
      <c r="BC15" s="40" t="str">
        <f t="shared" si="24"/>
        <v>x</v>
      </c>
      <c r="BD15" s="40" t="str">
        <f t="shared" si="25"/>
        <v>x</v>
      </c>
      <c r="BE15" s="18"/>
      <c r="BF15" s="53">
        <v>8</v>
      </c>
      <c r="BG15" s="39">
        <v>8</v>
      </c>
      <c r="BH15" s="54">
        <v>8</v>
      </c>
      <c r="BI15" s="54">
        <v>-9</v>
      </c>
      <c r="BJ15" s="54" t="s">
        <v>3</v>
      </c>
      <c r="BK15" s="54"/>
      <c r="BL15" s="18"/>
      <c r="BM15" s="18"/>
      <c r="BN15" s="18"/>
      <c r="BO15" s="18"/>
      <c r="BP15" s="18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ht="12" customHeight="1" x14ac:dyDescent="0.25">
      <c r="A16" s="3"/>
      <c r="B16" s="23">
        <f t="shared" si="7"/>
        <v>10</v>
      </c>
      <c r="C16" s="48">
        <v>468047.28129999997</v>
      </c>
      <c r="D16" s="48">
        <v>7614180.25</v>
      </c>
      <c r="E16" s="14"/>
      <c r="F16" s="48">
        <v>468797.28129999997</v>
      </c>
      <c r="G16" s="48">
        <v>7612842.75</v>
      </c>
      <c r="H16" s="29" t="s">
        <v>23</v>
      </c>
      <c r="I16" s="30" t="s">
        <v>49</v>
      </c>
      <c r="J16" s="30">
        <v>911</v>
      </c>
      <c r="K16" s="14"/>
      <c r="L16" s="27">
        <f t="shared" si="26"/>
        <v>1242.5402407970537</v>
      </c>
      <c r="M16" s="14"/>
      <c r="N16" s="61">
        <f t="shared" si="27"/>
        <v>9</v>
      </c>
      <c r="O16" s="6">
        <f t="shared" si="8"/>
        <v>10</v>
      </c>
      <c r="P16" s="38" t="str">
        <f t="shared" si="9"/>
        <v/>
      </c>
      <c r="Q16" s="28">
        <f t="shared" si="31"/>
        <v>10</v>
      </c>
      <c r="R16" s="48">
        <v>468797.28129999997</v>
      </c>
      <c r="S16" s="48">
        <v>7612842.75</v>
      </c>
      <c r="T16" s="29" t="s">
        <v>23</v>
      </c>
      <c r="U16" s="30" t="s">
        <v>49</v>
      </c>
      <c r="V16" s="30">
        <v>911</v>
      </c>
      <c r="W16" s="25">
        <f t="shared" si="28"/>
        <v>4625</v>
      </c>
      <c r="X16" s="25">
        <f t="shared" si="29"/>
        <v>4912.5</v>
      </c>
      <c r="Y16" s="25">
        <f t="shared" si="10"/>
        <v>9</v>
      </c>
      <c r="Z16" s="38">
        <f t="shared" si="32"/>
        <v>58</v>
      </c>
      <c r="AA16" s="39">
        <f>IF(Z16&lt;0,MAX(AA$6:AA15)+1,0)</f>
        <v>0</v>
      </c>
      <c r="AB16" s="39">
        <f t="shared" si="11"/>
        <v>3</v>
      </c>
      <c r="AC16" s="39">
        <f t="shared" si="33"/>
        <v>2</v>
      </c>
      <c r="AD16" s="19"/>
      <c r="AE16" s="19">
        <v>0</v>
      </c>
      <c r="AF16" s="19">
        <v>0</v>
      </c>
      <c r="AG16" s="39">
        <f t="shared" si="12"/>
        <v>3</v>
      </c>
      <c r="AH16" s="39">
        <f t="shared" si="13"/>
        <v>2</v>
      </c>
      <c r="AI16" s="16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16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55">
        <v>9</v>
      </c>
      <c r="BG16" s="39">
        <v>9</v>
      </c>
      <c r="BH16" s="54">
        <v>9</v>
      </c>
      <c r="BI16" s="54">
        <f t="shared" si="34"/>
        <v>-10</v>
      </c>
      <c r="BJ16" s="54" t="s">
        <v>3</v>
      </c>
      <c r="BK16" s="54"/>
      <c r="BL16" s="18"/>
      <c r="BM16" s="18"/>
      <c r="BN16" s="18"/>
      <c r="BO16" s="18"/>
      <c r="BP16" s="18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ht="12" customHeight="1" x14ac:dyDescent="0.25">
      <c r="A17" s="3"/>
      <c r="B17" s="23">
        <f t="shared" si="7"/>
        <v>11</v>
      </c>
      <c r="C17" s="48">
        <v>467797.28129999997</v>
      </c>
      <c r="D17" s="48">
        <v>7613980.25</v>
      </c>
      <c r="E17" s="14"/>
      <c r="F17" s="48">
        <v>467797.28129999997</v>
      </c>
      <c r="G17" s="48">
        <v>7613980.25</v>
      </c>
      <c r="H17" s="29" t="s">
        <v>22</v>
      </c>
      <c r="I17" s="30" t="s">
        <v>50</v>
      </c>
      <c r="J17" s="30">
        <v>888</v>
      </c>
      <c r="K17" s="14"/>
      <c r="L17" s="27">
        <f t="shared" si="26"/>
        <v>1514.5647064420853</v>
      </c>
      <c r="M17" s="14"/>
      <c r="N17" s="61">
        <f t="shared" si="27"/>
        <v>10</v>
      </c>
      <c r="O17" s="6">
        <f t="shared" si="8"/>
        <v>11</v>
      </c>
      <c r="P17" s="38" t="str">
        <f t="shared" si="9"/>
        <v/>
      </c>
      <c r="Q17" s="28">
        <f t="shared" si="31"/>
        <v>11</v>
      </c>
      <c r="R17" s="48">
        <v>467797.28129999997</v>
      </c>
      <c r="S17" s="48">
        <v>7613980.25</v>
      </c>
      <c r="T17" s="29" t="s">
        <v>22</v>
      </c>
      <c r="U17" s="30" t="s">
        <v>50</v>
      </c>
      <c r="V17" s="30">
        <v>888</v>
      </c>
      <c r="W17" s="25">
        <f t="shared" si="28"/>
        <v>3625</v>
      </c>
      <c r="X17" s="25">
        <f t="shared" si="29"/>
        <v>6050</v>
      </c>
      <c r="Y17" s="25">
        <f t="shared" si="10"/>
        <v>10</v>
      </c>
      <c r="Z17" s="38">
        <f t="shared" si="32"/>
        <v>23</v>
      </c>
      <c r="AA17" s="39">
        <f>IF(Z17&lt;0,MAX(AA$6:AA16)+1,0)</f>
        <v>0</v>
      </c>
      <c r="AB17" s="39">
        <f t="shared" si="11"/>
        <v>3</v>
      </c>
      <c r="AC17" s="39">
        <f t="shared" si="33"/>
        <v>3</v>
      </c>
      <c r="AD17" s="19"/>
      <c r="AE17" s="19">
        <v>1</v>
      </c>
      <c r="AF17" s="19">
        <v>-2</v>
      </c>
      <c r="AG17" s="39">
        <f t="shared" si="12"/>
        <v>4</v>
      </c>
      <c r="AH17" s="39">
        <f t="shared" si="13"/>
        <v>1</v>
      </c>
      <c r="AI17" s="16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16"/>
      <c r="AU17" s="21">
        <v>2</v>
      </c>
      <c r="AV17" s="21">
        <v>2</v>
      </c>
      <c r="AW17" s="21">
        <v>2</v>
      </c>
      <c r="AX17" s="21">
        <v>2</v>
      </c>
      <c r="AY17" s="21">
        <v>2</v>
      </c>
      <c r="AZ17" s="21">
        <v>2</v>
      </c>
      <c r="BA17" s="21">
        <v>2</v>
      </c>
      <c r="BB17" s="21">
        <v>2</v>
      </c>
      <c r="BC17" s="21">
        <v>2</v>
      </c>
      <c r="BD17" s="21">
        <v>2</v>
      </c>
      <c r="BE17" s="18"/>
      <c r="BF17" s="53">
        <v>10</v>
      </c>
      <c r="BG17" s="39">
        <v>10</v>
      </c>
      <c r="BH17" s="54">
        <v>10</v>
      </c>
      <c r="BI17" s="54">
        <v>-12</v>
      </c>
      <c r="BJ17" s="54">
        <v>-8</v>
      </c>
      <c r="BK17" s="54">
        <v>-11</v>
      </c>
      <c r="BL17" s="18"/>
      <c r="BM17" s="18"/>
      <c r="BN17" s="18"/>
      <c r="BO17" s="18"/>
      <c r="BP17" s="18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ht="12" customHeight="1" x14ac:dyDescent="0.25">
      <c r="A18" s="3"/>
      <c r="B18" s="23">
        <f t="shared" si="7"/>
        <v>12</v>
      </c>
      <c r="C18" s="48">
        <v>469934.78129999997</v>
      </c>
      <c r="D18" s="48">
        <v>7612342.75</v>
      </c>
      <c r="E18" s="14"/>
      <c r="F18" s="48">
        <v>467172.28129999997</v>
      </c>
      <c r="G18" s="48">
        <v>7613492.75</v>
      </c>
      <c r="H18" s="29" t="s">
        <v>21</v>
      </c>
      <c r="I18" s="30" t="s">
        <v>51</v>
      </c>
      <c r="J18" s="30">
        <v>880</v>
      </c>
      <c r="K18" s="14"/>
      <c r="L18" s="27">
        <f t="shared" si="26"/>
        <v>792.64194312438451</v>
      </c>
      <c r="M18" s="14"/>
      <c r="N18" s="61">
        <f t="shared" si="27"/>
        <v>11</v>
      </c>
      <c r="O18" s="6">
        <f t="shared" si="8"/>
        <v>12</v>
      </c>
      <c r="P18" s="38" t="str">
        <f t="shared" si="9"/>
        <v/>
      </c>
      <c r="Q18" s="28">
        <f t="shared" si="31"/>
        <v>12</v>
      </c>
      <c r="R18" s="48">
        <v>467172.28129999997</v>
      </c>
      <c r="S18" s="48">
        <v>7613492.75</v>
      </c>
      <c r="T18" s="29" t="s">
        <v>21</v>
      </c>
      <c r="U18" s="30" t="s">
        <v>51</v>
      </c>
      <c r="V18" s="30">
        <v>880</v>
      </c>
      <c r="W18" s="25">
        <f t="shared" si="28"/>
        <v>3000</v>
      </c>
      <c r="X18" s="25">
        <f t="shared" si="29"/>
        <v>5562.5</v>
      </c>
      <c r="Y18" s="25">
        <f t="shared" si="10"/>
        <v>11</v>
      </c>
      <c r="Z18" s="38">
        <f t="shared" si="32"/>
        <v>8</v>
      </c>
      <c r="AA18" s="39">
        <f>IF(Z18&lt;0,MAX(AA$6:AA17)+1,0)</f>
        <v>0</v>
      </c>
      <c r="AB18" s="39">
        <f t="shared" si="11"/>
        <v>3</v>
      </c>
      <c r="AC18" s="39">
        <f t="shared" si="33"/>
        <v>4</v>
      </c>
      <c r="AD18" s="19"/>
      <c r="AE18" s="19">
        <v>1</v>
      </c>
      <c r="AF18" s="19">
        <v>-2</v>
      </c>
      <c r="AG18" s="39">
        <f t="shared" si="12"/>
        <v>4</v>
      </c>
      <c r="AH18" s="39">
        <f t="shared" si="13"/>
        <v>2</v>
      </c>
      <c r="AI18" s="16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16"/>
      <c r="AU18" s="18" t="s">
        <v>34</v>
      </c>
      <c r="AV18" s="18" t="s">
        <v>34</v>
      </c>
      <c r="AW18" s="18" t="s">
        <v>34</v>
      </c>
      <c r="AX18" s="18" t="s">
        <v>34</v>
      </c>
      <c r="AY18" s="18" t="s">
        <v>34</v>
      </c>
      <c r="AZ18" s="18" t="s">
        <v>34</v>
      </c>
      <c r="BA18" s="18" t="s">
        <v>34</v>
      </c>
      <c r="BB18" s="18" t="s">
        <v>34</v>
      </c>
      <c r="BC18" s="18" t="s">
        <v>34</v>
      </c>
      <c r="BD18" s="18" t="s">
        <v>34</v>
      </c>
      <c r="BE18" s="18"/>
      <c r="BF18" s="55">
        <v>11</v>
      </c>
      <c r="BG18" s="39">
        <v>11</v>
      </c>
      <c r="BH18" s="54">
        <v>11</v>
      </c>
      <c r="BI18" s="54">
        <f t="shared" si="34"/>
        <v>-13</v>
      </c>
      <c r="BJ18" s="54" t="s">
        <v>3</v>
      </c>
      <c r="BK18" s="54"/>
      <c r="BL18" s="18"/>
      <c r="BM18" s="18"/>
      <c r="BN18" s="18"/>
      <c r="BO18" s="18"/>
      <c r="BP18" s="18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ht="12" customHeight="1" x14ac:dyDescent="0.25">
      <c r="A19" s="3"/>
      <c r="B19" s="23">
        <f t="shared" si="7"/>
        <v>13</v>
      </c>
      <c r="C19" s="48">
        <v>468797.28129999997</v>
      </c>
      <c r="D19" s="48">
        <v>7612842.75</v>
      </c>
      <c r="E19" s="14"/>
      <c r="F19" s="48">
        <v>468434.78129999997</v>
      </c>
      <c r="G19" s="48">
        <v>7611380.25</v>
      </c>
      <c r="H19" s="29" t="s">
        <v>20</v>
      </c>
      <c r="I19" s="30" t="s">
        <v>49</v>
      </c>
      <c r="J19" s="30">
        <v>911</v>
      </c>
      <c r="K19" s="14"/>
      <c r="L19" s="27">
        <f t="shared" si="26"/>
        <v>2461.008431517454</v>
      </c>
      <c r="M19" s="14"/>
      <c r="N19" s="61">
        <f t="shared" si="27"/>
        <v>12</v>
      </c>
      <c r="O19" s="6">
        <f t="shared" si="8"/>
        <v>13</v>
      </c>
      <c r="P19" s="38" t="str">
        <f t="shared" si="9"/>
        <v/>
      </c>
      <c r="Q19" s="28">
        <f t="shared" si="31"/>
        <v>13</v>
      </c>
      <c r="R19" s="48">
        <v>468434.78129999997</v>
      </c>
      <c r="S19" s="48">
        <v>7611380.25</v>
      </c>
      <c r="T19" s="29" t="s">
        <v>20</v>
      </c>
      <c r="U19" s="30" t="s">
        <v>49</v>
      </c>
      <c r="V19" s="30">
        <v>911</v>
      </c>
      <c r="W19" s="25">
        <f t="shared" si="28"/>
        <v>4262.5</v>
      </c>
      <c r="X19" s="25">
        <f t="shared" si="29"/>
        <v>3450</v>
      </c>
      <c r="Y19" s="25">
        <f t="shared" si="10"/>
        <v>12</v>
      </c>
      <c r="Z19" s="38">
        <f t="shared" si="32"/>
        <v>-31</v>
      </c>
      <c r="AA19" s="39">
        <f>IF(Z19&lt;0,MAX(AA$6:AA18)+1,0)</f>
        <v>4</v>
      </c>
      <c r="AB19" s="39">
        <f t="shared" si="11"/>
        <v>4</v>
      </c>
      <c r="AC19" s="39">
        <f t="shared" si="33"/>
        <v>1</v>
      </c>
      <c r="AD19" s="19"/>
      <c r="AE19" s="19">
        <v>1</v>
      </c>
      <c r="AF19" s="19">
        <v>0</v>
      </c>
      <c r="AG19" s="39">
        <f t="shared" si="12"/>
        <v>5</v>
      </c>
      <c r="AH19" s="39">
        <f t="shared" si="13"/>
        <v>1</v>
      </c>
      <c r="AI19" s="16"/>
      <c r="AJ19" s="40">
        <f t="shared" ref="AJ19:AS19" si="36">AJ7</f>
        <v>1</v>
      </c>
      <c r="AK19" s="40">
        <f t="shared" si="36"/>
        <v>6</v>
      </c>
      <c r="AL19" s="40">
        <f t="shared" si="36"/>
        <v>9</v>
      </c>
      <c r="AM19" s="40">
        <f t="shared" si="36"/>
        <v>13</v>
      </c>
      <c r="AN19" s="40">
        <f t="shared" si="36"/>
        <v>17</v>
      </c>
      <c r="AO19" s="40">
        <f t="shared" si="36"/>
        <v>23</v>
      </c>
      <c r="AP19" s="40">
        <f t="shared" si="36"/>
        <v>28</v>
      </c>
      <c r="AQ19" s="40" t="str">
        <f t="shared" si="36"/>
        <v/>
      </c>
      <c r="AR19" s="40" t="str">
        <f t="shared" si="36"/>
        <v/>
      </c>
      <c r="AS19" s="40" t="str">
        <f t="shared" si="36"/>
        <v/>
      </c>
      <c r="AT19" s="16"/>
      <c r="AU19" s="40">
        <f t="shared" ref="AU19:BD25" si="37">IF(ISNUMBER(AJ19),INDEX($R$7:$S$42,AJ19,AU$17),AU18)</f>
        <v>7616967.75</v>
      </c>
      <c r="AV19" s="40">
        <f t="shared" si="37"/>
        <v>7613992.75</v>
      </c>
      <c r="AW19" s="40">
        <f t="shared" si="37"/>
        <v>7612342.75</v>
      </c>
      <c r="AX19" s="40">
        <f t="shared" si="37"/>
        <v>7611380.25</v>
      </c>
      <c r="AY19" s="40">
        <f t="shared" si="37"/>
        <v>7613880.25</v>
      </c>
      <c r="AZ19" s="40">
        <f t="shared" si="37"/>
        <v>7609942.75</v>
      </c>
      <c r="BA19" s="40">
        <f t="shared" si="37"/>
        <v>7609305.25</v>
      </c>
      <c r="BB19" s="40" t="str">
        <f t="shared" si="37"/>
        <v>y</v>
      </c>
      <c r="BC19" s="40" t="str">
        <f t="shared" si="37"/>
        <v>y</v>
      </c>
      <c r="BD19" s="40" t="str">
        <f t="shared" si="37"/>
        <v>y</v>
      </c>
      <c r="BE19" s="18"/>
      <c r="BF19" s="53">
        <v>12</v>
      </c>
      <c r="BG19" s="39">
        <v>12</v>
      </c>
      <c r="BH19" s="54">
        <v>11</v>
      </c>
      <c r="BI19" s="54">
        <f t="shared" ref="BI19:BI35" si="38">BI18-1</f>
        <v>-14</v>
      </c>
      <c r="BJ19" s="54" t="s">
        <v>3</v>
      </c>
      <c r="BK19" s="54"/>
      <c r="BL19" s="18"/>
      <c r="BM19" s="18"/>
      <c r="BN19" s="18"/>
      <c r="BO19" s="18"/>
      <c r="BP19" s="18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ht="12" customHeight="1" x14ac:dyDescent="0.25">
      <c r="A20" s="3"/>
      <c r="B20" s="23">
        <f t="shared" si="7"/>
        <v>14</v>
      </c>
      <c r="C20" s="48">
        <v>467797.28129999997</v>
      </c>
      <c r="D20" s="48">
        <v>7613980.25</v>
      </c>
      <c r="E20" s="14"/>
      <c r="F20" s="48">
        <v>467384.78129999997</v>
      </c>
      <c r="G20" s="48">
        <v>7612080.25</v>
      </c>
      <c r="H20" s="29" t="s">
        <v>19</v>
      </c>
      <c r="I20" s="30" t="s">
        <v>52</v>
      </c>
      <c r="J20" s="30">
        <v>896</v>
      </c>
      <c r="K20" s="14"/>
      <c r="L20" s="27">
        <f t="shared" si="26"/>
        <v>1261.9429464123962</v>
      </c>
      <c r="M20" s="14"/>
      <c r="N20" s="61">
        <f t="shared" si="27"/>
        <v>13</v>
      </c>
      <c r="O20" s="6">
        <f t="shared" si="8"/>
        <v>14</v>
      </c>
      <c r="P20" s="38" t="str">
        <f t="shared" si="9"/>
        <v/>
      </c>
      <c r="Q20" s="28">
        <f t="shared" si="31"/>
        <v>14</v>
      </c>
      <c r="R20" s="48">
        <v>467384.78129999997</v>
      </c>
      <c r="S20" s="48">
        <v>7612080.25</v>
      </c>
      <c r="T20" s="29" t="s">
        <v>19</v>
      </c>
      <c r="U20" s="30" t="s">
        <v>52</v>
      </c>
      <c r="V20" s="30">
        <v>896</v>
      </c>
      <c r="W20" s="25">
        <f t="shared" si="28"/>
        <v>3212.5</v>
      </c>
      <c r="X20" s="25">
        <f t="shared" si="29"/>
        <v>4150</v>
      </c>
      <c r="Y20" s="25">
        <f t="shared" si="10"/>
        <v>13</v>
      </c>
      <c r="Z20" s="38">
        <f t="shared" si="32"/>
        <v>15</v>
      </c>
      <c r="AA20" s="39">
        <f>IF(Z20&lt;0,MAX(AA$6:AA19)+1,0)</f>
        <v>0</v>
      </c>
      <c r="AB20" s="39">
        <f t="shared" si="11"/>
        <v>4</v>
      </c>
      <c r="AC20" s="39">
        <f t="shared" si="33"/>
        <v>2</v>
      </c>
      <c r="AD20" s="19"/>
      <c r="AE20" s="19">
        <v>1</v>
      </c>
      <c r="AF20" s="19">
        <v>0</v>
      </c>
      <c r="AG20" s="39">
        <f t="shared" si="12"/>
        <v>5</v>
      </c>
      <c r="AH20" s="39">
        <f t="shared" si="13"/>
        <v>2</v>
      </c>
      <c r="AI20" s="16"/>
      <c r="AJ20" s="40">
        <f t="shared" ref="AJ20:AS20" si="39">AJ8</f>
        <v>2</v>
      </c>
      <c r="AK20" s="40">
        <f t="shared" si="39"/>
        <v>7</v>
      </c>
      <c r="AL20" s="40">
        <f t="shared" si="39"/>
        <v>10</v>
      </c>
      <c r="AM20" s="40">
        <f t="shared" si="39"/>
        <v>14</v>
      </c>
      <c r="AN20" s="40">
        <f t="shared" si="39"/>
        <v>18</v>
      </c>
      <c r="AO20" s="40">
        <f t="shared" si="39"/>
        <v>24</v>
      </c>
      <c r="AP20" s="40">
        <f t="shared" si="39"/>
        <v>29</v>
      </c>
      <c r="AQ20" s="40" t="str">
        <f t="shared" si="39"/>
        <v/>
      </c>
      <c r="AR20" s="40" t="str">
        <f t="shared" si="39"/>
        <v/>
      </c>
      <c r="AS20" s="40" t="str">
        <f t="shared" si="39"/>
        <v/>
      </c>
      <c r="AT20" s="16"/>
      <c r="AU20" s="40">
        <f t="shared" si="37"/>
        <v>7616642.75</v>
      </c>
      <c r="AV20" s="40">
        <f t="shared" si="37"/>
        <v>7614405.25</v>
      </c>
      <c r="AW20" s="40">
        <f t="shared" si="37"/>
        <v>7612842.75</v>
      </c>
      <c r="AX20" s="40">
        <f t="shared" si="37"/>
        <v>7612080.25</v>
      </c>
      <c r="AY20" s="40">
        <f t="shared" si="37"/>
        <v>7612830.25</v>
      </c>
      <c r="AZ20" s="40">
        <f t="shared" si="37"/>
        <v>7609955.25</v>
      </c>
      <c r="BA20" s="40">
        <f t="shared" si="37"/>
        <v>7607930.25</v>
      </c>
      <c r="BB20" s="40" t="str">
        <f t="shared" si="37"/>
        <v>y</v>
      </c>
      <c r="BC20" s="40" t="str">
        <f t="shared" si="37"/>
        <v>y</v>
      </c>
      <c r="BD20" s="40" t="str">
        <f t="shared" si="37"/>
        <v>y</v>
      </c>
      <c r="BE20" s="18"/>
      <c r="BF20" s="55">
        <v>13</v>
      </c>
      <c r="BG20" s="39">
        <v>13</v>
      </c>
      <c r="BH20" s="54">
        <v>11</v>
      </c>
      <c r="BI20" s="54">
        <f t="shared" si="38"/>
        <v>-15</v>
      </c>
      <c r="BJ20" s="54" t="s">
        <v>3</v>
      </c>
      <c r="BK20" s="54"/>
      <c r="BL20" s="18"/>
      <c r="BM20" s="18"/>
      <c r="BN20" s="18"/>
      <c r="BO20" s="18"/>
      <c r="BP20" s="18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ht="12" customHeight="1" x14ac:dyDescent="0.25">
      <c r="A21" s="3"/>
      <c r="B21" s="23">
        <f t="shared" si="7"/>
        <v>15</v>
      </c>
      <c r="C21" s="48">
        <v>467172.28129999997</v>
      </c>
      <c r="D21" s="48">
        <v>7613492.75</v>
      </c>
      <c r="E21" s="14"/>
      <c r="F21" s="48">
        <v>466597.28129999997</v>
      </c>
      <c r="G21" s="48">
        <v>7613155.25</v>
      </c>
      <c r="H21" s="29" t="s">
        <v>18</v>
      </c>
      <c r="I21" s="30" t="s">
        <v>51</v>
      </c>
      <c r="J21" s="30">
        <v>880</v>
      </c>
      <c r="K21" s="14"/>
      <c r="L21" s="27">
        <f t="shared" si="26"/>
        <v>1332.5844250928344</v>
      </c>
      <c r="M21" s="14"/>
      <c r="N21" s="61">
        <f t="shared" si="27"/>
        <v>14</v>
      </c>
      <c r="O21" s="6">
        <f t="shared" si="8"/>
        <v>15</v>
      </c>
      <c r="P21" s="38" t="str">
        <f t="shared" si="9"/>
        <v/>
      </c>
      <c r="Q21" s="28">
        <f t="shared" si="31"/>
        <v>15</v>
      </c>
      <c r="R21" s="48">
        <v>466597.28129999997</v>
      </c>
      <c r="S21" s="48">
        <v>7613155.25</v>
      </c>
      <c r="T21" s="29" t="s">
        <v>18</v>
      </c>
      <c r="U21" s="30" t="s">
        <v>51</v>
      </c>
      <c r="V21" s="30">
        <v>880</v>
      </c>
      <c r="W21" s="25">
        <f t="shared" si="28"/>
        <v>2425</v>
      </c>
      <c r="X21" s="25">
        <f t="shared" si="29"/>
        <v>5225</v>
      </c>
      <c r="Y21" s="25">
        <f t="shared" si="10"/>
        <v>14</v>
      </c>
      <c r="Z21" s="38">
        <f t="shared" si="32"/>
        <v>16</v>
      </c>
      <c r="AA21" s="39">
        <f>IF(Z21&lt;0,MAX(AA$6:AA20)+1,0)</f>
        <v>0</v>
      </c>
      <c r="AB21" s="39">
        <f t="shared" si="11"/>
        <v>4</v>
      </c>
      <c r="AC21" s="39">
        <f t="shared" si="33"/>
        <v>3</v>
      </c>
      <c r="AD21" s="19"/>
      <c r="AE21" s="19">
        <v>2</v>
      </c>
      <c r="AF21" s="19">
        <v>-2</v>
      </c>
      <c r="AG21" s="39">
        <f t="shared" si="12"/>
        <v>6</v>
      </c>
      <c r="AH21" s="39">
        <f t="shared" si="13"/>
        <v>1</v>
      </c>
      <c r="AI21" s="16"/>
      <c r="AJ21" s="40">
        <f t="shared" ref="AJ21:AS21" si="40">AJ9</f>
        <v>3</v>
      </c>
      <c r="AK21" s="40">
        <f t="shared" si="40"/>
        <v>8</v>
      </c>
      <c r="AL21" s="40">
        <f t="shared" si="40"/>
        <v>11</v>
      </c>
      <c r="AM21" s="40">
        <f t="shared" si="40"/>
        <v>15</v>
      </c>
      <c r="AN21" s="40">
        <f t="shared" si="40"/>
        <v>19</v>
      </c>
      <c r="AO21" s="40">
        <f t="shared" si="40"/>
        <v>25</v>
      </c>
      <c r="AP21" s="40" t="str">
        <f t="shared" si="40"/>
        <v/>
      </c>
      <c r="AQ21" s="40" t="str">
        <f t="shared" si="40"/>
        <v/>
      </c>
      <c r="AR21" s="40" t="str">
        <f t="shared" si="40"/>
        <v/>
      </c>
      <c r="AS21" s="40" t="str">
        <f t="shared" si="40"/>
        <v/>
      </c>
      <c r="AT21" s="16"/>
      <c r="AU21" s="40">
        <f t="shared" si="37"/>
        <v>7615805.25</v>
      </c>
      <c r="AV21" s="40">
        <f t="shared" si="37"/>
        <v>7614292.75</v>
      </c>
      <c r="AW21" s="40">
        <f t="shared" si="37"/>
        <v>7613980.25</v>
      </c>
      <c r="AX21" s="40">
        <f t="shared" si="37"/>
        <v>7613155.25</v>
      </c>
      <c r="AY21" s="40">
        <f t="shared" si="37"/>
        <v>7611667.75</v>
      </c>
      <c r="AZ21" s="40">
        <f t="shared" si="37"/>
        <v>7610467.75</v>
      </c>
      <c r="BA21" s="40">
        <f t="shared" si="37"/>
        <v>7607930.25</v>
      </c>
      <c r="BB21" s="40" t="str">
        <f t="shared" si="37"/>
        <v>y</v>
      </c>
      <c r="BC21" s="40" t="str">
        <f t="shared" si="37"/>
        <v>y</v>
      </c>
      <c r="BD21" s="40" t="str">
        <f t="shared" si="37"/>
        <v>y</v>
      </c>
      <c r="BE21" s="16"/>
      <c r="BF21" s="53">
        <v>14</v>
      </c>
      <c r="BG21" s="39">
        <v>14</v>
      </c>
      <c r="BH21" s="54">
        <v>11</v>
      </c>
      <c r="BI21" s="54">
        <f t="shared" si="38"/>
        <v>-16</v>
      </c>
      <c r="BJ21" s="54">
        <v>-17</v>
      </c>
      <c r="BK21" s="54"/>
      <c r="BL21" s="16"/>
      <c r="BM21" s="16"/>
      <c r="BN21" s="16"/>
      <c r="BO21" s="16"/>
      <c r="BP21" s="18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ht="12" customHeight="1" x14ac:dyDescent="0.25">
      <c r="A22" s="3"/>
      <c r="B22" s="23">
        <f t="shared" si="7"/>
        <v>16</v>
      </c>
      <c r="C22" s="48">
        <v>466597.28129999997</v>
      </c>
      <c r="D22" s="48">
        <v>7613155.25</v>
      </c>
      <c r="E22" s="14"/>
      <c r="F22" s="48">
        <v>465672.28129999997</v>
      </c>
      <c r="G22" s="48">
        <v>7613092.75</v>
      </c>
      <c r="H22" s="29" t="s">
        <v>17</v>
      </c>
      <c r="I22" s="30" t="s">
        <v>51</v>
      </c>
      <c r="J22" s="30">
        <v>880</v>
      </c>
      <c r="K22" s="14"/>
      <c r="L22" s="27">
        <f t="shared" si="26"/>
        <v>927.10908203943291</v>
      </c>
      <c r="M22" s="14"/>
      <c r="N22" s="61">
        <f t="shared" si="27"/>
        <v>15</v>
      </c>
      <c r="O22" s="6">
        <f t="shared" si="8"/>
        <v>16</v>
      </c>
      <c r="P22" s="38" t="str">
        <f t="shared" si="9"/>
        <v/>
      </c>
      <c r="Q22" s="28">
        <f t="shared" si="31"/>
        <v>16</v>
      </c>
      <c r="R22" s="48">
        <v>465672.28129999997</v>
      </c>
      <c r="S22" s="48">
        <v>7613092.75</v>
      </c>
      <c r="T22" s="29" t="s">
        <v>17</v>
      </c>
      <c r="U22" s="30" t="s">
        <v>51</v>
      </c>
      <c r="V22" s="30">
        <v>880</v>
      </c>
      <c r="W22" s="25">
        <f t="shared" si="28"/>
        <v>1500</v>
      </c>
      <c r="X22" s="25">
        <f t="shared" si="29"/>
        <v>5162.5</v>
      </c>
      <c r="Y22" s="25">
        <f t="shared" si="10"/>
        <v>15</v>
      </c>
      <c r="Z22" s="38">
        <f t="shared" si="32"/>
        <v>0</v>
      </c>
      <c r="AA22" s="39">
        <f>IF(Z22&lt;0,MAX(AA$6:AA21)+1,0)</f>
        <v>0</v>
      </c>
      <c r="AB22" s="39">
        <f t="shared" si="11"/>
        <v>4</v>
      </c>
      <c r="AC22" s="39">
        <f t="shared" si="33"/>
        <v>4</v>
      </c>
      <c r="AD22" s="19"/>
      <c r="AE22" s="19">
        <v>2</v>
      </c>
      <c r="AF22" s="19">
        <v>-2</v>
      </c>
      <c r="AG22" s="39">
        <f t="shared" si="12"/>
        <v>6</v>
      </c>
      <c r="AH22" s="39">
        <f t="shared" si="13"/>
        <v>2</v>
      </c>
      <c r="AI22" s="16"/>
      <c r="AJ22" s="40">
        <f t="shared" ref="AJ22:AS22" si="41">AJ10</f>
        <v>4</v>
      </c>
      <c r="AK22" s="40" t="str">
        <f t="shared" si="41"/>
        <v/>
      </c>
      <c r="AL22" s="40">
        <f t="shared" si="41"/>
        <v>12</v>
      </c>
      <c r="AM22" s="40">
        <f t="shared" si="41"/>
        <v>16</v>
      </c>
      <c r="AN22" s="40">
        <f t="shared" si="41"/>
        <v>20</v>
      </c>
      <c r="AO22" s="40">
        <f t="shared" si="41"/>
        <v>26</v>
      </c>
      <c r="AP22" s="40" t="str">
        <f t="shared" si="41"/>
        <v/>
      </c>
      <c r="AQ22" s="40" t="str">
        <f t="shared" si="41"/>
        <v/>
      </c>
      <c r="AR22" s="40" t="str">
        <f t="shared" si="41"/>
        <v/>
      </c>
      <c r="AS22" s="40" t="str">
        <f t="shared" si="41"/>
        <v/>
      </c>
      <c r="AT22" s="16"/>
      <c r="AU22" s="40">
        <f t="shared" si="37"/>
        <v>7614955.25</v>
      </c>
      <c r="AV22" s="40">
        <f t="shared" si="37"/>
        <v>7614292.75</v>
      </c>
      <c r="AW22" s="40">
        <f t="shared" si="37"/>
        <v>7613492.75</v>
      </c>
      <c r="AX22" s="40">
        <f t="shared" si="37"/>
        <v>7613092.75</v>
      </c>
      <c r="AY22" s="40">
        <f t="shared" si="37"/>
        <v>7611405.25</v>
      </c>
      <c r="AZ22" s="40">
        <f t="shared" si="37"/>
        <v>7610505.25</v>
      </c>
      <c r="BA22" s="40">
        <f t="shared" si="37"/>
        <v>7607930.25</v>
      </c>
      <c r="BB22" s="40" t="str">
        <f t="shared" si="37"/>
        <v>y</v>
      </c>
      <c r="BC22" s="40" t="str">
        <f t="shared" si="37"/>
        <v>y</v>
      </c>
      <c r="BD22" s="40" t="str">
        <f t="shared" si="37"/>
        <v>y</v>
      </c>
      <c r="BE22" s="17"/>
      <c r="BF22" s="55">
        <v>15</v>
      </c>
      <c r="BG22" s="39">
        <v>15</v>
      </c>
      <c r="BH22" s="54">
        <v>11</v>
      </c>
      <c r="BI22" s="54">
        <v>-18</v>
      </c>
      <c r="BJ22" s="54" t="s">
        <v>3</v>
      </c>
      <c r="BK22" s="54"/>
      <c r="BL22" s="17"/>
      <c r="BM22" s="17"/>
      <c r="BN22" s="17"/>
      <c r="BO22" s="17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ht="12" customHeight="1" x14ac:dyDescent="0.25">
      <c r="A23" s="3"/>
      <c r="B23" s="23">
        <f t="shared" si="7"/>
        <v>17</v>
      </c>
      <c r="C23" s="48">
        <v>468434.78129999997</v>
      </c>
      <c r="D23" s="48">
        <v>7611380.25</v>
      </c>
      <c r="E23" s="14"/>
      <c r="F23" s="48">
        <v>464872.28129999997</v>
      </c>
      <c r="G23" s="48">
        <v>7613880.25</v>
      </c>
      <c r="H23" s="29" t="s">
        <v>16</v>
      </c>
      <c r="I23" s="30" t="s">
        <v>53</v>
      </c>
      <c r="J23" s="30">
        <v>890</v>
      </c>
      <c r="K23" s="14"/>
      <c r="L23" s="27">
        <f t="shared" si="26"/>
        <v>1122.5668131563484</v>
      </c>
      <c r="M23" s="14"/>
      <c r="N23" s="61">
        <f t="shared" si="27"/>
        <v>16</v>
      </c>
      <c r="O23" s="6">
        <f t="shared" si="8"/>
        <v>17</v>
      </c>
      <c r="P23" s="38" t="str">
        <f t="shared" si="9"/>
        <v/>
      </c>
      <c r="Q23" s="28">
        <f t="shared" si="31"/>
        <v>17</v>
      </c>
      <c r="R23" s="48">
        <v>464872.28129999997</v>
      </c>
      <c r="S23" s="48">
        <v>7613880.25</v>
      </c>
      <c r="T23" s="29" t="s">
        <v>16</v>
      </c>
      <c r="U23" s="30" t="s">
        <v>53</v>
      </c>
      <c r="V23" s="30">
        <v>890</v>
      </c>
      <c r="W23" s="25">
        <f t="shared" si="28"/>
        <v>700</v>
      </c>
      <c r="X23" s="25">
        <f t="shared" si="29"/>
        <v>5950</v>
      </c>
      <c r="Y23" s="25">
        <f t="shared" si="10"/>
        <v>16</v>
      </c>
      <c r="Z23" s="38">
        <f t="shared" si="32"/>
        <v>-10</v>
      </c>
      <c r="AA23" s="39">
        <f>IF(Z23&lt;0,MAX(AA$6:AA22)+1,0)</f>
        <v>5</v>
      </c>
      <c r="AB23" s="39">
        <f t="shared" si="11"/>
        <v>5</v>
      </c>
      <c r="AC23" s="39">
        <f t="shared" si="33"/>
        <v>1</v>
      </c>
      <c r="AD23" s="19"/>
      <c r="AE23" s="19">
        <f>AE22</f>
        <v>2</v>
      </c>
      <c r="AF23" s="19">
        <v>0</v>
      </c>
      <c r="AG23" s="39">
        <f t="shared" si="12"/>
        <v>7</v>
      </c>
      <c r="AH23" s="39">
        <f t="shared" si="13"/>
        <v>1</v>
      </c>
      <c r="AI23" s="16"/>
      <c r="AJ23" s="40">
        <f t="shared" ref="AJ23:AS23" si="42">AJ11</f>
        <v>5</v>
      </c>
      <c r="AK23" s="40" t="str">
        <f t="shared" si="42"/>
        <v/>
      </c>
      <c r="AL23" s="40" t="str">
        <f t="shared" si="42"/>
        <v/>
      </c>
      <c r="AM23" s="40" t="str">
        <f t="shared" si="42"/>
        <v/>
      </c>
      <c r="AN23" s="40">
        <f t="shared" si="42"/>
        <v>21</v>
      </c>
      <c r="AO23" s="40">
        <f t="shared" si="42"/>
        <v>27</v>
      </c>
      <c r="AP23" s="40" t="str">
        <f t="shared" si="42"/>
        <v/>
      </c>
      <c r="AQ23" s="40" t="str">
        <f t="shared" si="42"/>
        <v/>
      </c>
      <c r="AR23" s="40" t="str">
        <f t="shared" si="42"/>
        <v/>
      </c>
      <c r="AS23" s="40" t="str">
        <f t="shared" si="42"/>
        <v/>
      </c>
      <c r="AT23" s="16"/>
      <c r="AU23" s="40">
        <f t="shared" si="37"/>
        <v>7614180.25</v>
      </c>
      <c r="AV23" s="40">
        <f t="shared" si="37"/>
        <v>7614292.75</v>
      </c>
      <c r="AW23" s="40">
        <f t="shared" si="37"/>
        <v>7613492.75</v>
      </c>
      <c r="AX23" s="40">
        <f t="shared" si="37"/>
        <v>7613092.75</v>
      </c>
      <c r="AY23" s="40">
        <f t="shared" si="37"/>
        <v>7610630.25</v>
      </c>
      <c r="AZ23" s="40">
        <f t="shared" si="37"/>
        <v>7609892.75</v>
      </c>
      <c r="BA23" s="40">
        <f t="shared" si="37"/>
        <v>7607930.25</v>
      </c>
      <c r="BB23" s="40" t="str">
        <f t="shared" si="37"/>
        <v>y</v>
      </c>
      <c r="BC23" s="40" t="str">
        <f t="shared" si="37"/>
        <v>y</v>
      </c>
      <c r="BD23" s="40" t="str">
        <f t="shared" si="37"/>
        <v>y</v>
      </c>
      <c r="BE23" s="16"/>
      <c r="BF23" s="39">
        <v>16</v>
      </c>
      <c r="BG23" s="39">
        <v>16</v>
      </c>
      <c r="BH23" s="54">
        <v>11</v>
      </c>
      <c r="BI23" s="54">
        <f t="shared" si="38"/>
        <v>-19</v>
      </c>
      <c r="BJ23" s="54" t="s">
        <v>3</v>
      </c>
      <c r="BK23" s="54"/>
      <c r="BL23" s="16"/>
      <c r="BM23" s="16"/>
      <c r="BN23" s="16"/>
      <c r="BO23" s="16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</row>
    <row r="24" spans="1:96" ht="12" customHeight="1" x14ac:dyDescent="0.25">
      <c r="A24" s="3"/>
      <c r="B24" s="23">
        <f t="shared" si="7"/>
        <v>18</v>
      </c>
      <c r="C24" s="48">
        <v>467384.78129999997</v>
      </c>
      <c r="D24" s="48">
        <v>7612080.25</v>
      </c>
      <c r="E24" s="14"/>
      <c r="F24" s="48">
        <v>465422.28129999997</v>
      </c>
      <c r="G24" s="48">
        <v>7612830.25</v>
      </c>
      <c r="H24" s="29" t="s">
        <v>15</v>
      </c>
      <c r="I24" s="30" t="s">
        <v>54</v>
      </c>
      <c r="J24" s="30">
        <v>877</v>
      </c>
      <c r="K24" s="14"/>
      <c r="L24" s="27">
        <f t="shared" si="26"/>
        <v>1185.3269591129699</v>
      </c>
      <c r="M24" s="14"/>
      <c r="N24" s="61">
        <f t="shared" si="27"/>
        <v>17</v>
      </c>
      <c r="O24" s="6">
        <f t="shared" si="8"/>
        <v>18</v>
      </c>
      <c r="P24" s="38" t="str">
        <f t="shared" si="9"/>
        <v/>
      </c>
      <c r="Q24" s="28">
        <f t="shared" si="31"/>
        <v>18</v>
      </c>
      <c r="R24" s="48">
        <v>465422.28129999997</v>
      </c>
      <c r="S24" s="48">
        <v>7612830.25</v>
      </c>
      <c r="T24" s="29" t="s">
        <v>15</v>
      </c>
      <c r="U24" s="30" t="s">
        <v>54</v>
      </c>
      <c r="V24" s="30">
        <v>877</v>
      </c>
      <c r="W24" s="25">
        <f t="shared" si="28"/>
        <v>1250</v>
      </c>
      <c r="X24" s="25">
        <f t="shared" si="29"/>
        <v>4900</v>
      </c>
      <c r="Y24" s="25">
        <f t="shared" si="10"/>
        <v>17</v>
      </c>
      <c r="Z24" s="38">
        <f t="shared" si="32"/>
        <v>13</v>
      </c>
      <c r="AA24" s="39">
        <f>IF(Z24&lt;0,MAX(AA$6:AA23)+1,0)</f>
        <v>0</v>
      </c>
      <c r="AB24" s="39">
        <f t="shared" si="11"/>
        <v>5</v>
      </c>
      <c r="AC24" s="39">
        <f t="shared" si="33"/>
        <v>2</v>
      </c>
      <c r="AD24" s="19"/>
      <c r="AE24" s="19">
        <v>3</v>
      </c>
      <c r="AF24" s="19">
        <v>-1</v>
      </c>
      <c r="AG24" s="39">
        <f t="shared" si="12"/>
        <v>8</v>
      </c>
      <c r="AH24" s="39">
        <f t="shared" si="13"/>
        <v>1</v>
      </c>
      <c r="AI24" s="16"/>
      <c r="AJ24" s="40" t="str">
        <f t="shared" ref="AJ24:AS24" si="43">AJ12</f>
        <v/>
      </c>
      <c r="AK24" s="40" t="str">
        <f t="shared" si="43"/>
        <v/>
      </c>
      <c r="AL24" s="40" t="str">
        <f t="shared" si="43"/>
        <v/>
      </c>
      <c r="AM24" s="40" t="str">
        <f t="shared" si="43"/>
        <v/>
      </c>
      <c r="AN24" s="40">
        <f t="shared" si="43"/>
        <v>22</v>
      </c>
      <c r="AO24" s="40" t="str">
        <f t="shared" si="43"/>
        <v/>
      </c>
      <c r="AP24" s="40" t="str">
        <f t="shared" si="43"/>
        <v/>
      </c>
      <c r="AQ24" s="40" t="str">
        <f t="shared" si="43"/>
        <v/>
      </c>
      <c r="AR24" s="40" t="str">
        <f t="shared" si="43"/>
        <v/>
      </c>
      <c r="AS24" s="40" t="str">
        <f t="shared" si="43"/>
        <v/>
      </c>
      <c r="AT24" s="16"/>
      <c r="AU24" s="40">
        <f t="shared" si="37"/>
        <v>7614180.25</v>
      </c>
      <c r="AV24" s="40">
        <f t="shared" si="37"/>
        <v>7614292.75</v>
      </c>
      <c r="AW24" s="40">
        <f t="shared" si="37"/>
        <v>7613492.75</v>
      </c>
      <c r="AX24" s="40">
        <f t="shared" si="37"/>
        <v>7613092.75</v>
      </c>
      <c r="AY24" s="40">
        <f t="shared" si="37"/>
        <v>7609967.75</v>
      </c>
      <c r="AZ24" s="40">
        <f t="shared" si="37"/>
        <v>7609892.75</v>
      </c>
      <c r="BA24" s="40">
        <f t="shared" si="37"/>
        <v>7607930.25</v>
      </c>
      <c r="BB24" s="40" t="str">
        <f t="shared" si="37"/>
        <v>y</v>
      </c>
      <c r="BC24" s="40" t="str">
        <f t="shared" si="37"/>
        <v>y</v>
      </c>
      <c r="BD24" s="40" t="str">
        <f t="shared" si="37"/>
        <v>y</v>
      </c>
      <c r="BE24" s="16"/>
      <c r="BF24" s="55">
        <v>17</v>
      </c>
      <c r="BG24" s="39">
        <v>17</v>
      </c>
      <c r="BH24" s="54">
        <v>11</v>
      </c>
      <c r="BI24" s="54">
        <f t="shared" si="38"/>
        <v>-20</v>
      </c>
      <c r="BJ24" s="54" t="s">
        <v>3</v>
      </c>
      <c r="BK24" s="54"/>
      <c r="BL24" s="16"/>
      <c r="BM24" s="16"/>
      <c r="BN24" s="16"/>
      <c r="BO24" s="16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</row>
    <row r="25" spans="1:96" ht="12" customHeight="1" x14ac:dyDescent="0.25">
      <c r="A25" s="3"/>
      <c r="B25" s="23">
        <f t="shared" si="7"/>
        <v>19</v>
      </c>
      <c r="C25" s="48">
        <v>466597.28129999997</v>
      </c>
      <c r="D25" s="48">
        <v>7613155.25</v>
      </c>
      <c r="E25" s="14"/>
      <c r="F25" s="48">
        <v>465284.78129999997</v>
      </c>
      <c r="G25" s="48">
        <v>7611667.75</v>
      </c>
      <c r="H25" s="29" t="s">
        <v>14</v>
      </c>
      <c r="I25" s="30" t="s">
        <v>55</v>
      </c>
      <c r="J25" s="30">
        <v>863</v>
      </c>
      <c r="K25" s="14"/>
      <c r="L25" s="27">
        <f t="shared" si="26"/>
        <v>1170.6034768443155</v>
      </c>
      <c r="M25" s="14"/>
      <c r="N25" s="61">
        <f t="shared" si="27"/>
        <v>18</v>
      </c>
      <c r="O25" s="6">
        <f t="shared" si="8"/>
        <v>19</v>
      </c>
      <c r="P25" s="38" t="str">
        <f t="shared" si="9"/>
        <v/>
      </c>
      <c r="Q25" s="28">
        <f t="shared" si="31"/>
        <v>19</v>
      </c>
      <c r="R25" s="48">
        <v>465284.78129999997</v>
      </c>
      <c r="S25" s="48">
        <v>7611667.75</v>
      </c>
      <c r="T25" s="29" t="s">
        <v>14</v>
      </c>
      <c r="U25" s="30" t="s">
        <v>55</v>
      </c>
      <c r="V25" s="30">
        <v>863</v>
      </c>
      <c r="W25" s="25">
        <f t="shared" si="28"/>
        <v>1112.5</v>
      </c>
      <c r="X25" s="25">
        <f t="shared" si="29"/>
        <v>3737.5</v>
      </c>
      <c r="Y25" s="25">
        <f t="shared" si="10"/>
        <v>18</v>
      </c>
      <c r="Z25" s="38">
        <f t="shared" si="32"/>
        <v>14</v>
      </c>
      <c r="AA25" s="39">
        <f>IF(Z25&lt;0,MAX(AA$6:AA24)+1,0)</f>
        <v>0</v>
      </c>
      <c r="AB25" s="39">
        <f t="shared" si="11"/>
        <v>5</v>
      </c>
      <c r="AC25" s="39">
        <f t="shared" si="33"/>
        <v>3</v>
      </c>
      <c r="AD25" s="19"/>
      <c r="AE25" s="19">
        <f t="shared" ref="AE25:AE35" si="44">AE24</f>
        <v>3</v>
      </c>
      <c r="AF25" s="19">
        <v>-1</v>
      </c>
      <c r="AG25" s="39">
        <f t="shared" si="12"/>
        <v>8</v>
      </c>
      <c r="AH25" s="39">
        <f t="shared" si="13"/>
        <v>2</v>
      </c>
      <c r="AI25" s="16"/>
      <c r="AJ25" s="40" t="str">
        <f t="shared" ref="AJ25:AS25" si="45">AJ13</f>
        <v/>
      </c>
      <c r="AK25" s="40" t="str">
        <f t="shared" si="45"/>
        <v/>
      </c>
      <c r="AL25" s="40" t="str">
        <f t="shared" si="45"/>
        <v/>
      </c>
      <c r="AM25" s="40" t="str">
        <f t="shared" si="45"/>
        <v/>
      </c>
      <c r="AN25" s="40" t="str">
        <f t="shared" si="45"/>
        <v/>
      </c>
      <c r="AO25" s="40" t="str">
        <f t="shared" si="45"/>
        <v/>
      </c>
      <c r="AP25" s="40" t="str">
        <f t="shared" si="45"/>
        <v/>
      </c>
      <c r="AQ25" s="40" t="str">
        <f t="shared" si="45"/>
        <v/>
      </c>
      <c r="AR25" s="40" t="str">
        <f t="shared" si="45"/>
        <v/>
      </c>
      <c r="AS25" s="40" t="str">
        <f t="shared" si="45"/>
        <v/>
      </c>
      <c r="AT25" s="16"/>
      <c r="AU25" s="40">
        <f t="shared" si="37"/>
        <v>7614180.25</v>
      </c>
      <c r="AV25" s="40">
        <f t="shared" si="37"/>
        <v>7614292.75</v>
      </c>
      <c r="AW25" s="40">
        <f t="shared" si="37"/>
        <v>7613492.75</v>
      </c>
      <c r="AX25" s="40">
        <f t="shared" si="37"/>
        <v>7613092.75</v>
      </c>
      <c r="AY25" s="40">
        <f t="shared" si="37"/>
        <v>7609967.75</v>
      </c>
      <c r="AZ25" s="40">
        <f t="shared" si="37"/>
        <v>7609892.75</v>
      </c>
      <c r="BA25" s="40">
        <f t="shared" si="37"/>
        <v>7607930.25</v>
      </c>
      <c r="BB25" s="40" t="str">
        <f t="shared" si="37"/>
        <v>y</v>
      </c>
      <c r="BC25" s="40" t="str">
        <f t="shared" si="37"/>
        <v>y</v>
      </c>
      <c r="BD25" s="40" t="str">
        <f t="shared" si="37"/>
        <v>y</v>
      </c>
      <c r="BE25" s="16"/>
      <c r="BF25" s="53">
        <v>18</v>
      </c>
      <c r="BG25" s="39">
        <v>18</v>
      </c>
      <c r="BH25" s="54">
        <v>11</v>
      </c>
      <c r="BI25" s="54">
        <f t="shared" si="38"/>
        <v>-21</v>
      </c>
      <c r="BJ25" s="54" t="s">
        <v>71</v>
      </c>
      <c r="BK25" s="54"/>
      <c r="BL25" s="16"/>
      <c r="BM25" s="16"/>
      <c r="BN25" s="16"/>
      <c r="BO25" s="16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</row>
    <row r="26" spans="1:96" ht="12" customHeight="1" x14ac:dyDescent="0.25">
      <c r="A26" s="3"/>
      <c r="B26" s="23">
        <f t="shared" si="7"/>
        <v>20</v>
      </c>
      <c r="C26" s="48">
        <v>465672.28129999997</v>
      </c>
      <c r="D26" s="48">
        <v>7613092.75</v>
      </c>
      <c r="E26" s="14"/>
      <c r="F26" s="48">
        <v>464384.78129999997</v>
      </c>
      <c r="G26" s="48">
        <v>7611405.25</v>
      </c>
      <c r="H26" s="29" t="s">
        <v>13</v>
      </c>
      <c r="I26" s="30" t="s">
        <v>56</v>
      </c>
      <c r="J26" s="30">
        <v>854</v>
      </c>
      <c r="K26" s="14"/>
      <c r="L26" s="27">
        <f t="shared" si="26"/>
        <v>937.5</v>
      </c>
      <c r="M26" s="14"/>
      <c r="N26" s="61">
        <f t="shared" si="27"/>
        <v>19</v>
      </c>
      <c r="O26" s="6">
        <f t="shared" si="8"/>
        <v>20</v>
      </c>
      <c r="P26" s="38" t="str">
        <f t="shared" si="9"/>
        <v/>
      </c>
      <c r="Q26" s="28">
        <f t="shared" si="31"/>
        <v>20</v>
      </c>
      <c r="R26" s="48">
        <v>464384.78129999997</v>
      </c>
      <c r="S26" s="48">
        <v>7611405.25</v>
      </c>
      <c r="T26" s="29" t="s">
        <v>13</v>
      </c>
      <c r="U26" s="30" t="s">
        <v>56</v>
      </c>
      <c r="V26" s="30">
        <v>854</v>
      </c>
      <c r="W26" s="25">
        <f t="shared" si="28"/>
        <v>212.5</v>
      </c>
      <c r="X26" s="25">
        <f t="shared" si="29"/>
        <v>3475</v>
      </c>
      <c r="Y26" s="25">
        <f t="shared" si="10"/>
        <v>19</v>
      </c>
      <c r="Z26" s="38">
        <f t="shared" si="32"/>
        <v>9</v>
      </c>
      <c r="AA26" s="39">
        <f>IF(Z26&lt;0,MAX(AA$6:AA25)+1,0)</f>
        <v>0</v>
      </c>
      <c r="AB26" s="39">
        <f t="shared" si="11"/>
        <v>5</v>
      </c>
      <c r="AC26" s="39">
        <f t="shared" si="33"/>
        <v>4</v>
      </c>
      <c r="AD26" s="19"/>
      <c r="AE26" s="19">
        <f t="shared" si="44"/>
        <v>3</v>
      </c>
      <c r="AF26" s="19">
        <v>-1</v>
      </c>
      <c r="AG26" s="39">
        <f t="shared" si="12"/>
        <v>8</v>
      </c>
      <c r="AH26" s="39">
        <f t="shared" si="13"/>
        <v>3</v>
      </c>
      <c r="AI26" s="16"/>
      <c r="AJ26" s="40" t="str">
        <f t="shared" ref="AJ26:AS26" si="46">AJ14</f>
        <v/>
      </c>
      <c r="AK26" s="40" t="str">
        <f t="shared" si="46"/>
        <v/>
      </c>
      <c r="AL26" s="40" t="str">
        <f t="shared" si="46"/>
        <v/>
      </c>
      <c r="AM26" s="40" t="str">
        <f t="shared" si="46"/>
        <v/>
      </c>
      <c r="AN26" s="40" t="str">
        <f t="shared" si="46"/>
        <v/>
      </c>
      <c r="AO26" s="40" t="str">
        <f t="shared" si="46"/>
        <v/>
      </c>
      <c r="AP26" s="40" t="str">
        <f t="shared" si="46"/>
        <v/>
      </c>
      <c r="AQ26" s="40" t="str">
        <f t="shared" si="46"/>
        <v/>
      </c>
      <c r="AR26" s="40" t="str">
        <f t="shared" si="46"/>
        <v/>
      </c>
      <c r="AS26" s="40" t="str">
        <f t="shared" si="46"/>
        <v/>
      </c>
      <c r="AT26" s="16"/>
      <c r="AU26" s="40">
        <f>IF(ISNUMBER(#REF!),INDEX($R$7:$S$42,#REF!,AU$17),AU25)</f>
        <v>7614180.25</v>
      </c>
      <c r="AV26" s="40">
        <f>IF(ISNUMBER(#REF!),INDEX($R$7:$S$42,#REF!,AV$17),AV25)</f>
        <v>7614292.75</v>
      </c>
      <c r="AW26" s="40">
        <f>IF(ISNUMBER(#REF!),INDEX($R$7:$S$42,#REF!,AW$17),AW25)</f>
        <v>7613492.75</v>
      </c>
      <c r="AX26" s="40">
        <f>IF(ISNUMBER(#REF!),INDEX($R$7:$S$42,#REF!,AX$17),AX25)</f>
        <v>7613092.75</v>
      </c>
      <c r="AY26" s="40">
        <f>IF(ISNUMBER(#REF!),INDEX($R$7:$S$42,#REF!,AY$17),AY25)</f>
        <v>7609967.75</v>
      </c>
      <c r="AZ26" s="40">
        <f>IF(ISNUMBER(#REF!),INDEX($R$7:$S$42,#REF!,AZ$17),AZ25)</f>
        <v>7609892.75</v>
      </c>
      <c r="BA26" s="40">
        <f>IF(ISNUMBER(#REF!),INDEX($R$7:$S$42,#REF!,BA$17),BA25)</f>
        <v>7607930.25</v>
      </c>
      <c r="BB26" s="40" t="str">
        <f>IF(ISNUMBER(#REF!),INDEX($R$7:$S$42,#REF!,BB$17),BB25)</f>
        <v>y</v>
      </c>
      <c r="BC26" s="40" t="str">
        <f>IF(ISNUMBER(#REF!),INDEX($R$7:$S$42,#REF!,BC$17),BC25)</f>
        <v>y</v>
      </c>
      <c r="BD26" s="40" t="str">
        <f>IF(ISNUMBER(#REF!),INDEX($R$7:$S$42,#REF!,BD$17),BD25)</f>
        <v>y</v>
      </c>
      <c r="BE26" s="16"/>
      <c r="BF26" s="39">
        <v>19</v>
      </c>
      <c r="BG26" s="39">
        <v>19</v>
      </c>
      <c r="BH26" s="54">
        <v>11</v>
      </c>
      <c r="BI26" s="54">
        <f t="shared" si="38"/>
        <v>-22</v>
      </c>
      <c r="BJ26" s="54" t="s">
        <v>3</v>
      </c>
      <c r="BK26" s="54"/>
      <c r="BL26" s="16"/>
      <c r="BM26" s="16"/>
      <c r="BN26" s="16"/>
      <c r="BO26" s="16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</row>
    <row r="27" spans="1:96" ht="12" customHeight="1" x14ac:dyDescent="0.25">
      <c r="A27" s="3"/>
      <c r="B27" s="23">
        <f t="shared" si="7"/>
        <v>21</v>
      </c>
      <c r="C27" s="48">
        <v>465422.28129999997</v>
      </c>
      <c r="D27" s="48">
        <v>7612830.25</v>
      </c>
      <c r="E27" s="14"/>
      <c r="F27" s="48">
        <v>464297.28129999997</v>
      </c>
      <c r="G27" s="48">
        <v>7610630.25</v>
      </c>
      <c r="H27" s="29" t="s">
        <v>7</v>
      </c>
      <c r="I27" s="30" t="s">
        <v>57</v>
      </c>
      <c r="J27" s="30">
        <v>847</v>
      </c>
      <c r="K27" s="14"/>
      <c r="L27" s="27">
        <f t="shared" si="26"/>
        <v>779.92387449032481</v>
      </c>
      <c r="M27" s="14"/>
      <c r="N27" s="61">
        <f t="shared" si="27"/>
        <v>20</v>
      </c>
      <c r="O27" s="6">
        <f t="shared" si="8"/>
        <v>21</v>
      </c>
      <c r="P27" s="38" t="str">
        <f t="shared" si="9"/>
        <v/>
      </c>
      <c r="Q27" s="28">
        <f t="shared" si="31"/>
        <v>21</v>
      </c>
      <c r="R27" s="48">
        <v>464297.28129999997</v>
      </c>
      <c r="S27" s="48">
        <v>7610630.25</v>
      </c>
      <c r="T27" s="29" t="s">
        <v>7</v>
      </c>
      <c r="U27" s="30" t="s">
        <v>57</v>
      </c>
      <c r="V27" s="30">
        <v>847</v>
      </c>
      <c r="W27" s="25">
        <f t="shared" si="28"/>
        <v>125</v>
      </c>
      <c r="X27" s="25">
        <f t="shared" si="29"/>
        <v>2700</v>
      </c>
      <c r="Y27" s="25">
        <f t="shared" si="10"/>
        <v>20</v>
      </c>
      <c r="Z27" s="38">
        <f t="shared" si="32"/>
        <v>7</v>
      </c>
      <c r="AA27" s="39">
        <f>IF(Z27&lt;0,MAX(AA$6:AA26)+1,0)</f>
        <v>0</v>
      </c>
      <c r="AB27" s="39">
        <f t="shared" si="11"/>
        <v>5</v>
      </c>
      <c r="AC27" s="39">
        <f t="shared" si="33"/>
        <v>5</v>
      </c>
      <c r="AD27" s="19"/>
      <c r="AE27" s="19">
        <f t="shared" si="44"/>
        <v>3</v>
      </c>
      <c r="AF27" s="19">
        <v>-1</v>
      </c>
      <c r="AG27" s="39">
        <f t="shared" si="12"/>
        <v>8</v>
      </c>
      <c r="AH27" s="39">
        <f t="shared" si="13"/>
        <v>4</v>
      </c>
      <c r="AI27" s="16"/>
      <c r="AJ27" s="40" t="str">
        <f t="shared" ref="AJ27:AS27" si="47">AJ15</f>
        <v/>
      </c>
      <c r="AK27" s="40" t="str">
        <f t="shared" si="47"/>
        <v/>
      </c>
      <c r="AL27" s="40" t="str">
        <f t="shared" si="47"/>
        <v/>
      </c>
      <c r="AM27" s="40" t="str">
        <f t="shared" si="47"/>
        <v/>
      </c>
      <c r="AN27" s="40" t="str">
        <f t="shared" si="47"/>
        <v/>
      </c>
      <c r="AO27" s="40" t="str">
        <f t="shared" si="47"/>
        <v/>
      </c>
      <c r="AP27" s="40" t="str">
        <f t="shared" si="47"/>
        <v/>
      </c>
      <c r="AQ27" s="40" t="str">
        <f t="shared" si="47"/>
        <v/>
      </c>
      <c r="AR27" s="40" t="str">
        <f t="shared" si="47"/>
        <v/>
      </c>
      <c r="AS27" s="40" t="str">
        <f t="shared" si="47"/>
        <v/>
      </c>
      <c r="AT27" s="16"/>
      <c r="AU27" s="40">
        <f>IF(ISNUMBER(#REF!),INDEX($R$7:$S$42,#REF!,AU$17),AU26)</f>
        <v>7614180.25</v>
      </c>
      <c r="AV27" s="40">
        <f>IF(ISNUMBER(#REF!),INDEX($R$7:$S$42,#REF!,AV$17),AV26)</f>
        <v>7614292.75</v>
      </c>
      <c r="AW27" s="40">
        <f>IF(ISNUMBER(#REF!),INDEX($R$7:$S$42,#REF!,AW$17),AW26)</f>
        <v>7613492.75</v>
      </c>
      <c r="AX27" s="40">
        <f>IF(ISNUMBER(#REF!),INDEX($R$7:$S$42,#REF!,AX$17),AX26)</f>
        <v>7613092.75</v>
      </c>
      <c r="AY27" s="40">
        <f>IF(ISNUMBER(#REF!),INDEX($R$7:$S$42,#REF!,AY$17),AY26)</f>
        <v>7609967.75</v>
      </c>
      <c r="AZ27" s="40">
        <f>IF(ISNUMBER(#REF!),INDEX($R$7:$S$42,#REF!,AZ$17),AZ26)</f>
        <v>7609892.75</v>
      </c>
      <c r="BA27" s="40">
        <f>IF(ISNUMBER(#REF!),INDEX($R$7:$S$42,#REF!,BA$17),BA26)</f>
        <v>7607930.25</v>
      </c>
      <c r="BB27" s="40" t="str">
        <f>IF(ISNUMBER(#REF!),INDEX($R$7:$S$42,#REF!,BB$17),BB26)</f>
        <v>y</v>
      </c>
      <c r="BC27" s="40" t="str">
        <f>IF(ISNUMBER(#REF!),INDEX($R$7:$S$42,#REF!,BC$17),BC26)</f>
        <v>y</v>
      </c>
      <c r="BD27" s="40" t="str">
        <f>IF(ISNUMBER(#REF!),INDEX($R$7:$S$42,#REF!,BD$17),BD26)</f>
        <v>y</v>
      </c>
      <c r="BE27" s="16"/>
      <c r="BF27" s="39">
        <v>20</v>
      </c>
      <c r="BG27" s="39">
        <v>20</v>
      </c>
      <c r="BH27" s="54">
        <v>11</v>
      </c>
      <c r="BI27" s="54">
        <f t="shared" si="38"/>
        <v>-23</v>
      </c>
      <c r="BJ27" s="54" t="s">
        <v>3</v>
      </c>
      <c r="BK27" s="54"/>
      <c r="BL27" s="16"/>
      <c r="BM27" s="16"/>
      <c r="BN27" s="16"/>
      <c r="BO27" s="16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</row>
    <row r="28" spans="1:96" ht="12" customHeight="1" x14ac:dyDescent="0.25">
      <c r="A28" s="3"/>
      <c r="B28" s="23">
        <f t="shared" si="7"/>
        <v>22</v>
      </c>
      <c r="C28" s="48">
        <v>464872.28129999997</v>
      </c>
      <c r="D28" s="48">
        <v>7613880.25</v>
      </c>
      <c r="E28" s="14"/>
      <c r="F28" s="48">
        <v>464784.78129999997</v>
      </c>
      <c r="G28" s="48">
        <v>7609967.75</v>
      </c>
      <c r="H28" s="29" t="s">
        <v>6</v>
      </c>
      <c r="I28" s="30" t="s">
        <v>58</v>
      </c>
      <c r="J28" s="30">
        <v>844</v>
      </c>
      <c r="K28" s="14"/>
      <c r="L28" s="27">
        <f t="shared" si="26"/>
        <v>822.534193818105</v>
      </c>
      <c r="M28" s="14"/>
      <c r="N28" s="61">
        <f t="shared" si="27"/>
        <v>21</v>
      </c>
      <c r="O28" s="6">
        <f t="shared" si="8"/>
        <v>22</v>
      </c>
      <c r="P28" s="38" t="str">
        <f t="shared" si="9"/>
        <v/>
      </c>
      <c r="Q28" s="28">
        <f t="shared" si="31"/>
        <v>22</v>
      </c>
      <c r="R28" s="48">
        <v>464784.78129999997</v>
      </c>
      <c r="S28" s="48">
        <v>7609967.75</v>
      </c>
      <c r="T28" s="29" t="s">
        <v>6</v>
      </c>
      <c r="U28" s="30" t="s">
        <v>58</v>
      </c>
      <c r="V28" s="30">
        <v>844</v>
      </c>
      <c r="W28" s="25">
        <f t="shared" si="28"/>
        <v>612.5</v>
      </c>
      <c r="X28" s="25">
        <f t="shared" si="29"/>
        <v>2037.5</v>
      </c>
      <c r="Y28" s="25">
        <f t="shared" si="10"/>
        <v>21</v>
      </c>
      <c r="Z28" s="38">
        <f t="shared" si="32"/>
        <v>3</v>
      </c>
      <c r="AA28" s="39">
        <f>IF(Z28&lt;0,MAX(AA$6:AA27)+1,0)</f>
        <v>0</v>
      </c>
      <c r="AB28" s="39">
        <f t="shared" si="11"/>
        <v>5</v>
      </c>
      <c r="AC28" s="39">
        <f t="shared" si="33"/>
        <v>6</v>
      </c>
      <c r="AD28" s="19"/>
      <c r="AE28" s="19">
        <f t="shared" si="44"/>
        <v>3</v>
      </c>
      <c r="AF28" s="19">
        <v>-1</v>
      </c>
      <c r="AG28" s="39">
        <f t="shared" si="12"/>
        <v>8</v>
      </c>
      <c r="AH28" s="39">
        <f t="shared" si="13"/>
        <v>5</v>
      </c>
      <c r="AI28" s="16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16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16"/>
      <c r="BF28" s="55">
        <v>21</v>
      </c>
      <c r="BG28" s="39">
        <v>21</v>
      </c>
      <c r="BH28" s="54">
        <v>11</v>
      </c>
      <c r="BI28" s="54">
        <f t="shared" si="38"/>
        <v>-24</v>
      </c>
      <c r="BJ28" s="54" t="s">
        <v>3</v>
      </c>
      <c r="BK28" s="54"/>
      <c r="BL28" s="16"/>
      <c r="BM28" s="16"/>
      <c r="BN28" s="16"/>
      <c r="BO28" s="16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</row>
    <row r="29" spans="1:96" ht="12" customHeight="1" x14ac:dyDescent="0.25">
      <c r="A29" s="3"/>
      <c r="B29" s="23">
        <f t="shared" si="7"/>
        <v>23</v>
      </c>
      <c r="C29" s="48">
        <v>465422.28129999997</v>
      </c>
      <c r="D29" s="48">
        <v>7612830.25</v>
      </c>
      <c r="E29" s="14"/>
      <c r="F29" s="48">
        <v>468284.78129999997</v>
      </c>
      <c r="G29" s="48">
        <v>7609942.75</v>
      </c>
      <c r="H29" s="29" t="s">
        <v>12</v>
      </c>
      <c r="I29" s="30" t="s">
        <v>59</v>
      </c>
      <c r="J29" s="30">
        <v>928</v>
      </c>
      <c r="K29" s="14"/>
      <c r="L29" s="27">
        <f t="shared" si="26"/>
        <v>3500.0892845754665</v>
      </c>
      <c r="M29" s="14"/>
      <c r="N29" s="61">
        <f t="shared" si="27"/>
        <v>22</v>
      </c>
      <c r="O29" s="6">
        <f t="shared" si="8"/>
        <v>23</v>
      </c>
      <c r="P29" s="38" t="str">
        <f t="shared" si="9"/>
        <v/>
      </c>
      <c r="Q29" s="28">
        <f t="shared" si="31"/>
        <v>23</v>
      </c>
      <c r="R29" s="48">
        <v>468284.78129999997</v>
      </c>
      <c r="S29" s="48">
        <v>7609942.75</v>
      </c>
      <c r="T29" s="29" t="s">
        <v>12</v>
      </c>
      <c r="U29" s="30" t="s">
        <v>59</v>
      </c>
      <c r="V29" s="30">
        <v>928</v>
      </c>
      <c r="W29" s="25">
        <f t="shared" si="28"/>
        <v>4112.5</v>
      </c>
      <c r="X29" s="25">
        <f t="shared" si="29"/>
        <v>2012.5</v>
      </c>
      <c r="Y29" s="25">
        <f t="shared" si="10"/>
        <v>22</v>
      </c>
      <c r="Z29" s="38">
        <f t="shared" si="32"/>
        <v>-84</v>
      </c>
      <c r="AA29" s="39">
        <f>IF(Z29&lt;0,MAX(AA$6:AA28)+1,0)</f>
        <v>6</v>
      </c>
      <c r="AB29" s="39">
        <f t="shared" si="11"/>
        <v>6</v>
      </c>
      <c r="AC29" s="39">
        <f t="shared" si="33"/>
        <v>1</v>
      </c>
      <c r="AD29" s="19"/>
      <c r="AE29" s="19">
        <f t="shared" si="44"/>
        <v>3</v>
      </c>
      <c r="AF29" s="19">
        <v>0</v>
      </c>
      <c r="AG29" s="39">
        <f t="shared" si="12"/>
        <v>9</v>
      </c>
      <c r="AH29" s="39">
        <f t="shared" si="13"/>
        <v>1</v>
      </c>
      <c r="AI29" s="16"/>
      <c r="AJ29" s="40">
        <f t="shared" ref="AJ29:AJ37" si="48">IF(AND(ISNUMBER(AJ7),(ISNUMBER(O$5))),INDEX($Y$7:$Y$41,AJ7,1),"")</f>
        <v>0</v>
      </c>
      <c r="AK29" s="40">
        <f t="shared" ref="AK29:AK37" si="49">IF(AND(ISNUMBER(AK7),(ISNUMBER(P$5))),INDEX($Y$7:$Y$41,AK7,1),"")</f>
        <v>5</v>
      </c>
      <c r="AL29" s="40">
        <f t="shared" ref="AL29:AL37" si="50">IF(AND(ISNUMBER(AL7),(ISNUMBER(Q$5))),INDEX($Y$7:$Y$41,AL7,1),"")</f>
        <v>8</v>
      </c>
      <c r="AM29" s="40">
        <f t="shared" ref="AM29:AM37" si="51">IF(AND(ISNUMBER(AM7),(ISNUMBER(R$5))),INDEX($Y$7:$Y$41,AM7,1),"")</f>
        <v>12</v>
      </c>
      <c r="AN29" s="40">
        <f t="shared" ref="AN29:AN37" si="52">IF(AND(ISNUMBER(AN7),(ISNUMBER(S$5))),INDEX($Y$7:$Y$41,AN7,1),"")</f>
        <v>16</v>
      </c>
      <c r="AO29" s="40">
        <f t="shared" ref="AO29:AO37" si="53">IF(AND(ISNUMBER(AO7),(ISNUMBER(T$5))),INDEX($Y$7:$Y$41,AO7,1),"")</f>
        <v>22</v>
      </c>
      <c r="AP29" s="40">
        <f t="shared" ref="AP29:AP37" si="54">IF(AND(ISNUMBER(AP7),(ISNUMBER(U$5))),INDEX($Y$7:$Y$41,AP7,1),"")</f>
        <v>27</v>
      </c>
      <c r="AQ29" s="40" t="str">
        <f t="shared" ref="AQ29:AQ37" si="55">IF(AND(ISNUMBER(AQ7),(ISNUMBER(V$5))),INDEX($Y$7:$Y$41,AQ7,1),"")</f>
        <v/>
      </c>
      <c r="AR29" s="40" t="str">
        <f>IF(AND(ISNUMBER(AR7),(ISNUMBER(#REF!))),INDEX($Y$7:$Y$41,AR7,1),"")</f>
        <v/>
      </c>
      <c r="AS29" s="40" t="str">
        <f t="shared" ref="AS29:AS37" si="56">IF(AND(ISNUMBER(AS7),(ISNUMBER(W$5))),INDEX($Y$7:$Y$41,AS7,1),"")</f>
        <v/>
      </c>
      <c r="AT29" s="8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16"/>
      <c r="BF29" s="53">
        <v>22</v>
      </c>
      <c r="BG29" s="39">
        <v>22</v>
      </c>
      <c r="BH29" s="54">
        <v>11</v>
      </c>
      <c r="BI29" s="54">
        <f t="shared" si="38"/>
        <v>-25</v>
      </c>
      <c r="BJ29" s="54" t="s">
        <v>3</v>
      </c>
      <c r="BK29" s="54"/>
      <c r="BL29" s="16"/>
      <c r="BM29" s="16"/>
      <c r="BN29" s="16"/>
      <c r="BO29" s="16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</row>
    <row r="30" spans="1:96" ht="12" customHeight="1" x14ac:dyDescent="0.25">
      <c r="A30" s="3"/>
      <c r="B30" s="23">
        <f t="shared" si="7"/>
        <v>24</v>
      </c>
      <c r="C30" s="48">
        <v>465284.78129999997</v>
      </c>
      <c r="D30" s="48">
        <v>7611667.75</v>
      </c>
      <c r="E30" s="14"/>
      <c r="F30" s="48">
        <v>466622.28129999997</v>
      </c>
      <c r="G30" s="48">
        <v>7609955.25</v>
      </c>
      <c r="H30" s="29" t="s">
        <v>11</v>
      </c>
      <c r="I30" s="30" t="s">
        <v>60</v>
      </c>
      <c r="J30" s="30">
        <v>895</v>
      </c>
      <c r="K30" s="14"/>
      <c r="L30" s="27">
        <f t="shared" si="26"/>
        <v>1662.5469918170734</v>
      </c>
      <c r="M30" s="14"/>
      <c r="N30" s="61">
        <f t="shared" si="27"/>
        <v>23</v>
      </c>
      <c r="O30" s="6">
        <f t="shared" si="8"/>
        <v>24</v>
      </c>
      <c r="P30" s="38" t="str">
        <f t="shared" si="9"/>
        <v/>
      </c>
      <c r="Q30" s="28">
        <f t="shared" si="31"/>
        <v>24</v>
      </c>
      <c r="R30" s="48">
        <v>466622.28129999997</v>
      </c>
      <c r="S30" s="48">
        <v>7609955.25</v>
      </c>
      <c r="T30" s="29" t="s">
        <v>11</v>
      </c>
      <c r="U30" s="30" t="s">
        <v>60</v>
      </c>
      <c r="V30" s="30">
        <v>895</v>
      </c>
      <c r="W30" s="25">
        <f t="shared" si="28"/>
        <v>2450</v>
      </c>
      <c r="X30" s="25">
        <f t="shared" si="29"/>
        <v>2025</v>
      </c>
      <c r="Y30" s="25">
        <f t="shared" si="10"/>
        <v>23</v>
      </c>
      <c r="Z30" s="38">
        <f t="shared" si="32"/>
        <v>33</v>
      </c>
      <c r="AA30" s="39">
        <f>IF(Z30&lt;0,MAX(AA$6:AA29)+1,0)</f>
        <v>0</v>
      </c>
      <c r="AB30" s="39">
        <f t="shared" si="11"/>
        <v>6</v>
      </c>
      <c r="AC30" s="39">
        <f t="shared" si="33"/>
        <v>2</v>
      </c>
      <c r="AD30" s="19"/>
      <c r="AE30" s="19">
        <f t="shared" si="44"/>
        <v>3</v>
      </c>
      <c r="AF30" s="19">
        <v>0</v>
      </c>
      <c r="AG30" s="39">
        <f t="shared" si="12"/>
        <v>9</v>
      </c>
      <c r="AH30" s="39">
        <f t="shared" si="13"/>
        <v>2</v>
      </c>
      <c r="AI30" s="16"/>
      <c r="AJ30" s="40">
        <f t="shared" si="48"/>
        <v>1</v>
      </c>
      <c r="AK30" s="40">
        <f t="shared" si="49"/>
        <v>6</v>
      </c>
      <c r="AL30" s="40">
        <f t="shared" si="50"/>
        <v>9</v>
      </c>
      <c r="AM30" s="40">
        <f t="shared" si="51"/>
        <v>13</v>
      </c>
      <c r="AN30" s="40">
        <f t="shared" si="52"/>
        <v>17</v>
      </c>
      <c r="AO30" s="40">
        <f t="shared" si="53"/>
        <v>23</v>
      </c>
      <c r="AP30" s="40">
        <f t="shared" si="54"/>
        <v>28</v>
      </c>
      <c r="AQ30" s="40" t="str">
        <f t="shared" si="55"/>
        <v/>
      </c>
      <c r="AR30" s="40" t="str">
        <f>IF(AND(ISNUMBER(AR8),(ISNUMBER(#REF!))),INDEX($Y$7:$Y$41,AR8,1),"")</f>
        <v/>
      </c>
      <c r="AS30" s="40" t="str">
        <f t="shared" si="56"/>
        <v/>
      </c>
      <c r="AT30" s="8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16"/>
      <c r="BF30" s="39">
        <v>23</v>
      </c>
      <c r="BG30" s="39">
        <v>23</v>
      </c>
      <c r="BH30" s="54">
        <v>11</v>
      </c>
      <c r="BI30" s="54">
        <f t="shared" si="38"/>
        <v>-26</v>
      </c>
      <c r="BJ30" s="54" t="s">
        <v>3</v>
      </c>
      <c r="BK30" s="54"/>
      <c r="BL30" s="16"/>
      <c r="BM30" s="16"/>
      <c r="BN30" s="16"/>
      <c r="BO30" s="16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</row>
    <row r="31" spans="1:96" ht="12" customHeight="1" x14ac:dyDescent="0.25">
      <c r="A31" s="3"/>
      <c r="B31" s="23">
        <f t="shared" si="7"/>
        <v>25</v>
      </c>
      <c r="C31" s="48">
        <v>464384.78129999997</v>
      </c>
      <c r="D31" s="48">
        <v>7611405.25</v>
      </c>
      <c r="E31" s="14"/>
      <c r="F31" s="48">
        <v>466097.28129999997</v>
      </c>
      <c r="G31" s="48">
        <v>7610467.75</v>
      </c>
      <c r="H31" s="29" t="s">
        <v>10</v>
      </c>
      <c r="I31" s="30" t="s">
        <v>61</v>
      </c>
      <c r="J31" s="30">
        <v>865</v>
      </c>
      <c r="K31" s="14"/>
      <c r="L31" s="27">
        <f t="shared" si="26"/>
        <v>733.67652954145944</v>
      </c>
      <c r="M31" s="14"/>
      <c r="N31" s="61">
        <f t="shared" si="27"/>
        <v>24</v>
      </c>
      <c r="O31" s="6">
        <f t="shared" si="8"/>
        <v>25</v>
      </c>
      <c r="P31" s="38" t="str">
        <f t="shared" si="9"/>
        <v/>
      </c>
      <c r="Q31" s="28">
        <f t="shared" si="31"/>
        <v>25</v>
      </c>
      <c r="R31" s="48">
        <v>466097.28129999997</v>
      </c>
      <c r="S31" s="48">
        <v>7610467.75</v>
      </c>
      <c r="T31" s="29" t="s">
        <v>10</v>
      </c>
      <c r="U31" s="30" t="s">
        <v>61</v>
      </c>
      <c r="V31" s="30">
        <v>865</v>
      </c>
      <c r="W31" s="25">
        <f t="shared" si="28"/>
        <v>1925</v>
      </c>
      <c r="X31" s="25">
        <f t="shared" si="29"/>
        <v>2537.5</v>
      </c>
      <c r="Y31" s="25">
        <f t="shared" si="10"/>
        <v>24</v>
      </c>
      <c r="Z31" s="38">
        <f t="shared" si="32"/>
        <v>30</v>
      </c>
      <c r="AA31" s="39">
        <f>IF(Z31&lt;0,MAX(AA$6:AA30)+1,0)</f>
        <v>0</v>
      </c>
      <c r="AB31" s="39">
        <f t="shared" si="11"/>
        <v>6</v>
      </c>
      <c r="AC31" s="39">
        <f t="shared" si="33"/>
        <v>3</v>
      </c>
      <c r="AD31" s="19"/>
      <c r="AE31" s="19">
        <f t="shared" si="44"/>
        <v>3</v>
      </c>
      <c r="AF31" s="19">
        <v>0</v>
      </c>
      <c r="AG31" s="39">
        <f t="shared" si="12"/>
        <v>9</v>
      </c>
      <c r="AH31" s="39">
        <f t="shared" si="13"/>
        <v>3</v>
      </c>
      <c r="AI31" s="16"/>
      <c r="AJ31" s="40">
        <f t="shared" si="48"/>
        <v>2</v>
      </c>
      <c r="AK31" s="40">
        <f t="shared" si="49"/>
        <v>7</v>
      </c>
      <c r="AL31" s="40">
        <f t="shared" si="50"/>
        <v>10</v>
      </c>
      <c r="AM31" s="40">
        <f t="shared" si="51"/>
        <v>14</v>
      </c>
      <c r="AN31" s="40">
        <f t="shared" si="52"/>
        <v>18</v>
      </c>
      <c r="AO31" s="40">
        <f t="shared" si="53"/>
        <v>24</v>
      </c>
      <c r="AP31" s="40" t="str">
        <f t="shared" si="54"/>
        <v/>
      </c>
      <c r="AQ31" s="40" t="str">
        <f t="shared" si="55"/>
        <v/>
      </c>
      <c r="AR31" s="40" t="str">
        <f>IF(AND(ISNUMBER(AR9),(ISNUMBER(#REF!))),INDEX($Y$7:$Y$41,AR9,1),"")</f>
        <v/>
      </c>
      <c r="AS31" s="40" t="str">
        <f t="shared" si="56"/>
        <v/>
      </c>
      <c r="AT31" s="8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16"/>
      <c r="BF31" s="39">
        <v>24</v>
      </c>
      <c r="BG31" s="39">
        <v>24</v>
      </c>
      <c r="BH31" s="54">
        <v>11</v>
      </c>
      <c r="BI31" s="54">
        <f t="shared" si="38"/>
        <v>-27</v>
      </c>
      <c r="BJ31" s="54" t="s">
        <v>3</v>
      </c>
      <c r="BK31" s="54"/>
      <c r="BL31" s="16"/>
      <c r="BM31" s="16"/>
      <c r="BN31" s="16"/>
      <c r="BO31" s="16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</row>
    <row r="32" spans="1:96" ht="12" customHeight="1" x14ac:dyDescent="0.25">
      <c r="A32" s="3"/>
      <c r="B32" s="23">
        <f t="shared" si="7"/>
        <v>26</v>
      </c>
      <c r="C32" s="48">
        <v>464297.28129999997</v>
      </c>
      <c r="D32" s="48">
        <v>7610630.25</v>
      </c>
      <c r="E32" s="14"/>
      <c r="F32" s="48">
        <v>465534.78129999997</v>
      </c>
      <c r="G32" s="48">
        <v>7610505.25</v>
      </c>
      <c r="H32" s="29" t="s">
        <v>9</v>
      </c>
      <c r="I32" s="30" t="s">
        <v>62</v>
      </c>
      <c r="J32" s="30">
        <v>856</v>
      </c>
      <c r="K32" s="14"/>
      <c r="L32" s="27">
        <f t="shared" si="26"/>
        <v>563.74861418898411</v>
      </c>
      <c r="M32" s="14"/>
      <c r="N32" s="61">
        <f t="shared" si="27"/>
        <v>25</v>
      </c>
      <c r="O32" s="6">
        <f t="shared" si="8"/>
        <v>26</v>
      </c>
      <c r="P32" s="38" t="str">
        <f t="shared" si="9"/>
        <v/>
      </c>
      <c r="Q32" s="28">
        <f t="shared" si="31"/>
        <v>26</v>
      </c>
      <c r="R32" s="48">
        <v>465534.78129999997</v>
      </c>
      <c r="S32" s="48">
        <v>7610505.25</v>
      </c>
      <c r="T32" s="29" t="s">
        <v>9</v>
      </c>
      <c r="U32" s="30" t="s">
        <v>62</v>
      </c>
      <c r="V32" s="30">
        <v>856</v>
      </c>
      <c r="W32" s="25">
        <f t="shared" si="28"/>
        <v>1362.5</v>
      </c>
      <c r="X32" s="25">
        <f t="shared" si="29"/>
        <v>2575</v>
      </c>
      <c r="Y32" s="25">
        <f t="shared" si="10"/>
        <v>25</v>
      </c>
      <c r="Z32" s="38">
        <f t="shared" si="32"/>
        <v>9</v>
      </c>
      <c r="AA32" s="39">
        <f>IF(Z32&lt;0,MAX(AA$6:AA31)+1,0)</f>
        <v>0</v>
      </c>
      <c r="AB32" s="39">
        <f t="shared" si="11"/>
        <v>6</v>
      </c>
      <c r="AC32" s="39">
        <f t="shared" si="33"/>
        <v>4</v>
      </c>
      <c r="AD32" s="19"/>
      <c r="AE32" s="19">
        <f t="shared" si="44"/>
        <v>3</v>
      </c>
      <c r="AF32" s="19">
        <v>0</v>
      </c>
      <c r="AG32" s="39">
        <f t="shared" si="12"/>
        <v>9</v>
      </c>
      <c r="AH32" s="39">
        <f t="shared" si="13"/>
        <v>4</v>
      </c>
      <c r="AI32" s="16"/>
      <c r="AJ32" s="40">
        <f t="shared" si="48"/>
        <v>3</v>
      </c>
      <c r="AK32" s="40" t="str">
        <f t="shared" si="49"/>
        <v/>
      </c>
      <c r="AL32" s="40">
        <f t="shared" si="50"/>
        <v>11</v>
      </c>
      <c r="AM32" s="40">
        <f t="shared" si="51"/>
        <v>15</v>
      </c>
      <c r="AN32" s="40">
        <f t="shared" si="52"/>
        <v>19</v>
      </c>
      <c r="AO32" s="40">
        <f t="shared" si="53"/>
        <v>25</v>
      </c>
      <c r="AP32" s="40" t="str">
        <f t="shared" si="54"/>
        <v/>
      </c>
      <c r="AQ32" s="40" t="str">
        <f t="shared" si="55"/>
        <v/>
      </c>
      <c r="AR32" s="40" t="str">
        <f>IF(AND(ISNUMBER(AR10),(ISNUMBER(#REF!))),INDEX($Y$7:$Y$41,AR10,1),"")</f>
        <v/>
      </c>
      <c r="AS32" s="40" t="str">
        <f t="shared" si="56"/>
        <v/>
      </c>
      <c r="AT32" s="8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16"/>
      <c r="BF32" s="39">
        <v>25</v>
      </c>
      <c r="BG32" s="39">
        <v>25</v>
      </c>
      <c r="BH32" s="54">
        <v>11</v>
      </c>
      <c r="BI32" s="54">
        <f t="shared" si="38"/>
        <v>-28</v>
      </c>
      <c r="BJ32" s="54" t="s">
        <v>3</v>
      </c>
      <c r="BK32" s="54"/>
      <c r="BL32" s="16"/>
      <c r="BM32" s="16"/>
      <c r="BN32" s="16"/>
      <c r="BO32" s="16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</row>
    <row r="33" spans="1:96" ht="12" customHeight="1" x14ac:dyDescent="0.25">
      <c r="A33" s="3"/>
      <c r="B33" s="23">
        <f t="shared" si="7"/>
        <v>27</v>
      </c>
      <c r="C33" s="48">
        <v>468284.78129999997</v>
      </c>
      <c r="D33" s="48">
        <v>7609942.75</v>
      </c>
      <c r="E33" s="14"/>
      <c r="F33" s="48">
        <v>464909.78129999997</v>
      </c>
      <c r="G33" s="48">
        <v>7609892.75</v>
      </c>
      <c r="H33" s="29" t="s">
        <v>8</v>
      </c>
      <c r="I33" s="30" t="s">
        <v>58</v>
      </c>
      <c r="J33" s="30">
        <v>844</v>
      </c>
      <c r="K33" s="14"/>
      <c r="L33" s="27">
        <f t="shared" si="26"/>
        <v>875.08928115935691</v>
      </c>
      <c r="M33" s="14"/>
      <c r="N33" s="61">
        <f t="shared" si="27"/>
        <v>26</v>
      </c>
      <c r="O33" s="6">
        <f t="shared" si="8"/>
        <v>27</v>
      </c>
      <c r="P33" s="38" t="str">
        <f t="shared" si="9"/>
        <v/>
      </c>
      <c r="Q33" s="28">
        <f t="shared" si="31"/>
        <v>27</v>
      </c>
      <c r="R33" s="48">
        <v>464909.78129999997</v>
      </c>
      <c r="S33" s="48">
        <v>7609892.75</v>
      </c>
      <c r="T33" s="29" t="s">
        <v>8</v>
      </c>
      <c r="U33" s="30" t="s">
        <v>58</v>
      </c>
      <c r="V33" s="30">
        <v>844</v>
      </c>
      <c r="W33" s="25">
        <f t="shared" ref="W33:W42" si="57">IF(ISNUMBER(R33),R33-MIN(R$7:R$42),"")</f>
        <v>737.5</v>
      </c>
      <c r="X33" s="25">
        <f t="shared" ref="X33:X42" si="58">IF(ISNUMBER(R33),S33-MIN(S$7:S$42),"")</f>
        <v>1962.5</v>
      </c>
      <c r="Y33" s="25">
        <f t="shared" si="10"/>
        <v>26</v>
      </c>
      <c r="Z33" s="38">
        <f t="shared" si="32"/>
        <v>12</v>
      </c>
      <c r="AA33" s="39">
        <f>IF(Z33&lt;0,MAX(AA$6:AA32)+1,0)</f>
        <v>0</v>
      </c>
      <c r="AB33" s="39">
        <f t="shared" si="11"/>
        <v>6</v>
      </c>
      <c r="AC33" s="39">
        <f t="shared" si="33"/>
        <v>5</v>
      </c>
      <c r="AD33" s="19"/>
      <c r="AE33" s="19">
        <f t="shared" si="44"/>
        <v>3</v>
      </c>
      <c r="AF33" s="19">
        <v>0</v>
      </c>
      <c r="AG33" s="39">
        <f t="shared" si="12"/>
        <v>9</v>
      </c>
      <c r="AH33" s="39">
        <f t="shared" si="13"/>
        <v>5</v>
      </c>
      <c r="AI33" s="16"/>
      <c r="AJ33" s="40">
        <f t="shared" si="48"/>
        <v>4</v>
      </c>
      <c r="AK33" s="40" t="str">
        <f t="shared" si="49"/>
        <v/>
      </c>
      <c r="AL33" s="40" t="str">
        <f t="shared" si="50"/>
        <v/>
      </c>
      <c r="AM33" s="40" t="str">
        <f t="shared" si="51"/>
        <v/>
      </c>
      <c r="AN33" s="40">
        <f t="shared" si="52"/>
        <v>20</v>
      </c>
      <c r="AO33" s="40">
        <f t="shared" si="53"/>
        <v>26</v>
      </c>
      <c r="AP33" s="40" t="str">
        <f t="shared" si="54"/>
        <v/>
      </c>
      <c r="AQ33" s="40" t="str">
        <f t="shared" si="55"/>
        <v/>
      </c>
      <c r="AR33" s="40" t="str">
        <f>IF(AND(ISNUMBER(AR11),(ISNUMBER(#REF!))),INDEX($Y$7:$Y$41,AR11,1),"")</f>
        <v/>
      </c>
      <c r="AS33" s="40" t="str">
        <f t="shared" si="56"/>
        <v/>
      </c>
      <c r="AT33" s="8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16"/>
      <c r="BF33" s="55">
        <v>26</v>
      </c>
      <c r="BG33" s="39">
        <v>26</v>
      </c>
      <c r="BH33" s="54">
        <v>11</v>
      </c>
      <c r="BI33" s="54">
        <f t="shared" si="38"/>
        <v>-29</v>
      </c>
      <c r="BJ33" s="54" t="s">
        <v>3</v>
      </c>
      <c r="BK33" s="54"/>
      <c r="BL33" s="16"/>
      <c r="BM33" s="16"/>
      <c r="BN33" s="16"/>
      <c r="BO33" s="16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</row>
    <row r="34" spans="1:96" ht="12" customHeight="1" x14ac:dyDescent="0.25">
      <c r="A34" s="3"/>
      <c r="B34" s="23">
        <f t="shared" si="7"/>
        <v>28</v>
      </c>
      <c r="C34" s="48">
        <v>466622.28129999997</v>
      </c>
      <c r="D34" s="48">
        <v>7609955.25</v>
      </c>
      <c r="E34" s="14"/>
      <c r="F34" s="48">
        <v>464822.28129999997</v>
      </c>
      <c r="G34" s="48">
        <v>7609305.25</v>
      </c>
      <c r="H34" s="29" t="s">
        <v>5</v>
      </c>
      <c r="I34" s="30" t="s">
        <v>63</v>
      </c>
      <c r="J34" s="30">
        <v>846</v>
      </c>
      <c r="K34" s="14"/>
      <c r="L34" s="27">
        <f t="shared" si="26"/>
        <v>593.98021852583611</v>
      </c>
      <c r="M34" s="14"/>
      <c r="N34" s="61">
        <f t="shared" si="27"/>
        <v>27</v>
      </c>
      <c r="O34" s="6">
        <f t="shared" si="8"/>
        <v>28</v>
      </c>
      <c r="P34" s="38">
        <f t="shared" si="9"/>
        <v>28</v>
      </c>
      <c r="Q34" s="28">
        <f t="shared" si="31"/>
        <v>28</v>
      </c>
      <c r="R34" s="48">
        <v>464822.28129999997</v>
      </c>
      <c r="S34" s="48">
        <v>7609305.25</v>
      </c>
      <c r="T34" s="29" t="s">
        <v>5</v>
      </c>
      <c r="U34" s="30" t="s">
        <v>63</v>
      </c>
      <c r="V34" s="30">
        <v>846</v>
      </c>
      <c r="W34" s="25">
        <f t="shared" si="57"/>
        <v>650</v>
      </c>
      <c r="X34" s="25">
        <f t="shared" si="58"/>
        <v>1375</v>
      </c>
      <c r="Y34" s="25">
        <f t="shared" si="10"/>
        <v>27</v>
      </c>
      <c r="Z34" s="38">
        <f t="shared" si="32"/>
        <v>-2</v>
      </c>
      <c r="AA34" s="39">
        <f>IF(Z34&lt;0,MAX(AA$6:AA33)+1,0)</f>
        <v>7</v>
      </c>
      <c r="AB34" s="39">
        <f t="shared" si="11"/>
        <v>7</v>
      </c>
      <c r="AC34" s="39">
        <f t="shared" si="33"/>
        <v>1</v>
      </c>
      <c r="AD34" s="19"/>
      <c r="AE34" s="19">
        <f t="shared" si="44"/>
        <v>3</v>
      </c>
      <c r="AF34" s="19">
        <v>0</v>
      </c>
      <c r="AG34" s="39">
        <f t="shared" si="12"/>
        <v>10</v>
      </c>
      <c r="AH34" s="39">
        <f t="shared" si="13"/>
        <v>1</v>
      </c>
      <c r="AI34" s="16"/>
      <c r="AJ34" s="40" t="str">
        <f t="shared" si="48"/>
        <v/>
      </c>
      <c r="AK34" s="40" t="str">
        <f t="shared" si="49"/>
        <v/>
      </c>
      <c r="AL34" s="40" t="str">
        <f t="shared" si="50"/>
        <v/>
      </c>
      <c r="AM34" s="40" t="str">
        <f t="shared" si="51"/>
        <v/>
      </c>
      <c r="AN34" s="40">
        <f t="shared" si="52"/>
        <v>21</v>
      </c>
      <c r="AO34" s="40" t="str">
        <f t="shared" si="53"/>
        <v/>
      </c>
      <c r="AP34" s="40" t="str">
        <f t="shared" si="54"/>
        <v/>
      </c>
      <c r="AQ34" s="40" t="str">
        <f t="shared" si="55"/>
        <v/>
      </c>
      <c r="AR34" s="40" t="str">
        <f>IF(AND(ISNUMBER(AR12),(ISNUMBER(#REF!))),INDEX($Y$7:$Y$41,AR12,1),"")</f>
        <v/>
      </c>
      <c r="AS34" s="40" t="str">
        <f t="shared" si="56"/>
        <v/>
      </c>
      <c r="AT34" s="8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16"/>
      <c r="BF34" s="53">
        <v>27</v>
      </c>
      <c r="BG34" s="39">
        <v>27</v>
      </c>
      <c r="BH34" s="54">
        <v>11</v>
      </c>
      <c r="BI34" s="54">
        <f t="shared" si="38"/>
        <v>-30</v>
      </c>
      <c r="BJ34" s="54" t="s">
        <v>72</v>
      </c>
      <c r="BK34" s="54"/>
      <c r="BL34" s="16"/>
      <c r="BM34" s="16"/>
      <c r="BN34" s="16"/>
      <c r="BO34" s="16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</row>
    <row r="35" spans="1:96" ht="12" customHeight="1" x14ac:dyDescent="0.25">
      <c r="A35" s="3"/>
      <c r="B35" s="23">
        <f t="shared" si="7"/>
        <v>29</v>
      </c>
      <c r="C35" s="48">
        <v>466097.28129999997</v>
      </c>
      <c r="D35" s="48">
        <v>7610467.75</v>
      </c>
      <c r="E35" s="14"/>
      <c r="F35" s="48">
        <v>464172.28129999997</v>
      </c>
      <c r="G35" s="48">
        <v>7607930.25</v>
      </c>
      <c r="H35" s="29" t="s">
        <v>4</v>
      </c>
      <c r="I35" s="30" t="s">
        <v>64</v>
      </c>
      <c r="J35" s="30">
        <v>842</v>
      </c>
      <c r="K35" s="14"/>
      <c r="L35" s="27">
        <f t="shared" si="26"/>
        <v>1520.896117425513</v>
      </c>
      <c r="M35" s="14"/>
      <c r="N35" s="61">
        <f t="shared" si="27"/>
        <v>28</v>
      </c>
      <c r="O35" s="6">
        <f t="shared" si="8"/>
        <v>29</v>
      </c>
      <c r="P35" s="38">
        <f t="shared" si="9"/>
        <v>29</v>
      </c>
      <c r="Q35" s="28">
        <f t="shared" si="31"/>
        <v>29</v>
      </c>
      <c r="R35" s="48">
        <v>464172.28129999997</v>
      </c>
      <c r="S35" s="48">
        <v>7607930.25</v>
      </c>
      <c r="T35" s="29" t="s">
        <v>4</v>
      </c>
      <c r="U35" s="30" t="s">
        <v>64</v>
      </c>
      <c r="V35" s="30">
        <v>842</v>
      </c>
      <c r="W35" s="25">
        <f t="shared" si="57"/>
        <v>0</v>
      </c>
      <c r="X35" s="25">
        <f t="shared" si="58"/>
        <v>0</v>
      </c>
      <c r="Y35" s="25">
        <f t="shared" si="10"/>
        <v>28</v>
      </c>
      <c r="Z35" s="38">
        <f t="shared" si="32"/>
        <v>4</v>
      </c>
      <c r="AA35" s="39">
        <f>IF(Z35&lt;0,MAX(AA$6:AA34)+1,0)</f>
        <v>0</v>
      </c>
      <c r="AB35" s="39">
        <f t="shared" si="11"/>
        <v>7</v>
      </c>
      <c r="AC35" s="39">
        <f t="shared" si="33"/>
        <v>2</v>
      </c>
      <c r="AD35" s="19"/>
      <c r="AE35" s="19">
        <f t="shared" si="44"/>
        <v>3</v>
      </c>
      <c r="AF35" s="19">
        <v>0</v>
      </c>
      <c r="AG35" s="39">
        <f t="shared" si="12"/>
        <v>10</v>
      </c>
      <c r="AH35" s="39">
        <f t="shared" si="13"/>
        <v>2</v>
      </c>
      <c r="AI35" s="16"/>
      <c r="AJ35" s="40" t="str">
        <f t="shared" si="48"/>
        <v/>
      </c>
      <c r="AK35" s="40" t="str">
        <f t="shared" si="49"/>
        <v/>
      </c>
      <c r="AL35" s="40" t="str">
        <f t="shared" si="50"/>
        <v/>
      </c>
      <c r="AM35" s="40" t="str">
        <f t="shared" si="51"/>
        <v/>
      </c>
      <c r="AN35" s="40" t="str">
        <f t="shared" si="52"/>
        <v/>
      </c>
      <c r="AO35" s="40" t="str">
        <f t="shared" si="53"/>
        <v/>
      </c>
      <c r="AP35" s="40" t="str">
        <f t="shared" si="54"/>
        <v/>
      </c>
      <c r="AQ35" s="40" t="str">
        <f t="shared" si="55"/>
        <v/>
      </c>
      <c r="AR35" s="40" t="str">
        <f>IF(AND(ISNUMBER(AR13),(ISNUMBER(#REF!))),INDEX($Y$7:$Y$41,AR13,1),"")</f>
        <v/>
      </c>
      <c r="AS35" s="40" t="str">
        <f t="shared" si="56"/>
        <v/>
      </c>
      <c r="AT35" s="8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6"/>
      <c r="BF35" s="55">
        <v>28</v>
      </c>
      <c r="BG35" s="39">
        <v>28</v>
      </c>
      <c r="BH35" s="54">
        <v>11</v>
      </c>
      <c r="BI35" s="54">
        <f t="shared" si="38"/>
        <v>-31</v>
      </c>
      <c r="BJ35" s="54" t="s">
        <v>3</v>
      </c>
      <c r="BK35" s="54"/>
      <c r="BL35" s="16"/>
      <c r="BM35" s="16"/>
      <c r="BN35" s="16"/>
      <c r="BO35" s="16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</row>
    <row r="36" spans="1:96" ht="12" customHeight="1" x14ac:dyDescent="0.25">
      <c r="A36" s="3"/>
      <c r="B36" s="23">
        <f t="shared" si="7"/>
        <v>30</v>
      </c>
      <c r="C36" s="48">
        <v>465534.78129999997</v>
      </c>
      <c r="D36" s="48">
        <v>7610505.25</v>
      </c>
      <c r="E36" s="14"/>
      <c r="F36" s="48"/>
      <c r="G36" s="48"/>
      <c r="H36" s="26"/>
      <c r="I36" s="10"/>
      <c r="J36" s="10"/>
      <c r="K36" s="14"/>
      <c r="L36" s="27" t="str">
        <f t="shared" si="26"/>
        <v/>
      </c>
      <c r="M36" s="14"/>
      <c r="N36" s="61" t="str">
        <f t="shared" si="27"/>
        <v/>
      </c>
      <c r="O36" s="6" t="str">
        <f t="shared" si="8"/>
        <v/>
      </c>
      <c r="P36" s="38" t="str">
        <f t="shared" si="9"/>
        <v/>
      </c>
      <c r="Q36" s="28" t="str">
        <f t="shared" si="31"/>
        <v/>
      </c>
      <c r="R36" s="48"/>
      <c r="S36" s="48"/>
      <c r="T36" s="29"/>
      <c r="U36" s="30"/>
      <c r="V36" s="30"/>
      <c r="W36" s="25" t="str">
        <f t="shared" si="57"/>
        <v/>
      </c>
      <c r="X36" s="25" t="str">
        <f t="shared" si="58"/>
        <v/>
      </c>
      <c r="Y36" s="25" t="str">
        <f t="shared" si="10"/>
        <v/>
      </c>
      <c r="Z36" s="38" t="str">
        <f t="shared" ref="Z36:Z42" si="59">IF(ISNUMBER(R36),V35-V36,"")</f>
        <v/>
      </c>
      <c r="AA36" s="39">
        <f>IF(Z36&lt;0,MAX(AA$6:AA35)+1,0)</f>
        <v>0</v>
      </c>
      <c r="AB36" s="39" t="str">
        <f t="shared" ref="AB36:AB42" si="60">IF(ISNUMBER(R36),IF(AA36=0,AB35,AA36),"")</f>
        <v/>
      </c>
      <c r="AC36" s="39">
        <f t="shared" si="33"/>
        <v>3</v>
      </c>
      <c r="AD36" s="19"/>
      <c r="AE36" s="19">
        <v>0</v>
      </c>
      <c r="AF36" s="19">
        <v>0</v>
      </c>
      <c r="AG36" s="39" t="str">
        <f t="shared" si="12"/>
        <v/>
      </c>
      <c r="AH36" s="39" t="str">
        <f t="shared" si="13"/>
        <v/>
      </c>
      <c r="AI36" s="16"/>
      <c r="AJ36" s="40" t="str">
        <f t="shared" si="48"/>
        <v/>
      </c>
      <c r="AK36" s="40" t="str">
        <f t="shared" si="49"/>
        <v/>
      </c>
      <c r="AL36" s="40" t="str">
        <f t="shared" si="50"/>
        <v/>
      </c>
      <c r="AM36" s="40" t="str">
        <f t="shared" si="51"/>
        <v/>
      </c>
      <c r="AN36" s="40" t="str">
        <f t="shared" si="52"/>
        <v/>
      </c>
      <c r="AO36" s="40" t="str">
        <f t="shared" si="53"/>
        <v/>
      </c>
      <c r="AP36" s="40" t="str">
        <f t="shared" si="54"/>
        <v/>
      </c>
      <c r="AQ36" s="40" t="str">
        <f t="shared" si="55"/>
        <v/>
      </c>
      <c r="AR36" s="40" t="str">
        <f>IF(AND(ISNUMBER(AR14),(ISNUMBER(#REF!))),INDEX($Y$7:$Y$41,AR14,1),"")</f>
        <v/>
      </c>
      <c r="AS36" s="40" t="str">
        <f t="shared" si="56"/>
        <v/>
      </c>
      <c r="AT36" s="8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6"/>
      <c r="BF36" s="39" t="str">
        <f t="shared" ref="BF36:BF42" si="61">IF(ISNUMBER(AQ36),BA36+BD36,"")</f>
        <v/>
      </c>
      <c r="BG36" s="39" t="str">
        <f t="shared" ref="BG36:BG42" si="62">IF(ISNUMBER(AR36),BB36+BE36,"")</f>
        <v/>
      </c>
      <c r="BH36" s="39"/>
      <c r="BI36" s="39"/>
      <c r="BJ36" s="39"/>
      <c r="BK36" s="39"/>
      <c r="BL36" s="16"/>
      <c r="BM36" s="16"/>
      <c r="BN36" s="16"/>
      <c r="BO36" s="16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</row>
    <row r="37" spans="1:96" ht="12" customHeight="1" x14ac:dyDescent="0.25">
      <c r="A37" s="3"/>
      <c r="B37" s="23">
        <f t="shared" si="7"/>
        <v>31</v>
      </c>
      <c r="C37" s="48">
        <v>464909.78129999997</v>
      </c>
      <c r="D37" s="48">
        <v>7609892.75</v>
      </c>
      <c r="E37" s="14"/>
      <c r="F37" s="48"/>
      <c r="G37" s="48"/>
      <c r="H37" s="26"/>
      <c r="I37" s="10"/>
      <c r="J37" s="10"/>
      <c r="K37" s="14"/>
      <c r="L37" s="27" t="str">
        <f t="shared" si="26"/>
        <v/>
      </c>
      <c r="M37" s="14"/>
      <c r="N37" s="61" t="str">
        <f t="shared" si="27"/>
        <v/>
      </c>
      <c r="O37" s="6" t="str">
        <f t="shared" si="8"/>
        <v/>
      </c>
      <c r="P37" s="38" t="str">
        <f t="shared" si="9"/>
        <v/>
      </c>
      <c r="Q37" s="28" t="str">
        <f t="shared" si="31"/>
        <v/>
      </c>
      <c r="R37" s="48"/>
      <c r="S37" s="48"/>
      <c r="T37" s="29"/>
      <c r="U37" s="30"/>
      <c r="V37" s="30"/>
      <c r="W37" s="25" t="str">
        <f t="shared" si="57"/>
        <v/>
      </c>
      <c r="X37" s="25" t="str">
        <f t="shared" si="58"/>
        <v/>
      </c>
      <c r="Y37" s="25" t="str">
        <f t="shared" si="10"/>
        <v/>
      </c>
      <c r="Z37" s="38" t="str">
        <f t="shared" si="59"/>
        <v/>
      </c>
      <c r="AA37" s="39">
        <f>IF(Z37&lt;0,MAX(AA$6:AA36)+1,0)</f>
        <v>0</v>
      </c>
      <c r="AB37" s="39" t="str">
        <f t="shared" si="60"/>
        <v/>
      </c>
      <c r="AC37" s="39" t="str">
        <f t="shared" si="33"/>
        <v/>
      </c>
      <c r="AD37" s="19"/>
      <c r="AE37" s="19">
        <v>0</v>
      </c>
      <c r="AF37" s="19">
        <v>0</v>
      </c>
      <c r="AG37" s="39" t="str">
        <f t="shared" si="12"/>
        <v/>
      </c>
      <c r="AH37" s="39" t="str">
        <f t="shared" si="13"/>
        <v/>
      </c>
      <c r="AI37" s="16"/>
      <c r="AJ37" s="40" t="str">
        <f t="shared" si="48"/>
        <v/>
      </c>
      <c r="AK37" s="40" t="str">
        <f t="shared" si="49"/>
        <v/>
      </c>
      <c r="AL37" s="40" t="str">
        <f t="shared" si="50"/>
        <v/>
      </c>
      <c r="AM37" s="40" t="str">
        <f t="shared" si="51"/>
        <v/>
      </c>
      <c r="AN37" s="40" t="str">
        <f t="shared" si="52"/>
        <v/>
      </c>
      <c r="AO37" s="40" t="str">
        <f t="shared" si="53"/>
        <v/>
      </c>
      <c r="AP37" s="40" t="str">
        <f t="shared" si="54"/>
        <v/>
      </c>
      <c r="AQ37" s="40" t="str">
        <f t="shared" si="55"/>
        <v/>
      </c>
      <c r="AR37" s="40" t="str">
        <f>IF(AND(ISNUMBER(AR15),(ISNUMBER(#REF!))),INDEX($Y$7:$Y$41,AR15,1),"")</f>
        <v/>
      </c>
      <c r="AS37" s="40" t="str">
        <f t="shared" si="56"/>
        <v/>
      </c>
      <c r="AT37" s="8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6"/>
      <c r="BF37" s="39" t="str">
        <f t="shared" si="61"/>
        <v/>
      </c>
      <c r="BG37" s="39" t="str">
        <f t="shared" si="62"/>
        <v/>
      </c>
      <c r="BH37" s="39"/>
      <c r="BI37" s="39"/>
      <c r="BJ37" s="39"/>
      <c r="BK37" s="39"/>
      <c r="BL37" s="16"/>
      <c r="BM37" s="16"/>
      <c r="BN37" s="16"/>
      <c r="BO37" s="16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</row>
    <row r="38" spans="1:96" ht="12" customHeight="1" x14ac:dyDescent="0.25">
      <c r="A38" s="3"/>
      <c r="B38" s="23">
        <f t="shared" si="7"/>
        <v>32</v>
      </c>
      <c r="C38" s="48">
        <v>464822.28129999997</v>
      </c>
      <c r="D38" s="48">
        <v>7609305.25</v>
      </c>
      <c r="E38" s="14"/>
      <c r="F38" s="48"/>
      <c r="G38" s="48"/>
      <c r="H38" s="26"/>
      <c r="I38" s="10"/>
      <c r="J38" s="10"/>
      <c r="K38" s="14"/>
      <c r="L38" s="27" t="str">
        <f t="shared" si="26"/>
        <v/>
      </c>
      <c r="M38" s="14"/>
      <c r="N38" s="61" t="str">
        <f t="shared" si="27"/>
        <v/>
      </c>
      <c r="O38" s="6" t="str">
        <f t="shared" si="8"/>
        <v/>
      </c>
      <c r="P38" s="38" t="str">
        <f t="shared" si="9"/>
        <v/>
      </c>
      <c r="Q38" s="28" t="str">
        <f t="shared" si="31"/>
        <v/>
      </c>
      <c r="R38" s="48"/>
      <c r="S38" s="48"/>
      <c r="T38" s="29"/>
      <c r="U38" s="30"/>
      <c r="V38" s="30"/>
      <c r="W38" s="25" t="str">
        <f t="shared" si="57"/>
        <v/>
      </c>
      <c r="X38" s="25" t="str">
        <f t="shared" si="58"/>
        <v/>
      </c>
      <c r="Y38" s="25" t="str">
        <f t="shared" si="10"/>
        <v/>
      </c>
      <c r="Z38" s="38" t="str">
        <f t="shared" si="59"/>
        <v/>
      </c>
      <c r="AA38" s="39">
        <f>IF(Z38&lt;0,MAX(AA$6:AA37)+1,0)</f>
        <v>0</v>
      </c>
      <c r="AB38" s="39" t="str">
        <f t="shared" si="60"/>
        <v/>
      </c>
      <c r="AC38" s="39" t="str">
        <f t="shared" si="33"/>
        <v/>
      </c>
      <c r="AD38" s="19"/>
      <c r="AE38" s="19">
        <v>0</v>
      </c>
      <c r="AF38" s="19">
        <v>0</v>
      </c>
      <c r="AG38" s="39" t="str">
        <f t="shared" si="12"/>
        <v/>
      </c>
      <c r="AH38" s="39" t="str">
        <f t="shared" si="13"/>
        <v/>
      </c>
      <c r="AI38" s="16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16"/>
      <c r="AU38" s="17"/>
      <c r="AV38" s="17"/>
      <c r="AW38" s="17"/>
      <c r="AX38" s="17"/>
      <c r="AY38" s="17"/>
      <c r="AZ38" s="17"/>
      <c r="BA38" s="17"/>
      <c r="BB38" s="17"/>
      <c r="BC38" s="17"/>
      <c r="BD38" s="16"/>
      <c r="BE38" s="16"/>
      <c r="BF38" s="39" t="str">
        <f t="shared" si="61"/>
        <v/>
      </c>
      <c r="BG38" s="39" t="str">
        <f t="shared" si="62"/>
        <v/>
      </c>
      <c r="BH38" s="39"/>
      <c r="BI38" s="39"/>
      <c r="BJ38" s="39"/>
      <c r="BK38" s="39"/>
      <c r="BL38" s="16"/>
      <c r="BM38" s="16"/>
      <c r="BN38" s="16"/>
      <c r="BO38" s="16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</row>
    <row r="39" spans="1:96" ht="12" customHeight="1" x14ac:dyDescent="0.25">
      <c r="A39" s="3"/>
      <c r="B39" s="23">
        <f t="shared" si="7"/>
        <v>33</v>
      </c>
      <c r="C39" s="48">
        <v>464297.28129999997</v>
      </c>
      <c r="D39" s="48">
        <v>7610630.25</v>
      </c>
      <c r="E39" s="14"/>
      <c r="F39" s="48"/>
      <c r="G39" s="48"/>
      <c r="H39" s="26"/>
      <c r="I39" s="10"/>
      <c r="J39" s="10"/>
      <c r="K39" s="14"/>
      <c r="L39" s="27" t="str">
        <f t="shared" si="26"/>
        <v/>
      </c>
      <c r="M39" s="14"/>
      <c r="N39" s="61" t="str">
        <f t="shared" si="27"/>
        <v/>
      </c>
      <c r="O39" s="6" t="str">
        <f t="shared" si="8"/>
        <v/>
      </c>
      <c r="P39" s="38" t="str">
        <f t="shared" si="9"/>
        <v/>
      </c>
      <c r="Q39" s="28" t="str">
        <f t="shared" si="31"/>
        <v/>
      </c>
      <c r="R39" s="48"/>
      <c r="S39" s="48"/>
      <c r="T39" s="29"/>
      <c r="U39" s="30"/>
      <c r="V39" s="30"/>
      <c r="W39" s="25" t="str">
        <f t="shared" si="57"/>
        <v/>
      </c>
      <c r="X39" s="25" t="str">
        <f t="shared" si="58"/>
        <v/>
      </c>
      <c r="Y39" s="25" t="str">
        <f t="shared" si="10"/>
        <v/>
      </c>
      <c r="Z39" s="38" t="str">
        <f t="shared" si="59"/>
        <v/>
      </c>
      <c r="AA39" s="39">
        <f>IF(Z39&lt;0,MAX(AA$6:AA38)+1,0)</f>
        <v>0</v>
      </c>
      <c r="AB39" s="39" t="str">
        <f t="shared" si="60"/>
        <v/>
      </c>
      <c r="AC39" s="39" t="str">
        <f t="shared" si="33"/>
        <v/>
      </c>
      <c r="AD39" s="19"/>
      <c r="AE39" s="19">
        <v>0</v>
      </c>
      <c r="AF39" s="19">
        <v>0</v>
      </c>
      <c r="AG39" s="39" t="str">
        <f t="shared" si="12"/>
        <v/>
      </c>
      <c r="AH39" s="39" t="str">
        <f t="shared" si="13"/>
        <v/>
      </c>
      <c r="AI39" s="16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16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6"/>
      <c r="BF39" s="39" t="str">
        <f t="shared" si="61"/>
        <v/>
      </c>
      <c r="BG39" s="39" t="str">
        <f t="shared" si="62"/>
        <v/>
      </c>
      <c r="BH39" s="39"/>
      <c r="BI39" s="39"/>
      <c r="BJ39" s="39"/>
      <c r="BK39" s="39"/>
      <c r="BL39" s="16"/>
      <c r="BM39" s="16"/>
      <c r="BN39" s="16"/>
      <c r="BO39" s="16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</row>
    <row r="40" spans="1:96" ht="12" customHeight="1" x14ac:dyDescent="0.25">
      <c r="A40" s="3"/>
      <c r="B40" s="23">
        <f t="shared" si="7"/>
        <v>34</v>
      </c>
      <c r="C40" s="48">
        <v>464784.78129999997</v>
      </c>
      <c r="D40" s="48">
        <v>7609967.75</v>
      </c>
      <c r="E40" s="14"/>
      <c r="F40" s="48"/>
      <c r="G40" s="48"/>
      <c r="H40" s="26"/>
      <c r="I40" s="10"/>
      <c r="J40" s="10"/>
      <c r="K40" s="14"/>
      <c r="L40" s="27" t="str">
        <f t="shared" si="26"/>
        <v/>
      </c>
      <c r="M40" s="14"/>
      <c r="N40" s="61" t="str">
        <f t="shared" si="27"/>
        <v/>
      </c>
      <c r="O40" s="6" t="str">
        <f t="shared" si="8"/>
        <v/>
      </c>
      <c r="P40" s="38" t="str">
        <f t="shared" si="9"/>
        <v/>
      </c>
      <c r="Q40" s="28" t="str">
        <f t="shared" si="31"/>
        <v/>
      </c>
      <c r="R40" s="48"/>
      <c r="S40" s="48"/>
      <c r="T40" s="29"/>
      <c r="U40" s="30"/>
      <c r="V40" s="30"/>
      <c r="W40" s="25" t="str">
        <f t="shared" si="57"/>
        <v/>
      </c>
      <c r="X40" s="25" t="str">
        <f t="shared" si="58"/>
        <v/>
      </c>
      <c r="Y40" s="25" t="str">
        <f t="shared" si="10"/>
        <v/>
      </c>
      <c r="Z40" s="38" t="str">
        <f t="shared" si="59"/>
        <v/>
      </c>
      <c r="AA40" s="39">
        <f>IF(Z40&lt;0,MAX(AA$6:AA39)+1,0)</f>
        <v>0</v>
      </c>
      <c r="AB40" s="39" t="str">
        <f t="shared" si="60"/>
        <v/>
      </c>
      <c r="AC40" s="39" t="str">
        <f t="shared" si="33"/>
        <v/>
      </c>
      <c r="AD40" s="19"/>
      <c r="AE40" s="19">
        <v>0</v>
      </c>
      <c r="AF40" s="19">
        <v>0</v>
      </c>
      <c r="AG40" s="39" t="str">
        <f t="shared" si="12"/>
        <v/>
      </c>
      <c r="AH40" s="39" t="str">
        <f t="shared" si="13"/>
        <v/>
      </c>
      <c r="AI40" s="16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16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6"/>
      <c r="BF40" s="39" t="str">
        <f t="shared" si="61"/>
        <v/>
      </c>
      <c r="BG40" s="39" t="str">
        <f t="shared" si="62"/>
        <v/>
      </c>
      <c r="BH40" s="39"/>
      <c r="BI40" s="39"/>
      <c r="BJ40" s="39"/>
      <c r="BK40" s="39"/>
      <c r="BL40" s="16"/>
      <c r="BM40" s="16"/>
      <c r="BN40" s="16"/>
      <c r="BO40" s="16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</row>
    <row r="41" spans="1:96" ht="12" customHeight="1" x14ac:dyDescent="0.25">
      <c r="A41" s="3"/>
      <c r="B41" s="23">
        <f t="shared" si="7"/>
        <v>35</v>
      </c>
      <c r="C41" s="48">
        <v>464822.28129999997</v>
      </c>
      <c r="D41" s="48">
        <v>7609305.25</v>
      </c>
      <c r="E41" s="14"/>
      <c r="F41" s="48"/>
      <c r="G41" s="48"/>
      <c r="H41" s="26"/>
      <c r="I41" s="10"/>
      <c r="J41" s="10"/>
      <c r="K41" s="14"/>
      <c r="L41" s="27" t="str">
        <f t="shared" si="26"/>
        <v/>
      </c>
      <c r="M41" s="14"/>
      <c r="N41" s="61" t="str">
        <f t="shared" si="27"/>
        <v/>
      </c>
      <c r="O41" s="6" t="str">
        <f t="shared" si="8"/>
        <v/>
      </c>
      <c r="P41" s="38" t="str">
        <f t="shared" si="9"/>
        <v/>
      </c>
      <c r="Q41" s="28" t="str">
        <f t="shared" si="31"/>
        <v/>
      </c>
      <c r="R41" s="48"/>
      <c r="S41" s="48"/>
      <c r="T41" s="29"/>
      <c r="U41" s="30"/>
      <c r="V41" s="30"/>
      <c r="W41" s="25" t="str">
        <f t="shared" si="57"/>
        <v/>
      </c>
      <c r="X41" s="25" t="str">
        <f t="shared" si="58"/>
        <v/>
      </c>
      <c r="Y41" s="25" t="str">
        <f t="shared" si="10"/>
        <v/>
      </c>
      <c r="Z41" s="38" t="str">
        <f t="shared" si="59"/>
        <v/>
      </c>
      <c r="AA41" s="39">
        <f>IF(Z41&lt;0,MAX(AA$6:AA40)+1,0)</f>
        <v>0</v>
      </c>
      <c r="AB41" s="39" t="str">
        <f t="shared" si="60"/>
        <v/>
      </c>
      <c r="AC41" s="39" t="str">
        <f t="shared" si="33"/>
        <v/>
      </c>
      <c r="AD41" s="19"/>
      <c r="AE41" s="19">
        <v>0</v>
      </c>
      <c r="AF41" s="19">
        <v>0</v>
      </c>
      <c r="AG41" s="39" t="str">
        <f t="shared" si="12"/>
        <v/>
      </c>
      <c r="AH41" s="39" t="str">
        <f t="shared" si="13"/>
        <v/>
      </c>
      <c r="AI41" s="16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16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6"/>
      <c r="BF41" s="39" t="str">
        <f t="shared" si="61"/>
        <v/>
      </c>
      <c r="BG41" s="39" t="str">
        <f t="shared" si="62"/>
        <v/>
      </c>
      <c r="BH41" s="39"/>
      <c r="BI41" s="39"/>
      <c r="BJ41" s="39"/>
      <c r="BK41" s="39"/>
      <c r="BL41" s="16"/>
      <c r="BM41" s="16"/>
      <c r="BN41" s="16"/>
      <c r="BO41" s="16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</row>
    <row r="42" spans="1:96" ht="12" customHeight="1" x14ac:dyDescent="0.25">
      <c r="A42" s="3"/>
      <c r="B42" s="23">
        <f t="shared" si="7"/>
        <v>36</v>
      </c>
      <c r="C42" s="48">
        <v>464172.28129999997</v>
      </c>
      <c r="D42" s="48">
        <v>7607930.25</v>
      </c>
      <c r="E42" s="14"/>
      <c r="F42" s="48"/>
      <c r="G42" s="48"/>
      <c r="H42" s="26"/>
      <c r="I42" s="10"/>
      <c r="J42" s="10"/>
      <c r="K42" s="14"/>
      <c r="L42" s="27" t="str">
        <f t="shared" si="26"/>
        <v/>
      </c>
      <c r="M42" s="14"/>
      <c r="N42" s="61" t="str">
        <f t="shared" si="27"/>
        <v/>
      </c>
      <c r="O42" s="6" t="str">
        <f t="shared" si="8"/>
        <v/>
      </c>
      <c r="P42" s="38" t="str">
        <f t="shared" si="9"/>
        <v/>
      </c>
      <c r="Q42" s="28" t="str">
        <f t="shared" si="31"/>
        <v/>
      </c>
      <c r="R42" s="48"/>
      <c r="S42" s="48"/>
      <c r="T42" s="29"/>
      <c r="U42" s="30"/>
      <c r="V42" s="30"/>
      <c r="W42" s="25" t="str">
        <f t="shared" si="57"/>
        <v/>
      </c>
      <c r="X42" s="25" t="str">
        <f t="shared" si="58"/>
        <v/>
      </c>
      <c r="Y42" s="25" t="str">
        <f t="shared" si="10"/>
        <v/>
      </c>
      <c r="Z42" s="38" t="str">
        <f t="shared" si="59"/>
        <v/>
      </c>
      <c r="AA42" s="39">
        <f>IF(Z42&lt;0,MAX(AA$6:AA41)+1,0)</f>
        <v>0</v>
      </c>
      <c r="AB42" s="39" t="str">
        <f t="shared" si="60"/>
        <v/>
      </c>
      <c r="AC42" s="39" t="str">
        <f t="shared" si="33"/>
        <v/>
      </c>
      <c r="AD42" s="19"/>
      <c r="AE42" s="19">
        <v>0</v>
      </c>
      <c r="AF42" s="19">
        <v>0</v>
      </c>
      <c r="AG42" s="39" t="str">
        <f t="shared" si="12"/>
        <v/>
      </c>
      <c r="AH42" s="39" t="str">
        <f t="shared" si="13"/>
        <v/>
      </c>
      <c r="AI42" s="16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16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6"/>
      <c r="BF42" s="39" t="str">
        <f t="shared" si="61"/>
        <v/>
      </c>
      <c r="BG42" s="39" t="str">
        <f t="shared" si="62"/>
        <v/>
      </c>
      <c r="BH42" s="39"/>
      <c r="BI42" s="39"/>
      <c r="BJ42" s="39"/>
      <c r="BK42" s="39"/>
      <c r="BL42" s="16"/>
      <c r="BM42" s="16"/>
      <c r="BN42" s="16"/>
      <c r="BO42" s="16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</row>
    <row r="43" spans="1:96" ht="12" customHeight="1" x14ac:dyDescent="0.25">
      <c r="A43" s="3"/>
      <c r="B43" s="4"/>
      <c r="C43" s="3"/>
      <c r="D43" s="3"/>
      <c r="E43" s="14"/>
      <c r="F43" s="26"/>
      <c r="G43" s="26"/>
      <c r="H43" s="26"/>
      <c r="I43" s="10"/>
      <c r="J43" s="10"/>
      <c r="K43" s="14"/>
      <c r="L43" s="11"/>
      <c r="M43" s="14"/>
      <c r="N43" s="14"/>
      <c r="O43" s="4"/>
      <c r="P43" s="3"/>
      <c r="Q43" s="4"/>
      <c r="R43" s="3"/>
      <c r="S43" s="3"/>
      <c r="T43" s="3"/>
      <c r="U43" s="4"/>
      <c r="V43" s="4"/>
      <c r="W43" s="4"/>
      <c r="X43" s="4"/>
      <c r="Y43" s="4"/>
      <c r="Z43" s="11"/>
      <c r="AA43" s="15"/>
      <c r="AB43" s="15"/>
      <c r="AC43" s="15"/>
      <c r="AD43" s="16"/>
      <c r="AE43" s="16"/>
      <c r="AF43" s="16"/>
      <c r="AG43" s="16"/>
      <c r="AH43" s="16"/>
      <c r="AI43" s="16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16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</row>
    <row r="44" spans="1:96" ht="12" customHeight="1" x14ac:dyDescent="0.25">
      <c r="A44" s="3"/>
      <c r="B44" s="4"/>
      <c r="C44" s="3"/>
      <c r="D44" s="3"/>
      <c r="E44" s="14"/>
      <c r="F44" s="26"/>
      <c r="G44" s="26"/>
      <c r="H44" s="26"/>
      <c r="I44" s="10"/>
      <c r="J44" s="10"/>
      <c r="K44" s="14"/>
      <c r="L44" s="11"/>
      <c r="M44" s="14"/>
      <c r="N44" s="14"/>
      <c r="O44" s="4"/>
      <c r="P44" s="3"/>
      <c r="Q44" s="4"/>
      <c r="R44" s="3"/>
      <c r="S44" s="3"/>
      <c r="T44" s="3"/>
      <c r="U44" s="4"/>
      <c r="V44" s="4"/>
      <c r="W44" s="4"/>
      <c r="X44" s="4"/>
      <c r="Y44" s="4"/>
      <c r="Z44" s="11"/>
      <c r="AA44" s="15"/>
      <c r="AB44" s="15"/>
      <c r="AC44" s="15"/>
      <c r="AD44" s="16"/>
      <c r="AE44" s="16"/>
      <c r="AF44" s="16"/>
      <c r="AG44" s="16"/>
      <c r="AH44" s="16"/>
      <c r="AI44" s="16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16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</row>
    <row r="45" spans="1:96" ht="12" customHeight="1" x14ac:dyDescent="0.25">
      <c r="A45" s="3"/>
      <c r="B45" s="4"/>
      <c r="C45" s="3"/>
      <c r="D45" s="3"/>
      <c r="E45" s="14"/>
      <c r="F45" s="26"/>
      <c r="G45" s="26"/>
      <c r="H45" s="26"/>
      <c r="I45" s="10"/>
      <c r="J45" s="10"/>
      <c r="K45" s="14"/>
      <c r="L45" s="11"/>
      <c r="M45" s="14"/>
      <c r="N45" s="14"/>
      <c r="O45" s="4"/>
      <c r="P45" s="3"/>
      <c r="Q45" s="4"/>
      <c r="R45" s="3"/>
      <c r="S45" s="3"/>
      <c r="T45" s="3"/>
      <c r="U45" s="4"/>
      <c r="V45" s="4"/>
      <c r="W45" s="4"/>
      <c r="X45" s="4"/>
      <c r="Y45" s="4"/>
      <c r="Z45" s="11"/>
      <c r="AA45" s="15"/>
      <c r="AB45" s="15"/>
      <c r="AC45" s="15"/>
      <c r="AD45" s="16"/>
      <c r="AE45" s="16"/>
      <c r="AF45" s="16"/>
      <c r="AG45" s="16"/>
      <c r="AH45" s="16"/>
      <c r="AI45" s="16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16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</row>
    <row r="46" spans="1:96" ht="12" customHeight="1" x14ac:dyDescent="0.25">
      <c r="A46" s="3"/>
      <c r="B46" s="4"/>
      <c r="C46" s="3"/>
      <c r="D46" s="3"/>
      <c r="E46" s="14"/>
      <c r="F46" s="26"/>
      <c r="G46" s="26"/>
      <c r="H46" s="26"/>
      <c r="I46" s="10"/>
      <c r="J46" s="10"/>
      <c r="K46" s="14"/>
      <c r="L46" s="11"/>
      <c r="M46" s="14"/>
      <c r="N46" s="14"/>
      <c r="O46" s="4"/>
      <c r="P46" s="3"/>
      <c r="Q46" s="4"/>
      <c r="R46" s="3"/>
      <c r="S46" s="3"/>
      <c r="T46" s="3"/>
      <c r="U46" s="4"/>
      <c r="V46" s="4"/>
      <c r="W46" s="4"/>
      <c r="X46" s="4"/>
      <c r="Y46" s="4"/>
      <c r="Z46" s="11"/>
      <c r="AA46" s="15"/>
      <c r="AB46" s="15"/>
      <c r="AC46" s="15"/>
      <c r="AD46" s="16"/>
      <c r="AE46" s="16"/>
      <c r="AF46" s="16"/>
      <c r="AG46" s="16"/>
      <c r="AH46" s="16"/>
      <c r="AI46" s="16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16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</row>
    <row r="47" spans="1:96" ht="12" customHeight="1" x14ac:dyDescent="0.25">
      <c r="A47" s="3"/>
      <c r="B47" s="4"/>
      <c r="C47" s="3"/>
      <c r="D47" s="3"/>
      <c r="E47" s="14"/>
      <c r="F47" s="26"/>
      <c r="G47" s="26"/>
      <c r="H47" s="26"/>
      <c r="I47" s="10"/>
      <c r="J47" s="10"/>
      <c r="K47" s="14"/>
      <c r="L47" s="11"/>
      <c r="M47" s="14"/>
      <c r="N47" s="14"/>
      <c r="O47" s="4"/>
      <c r="P47" s="3"/>
      <c r="Q47" s="4"/>
      <c r="R47" s="3"/>
      <c r="S47" s="3"/>
      <c r="T47" s="3"/>
      <c r="U47" s="4"/>
      <c r="V47" s="4"/>
      <c r="W47" s="4"/>
      <c r="X47" s="4"/>
      <c r="Y47" s="4"/>
      <c r="Z47" s="11"/>
      <c r="AA47" s="15"/>
      <c r="AB47" s="15"/>
      <c r="AC47" s="15"/>
      <c r="AD47" s="16"/>
      <c r="AE47" s="16"/>
      <c r="AF47" s="16"/>
      <c r="AG47" s="16"/>
      <c r="AH47" s="16"/>
      <c r="AI47" s="16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16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</row>
    <row r="48" spans="1:96" ht="12" customHeight="1" x14ac:dyDescent="0.25">
      <c r="A48" s="3"/>
      <c r="B48" s="4"/>
      <c r="C48" s="3"/>
      <c r="D48" s="3"/>
      <c r="E48" s="14"/>
      <c r="F48" s="26"/>
      <c r="G48" s="26"/>
      <c r="H48" s="26"/>
      <c r="I48" s="10"/>
      <c r="J48" s="10"/>
      <c r="K48" s="14"/>
      <c r="L48" s="11"/>
      <c r="M48" s="14"/>
      <c r="N48" s="14"/>
      <c r="O48" s="4"/>
      <c r="P48" s="3"/>
      <c r="Q48" s="4"/>
      <c r="R48" s="3"/>
      <c r="S48" s="3"/>
      <c r="T48" s="3"/>
      <c r="U48" s="4"/>
      <c r="V48" s="4"/>
      <c r="W48" s="4"/>
      <c r="X48" s="4"/>
      <c r="Y48" s="4"/>
      <c r="Z48" s="11"/>
      <c r="AA48" s="15"/>
      <c r="AB48" s="15"/>
      <c r="AC48" s="15"/>
      <c r="AD48" s="16"/>
      <c r="AE48" s="16"/>
      <c r="AF48" s="16"/>
      <c r="AG48" s="16"/>
      <c r="AH48" s="16"/>
      <c r="AI48" s="16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16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ht="12" customHeight="1" x14ac:dyDescent="0.25">
      <c r="A49" s="3"/>
      <c r="B49" s="4"/>
      <c r="C49" s="3"/>
      <c r="D49" s="3"/>
      <c r="E49" s="14"/>
      <c r="F49" s="26"/>
      <c r="G49" s="26"/>
      <c r="H49" s="26"/>
      <c r="I49" s="10"/>
      <c r="J49" s="10"/>
      <c r="K49" s="14"/>
      <c r="L49" s="11"/>
      <c r="M49" s="14"/>
      <c r="N49" s="14"/>
      <c r="O49" s="4"/>
      <c r="P49" s="3"/>
      <c r="Q49" s="4"/>
      <c r="R49" s="3"/>
      <c r="S49" s="3"/>
      <c r="T49" s="3"/>
      <c r="U49" s="4"/>
      <c r="V49" s="4"/>
      <c r="W49" s="4"/>
      <c r="X49" s="4"/>
      <c r="Y49" s="4"/>
      <c r="Z49" s="11"/>
      <c r="AA49" s="15"/>
      <c r="AB49" s="15"/>
      <c r="AC49" s="15"/>
      <c r="AD49" s="16"/>
      <c r="AE49" s="16"/>
      <c r="AF49" s="16"/>
      <c r="AG49" s="16"/>
      <c r="AH49" s="16"/>
      <c r="AI49" s="16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16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ht="12" customHeight="1" x14ac:dyDescent="0.25">
      <c r="A50" s="3"/>
      <c r="B50" s="4"/>
      <c r="C50" s="3"/>
      <c r="D50" s="3"/>
      <c r="E50" s="14"/>
      <c r="F50" s="26"/>
      <c r="G50" s="26"/>
      <c r="H50" s="26"/>
      <c r="I50" s="10"/>
      <c r="J50" s="10"/>
      <c r="K50" s="14"/>
      <c r="L50" s="11"/>
      <c r="M50" s="14"/>
      <c r="N50" s="14"/>
      <c r="O50" s="4"/>
      <c r="P50" s="3"/>
      <c r="Q50" s="4"/>
      <c r="R50" s="3"/>
      <c r="S50" s="3"/>
      <c r="T50" s="3"/>
      <c r="U50" s="4"/>
      <c r="V50" s="4"/>
      <c r="W50" s="4"/>
      <c r="X50" s="4"/>
      <c r="Y50" s="4"/>
      <c r="Z50" s="11"/>
      <c r="AA50" s="15"/>
      <c r="AB50" s="15"/>
      <c r="AC50" s="15"/>
      <c r="AD50" s="16"/>
      <c r="AE50" s="16"/>
      <c r="AF50" s="16"/>
      <c r="AG50" s="16"/>
      <c r="AH50" s="16"/>
      <c r="AI50" s="16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16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ht="12" customHeight="1" x14ac:dyDescent="0.25">
      <c r="A51" s="3"/>
      <c r="B51" s="4"/>
      <c r="C51" s="3"/>
      <c r="D51" s="3"/>
      <c r="E51" s="14"/>
      <c r="F51" s="26"/>
      <c r="G51" s="26"/>
      <c r="H51" s="26"/>
      <c r="I51" s="10"/>
      <c r="J51" s="10"/>
      <c r="K51" s="14"/>
      <c r="L51" s="11"/>
      <c r="M51" s="14"/>
      <c r="N51" s="14"/>
      <c r="O51" s="4"/>
      <c r="P51" s="3"/>
      <c r="Q51" s="4"/>
      <c r="R51" s="3"/>
      <c r="S51" s="3"/>
      <c r="T51" s="3"/>
      <c r="U51" s="4"/>
      <c r="V51" s="4"/>
      <c r="W51" s="4"/>
      <c r="X51" s="4"/>
      <c r="Y51" s="4"/>
      <c r="Z51" s="11"/>
      <c r="AA51" s="15"/>
      <c r="AB51" s="15"/>
      <c r="AC51" s="15"/>
      <c r="AD51" s="16"/>
      <c r="AE51" s="16"/>
      <c r="AF51" s="16"/>
      <c r="AG51" s="16"/>
      <c r="AH51" s="16"/>
      <c r="AI51" s="16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16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spans="1:96" ht="12" customHeight="1" x14ac:dyDescent="0.25">
      <c r="A52" s="3"/>
      <c r="B52" s="4"/>
      <c r="C52" s="3"/>
      <c r="D52" s="3"/>
      <c r="E52" s="14"/>
      <c r="F52" s="26"/>
      <c r="G52" s="26"/>
      <c r="H52" s="26"/>
      <c r="I52" s="10"/>
      <c r="J52" s="10"/>
      <c r="K52" s="14"/>
      <c r="L52" s="11"/>
      <c r="M52" s="14"/>
      <c r="N52" s="14"/>
      <c r="O52" s="4"/>
      <c r="P52" s="3"/>
      <c r="Q52" s="4"/>
      <c r="R52" s="3"/>
      <c r="S52" s="3"/>
      <c r="T52" s="3"/>
      <c r="U52" s="4"/>
      <c r="V52" s="4"/>
      <c r="W52" s="4"/>
      <c r="X52" s="4"/>
      <c r="Y52" s="4"/>
      <c r="Z52" s="11"/>
      <c r="AA52" s="15"/>
      <c r="AB52" s="15"/>
      <c r="AC52" s="15"/>
      <c r="AD52" s="16"/>
      <c r="AE52" s="16"/>
      <c r="AF52" s="16"/>
      <c r="AG52" s="16"/>
      <c r="AH52" s="16"/>
      <c r="AI52" s="16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16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spans="1:96" ht="12" customHeight="1" x14ac:dyDescent="0.25">
      <c r="A53" s="3"/>
      <c r="B53" s="4"/>
      <c r="C53" s="3"/>
      <c r="D53" s="3"/>
      <c r="E53" s="14"/>
      <c r="F53" s="26"/>
      <c r="G53" s="26"/>
      <c r="H53" s="26"/>
      <c r="I53" s="10"/>
      <c r="J53" s="10"/>
      <c r="K53" s="14"/>
      <c r="L53" s="11"/>
      <c r="M53" s="14"/>
      <c r="N53" s="14"/>
      <c r="O53" s="4"/>
      <c r="P53" s="3"/>
      <c r="Q53" s="4"/>
      <c r="R53" s="3"/>
      <c r="S53" s="3"/>
      <c r="T53" s="3"/>
      <c r="U53" s="4"/>
      <c r="V53" s="4"/>
      <c r="W53" s="4"/>
      <c r="X53" s="4"/>
      <c r="Y53" s="4"/>
      <c r="Z53" s="11"/>
      <c r="AA53" s="15"/>
      <c r="AB53" s="15"/>
      <c r="AC53" s="15"/>
      <c r="AD53" s="16"/>
      <c r="AE53" s="16"/>
      <c r="AF53" s="16"/>
      <c r="AG53" s="16"/>
      <c r="AH53" s="16"/>
      <c r="AI53" s="16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16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</row>
    <row r="54" spans="1:96" ht="12" customHeight="1" x14ac:dyDescent="0.25">
      <c r="A54" s="3"/>
      <c r="B54" s="4"/>
      <c r="C54" s="3"/>
      <c r="D54" s="3"/>
      <c r="E54" s="14"/>
      <c r="F54" s="26"/>
      <c r="G54" s="26"/>
      <c r="H54" s="26"/>
      <c r="I54" s="10"/>
      <c r="J54" s="10"/>
      <c r="K54" s="14"/>
      <c r="L54" s="11"/>
      <c r="M54" s="14"/>
      <c r="N54" s="14"/>
      <c r="O54" s="4"/>
      <c r="P54" s="3"/>
      <c r="Q54" s="4"/>
      <c r="R54" s="3"/>
      <c r="S54" s="3"/>
      <c r="T54" s="3"/>
      <c r="U54" s="4"/>
      <c r="V54" s="4"/>
      <c r="W54" s="4"/>
      <c r="X54" s="4"/>
      <c r="Y54" s="4"/>
      <c r="Z54" s="11"/>
      <c r="AA54" s="15"/>
      <c r="AB54" s="15"/>
      <c r="AC54" s="15"/>
      <c r="AD54" s="16"/>
      <c r="AE54" s="16"/>
      <c r="AF54" s="16"/>
      <c r="AG54" s="16"/>
      <c r="AH54" s="16"/>
      <c r="AI54" s="16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16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ht="12" customHeight="1" x14ac:dyDescent="0.25">
      <c r="A55" s="3"/>
      <c r="B55" s="4"/>
      <c r="C55" s="3"/>
      <c r="D55" s="3"/>
      <c r="E55" s="14"/>
      <c r="F55" s="26"/>
      <c r="G55" s="26"/>
      <c r="H55" s="26"/>
      <c r="I55" s="10"/>
      <c r="J55" s="10"/>
      <c r="K55" s="14"/>
      <c r="L55" s="11"/>
      <c r="M55" s="14"/>
      <c r="N55" s="14"/>
      <c r="O55" s="4"/>
      <c r="P55" s="3"/>
      <c r="Q55" s="4"/>
      <c r="R55" s="3"/>
      <c r="S55" s="3"/>
      <c r="T55" s="3"/>
      <c r="U55" s="4"/>
      <c r="V55" s="4"/>
      <c r="W55" s="4"/>
      <c r="X55" s="4"/>
      <c r="Y55" s="4"/>
      <c r="Z55" s="11"/>
      <c r="AA55" s="15"/>
      <c r="AB55" s="15"/>
      <c r="AC55" s="15"/>
      <c r="AD55" s="16"/>
      <c r="AE55" s="16"/>
      <c r="AF55" s="16"/>
      <c r="AG55" s="16"/>
      <c r="AH55" s="16"/>
      <c r="AI55" s="16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16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ht="12" customHeight="1" x14ac:dyDescent="0.25">
      <c r="A56" s="3"/>
      <c r="B56" s="4"/>
      <c r="C56" s="3"/>
      <c r="D56" s="3"/>
      <c r="E56" s="14"/>
      <c r="F56" s="26"/>
      <c r="G56" s="26"/>
      <c r="H56" s="26"/>
      <c r="I56" s="10"/>
      <c r="J56" s="10"/>
      <c r="K56" s="14"/>
      <c r="L56" s="11"/>
      <c r="M56" s="14"/>
      <c r="N56" s="14"/>
      <c r="O56" s="4"/>
      <c r="P56" s="3"/>
      <c r="Q56" s="4"/>
      <c r="R56" s="3"/>
      <c r="S56" s="3"/>
      <c r="T56" s="3"/>
      <c r="U56" s="4"/>
      <c r="V56" s="4"/>
      <c r="W56" s="4"/>
      <c r="X56" s="4"/>
      <c r="Y56" s="4"/>
      <c r="Z56" s="11"/>
      <c r="AA56" s="15"/>
      <c r="AB56" s="15"/>
      <c r="AC56" s="15"/>
      <c r="AD56" s="16"/>
      <c r="AE56" s="16"/>
      <c r="AF56" s="16"/>
      <c r="AG56" s="16"/>
      <c r="AH56" s="16"/>
      <c r="AI56" s="16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16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ht="12" customHeight="1" x14ac:dyDescent="0.25">
      <c r="A57" s="3"/>
      <c r="B57" s="14"/>
      <c r="C57" s="14"/>
      <c r="D57" s="14"/>
      <c r="E57" s="14"/>
      <c r="F57" s="26"/>
      <c r="G57" s="26"/>
      <c r="H57" s="26"/>
      <c r="I57" s="10"/>
      <c r="J57" s="10"/>
      <c r="K57" s="14"/>
      <c r="L57" s="11"/>
      <c r="M57" s="14"/>
      <c r="N57" s="14"/>
      <c r="O57" s="4"/>
      <c r="P57" s="3"/>
      <c r="Q57" s="4"/>
      <c r="R57" s="3"/>
      <c r="S57" s="3"/>
      <c r="T57" s="3"/>
      <c r="U57" s="4"/>
      <c r="V57" s="4"/>
      <c r="W57" s="4"/>
      <c r="X57" s="4"/>
      <c r="Y57" s="4"/>
      <c r="Z57" s="11"/>
      <c r="AA57" s="15"/>
      <c r="AB57" s="15"/>
      <c r="AC57" s="15"/>
      <c r="AD57" s="16"/>
      <c r="AE57" s="16"/>
      <c r="AF57" s="16"/>
      <c r="AG57" s="16"/>
      <c r="AH57" s="16"/>
      <c r="AI57" s="16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16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ht="12" customHeight="1" x14ac:dyDescent="0.25">
      <c r="A58" s="3"/>
      <c r="B58" s="14"/>
      <c r="C58" s="14"/>
      <c r="D58" s="14"/>
      <c r="E58" s="14"/>
      <c r="F58" s="26"/>
      <c r="G58" s="26"/>
      <c r="H58" s="26"/>
      <c r="I58" s="10"/>
      <c r="J58" s="10"/>
      <c r="K58" s="14"/>
      <c r="L58" s="11"/>
      <c r="M58" s="14"/>
      <c r="N58" s="14"/>
      <c r="O58" s="4"/>
      <c r="P58" s="3"/>
      <c r="Q58" s="4"/>
      <c r="R58" s="3"/>
      <c r="S58" s="3"/>
      <c r="T58" s="3"/>
      <c r="U58" s="4"/>
      <c r="V58" s="4"/>
      <c r="W58" s="4"/>
      <c r="X58" s="4"/>
      <c r="Y58" s="4"/>
      <c r="Z58" s="11"/>
      <c r="AA58" s="15"/>
      <c r="AB58" s="15"/>
      <c r="AC58" s="15"/>
      <c r="AD58" s="16"/>
      <c r="AE58" s="16"/>
      <c r="AF58" s="16"/>
      <c r="AG58" s="16"/>
      <c r="AH58" s="16"/>
      <c r="AI58" s="16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16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ht="12" customHeight="1" x14ac:dyDescent="0.25">
      <c r="A59" s="3"/>
      <c r="B59" s="14"/>
      <c r="C59" s="14"/>
      <c r="D59" s="14"/>
      <c r="E59" s="14"/>
      <c r="F59" s="26"/>
      <c r="G59" s="26"/>
      <c r="H59" s="26"/>
      <c r="I59" s="10"/>
      <c r="J59" s="10"/>
      <c r="K59" s="14"/>
      <c r="L59" s="11"/>
      <c r="M59" s="14"/>
      <c r="N59" s="14"/>
      <c r="O59" s="4"/>
      <c r="P59" s="3"/>
      <c r="Q59" s="4"/>
      <c r="R59" s="3"/>
      <c r="S59" s="3"/>
      <c r="T59" s="3"/>
      <c r="U59" s="4"/>
      <c r="V59" s="4"/>
      <c r="W59" s="4"/>
      <c r="X59" s="4"/>
      <c r="Y59" s="4"/>
      <c r="Z59" s="11"/>
      <c r="AA59" s="15"/>
      <c r="AB59" s="15"/>
      <c r="AC59" s="15"/>
      <c r="AD59" s="16"/>
      <c r="AE59" s="16"/>
      <c r="AF59" s="16"/>
      <c r="AG59" s="16"/>
      <c r="AH59" s="16"/>
      <c r="AI59" s="16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16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ht="12" customHeight="1" x14ac:dyDescent="0.25">
      <c r="A60" s="3"/>
      <c r="B60" s="14"/>
      <c r="C60" s="14"/>
      <c r="D60" s="14"/>
      <c r="E60" s="14"/>
      <c r="F60" s="26"/>
      <c r="G60" s="26"/>
      <c r="H60" s="26"/>
      <c r="I60" s="10"/>
      <c r="J60" s="10"/>
      <c r="K60" s="14"/>
      <c r="L60" s="11"/>
      <c r="M60" s="14"/>
      <c r="N60" s="14"/>
      <c r="O60" s="4"/>
      <c r="P60" s="3"/>
      <c r="Q60" s="4"/>
      <c r="R60" s="3"/>
      <c r="S60" s="3"/>
      <c r="T60" s="3"/>
      <c r="U60" s="4"/>
      <c r="V60" s="4"/>
      <c r="W60" s="4"/>
      <c r="X60" s="4"/>
      <c r="Y60" s="4"/>
      <c r="Z60" s="11"/>
      <c r="AA60" s="15"/>
      <c r="AB60" s="15"/>
      <c r="AC60" s="15"/>
      <c r="AD60" s="16"/>
      <c r="AE60" s="16"/>
      <c r="AF60" s="16"/>
      <c r="AG60" s="16"/>
      <c r="AH60" s="16"/>
      <c r="AI60" s="16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16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ht="12" customHeight="1" x14ac:dyDescent="0.25">
      <c r="A61" s="3"/>
      <c r="B61" s="14"/>
      <c r="C61" s="14"/>
      <c r="D61" s="14"/>
      <c r="E61" s="14"/>
      <c r="F61" s="26"/>
      <c r="G61" s="26"/>
      <c r="H61" s="26"/>
      <c r="I61" s="10"/>
      <c r="J61" s="10"/>
      <c r="K61" s="14"/>
      <c r="L61" s="11"/>
      <c r="M61" s="14"/>
      <c r="N61" s="14"/>
      <c r="O61" s="4"/>
      <c r="P61" s="3"/>
      <c r="Q61" s="4"/>
      <c r="R61" s="3"/>
      <c r="S61" s="3"/>
      <c r="T61" s="3"/>
      <c r="U61" s="4"/>
      <c r="V61" s="4"/>
      <c r="W61" s="4"/>
      <c r="X61" s="4"/>
      <c r="Y61" s="4"/>
      <c r="Z61" s="11"/>
      <c r="AA61" s="15"/>
      <c r="AB61" s="15"/>
      <c r="AC61" s="15"/>
      <c r="AD61" s="16"/>
      <c r="AE61" s="16"/>
      <c r="AF61" s="16"/>
      <c r="AG61" s="16"/>
      <c r="AH61" s="16"/>
      <c r="AI61" s="16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16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ht="12" customHeight="1" x14ac:dyDescent="0.25">
      <c r="A62" s="3"/>
      <c r="B62" s="14"/>
      <c r="C62" s="14"/>
      <c r="D62" s="14"/>
      <c r="E62" s="14"/>
      <c r="F62" s="26"/>
      <c r="G62" s="26"/>
      <c r="H62" s="26"/>
      <c r="I62" s="10"/>
      <c r="J62" s="10"/>
      <c r="K62" s="14"/>
      <c r="L62" s="11"/>
      <c r="M62" s="14"/>
      <c r="N62" s="14"/>
      <c r="O62" s="4"/>
      <c r="P62" s="3"/>
      <c r="Q62" s="4"/>
      <c r="R62" s="3"/>
      <c r="S62" s="3"/>
      <c r="T62" s="3"/>
      <c r="U62" s="4"/>
      <c r="V62" s="4"/>
      <c r="W62" s="4"/>
      <c r="X62" s="4"/>
      <c r="Y62" s="4"/>
      <c r="Z62" s="11"/>
      <c r="AA62" s="15"/>
      <c r="AB62" s="15"/>
      <c r="AC62" s="15"/>
      <c r="AD62" s="16"/>
      <c r="AE62" s="16"/>
      <c r="AF62" s="16"/>
      <c r="AG62" s="16"/>
      <c r="AH62" s="16"/>
      <c r="AI62" s="16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16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ht="12" customHeight="1" x14ac:dyDescent="0.25">
      <c r="A63" s="3"/>
      <c r="B63" s="14"/>
      <c r="C63" s="14"/>
      <c r="D63" s="14"/>
      <c r="E63" s="14"/>
      <c r="F63" s="26"/>
      <c r="G63" s="26"/>
      <c r="H63" s="26"/>
      <c r="I63" s="10"/>
      <c r="J63" s="10"/>
      <c r="K63" s="14"/>
      <c r="L63" s="11"/>
      <c r="M63" s="14"/>
      <c r="N63" s="14"/>
      <c r="O63" s="4"/>
      <c r="P63" s="3"/>
      <c r="Q63" s="4"/>
      <c r="R63" s="3"/>
      <c r="S63" s="3"/>
      <c r="T63" s="3"/>
      <c r="U63" s="4"/>
      <c r="V63" s="4"/>
      <c r="W63" s="4"/>
      <c r="X63" s="4"/>
      <c r="Y63" s="4"/>
      <c r="Z63" s="11"/>
      <c r="AA63" s="15"/>
      <c r="AB63" s="15"/>
      <c r="AC63" s="15"/>
      <c r="AD63" s="16"/>
      <c r="AE63" s="16"/>
      <c r="AF63" s="16"/>
      <c r="AG63" s="16"/>
      <c r="AH63" s="16"/>
      <c r="AI63" s="16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16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ht="12" customHeight="1" x14ac:dyDescent="0.25">
      <c r="A64" s="3"/>
      <c r="B64" s="14"/>
      <c r="C64" s="14"/>
      <c r="D64" s="14"/>
      <c r="E64" s="14"/>
      <c r="F64" s="26"/>
      <c r="G64" s="26"/>
      <c r="H64" s="26"/>
      <c r="I64" s="10"/>
      <c r="J64" s="10"/>
      <c r="K64" s="14"/>
      <c r="L64" s="11"/>
      <c r="M64" s="14"/>
      <c r="N64" s="14"/>
      <c r="O64" s="4"/>
      <c r="P64" s="3"/>
      <c r="Q64" s="4"/>
      <c r="R64" s="3"/>
      <c r="S64" s="3"/>
      <c r="T64" s="3"/>
      <c r="U64" s="4"/>
      <c r="V64" s="4"/>
      <c r="W64" s="4"/>
      <c r="X64" s="4"/>
      <c r="Y64" s="4"/>
      <c r="Z64" s="11"/>
      <c r="AA64" s="15"/>
      <c r="AB64" s="15"/>
      <c r="AC64" s="15"/>
      <c r="AD64" s="16"/>
      <c r="AE64" s="16"/>
      <c r="AF64" s="16"/>
      <c r="AG64" s="16"/>
      <c r="AH64" s="16"/>
      <c r="AI64" s="16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16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ht="12" customHeight="1" x14ac:dyDescent="0.25">
      <c r="A65" s="3"/>
      <c r="B65" s="14"/>
      <c r="C65" s="14"/>
      <c r="D65" s="14"/>
      <c r="E65" s="14"/>
      <c r="F65" s="26"/>
      <c r="G65" s="26"/>
      <c r="H65" s="26"/>
      <c r="I65" s="10"/>
      <c r="J65" s="10"/>
      <c r="K65" s="14"/>
      <c r="L65" s="11"/>
      <c r="M65" s="14"/>
      <c r="N65" s="14"/>
      <c r="O65" s="4"/>
      <c r="P65" s="3"/>
      <c r="Q65" s="4"/>
      <c r="R65" s="3"/>
      <c r="S65" s="3"/>
      <c r="T65" s="3"/>
      <c r="U65" s="4"/>
      <c r="V65" s="4"/>
      <c r="W65" s="4"/>
      <c r="X65" s="4"/>
      <c r="Y65" s="4"/>
      <c r="Z65" s="11"/>
      <c r="AA65" s="15"/>
      <c r="AB65" s="15"/>
      <c r="AC65" s="15"/>
      <c r="AD65" s="16"/>
      <c r="AE65" s="16"/>
      <c r="AF65" s="16"/>
      <c r="AG65" s="16"/>
      <c r="AH65" s="16"/>
      <c r="AI65" s="16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16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ht="12" customHeight="1" x14ac:dyDescent="0.25">
      <c r="A66" s="3"/>
      <c r="B66" s="14"/>
      <c r="C66" s="14"/>
      <c r="D66" s="14"/>
      <c r="E66" s="14"/>
      <c r="F66" s="26"/>
      <c r="G66" s="26"/>
      <c r="H66" s="26"/>
      <c r="I66" s="10"/>
      <c r="J66" s="10"/>
      <c r="K66" s="14"/>
      <c r="L66" s="11"/>
      <c r="M66" s="14"/>
      <c r="N66" s="14"/>
      <c r="O66" s="4"/>
      <c r="P66" s="3"/>
      <c r="Q66" s="4"/>
      <c r="R66" s="3"/>
      <c r="S66" s="3"/>
      <c r="T66" s="3"/>
      <c r="U66" s="4"/>
      <c r="V66" s="4"/>
      <c r="W66" s="4"/>
      <c r="X66" s="4"/>
      <c r="Y66" s="4"/>
      <c r="Z66" s="11"/>
      <c r="AA66" s="15"/>
      <c r="AB66" s="15"/>
      <c r="AC66" s="15"/>
      <c r="AD66" s="16"/>
      <c r="AE66" s="16"/>
      <c r="AF66" s="16"/>
      <c r="AG66" s="16"/>
      <c r="AH66" s="16"/>
      <c r="AI66" s="16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16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ht="12" customHeight="1" x14ac:dyDescent="0.25">
      <c r="A67" s="3"/>
      <c r="B67" s="14"/>
      <c r="C67" s="14"/>
      <c r="D67" s="14"/>
      <c r="E67" s="14"/>
      <c r="F67" s="26"/>
      <c r="G67" s="26"/>
      <c r="H67" s="26"/>
      <c r="I67" s="10"/>
      <c r="J67" s="10"/>
      <c r="K67" s="14"/>
      <c r="L67" s="11"/>
      <c r="M67" s="14"/>
      <c r="N67" s="14"/>
      <c r="O67" s="4"/>
      <c r="P67" s="3"/>
      <c r="Q67" s="4"/>
      <c r="R67" s="3"/>
      <c r="S67" s="3"/>
      <c r="T67" s="3"/>
      <c r="U67" s="4"/>
      <c r="V67" s="4"/>
      <c r="W67" s="4"/>
      <c r="X67" s="4"/>
      <c r="Y67" s="4"/>
      <c r="Z67" s="11"/>
      <c r="AA67" s="15"/>
      <c r="AB67" s="15"/>
      <c r="AC67" s="15"/>
      <c r="AD67" s="16"/>
      <c r="AE67" s="16"/>
      <c r="AF67" s="16"/>
      <c r="AG67" s="16"/>
      <c r="AH67" s="16"/>
      <c r="AI67" s="16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16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ht="12" customHeight="1" x14ac:dyDescent="0.25">
      <c r="A68" s="3"/>
      <c r="B68" s="14"/>
      <c r="C68" s="14"/>
      <c r="D68" s="14"/>
      <c r="E68" s="14"/>
      <c r="F68" s="26"/>
      <c r="G68" s="26"/>
      <c r="H68" s="26"/>
      <c r="I68" s="10"/>
      <c r="J68" s="10"/>
      <c r="K68" s="14"/>
      <c r="L68" s="11"/>
      <c r="M68" s="14"/>
      <c r="N68" s="14"/>
      <c r="O68" s="4"/>
      <c r="P68" s="3"/>
      <c r="Q68" s="4"/>
      <c r="R68" s="3"/>
      <c r="S68" s="3"/>
      <c r="T68" s="3"/>
      <c r="U68" s="4"/>
      <c r="V68" s="4"/>
      <c r="W68" s="4"/>
      <c r="X68" s="4"/>
      <c r="Y68" s="4"/>
      <c r="Z68" s="11"/>
      <c r="AA68" s="15"/>
      <c r="AB68" s="15"/>
      <c r="AC68" s="15"/>
      <c r="AD68" s="16"/>
      <c r="AE68" s="16"/>
      <c r="AF68" s="16"/>
      <c r="AG68" s="16"/>
      <c r="AH68" s="16"/>
      <c r="AI68" s="16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16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ht="12" customHeight="1" x14ac:dyDescent="0.25">
      <c r="A69" s="3"/>
      <c r="B69" s="14"/>
      <c r="C69" s="14"/>
      <c r="D69" s="14"/>
      <c r="E69" s="14"/>
      <c r="F69" s="26"/>
      <c r="G69" s="26"/>
      <c r="H69" s="26"/>
      <c r="I69" s="10"/>
      <c r="J69" s="10"/>
      <c r="K69" s="14"/>
      <c r="L69" s="11"/>
      <c r="M69" s="14"/>
      <c r="N69" s="14"/>
      <c r="O69" s="4"/>
      <c r="P69" s="3"/>
      <c r="Q69" s="4"/>
      <c r="R69" s="3"/>
      <c r="S69" s="3"/>
      <c r="T69" s="3"/>
      <c r="U69" s="4"/>
      <c r="V69" s="4"/>
      <c r="W69" s="4"/>
      <c r="X69" s="4"/>
      <c r="Y69" s="4"/>
      <c r="Z69" s="11"/>
      <c r="AA69" s="15"/>
      <c r="AB69" s="15"/>
      <c r="AC69" s="15"/>
      <c r="AD69" s="16"/>
      <c r="AE69" s="16"/>
      <c r="AF69" s="16"/>
      <c r="AG69" s="16"/>
      <c r="AH69" s="16"/>
      <c r="AI69" s="16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16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ht="12" customHeight="1" x14ac:dyDescent="0.25">
      <c r="A70" s="3"/>
      <c r="B70" s="14"/>
      <c r="C70" s="14"/>
      <c r="D70" s="14"/>
      <c r="E70" s="14"/>
      <c r="F70" s="26"/>
      <c r="G70" s="26"/>
      <c r="H70" s="26"/>
      <c r="I70" s="10"/>
      <c r="J70" s="10"/>
      <c r="K70" s="14"/>
      <c r="L70" s="11"/>
      <c r="M70" s="14"/>
      <c r="N70" s="14"/>
      <c r="O70" s="4"/>
      <c r="P70" s="3"/>
      <c r="Q70" s="4"/>
      <c r="R70" s="3"/>
      <c r="S70" s="3"/>
      <c r="T70" s="3"/>
      <c r="U70" s="4"/>
      <c r="V70" s="4"/>
      <c r="W70" s="4"/>
      <c r="X70" s="4"/>
      <c r="Y70" s="4"/>
      <c r="Z70" s="11"/>
      <c r="AA70" s="15"/>
      <c r="AB70" s="15"/>
      <c r="AC70" s="15"/>
      <c r="AD70" s="16"/>
      <c r="AE70" s="16"/>
      <c r="AF70" s="16"/>
      <c r="AG70" s="16"/>
      <c r="AH70" s="16"/>
      <c r="AI70" s="16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16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ht="12" customHeight="1" x14ac:dyDescent="0.25">
      <c r="A71" s="3"/>
      <c r="B71" s="14"/>
      <c r="C71" s="14"/>
      <c r="D71" s="14"/>
      <c r="E71" s="14"/>
      <c r="F71" s="26"/>
      <c r="G71" s="26"/>
      <c r="H71" s="26"/>
      <c r="I71" s="10"/>
      <c r="J71" s="10"/>
      <c r="K71" s="14"/>
      <c r="L71" s="11"/>
      <c r="M71" s="14"/>
      <c r="N71" s="14"/>
      <c r="O71" s="4"/>
      <c r="P71" s="3"/>
      <c r="Q71" s="4"/>
      <c r="R71" s="3"/>
      <c r="S71" s="3"/>
      <c r="T71" s="3"/>
      <c r="U71" s="4"/>
      <c r="V71" s="4"/>
      <c r="W71" s="4"/>
      <c r="X71" s="4"/>
      <c r="Y71" s="4"/>
      <c r="Z71" s="11"/>
      <c r="AA71" s="15"/>
      <c r="AB71" s="15"/>
      <c r="AC71" s="15"/>
      <c r="AD71" s="16"/>
      <c r="AE71" s="16"/>
      <c r="AF71" s="16"/>
      <c r="AG71" s="16"/>
      <c r="AH71" s="16"/>
      <c r="AI71" s="16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16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ht="12" customHeight="1" x14ac:dyDescent="0.25">
      <c r="A72" s="3"/>
      <c r="B72" s="14"/>
      <c r="C72" s="14"/>
      <c r="D72" s="14"/>
      <c r="E72" s="14"/>
      <c r="F72" s="26"/>
      <c r="G72" s="26"/>
      <c r="H72" s="26"/>
      <c r="I72" s="10"/>
      <c r="J72" s="10"/>
      <c r="K72" s="14"/>
      <c r="L72" s="11"/>
      <c r="M72" s="14"/>
      <c r="N72" s="14"/>
      <c r="O72" s="4"/>
      <c r="P72" s="3"/>
      <c r="Q72" s="4"/>
      <c r="R72" s="3"/>
      <c r="S72" s="3"/>
      <c r="T72" s="3"/>
      <c r="U72" s="4"/>
      <c r="V72" s="4"/>
      <c r="W72" s="4"/>
      <c r="X72" s="4"/>
      <c r="Y72" s="4"/>
      <c r="Z72" s="11"/>
      <c r="AA72" s="15"/>
      <c r="AB72" s="15"/>
      <c r="AC72" s="15"/>
      <c r="AD72" s="16"/>
      <c r="AE72" s="16"/>
      <c r="AF72" s="16"/>
      <c r="AG72" s="16"/>
      <c r="AH72" s="16"/>
      <c r="AI72" s="16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16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ht="12" customHeight="1" x14ac:dyDescent="0.25">
      <c r="A73" s="3"/>
      <c r="B73" s="14"/>
      <c r="C73" s="14"/>
      <c r="D73" s="14"/>
      <c r="E73" s="14"/>
      <c r="F73" s="26"/>
      <c r="G73" s="26"/>
      <c r="H73" s="26"/>
      <c r="I73" s="10"/>
      <c r="J73" s="10"/>
      <c r="K73" s="14"/>
      <c r="L73" s="11"/>
      <c r="M73" s="14"/>
      <c r="N73" s="14"/>
      <c r="O73" s="4"/>
      <c r="P73" s="3"/>
      <c r="Q73" s="4"/>
      <c r="R73" s="3"/>
      <c r="S73" s="3"/>
      <c r="T73" s="3"/>
      <c r="U73" s="4"/>
      <c r="V73" s="4"/>
      <c r="W73" s="4"/>
      <c r="X73" s="4"/>
      <c r="Y73" s="4"/>
      <c r="Z73" s="11"/>
      <c r="AA73" s="15"/>
      <c r="AB73" s="15"/>
      <c r="AC73" s="15"/>
      <c r="AD73" s="16"/>
      <c r="AE73" s="16"/>
      <c r="AF73" s="16"/>
      <c r="AG73" s="16"/>
      <c r="AH73" s="16"/>
      <c r="AI73" s="16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16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ht="12" customHeight="1" x14ac:dyDescent="0.25">
      <c r="A74" s="3"/>
      <c r="B74" s="14"/>
      <c r="C74" s="14"/>
      <c r="D74" s="14"/>
      <c r="E74" s="14"/>
      <c r="F74" s="26"/>
      <c r="G74" s="26"/>
      <c r="H74" s="26"/>
      <c r="I74" s="10"/>
      <c r="J74" s="10"/>
      <c r="K74" s="14"/>
      <c r="L74" s="11"/>
      <c r="M74" s="14"/>
      <c r="N74" s="14"/>
      <c r="O74" s="4"/>
      <c r="P74" s="3"/>
      <c r="Q74" s="4"/>
      <c r="R74" s="3"/>
      <c r="S74" s="3"/>
      <c r="T74" s="3"/>
      <c r="U74" s="4"/>
      <c r="V74" s="4"/>
      <c r="W74" s="4"/>
      <c r="X74" s="4"/>
      <c r="Y74" s="4"/>
      <c r="Z74" s="11"/>
      <c r="AA74" s="15"/>
      <c r="AB74" s="15"/>
      <c r="AC74" s="15"/>
      <c r="AD74" s="16"/>
      <c r="AE74" s="16"/>
      <c r="AF74" s="16"/>
      <c r="AG74" s="16"/>
      <c r="AH74" s="16"/>
      <c r="AI74" s="16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16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ht="12" customHeight="1" x14ac:dyDescent="0.25">
      <c r="A75" s="3"/>
      <c r="B75" s="14"/>
      <c r="C75" s="14"/>
      <c r="D75" s="14"/>
      <c r="E75" s="14"/>
      <c r="F75" s="26"/>
      <c r="G75" s="26"/>
      <c r="H75" s="26"/>
      <c r="I75" s="10"/>
      <c r="J75" s="10"/>
      <c r="K75" s="14"/>
      <c r="L75" s="11"/>
      <c r="M75" s="14"/>
      <c r="N75" s="14"/>
      <c r="O75" s="4"/>
      <c r="P75" s="3"/>
      <c r="Q75" s="4"/>
      <c r="R75" s="3"/>
      <c r="S75" s="3"/>
      <c r="T75" s="3"/>
      <c r="U75" s="4"/>
      <c r="V75" s="4"/>
      <c r="W75" s="4"/>
      <c r="X75" s="4"/>
      <c r="Y75" s="4"/>
      <c r="Z75" s="11"/>
      <c r="AA75" s="15"/>
      <c r="AB75" s="15"/>
      <c r="AC75" s="15"/>
      <c r="AD75" s="16"/>
      <c r="AE75" s="16"/>
      <c r="AF75" s="16"/>
      <c r="AG75" s="16"/>
      <c r="AH75" s="16"/>
      <c r="AI75" s="16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16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ht="12" customHeight="1" x14ac:dyDescent="0.25">
      <c r="A76" s="3"/>
      <c r="B76" s="14"/>
      <c r="C76" s="14"/>
      <c r="D76" s="14"/>
      <c r="E76" s="14"/>
      <c r="F76" s="26"/>
      <c r="G76" s="26"/>
      <c r="H76" s="26"/>
      <c r="I76" s="10"/>
      <c r="J76" s="10"/>
      <c r="K76" s="14"/>
      <c r="L76" s="11"/>
      <c r="M76" s="14"/>
      <c r="N76" s="14"/>
      <c r="O76" s="4"/>
      <c r="P76" s="3"/>
      <c r="Q76" s="4"/>
      <c r="R76" s="3"/>
      <c r="S76" s="3"/>
      <c r="T76" s="3"/>
      <c r="U76" s="4"/>
      <c r="V76" s="4"/>
      <c r="W76" s="4"/>
      <c r="X76" s="4"/>
      <c r="Y76" s="4"/>
      <c r="Z76" s="11"/>
      <c r="AA76" s="15"/>
      <c r="AB76" s="15"/>
      <c r="AC76" s="15"/>
      <c r="AD76" s="16"/>
      <c r="AE76" s="16"/>
      <c r="AF76" s="16"/>
      <c r="AG76" s="16"/>
      <c r="AH76" s="16"/>
      <c r="AI76" s="16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16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ht="12" customHeight="1" x14ac:dyDescent="0.25">
      <c r="A77" s="3"/>
      <c r="B77" s="14"/>
      <c r="C77" s="14"/>
      <c r="D77" s="14"/>
      <c r="E77" s="14"/>
      <c r="F77" s="26"/>
      <c r="G77" s="26"/>
      <c r="H77" s="26"/>
      <c r="I77" s="10"/>
      <c r="J77" s="10"/>
      <c r="K77" s="14"/>
      <c r="L77" s="11"/>
      <c r="M77" s="14"/>
      <c r="N77" s="14"/>
      <c r="O77" s="4"/>
      <c r="P77" s="3"/>
      <c r="Q77" s="4"/>
      <c r="R77" s="3"/>
      <c r="S77" s="3"/>
      <c r="T77" s="3"/>
      <c r="U77" s="4"/>
      <c r="V77" s="4"/>
      <c r="W77" s="4"/>
      <c r="X77" s="4"/>
      <c r="Y77" s="4"/>
      <c r="Z77" s="11"/>
      <c r="AA77" s="15"/>
      <c r="AB77" s="15"/>
      <c r="AC77" s="15"/>
      <c r="AD77" s="16"/>
      <c r="AE77" s="16"/>
      <c r="AF77" s="16"/>
      <c r="AG77" s="16"/>
      <c r="AH77" s="16"/>
      <c r="AI77" s="16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16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8" spans="1:96" ht="12" customHeight="1" x14ac:dyDescent="0.25">
      <c r="A78" s="3"/>
      <c r="B78" s="14"/>
      <c r="C78" s="14"/>
      <c r="D78" s="14"/>
      <c r="E78" s="14"/>
      <c r="F78" s="26"/>
      <c r="G78" s="26"/>
      <c r="H78" s="26"/>
      <c r="I78" s="10"/>
      <c r="J78" s="10"/>
      <c r="K78" s="14"/>
      <c r="L78" s="11"/>
      <c r="M78" s="14"/>
      <c r="N78" s="14"/>
      <c r="O78" s="4"/>
      <c r="P78" s="3"/>
      <c r="Q78" s="4"/>
      <c r="R78" s="3"/>
      <c r="S78" s="3"/>
      <c r="T78" s="3"/>
      <c r="U78" s="4"/>
      <c r="V78" s="4"/>
      <c r="W78" s="4"/>
      <c r="X78" s="4"/>
      <c r="Y78" s="4"/>
      <c r="Z78" s="11"/>
      <c r="AA78" s="15"/>
      <c r="AB78" s="15"/>
      <c r="AC78" s="15"/>
      <c r="AD78" s="16"/>
      <c r="AE78" s="16"/>
      <c r="AF78" s="16"/>
      <c r="AG78" s="16"/>
      <c r="AH78" s="16"/>
      <c r="AI78" s="16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16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</row>
    <row r="79" spans="1:96" ht="12" customHeight="1" x14ac:dyDescent="0.25">
      <c r="A79" s="3"/>
      <c r="B79" s="14"/>
      <c r="C79" s="14"/>
      <c r="D79" s="14"/>
      <c r="E79" s="14"/>
      <c r="F79" s="26"/>
      <c r="G79" s="26"/>
      <c r="H79" s="26"/>
      <c r="I79" s="10"/>
      <c r="J79" s="10"/>
      <c r="K79" s="14"/>
      <c r="L79" s="11"/>
      <c r="M79" s="14"/>
      <c r="N79" s="14"/>
      <c r="O79" s="4"/>
      <c r="P79" s="3"/>
      <c r="Q79" s="4"/>
      <c r="R79" s="3"/>
      <c r="S79" s="3"/>
      <c r="T79" s="3"/>
      <c r="U79" s="4"/>
      <c r="V79" s="4"/>
      <c r="W79" s="4"/>
      <c r="X79" s="4"/>
      <c r="Y79" s="4"/>
      <c r="Z79" s="11"/>
      <c r="AA79" s="15"/>
      <c r="AB79" s="15"/>
      <c r="AC79" s="15"/>
      <c r="AD79" s="16"/>
      <c r="AE79" s="16"/>
      <c r="AF79" s="16"/>
      <c r="AG79" s="16"/>
      <c r="AH79" s="16"/>
      <c r="AI79" s="16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16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</row>
    <row r="80" spans="1:96" ht="12" customHeight="1" x14ac:dyDescent="0.25">
      <c r="A80" s="3"/>
      <c r="B80" s="14"/>
      <c r="C80" s="14"/>
      <c r="D80" s="14"/>
      <c r="E80" s="14"/>
      <c r="F80" s="26"/>
      <c r="G80" s="26"/>
      <c r="H80" s="26"/>
      <c r="I80" s="10"/>
      <c r="J80" s="10"/>
      <c r="K80" s="14"/>
      <c r="L80" s="11"/>
      <c r="M80" s="14"/>
      <c r="N80" s="14"/>
      <c r="O80" s="4"/>
      <c r="P80" s="3"/>
      <c r="Q80" s="4"/>
      <c r="R80" s="3"/>
      <c r="S80" s="3"/>
      <c r="T80" s="3"/>
      <c r="U80" s="4"/>
      <c r="V80" s="4"/>
      <c r="W80" s="4"/>
      <c r="X80" s="4"/>
      <c r="Y80" s="4"/>
      <c r="Z80" s="11"/>
      <c r="AA80" s="15"/>
      <c r="AB80" s="15"/>
      <c r="AC80" s="15"/>
      <c r="AD80" s="16"/>
      <c r="AE80" s="16"/>
      <c r="AF80" s="16"/>
      <c r="AG80" s="16"/>
      <c r="AH80" s="16"/>
      <c r="AI80" s="16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16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ht="12" customHeight="1" x14ac:dyDescent="0.25">
      <c r="A81" s="3"/>
      <c r="B81" s="14"/>
      <c r="C81" s="14"/>
      <c r="D81" s="14"/>
      <c r="E81" s="14"/>
      <c r="F81" s="26"/>
      <c r="G81" s="26"/>
      <c r="H81" s="26"/>
      <c r="I81" s="10"/>
      <c r="J81" s="10"/>
      <c r="K81" s="14"/>
      <c r="L81" s="11"/>
      <c r="M81" s="14"/>
      <c r="N81" s="14"/>
      <c r="O81" s="4"/>
      <c r="P81" s="3"/>
      <c r="Q81" s="4"/>
      <c r="R81" s="3"/>
      <c r="S81" s="3"/>
      <c r="T81" s="3"/>
      <c r="U81" s="4"/>
      <c r="V81" s="4"/>
      <c r="W81" s="4"/>
      <c r="X81" s="4"/>
      <c r="Y81" s="4"/>
      <c r="Z81" s="11"/>
      <c r="AA81" s="15"/>
      <c r="AB81" s="15"/>
      <c r="AC81" s="15"/>
      <c r="AD81" s="16"/>
      <c r="AE81" s="16"/>
      <c r="AF81" s="16"/>
      <c r="AG81" s="16"/>
      <c r="AH81" s="16"/>
      <c r="AI81" s="16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16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ht="12" customHeight="1" x14ac:dyDescent="0.25">
      <c r="A82" s="3"/>
      <c r="B82" s="14"/>
      <c r="C82" s="14"/>
      <c r="D82" s="14"/>
      <c r="E82" s="14"/>
      <c r="F82" s="26"/>
      <c r="G82" s="26"/>
      <c r="H82" s="26"/>
      <c r="I82" s="10"/>
      <c r="J82" s="10"/>
      <c r="K82" s="14"/>
      <c r="L82" s="11"/>
      <c r="M82" s="14"/>
      <c r="N82" s="14"/>
      <c r="O82" s="4"/>
      <c r="P82" s="3"/>
      <c r="Q82" s="4"/>
      <c r="R82" s="3"/>
      <c r="S82" s="3"/>
      <c r="T82" s="3"/>
      <c r="U82" s="4"/>
      <c r="V82" s="4"/>
      <c r="W82" s="4"/>
      <c r="X82" s="4"/>
      <c r="Y82" s="4"/>
      <c r="Z82" s="11"/>
      <c r="AA82" s="15"/>
      <c r="AB82" s="15"/>
      <c r="AC82" s="15"/>
      <c r="AD82" s="16"/>
      <c r="AE82" s="16"/>
      <c r="AF82" s="16"/>
      <c r="AG82" s="16"/>
      <c r="AH82" s="16"/>
      <c r="AI82" s="16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16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ht="12" customHeight="1" x14ac:dyDescent="0.25">
      <c r="A83" s="3"/>
      <c r="B83" s="14"/>
      <c r="C83" s="14"/>
      <c r="D83" s="14"/>
      <c r="E83" s="14"/>
      <c r="F83" s="26"/>
      <c r="G83" s="26"/>
      <c r="H83" s="26"/>
      <c r="I83" s="10"/>
      <c r="J83" s="10"/>
      <c r="K83" s="14"/>
      <c r="L83" s="11"/>
      <c r="M83" s="14"/>
      <c r="N83" s="14"/>
      <c r="O83" s="4"/>
      <c r="P83" s="3"/>
      <c r="Q83" s="4"/>
      <c r="R83" s="3"/>
      <c r="S83" s="3"/>
      <c r="T83" s="3"/>
      <c r="U83" s="4"/>
      <c r="V83" s="4"/>
      <c r="W83" s="4"/>
      <c r="X83" s="4"/>
      <c r="Y83" s="4"/>
      <c r="Z83" s="11"/>
      <c r="AA83" s="15"/>
      <c r="AB83" s="15"/>
      <c r="AC83" s="15"/>
      <c r="AD83" s="16"/>
      <c r="AE83" s="16"/>
      <c r="AF83" s="16"/>
      <c r="AG83" s="16"/>
      <c r="AH83" s="16"/>
      <c r="AI83" s="16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16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ht="12" customHeight="1" x14ac:dyDescent="0.25">
      <c r="A84" s="3"/>
      <c r="B84" s="14"/>
      <c r="C84" s="14"/>
      <c r="D84" s="14"/>
      <c r="E84" s="14"/>
      <c r="F84" s="26"/>
      <c r="G84" s="26"/>
      <c r="H84" s="26"/>
      <c r="I84" s="10"/>
      <c r="J84" s="10"/>
      <c r="K84" s="14"/>
      <c r="L84" s="11"/>
      <c r="M84" s="14"/>
      <c r="N84" s="14"/>
      <c r="O84" s="4"/>
      <c r="P84" s="3"/>
      <c r="Q84" s="4"/>
      <c r="R84" s="3"/>
      <c r="S84" s="3"/>
      <c r="T84" s="3"/>
      <c r="U84" s="4"/>
      <c r="V84" s="4"/>
      <c r="W84" s="4"/>
      <c r="X84" s="4"/>
      <c r="Y84" s="4"/>
      <c r="Z84" s="11"/>
      <c r="AA84" s="15"/>
      <c r="AB84" s="15"/>
      <c r="AC84" s="15"/>
      <c r="AD84" s="16"/>
      <c r="AE84" s="16"/>
      <c r="AF84" s="16"/>
      <c r="AG84" s="16"/>
      <c r="AH84" s="16"/>
      <c r="AI84" s="16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16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ht="12" customHeight="1" x14ac:dyDescent="0.25">
      <c r="A85" s="3"/>
      <c r="B85" s="14"/>
      <c r="C85" s="14"/>
      <c r="D85" s="14"/>
      <c r="E85" s="14"/>
      <c r="F85" s="26"/>
      <c r="G85" s="26"/>
      <c r="H85" s="26"/>
      <c r="I85" s="10"/>
      <c r="J85" s="10"/>
      <c r="K85" s="14"/>
      <c r="L85" s="11"/>
      <c r="M85" s="14"/>
      <c r="N85" s="14"/>
      <c r="O85" s="4"/>
      <c r="P85" s="3"/>
      <c r="Q85" s="4"/>
      <c r="R85" s="3"/>
      <c r="S85" s="3"/>
      <c r="T85" s="3"/>
      <c r="U85" s="4"/>
      <c r="V85" s="4"/>
      <c r="W85" s="4"/>
      <c r="X85" s="4"/>
      <c r="Y85" s="4"/>
      <c r="Z85" s="11"/>
      <c r="AA85" s="15"/>
      <c r="AB85" s="15"/>
      <c r="AC85" s="15"/>
      <c r="AD85" s="16"/>
      <c r="AE85" s="16"/>
      <c r="AF85" s="16"/>
      <c r="AG85" s="16"/>
      <c r="AH85" s="16"/>
      <c r="AI85" s="16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16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ht="12" customHeight="1" x14ac:dyDescent="0.25">
      <c r="A86" s="3"/>
      <c r="B86" s="14"/>
      <c r="C86" s="14"/>
      <c r="D86" s="14"/>
      <c r="E86" s="14"/>
      <c r="F86" s="26"/>
      <c r="G86" s="26"/>
      <c r="H86" s="26"/>
      <c r="I86" s="10"/>
      <c r="J86" s="10"/>
      <c r="K86" s="14"/>
      <c r="L86" s="11"/>
      <c r="M86" s="14"/>
      <c r="N86" s="14"/>
      <c r="O86" s="4"/>
      <c r="P86" s="3"/>
      <c r="Q86" s="4"/>
      <c r="R86" s="3"/>
      <c r="S86" s="3"/>
      <c r="T86" s="3"/>
      <c r="U86" s="4"/>
      <c r="V86" s="4"/>
      <c r="W86" s="4"/>
      <c r="X86" s="4"/>
      <c r="Y86" s="4"/>
      <c r="Z86" s="11"/>
      <c r="AA86" s="15"/>
      <c r="AB86" s="15"/>
      <c r="AC86" s="15"/>
      <c r="AD86" s="16"/>
      <c r="AE86" s="16"/>
      <c r="AF86" s="16"/>
      <c r="AG86" s="16"/>
      <c r="AH86" s="16"/>
      <c r="AI86" s="16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16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ht="12" customHeight="1" x14ac:dyDescent="0.25">
      <c r="A87" s="3"/>
      <c r="B87" s="14"/>
      <c r="C87" s="14"/>
      <c r="D87" s="14"/>
      <c r="E87" s="14"/>
      <c r="F87" s="26"/>
      <c r="G87" s="26"/>
      <c r="H87" s="26"/>
      <c r="I87" s="10"/>
      <c r="J87" s="10"/>
      <c r="K87" s="14"/>
      <c r="L87" s="11"/>
      <c r="M87" s="14"/>
      <c r="N87" s="14"/>
      <c r="O87" s="4"/>
      <c r="P87" s="3"/>
      <c r="Q87" s="4"/>
      <c r="R87" s="3"/>
      <c r="S87" s="3"/>
      <c r="T87" s="3"/>
      <c r="U87" s="4"/>
      <c r="V87" s="4"/>
      <c r="W87" s="4"/>
      <c r="X87" s="4"/>
      <c r="Y87" s="4"/>
      <c r="Z87" s="11"/>
      <c r="AA87" s="15"/>
      <c r="AB87" s="15"/>
      <c r="AC87" s="15"/>
      <c r="AD87" s="16"/>
      <c r="AE87" s="16"/>
      <c r="AF87" s="16"/>
      <c r="AG87" s="16"/>
      <c r="AH87" s="16"/>
      <c r="AI87" s="16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16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ht="12" customHeight="1" x14ac:dyDescent="0.25">
      <c r="A88" s="3"/>
      <c r="B88" s="14"/>
      <c r="C88" s="14"/>
      <c r="D88" s="14"/>
      <c r="E88" s="14"/>
      <c r="F88" s="26"/>
      <c r="G88" s="26"/>
      <c r="H88" s="26"/>
      <c r="I88" s="10"/>
      <c r="J88" s="10"/>
      <c r="K88" s="14"/>
      <c r="L88" s="11"/>
      <c r="M88" s="14"/>
      <c r="N88" s="14"/>
      <c r="O88" s="4"/>
      <c r="P88" s="3"/>
      <c r="Q88" s="4"/>
      <c r="R88" s="3"/>
      <c r="S88" s="3"/>
      <c r="T88" s="3"/>
      <c r="U88" s="4"/>
      <c r="V88" s="4"/>
      <c r="W88" s="4"/>
      <c r="X88" s="4"/>
      <c r="Y88" s="4"/>
      <c r="Z88" s="11"/>
      <c r="AA88" s="15"/>
      <c r="AB88" s="15"/>
      <c r="AC88" s="15"/>
      <c r="AD88" s="16"/>
      <c r="AE88" s="16"/>
      <c r="AF88" s="16"/>
      <c r="AG88" s="16"/>
      <c r="AH88" s="16"/>
      <c r="AI88" s="16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16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ht="12" customHeight="1" x14ac:dyDescent="0.25">
      <c r="A89" s="3"/>
      <c r="B89" s="14"/>
      <c r="C89" s="14"/>
      <c r="D89" s="14"/>
      <c r="E89" s="14"/>
      <c r="F89" s="26"/>
      <c r="G89" s="26"/>
      <c r="H89" s="26"/>
      <c r="I89" s="10"/>
      <c r="J89" s="10"/>
      <c r="K89" s="14"/>
      <c r="L89" s="11"/>
      <c r="M89" s="14"/>
      <c r="N89" s="14"/>
      <c r="O89" s="4"/>
      <c r="P89" s="3"/>
      <c r="Q89" s="4"/>
      <c r="R89" s="3"/>
      <c r="S89" s="3"/>
      <c r="T89" s="3"/>
      <c r="U89" s="4"/>
      <c r="V89" s="4"/>
      <c r="W89" s="4"/>
      <c r="X89" s="4"/>
      <c r="Y89" s="4"/>
      <c r="Z89" s="11"/>
      <c r="AA89" s="15"/>
      <c r="AB89" s="15"/>
      <c r="AC89" s="15"/>
      <c r="AD89" s="16"/>
      <c r="AE89" s="16"/>
      <c r="AF89" s="16"/>
      <c r="AG89" s="16"/>
      <c r="AH89" s="16"/>
      <c r="AI89" s="16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16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ht="12" customHeight="1" x14ac:dyDescent="0.25">
      <c r="A90" s="3"/>
      <c r="B90" s="14"/>
      <c r="C90" s="14"/>
      <c r="D90" s="14"/>
      <c r="E90" s="14"/>
      <c r="F90" s="26"/>
      <c r="G90" s="26"/>
      <c r="H90" s="26"/>
      <c r="I90" s="10"/>
      <c r="J90" s="10"/>
      <c r="K90" s="14"/>
      <c r="L90" s="11"/>
      <c r="M90" s="14"/>
      <c r="N90" s="14"/>
      <c r="O90" s="4"/>
      <c r="P90" s="3"/>
      <c r="Q90" s="4"/>
      <c r="R90" s="3"/>
      <c r="S90" s="3"/>
      <c r="T90" s="3"/>
      <c r="U90" s="4"/>
      <c r="V90" s="4"/>
      <c r="W90" s="4"/>
      <c r="X90" s="4"/>
      <c r="Y90" s="4"/>
      <c r="Z90" s="11"/>
      <c r="AA90" s="15"/>
      <c r="AB90" s="15"/>
      <c r="AC90" s="15"/>
      <c r="AD90" s="16"/>
      <c r="AE90" s="16"/>
      <c r="AF90" s="16"/>
      <c r="AG90" s="16"/>
      <c r="AH90" s="16"/>
      <c r="AI90" s="16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16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ht="12" customHeight="1" x14ac:dyDescent="0.25">
      <c r="A91" s="3"/>
      <c r="B91" s="14"/>
      <c r="C91" s="14"/>
      <c r="D91" s="14"/>
      <c r="E91" s="14"/>
      <c r="F91" s="26"/>
      <c r="G91" s="26"/>
      <c r="H91" s="26"/>
      <c r="I91" s="10"/>
      <c r="J91" s="10"/>
      <c r="K91" s="14"/>
      <c r="L91" s="11"/>
      <c r="M91" s="14"/>
      <c r="N91" s="14"/>
      <c r="O91" s="4"/>
      <c r="P91" s="3"/>
      <c r="Q91" s="4"/>
      <c r="R91" s="3"/>
      <c r="S91" s="3"/>
      <c r="T91" s="3"/>
      <c r="U91" s="4"/>
      <c r="V91" s="4"/>
      <c r="W91" s="4"/>
      <c r="X91" s="4"/>
      <c r="Y91" s="4"/>
      <c r="Z91" s="11"/>
      <c r="AA91" s="15"/>
      <c r="AB91" s="15"/>
      <c r="AC91" s="15"/>
      <c r="AD91" s="16"/>
      <c r="AE91" s="16"/>
      <c r="AF91" s="16"/>
      <c r="AG91" s="16"/>
      <c r="AH91" s="16"/>
      <c r="AI91" s="16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16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ht="12" customHeight="1" x14ac:dyDescent="0.25">
      <c r="A92" s="3"/>
      <c r="B92" s="14"/>
      <c r="C92" s="14"/>
      <c r="D92" s="14"/>
      <c r="E92" s="14"/>
      <c r="F92" s="26"/>
      <c r="G92" s="26"/>
      <c r="H92" s="26"/>
      <c r="I92" s="10"/>
      <c r="J92" s="10"/>
      <c r="K92" s="14"/>
      <c r="L92" s="11"/>
      <c r="M92" s="14"/>
      <c r="N92" s="14"/>
      <c r="O92" s="4"/>
      <c r="P92" s="3"/>
      <c r="Q92" s="4"/>
      <c r="R92" s="3"/>
      <c r="S92" s="3"/>
      <c r="T92" s="3"/>
      <c r="U92" s="4"/>
      <c r="V92" s="4"/>
      <c r="W92" s="4"/>
      <c r="X92" s="4"/>
      <c r="Y92" s="4"/>
      <c r="Z92" s="11"/>
      <c r="AA92" s="15"/>
      <c r="AB92" s="15"/>
      <c r="AC92" s="15"/>
      <c r="AD92" s="16"/>
      <c r="AE92" s="16"/>
      <c r="AF92" s="16"/>
      <c r="AG92" s="16"/>
      <c r="AH92" s="16"/>
      <c r="AI92" s="16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16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ht="12" customHeight="1" x14ac:dyDescent="0.25">
      <c r="A93" s="3"/>
      <c r="B93" s="14"/>
      <c r="C93" s="14"/>
      <c r="D93" s="14"/>
      <c r="E93" s="14"/>
      <c r="F93" s="26"/>
      <c r="G93" s="26"/>
      <c r="H93" s="26"/>
      <c r="I93" s="10"/>
      <c r="J93" s="10"/>
      <c r="K93" s="14"/>
      <c r="L93" s="11"/>
      <c r="M93" s="14"/>
      <c r="N93" s="14"/>
      <c r="O93" s="4"/>
      <c r="P93" s="3"/>
      <c r="Q93" s="4"/>
      <c r="R93" s="3"/>
      <c r="S93" s="3"/>
      <c r="T93" s="3"/>
      <c r="U93" s="4"/>
      <c r="V93" s="4"/>
      <c r="W93" s="4"/>
      <c r="X93" s="4"/>
      <c r="Y93" s="4"/>
      <c r="Z93" s="11"/>
      <c r="AA93" s="15"/>
      <c r="AB93" s="15"/>
      <c r="AC93" s="15"/>
      <c r="AD93" s="16"/>
      <c r="AE93" s="16"/>
      <c r="AF93" s="16"/>
      <c r="AG93" s="16"/>
      <c r="AH93" s="16"/>
      <c r="AI93" s="16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16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ht="12" customHeight="1" x14ac:dyDescent="0.25">
      <c r="A94" s="3"/>
      <c r="B94" s="14"/>
      <c r="C94" s="14"/>
      <c r="D94" s="14"/>
      <c r="E94" s="14"/>
      <c r="F94" s="26"/>
      <c r="G94" s="26"/>
      <c r="H94" s="26"/>
      <c r="I94" s="10"/>
      <c r="J94" s="10"/>
      <c r="K94" s="14"/>
      <c r="L94" s="11"/>
      <c r="M94" s="14"/>
      <c r="N94" s="14"/>
      <c r="O94" s="4"/>
      <c r="P94" s="3"/>
      <c r="Q94" s="4"/>
      <c r="R94" s="3"/>
      <c r="S94" s="3"/>
      <c r="T94" s="3"/>
      <c r="U94" s="4"/>
      <c r="V94" s="4"/>
      <c r="W94" s="4"/>
      <c r="X94" s="4"/>
      <c r="Y94" s="4"/>
      <c r="Z94" s="11"/>
      <c r="AA94" s="15"/>
      <c r="AB94" s="15"/>
      <c r="AC94" s="15"/>
      <c r="AD94" s="16"/>
      <c r="AE94" s="16"/>
      <c r="AF94" s="16"/>
      <c r="AG94" s="16"/>
      <c r="AH94" s="16"/>
      <c r="AI94" s="16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16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ht="12" customHeight="1" x14ac:dyDescent="0.25">
      <c r="A95" s="3"/>
      <c r="B95" s="14"/>
      <c r="C95" s="14"/>
      <c r="D95" s="14"/>
      <c r="E95" s="14"/>
      <c r="F95" s="26"/>
      <c r="G95" s="26"/>
      <c r="H95" s="26"/>
      <c r="I95" s="10"/>
      <c r="J95" s="10"/>
      <c r="K95" s="14"/>
      <c r="L95" s="11"/>
      <c r="M95" s="14"/>
      <c r="N95" s="14"/>
      <c r="O95" s="4"/>
      <c r="P95" s="3"/>
      <c r="Q95" s="4"/>
      <c r="R95" s="3"/>
      <c r="S95" s="3"/>
      <c r="T95" s="3"/>
      <c r="U95" s="4"/>
      <c r="V95" s="4"/>
      <c r="W95" s="4"/>
      <c r="X95" s="4"/>
      <c r="Y95" s="4"/>
      <c r="Z95" s="11"/>
      <c r="AA95" s="15"/>
      <c r="AB95" s="15"/>
      <c r="AC95" s="15"/>
      <c r="AD95" s="16"/>
      <c r="AE95" s="16"/>
      <c r="AF95" s="16"/>
      <c r="AG95" s="16"/>
      <c r="AH95" s="16"/>
      <c r="AI95" s="16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16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ht="12" customHeight="1" x14ac:dyDescent="0.25">
      <c r="A96" s="3"/>
      <c r="B96" s="14"/>
      <c r="C96" s="14"/>
      <c r="D96" s="14"/>
      <c r="E96" s="14"/>
      <c r="F96" s="26"/>
      <c r="G96" s="26"/>
      <c r="H96" s="26"/>
      <c r="I96" s="10"/>
      <c r="J96" s="10"/>
      <c r="K96" s="14"/>
      <c r="L96" s="11"/>
      <c r="M96" s="14"/>
      <c r="N96" s="14"/>
      <c r="O96" s="4"/>
      <c r="P96" s="3"/>
      <c r="Q96" s="4"/>
      <c r="R96" s="3"/>
      <c r="S96" s="3"/>
      <c r="T96" s="3"/>
      <c r="U96" s="4"/>
      <c r="V96" s="4"/>
      <c r="W96" s="4"/>
      <c r="X96" s="4"/>
      <c r="Y96" s="4"/>
      <c r="Z96" s="11"/>
      <c r="AA96" s="15"/>
      <c r="AB96" s="15"/>
      <c r="AC96" s="15"/>
      <c r="AD96" s="16"/>
      <c r="AE96" s="16"/>
      <c r="AF96" s="16"/>
      <c r="AG96" s="16"/>
      <c r="AH96" s="16"/>
      <c r="AI96" s="16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16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ht="12" customHeight="1" x14ac:dyDescent="0.25">
      <c r="A97" s="3"/>
      <c r="B97" s="14"/>
      <c r="C97" s="14"/>
      <c r="D97" s="14"/>
      <c r="E97" s="14"/>
      <c r="F97" s="26"/>
      <c r="G97" s="26"/>
      <c r="H97" s="26"/>
      <c r="I97" s="10"/>
      <c r="J97" s="10"/>
      <c r="K97" s="14"/>
      <c r="L97" s="11"/>
      <c r="M97" s="14"/>
      <c r="N97" s="14"/>
      <c r="O97" s="4"/>
      <c r="P97" s="3"/>
      <c r="Q97" s="4"/>
      <c r="R97" s="3"/>
      <c r="S97" s="3"/>
      <c r="T97" s="3"/>
      <c r="U97" s="4"/>
      <c r="V97" s="4"/>
      <c r="W97" s="4"/>
      <c r="X97" s="4"/>
      <c r="Y97" s="4"/>
      <c r="Z97" s="11"/>
      <c r="AA97" s="15"/>
      <c r="AB97" s="15"/>
      <c r="AC97" s="15"/>
      <c r="AD97" s="16"/>
      <c r="AE97" s="16"/>
      <c r="AF97" s="16"/>
      <c r="AG97" s="16"/>
      <c r="AH97" s="16"/>
      <c r="AI97" s="16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16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ht="12" customHeight="1" x14ac:dyDescent="0.25">
      <c r="A98" s="3"/>
      <c r="B98" s="14"/>
      <c r="C98" s="14"/>
      <c r="D98" s="14"/>
      <c r="E98" s="14"/>
      <c r="F98" s="26"/>
      <c r="G98" s="26"/>
      <c r="H98" s="26"/>
      <c r="I98" s="10"/>
      <c r="J98" s="10"/>
      <c r="K98" s="14"/>
      <c r="L98" s="11"/>
      <c r="M98" s="14"/>
      <c r="N98" s="14"/>
      <c r="O98" s="4"/>
      <c r="P98" s="3"/>
      <c r="Q98" s="4"/>
      <c r="R98" s="3"/>
      <c r="S98" s="3"/>
      <c r="T98" s="3"/>
      <c r="U98" s="4"/>
      <c r="V98" s="4"/>
      <c r="W98" s="4"/>
      <c r="X98" s="4"/>
      <c r="Y98" s="4"/>
      <c r="Z98" s="11"/>
      <c r="AA98" s="15"/>
      <c r="AB98" s="15"/>
      <c r="AC98" s="15"/>
      <c r="AD98" s="16"/>
      <c r="AE98" s="16"/>
      <c r="AF98" s="16"/>
      <c r="AG98" s="16"/>
      <c r="AH98" s="16"/>
      <c r="AI98" s="16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16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ht="12" customHeight="1" x14ac:dyDescent="0.25">
      <c r="A99" s="3"/>
      <c r="B99" s="14"/>
      <c r="C99" s="14"/>
      <c r="D99" s="14"/>
      <c r="E99" s="14"/>
      <c r="F99" s="26"/>
      <c r="G99" s="26"/>
      <c r="H99" s="26"/>
      <c r="I99" s="10"/>
      <c r="J99" s="10"/>
      <c r="K99" s="14"/>
      <c r="L99" s="11"/>
      <c r="M99" s="14"/>
      <c r="N99" s="14"/>
      <c r="O99" s="4"/>
      <c r="P99" s="3"/>
      <c r="Q99" s="4"/>
      <c r="R99" s="3"/>
      <c r="S99" s="3"/>
      <c r="T99" s="3"/>
      <c r="U99" s="4"/>
      <c r="V99" s="4"/>
      <c r="W99" s="4"/>
      <c r="X99" s="4"/>
      <c r="Y99" s="4"/>
      <c r="Z99" s="11"/>
      <c r="AA99" s="15"/>
      <c r="AB99" s="15"/>
      <c r="AC99" s="15"/>
      <c r="AD99" s="16"/>
      <c r="AE99" s="16"/>
      <c r="AF99" s="16"/>
      <c r="AG99" s="16"/>
      <c r="AH99" s="16"/>
      <c r="AI99" s="16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16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ht="12" customHeight="1" x14ac:dyDescent="0.25">
      <c r="A100" s="3"/>
      <c r="B100" s="14"/>
      <c r="C100" s="14"/>
      <c r="D100" s="14"/>
      <c r="E100" s="14"/>
      <c r="F100" s="26"/>
      <c r="G100" s="26"/>
      <c r="H100" s="26"/>
      <c r="I100" s="10"/>
      <c r="J100" s="10"/>
      <c r="K100" s="14"/>
      <c r="L100" s="11"/>
      <c r="M100" s="14"/>
      <c r="N100" s="14"/>
      <c r="O100" s="4"/>
      <c r="P100" s="3"/>
      <c r="Q100" s="4"/>
      <c r="R100" s="3"/>
      <c r="S100" s="3"/>
      <c r="T100" s="3"/>
      <c r="U100" s="4"/>
      <c r="V100" s="4"/>
      <c r="W100" s="4"/>
      <c r="X100" s="4"/>
      <c r="Y100" s="4"/>
      <c r="Z100" s="11"/>
      <c r="AA100" s="15"/>
      <c r="AB100" s="15"/>
      <c r="AC100" s="15"/>
      <c r="AD100" s="16"/>
      <c r="AE100" s="16"/>
      <c r="AF100" s="16"/>
      <c r="AG100" s="16"/>
      <c r="AH100" s="16"/>
      <c r="AI100" s="16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16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ht="12" customHeight="1" x14ac:dyDescent="0.25">
      <c r="A101" s="3"/>
      <c r="B101" s="14"/>
      <c r="C101" s="14"/>
      <c r="D101" s="14"/>
      <c r="E101" s="14"/>
      <c r="F101" s="26"/>
      <c r="G101" s="26"/>
      <c r="H101" s="26"/>
      <c r="I101" s="10"/>
      <c r="J101" s="10"/>
      <c r="K101" s="14"/>
      <c r="L101" s="11"/>
      <c r="M101" s="14"/>
      <c r="N101" s="14"/>
      <c r="O101" s="4"/>
      <c r="P101" s="3"/>
      <c r="Q101" s="4"/>
      <c r="R101" s="3"/>
      <c r="S101" s="3"/>
      <c r="T101" s="3"/>
      <c r="U101" s="4"/>
      <c r="V101" s="4"/>
      <c r="W101" s="4"/>
      <c r="X101" s="4"/>
      <c r="Y101" s="4"/>
      <c r="Z101" s="11"/>
      <c r="AA101" s="15"/>
      <c r="AB101" s="15"/>
      <c r="AC101" s="15"/>
      <c r="AD101" s="16"/>
      <c r="AE101" s="16"/>
      <c r="AF101" s="16"/>
      <c r="AG101" s="16"/>
      <c r="AH101" s="16"/>
      <c r="AI101" s="16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16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ht="12" customHeight="1" x14ac:dyDescent="0.25">
      <c r="A102" s="3"/>
      <c r="B102" s="14"/>
      <c r="C102" s="14"/>
      <c r="D102" s="14"/>
      <c r="E102" s="14"/>
      <c r="F102" s="26"/>
      <c r="G102" s="26"/>
      <c r="H102" s="26"/>
      <c r="I102" s="10"/>
      <c r="J102" s="10"/>
      <c r="K102" s="14"/>
      <c r="L102" s="11"/>
      <c r="M102" s="14"/>
      <c r="N102" s="14"/>
      <c r="O102" s="4"/>
      <c r="P102" s="3"/>
      <c r="Q102" s="4"/>
      <c r="R102" s="3"/>
      <c r="S102" s="3"/>
      <c r="T102" s="3"/>
      <c r="U102" s="4"/>
      <c r="V102" s="4"/>
      <c r="W102" s="4"/>
      <c r="X102" s="4"/>
      <c r="Y102" s="4"/>
      <c r="Z102" s="11"/>
      <c r="AA102" s="15"/>
      <c r="AB102" s="15"/>
      <c r="AC102" s="15"/>
      <c r="AD102" s="16"/>
      <c r="AE102" s="16"/>
      <c r="AF102" s="16"/>
      <c r="AG102" s="16"/>
      <c r="AH102" s="16"/>
      <c r="AI102" s="16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16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ht="12" customHeight="1" x14ac:dyDescent="0.25">
      <c r="A103" s="3"/>
      <c r="B103" s="14"/>
      <c r="C103" s="14"/>
      <c r="D103" s="14"/>
      <c r="E103" s="14"/>
      <c r="F103" s="26"/>
      <c r="G103" s="26"/>
      <c r="H103" s="26"/>
      <c r="I103" s="10"/>
      <c r="J103" s="10"/>
      <c r="K103" s="14"/>
      <c r="L103" s="11"/>
      <c r="M103" s="14"/>
      <c r="N103" s="14"/>
      <c r="O103" s="4"/>
      <c r="P103" s="3"/>
      <c r="Q103" s="4"/>
      <c r="R103" s="3"/>
      <c r="S103" s="3"/>
      <c r="T103" s="3"/>
      <c r="U103" s="4"/>
      <c r="V103" s="4"/>
      <c r="W103" s="4"/>
      <c r="X103" s="4"/>
      <c r="Y103" s="4"/>
      <c r="Z103" s="11"/>
      <c r="AA103" s="15"/>
      <c r="AB103" s="15"/>
      <c r="AC103" s="15"/>
      <c r="AD103" s="16"/>
      <c r="AE103" s="16"/>
      <c r="AF103" s="16"/>
      <c r="AG103" s="16"/>
      <c r="AH103" s="16"/>
      <c r="AI103" s="16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16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4" spans="1:96" ht="12" customHeight="1" x14ac:dyDescent="0.25">
      <c r="A104" s="3"/>
      <c r="B104" s="14"/>
      <c r="C104" s="14"/>
      <c r="D104" s="14"/>
      <c r="E104" s="14"/>
      <c r="F104" s="26"/>
      <c r="G104" s="26"/>
      <c r="H104" s="26"/>
      <c r="I104" s="10"/>
      <c r="J104" s="10"/>
      <c r="K104" s="14"/>
      <c r="L104" s="11"/>
      <c r="M104" s="14"/>
      <c r="N104" s="14"/>
      <c r="O104" s="4"/>
      <c r="P104" s="3"/>
      <c r="Q104" s="4"/>
      <c r="R104" s="3"/>
      <c r="S104" s="3"/>
      <c r="T104" s="3"/>
      <c r="U104" s="4"/>
      <c r="V104" s="4"/>
      <c r="W104" s="4"/>
      <c r="X104" s="4"/>
      <c r="Y104" s="4"/>
      <c r="Z104" s="11"/>
      <c r="AA104" s="15"/>
      <c r="AB104" s="15"/>
      <c r="AC104" s="15"/>
      <c r="AD104" s="16"/>
      <c r="AE104" s="16"/>
      <c r="AF104" s="16"/>
      <c r="AG104" s="16"/>
      <c r="AH104" s="16"/>
      <c r="AI104" s="16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16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</row>
    <row r="105" spans="1:96" ht="12" customHeight="1" x14ac:dyDescent="0.25">
      <c r="A105" s="3"/>
      <c r="B105" s="14"/>
      <c r="C105" s="14"/>
      <c r="D105" s="14"/>
      <c r="E105" s="14"/>
      <c r="F105" s="26"/>
      <c r="G105" s="26"/>
      <c r="H105" s="26"/>
      <c r="I105" s="10"/>
      <c r="J105" s="10"/>
      <c r="K105" s="14"/>
      <c r="L105" s="11"/>
      <c r="M105" s="14"/>
      <c r="N105" s="14"/>
      <c r="O105" s="4"/>
      <c r="P105" s="3"/>
      <c r="Q105" s="4"/>
      <c r="R105" s="3"/>
      <c r="S105" s="3"/>
      <c r="T105" s="3"/>
      <c r="U105" s="4"/>
      <c r="V105" s="4"/>
      <c r="W105" s="4"/>
      <c r="X105" s="4"/>
      <c r="Y105" s="4"/>
      <c r="Z105" s="11"/>
      <c r="AA105" s="15"/>
      <c r="AB105" s="15"/>
      <c r="AC105" s="15"/>
      <c r="AD105" s="16"/>
      <c r="AE105" s="16"/>
      <c r="AF105" s="16"/>
      <c r="AG105" s="16"/>
      <c r="AH105" s="16"/>
      <c r="AI105" s="16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16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</row>
    <row r="106" spans="1:96" ht="12" customHeight="1" x14ac:dyDescent="0.25">
      <c r="A106" s="3"/>
      <c r="B106" s="14"/>
      <c r="C106" s="14"/>
      <c r="D106" s="14"/>
      <c r="E106" s="14"/>
      <c r="F106" s="26"/>
      <c r="G106" s="26"/>
      <c r="H106" s="26"/>
      <c r="I106" s="10"/>
      <c r="J106" s="10"/>
      <c r="K106" s="14"/>
      <c r="L106" s="11"/>
      <c r="M106" s="14"/>
      <c r="N106" s="14"/>
      <c r="O106" s="4"/>
      <c r="P106" s="3"/>
      <c r="Q106" s="4"/>
      <c r="R106" s="3"/>
      <c r="S106" s="3"/>
      <c r="T106" s="3"/>
      <c r="U106" s="4"/>
      <c r="V106" s="4"/>
      <c r="W106" s="4"/>
      <c r="X106" s="4"/>
      <c r="Y106" s="4"/>
      <c r="Z106" s="11"/>
      <c r="AA106" s="15"/>
      <c r="AB106" s="15"/>
      <c r="AC106" s="15"/>
      <c r="AD106" s="16"/>
      <c r="AE106" s="16"/>
      <c r="AF106" s="16"/>
      <c r="AG106" s="16"/>
      <c r="AH106" s="16"/>
      <c r="AI106" s="16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16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ht="12" customHeight="1" x14ac:dyDescent="0.25">
      <c r="A107" s="3"/>
      <c r="B107" s="14"/>
      <c r="C107" s="14"/>
      <c r="D107" s="14"/>
      <c r="E107" s="14"/>
      <c r="F107" s="26"/>
      <c r="G107" s="26"/>
      <c r="H107" s="26"/>
      <c r="I107" s="10"/>
      <c r="J107" s="10"/>
      <c r="K107" s="14"/>
      <c r="L107" s="11"/>
      <c r="M107" s="14"/>
      <c r="N107" s="14"/>
      <c r="O107" s="4"/>
      <c r="P107" s="3"/>
      <c r="Q107" s="4"/>
      <c r="R107" s="3"/>
      <c r="S107" s="3"/>
      <c r="T107" s="3"/>
      <c r="U107" s="4"/>
      <c r="V107" s="4"/>
      <c r="W107" s="4"/>
      <c r="X107" s="4"/>
      <c r="Y107" s="4"/>
      <c r="Z107" s="11"/>
      <c r="AA107" s="15"/>
      <c r="AB107" s="15"/>
      <c r="AC107" s="15"/>
      <c r="AD107" s="16"/>
      <c r="AE107" s="16"/>
      <c r="AF107" s="16"/>
      <c r="AG107" s="16"/>
      <c r="AH107" s="16"/>
      <c r="AI107" s="16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16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ht="12" customHeight="1" x14ac:dyDescent="0.25">
      <c r="A108" s="3"/>
      <c r="B108" s="14"/>
      <c r="C108" s="14"/>
      <c r="D108" s="14"/>
      <c r="E108" s="14"/>
      <c r="F108" s="26"/>
      <c r="G108" s="26"/>
      <c r="H108" s="26"/>
      <c r="I108" s="10"/>
      <c r="J108" s="10"/>
      <c r="K108" s="14"/>
      <c r="L108" s="11"/>
      <c r="M108" s="14"/>
      <c r="N108" s="14"/>
      <c r="O108" s="4"/>
      <c r="P108" s="3"/>
      <c r="Q108" s="4"/>
      <c r="R108" s="3"/>
      <c r="S108" s="3"/>
      <c r="T108" s="3"/>
      <c r="U108" s="4"/>
      <c r="V108" s="4"/>
      <c r="W108" s="4"/>
      <c r="X108" s="4"/>
      <c r="Y108" s="4"/>
      <c r="Z108" s="11"/>
      <c r="AA108" s="15"/>
      <c r="AB108" s="15"/>
      <c r="AC108" s="15"/>
      <c r="AD108" s="16"/>
      <c r="AE108" s="16"/>
      <c r="AF108" s="16"/>
      <c r="AG108" s="16"/>
      <c r="AH108" s="16"/>
      <c r="AI108" s="16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16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ht="12" customHeight="1" x14ac:dyDescent="0.25">
      <c r="A109" s="3"/>
      <c r="B109" s="14"/>
      <c r="C109" s="14"/>
      <c r="D109" s="14"/>
      <c r="E109" s="14"/>
      <c r="F109" s="26"/>
      <c r="G109" s="26"/>
      <c r="H109" s="26"/>
      <c r="I109" s="10"/>
      <c r="J109" s="10"/>
      <c r="K109" s="14"/>
      <c r="L109" s="11"/>
      <c r="M109" s="14"/>
      <c r="N109" s="14"/>
      <c r="O109" s="4"/>
      <c r="P109" s="3"/>
      <c r="Q109" s="4"/>
      <c r="R109" s="3"/>
      <c r="S109" s="3"/>
      <c r="T109" s="3"/>
      <c r="U109" s="4"/>
      <c r="V109" s="4"/>
      <c r="W109" s="4"/>
      <c r="X109" s="4"/>
      <c r="Y109" s="4"/>
      <c r="Z109" s="11"/>
      <c r="AA109" s="15"/>
      <c r="AB109" s="15"/>
      <c r="AC109" s="15"/>
      <c r="AD109" s="16"/>
      <c r="AE109" s="16"/>
      <c r="AF109" s="16"/>
      <c r="AG109" s="16"/>
      <c r="AH109" s="16"/>
      <c r="AI109" s="16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16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ht="12" customHeight="1" x14ac:dyDescent="0.25">
      <c r="A110" s="3"/>
      <c r="B110" s="14"/>
      <c r="C110" s="14"/>
      <c r="D110" s="14"/>
      <c r="E110" s="14"/>
      <c r="F110" s="26"/>
      <c r="G110" s="26"/>
      <c r="H110" s="26"/>
      <c r="I110" s="10"/>
      <c r="J110" s="10"/>
      <c r="K110" s="14"/>
      <c r="L110" s="11"/>
      <c r="M110" s="14"/>
      <c r="N110" s="14"/>
      <c r="O110" s="4"/>
      <c r="P110" s="3"/>
      <c r="Q110" s="4"/>
      <c r="R110" s="3"/>
      <c r="S110" s="3"/>
      <c r="T110" s="3"/>
      <c r="U110" s="4"/>
      <c r="V110" s="4"/>
      <c r="W110" s="4"/>
      <c r="X110" s="4"/>
      <c r="Y110" s="4"/>
      <c r="Z110" s="11"/>
      <c r="AA110" s="15"/>
      <c r="AB110" s="15"/>
      <c r="AC110" s="15"/>
      <c r="AD110" s="16"/>
      <c r="AE110" s="16"/>
      <c r="AF110" s="16"/>
      <c r="AG110" s="16"/>
      <c r="AH110" s="16"/>
      <c r="AI110" s="16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16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ht="12" customHeight="1" x14ac:dyDescent="0.25">
      <c r="A111" s="3"/>
      <c r="B111" s="14"/>
      <c r="C111" s="14"/>
      <c r="D111" s="14"/>
      <c r="E111" s="14"/>
      <c r="F111" s="26"/>
      <c r="G111" s="26"/>
      <c r="H111" s="26"/>
      <c r="I111" s="10"/>
      <c r="J111" s="10"/>
      <c r="K111" s="14"/>
      <c r="L111" s="11"/>
      <c r="M111" s="14"/>
      <c r="N111" s="14"/>
      <c r="O111" s="4"/>
      <c r="P111" s="3"/>
      <c r="Q111" s="4"/>
      <c r="R111" s="3"/>
      <c r="S111" s="3"/>
      <c r="T111" s="3"/>
      <c r="U111" s="4"/>
      <c r="V111" s="4"/>
      <c r="W111" s="4"/>
      <c r="X111" s="4"/>
      <c r="Y111" s="4"/>
      <c r="Z111" s="11"/>
      <c r="AA111" s="15"/>
      <c r="AB111" s="15"/>
      <c r="AC111" s="15"/>
      <c r="AD111" s="16"/>
      <c r="AE111" s="16"/>
      <c r="AF111" s="16"/>
      <c r="AG111" s="16"/>
      <c r="AH111" s="16"/>
      <c r="AI111" s="16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16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ht="12" customHeight="1" x14ac:dyDescent="0.25">
      <c r="A112" s="3"/>
      <c r="B112" s="14"/>
      <c r="C112" s="14"/>
      <c r="D112" s="14"/>
      <c r="E112" s="14"/>
      <c r="F112" s="26"/>
      <c r="G112" s="26"/>
      <c r="H112" s="26"/>
      <c r="I112" s="10"/>
      <c r="J112" s="10"/>
      <c r="K112" s="14"/>
      <c r="L112" s="11"/>
      <c r="M112" s="14"/>
      <c r="N112" s="14"/>
      <c r="O112" s="4"/>
      <c r="P112" s="3"/>
      <c r="Q112" s="4"/>
      <c r="R112" s="3"/>
      <c r="S112" s="3"/>
      <c r="T112" s="3"/>
      <c r="U112" s="4"/>
      <c r="V112" s="4"/>
      <c r="W112" s="4"/>
      <c r="X112" s="4"/>
      <c r="Y112" s="4"/>
      <c r="Z112" s="11"/>
      <c r="AA112" s="15"/>
      <c r="AB112" s="15"/>
      <c r="AC112" s="15"/>
      <c r="AD112" s="16"/>
      <c r="AE112" s="16"/>
      <c r="AF112" s="16"/>
      <c r="AG112" s="16"/>
      <c r="AH112" s="16"/>
      <c r="AI112" s="16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16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ht="12" customHeight="1" x14ac:dyDescent="0.25">
      <c r="A113" s="3"/>
      <c r="B113" s="14"/>
      <c r="C113" s="14"/>
      <c r="D113" s="14"/>
      <c r="E113" s="14"/>
      <c r="F113" s="26"/>
      <c r="G113" s="26"/>
      <c r="H113" s="26"/>
      <c r="I113" s="10"/>
      <c r="J113" s="10"/>
      <c r="K113" s="14"/>
      <c r="L113" s="11"/>
      <c r="M113" s="14"/>
      <c r="N113" s="14"/>
      <c r="O113" s="4"/>
      <c r="P113" s="3"/>
      <c r="Q113" s="4"/>
      <c r="R113" s="3"/>
      <c r="S113" s="3"/>
      <c r="T113" s="3"/>
      <c r="U113" s="4"/>
      <c r="V113" s="4"/>
      <c r="W113" s="4"/>
      <c r="X113" s="4"/>
      <c r="Y113" s="4"/>
      <c r="Z113" s="11"/>
      <c r="AA113" s="15"/>
      <c r="AB113" s="15"/>
      <c r="AC113" s="15"/>
      <c r="AD113" s="16"/>
      <c r="AE113" s="16"/>
      <c r="AF113" s="16"/>
      <c r="AG113" s="16"/>
      <c r="AH113" s="16"/>
      <c r="AI113" s="16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16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ht="12" customHeight="1" x14ac:dyDescent="0.25">
      <c r="A114" s="3"/>
      <c r="B114" s="14"/>
      <c r="C114" s="14"/>
      <c r="D114" s="14"/>
      <c r="E114" s="14"/>
      <c r="F114" s="26"/>
      <c r="G114" s="26"/>
      <c r="H114" s="26"/>
      <c r="I114" s="10"/>
      <c r="J114" s="10"/>
      <c r="K114" s="14"/>
      <c r="L114" s="11"/>
      <c r="M114" s="14"/>
      <c r="N114" s="14"/>
      <c r="O114" s="4"/>
      <c r="P114" s="3"/>
      <c r="Q114" s="4"/>
      <c r="R114" s="3"/>
      <c r="S114" s="3"/>
      <c r="T114" s="3"/>
      <c r="U114" s="4"/>
      <c r="V114" s="4"/>
      <c r="W114" s="4"/>
      <c r="X114" s="4"/>
      <c r="Y114" s="4"/>
      <c r="Z114" s="11"/>
      <c r="AA114" s="15"/>
      <c r="AB114" s="15"/>
      <c r="AC114" s="15"/>
      <c r="AD114" s="16"/>
      <c r="AE114" s="16"/>
      <c r="AF114" s="16"/>
      <c r="AG114" s="16"/>
      <c r="AH114" s="16"/>
      <c r="AI114" s="16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16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ht="12" customHeight="1" x14ac:dyDescent="0.25">
      <c r="A115" s="3"/>
      <c r="B115" s="14"/>
      <c r="C115" s="14"/>
      <c r="D115" s="14"/>
      <c r="E115" s="14"/>
      <c r="F115" s="26"/>
      <c r="G115" s="26"/>
      <c r="H115" s="26"/>
      <c r="I115" s="10"/>
      <c r="J115" s="10"/>
      <c r="K115" s="14"/>
      <c r="L115" s="11"/>
      <c r="M115" s="14"/>
      <c r="N115" s="14"/>
      <c r="O115" s="4"/>
      <c r="P115" s="3"/>
      <c r="Q115" s="4"/>
      <c r="R115" s="3"/>
      <c r="S115" s="3"/>
      <c r="T115" s="3"/>
      <c r="U115" s="4"/>
      <c r="V115" s="4"/>
      <c r="W115" s="4"/>
      <c r="X115" s="4"/>
      <c r="Y115" s="4"/>
      <c r="Z115" s="11"/>
      <c r="AA115" s="15"/>
      <c r="AB115" s="15"/>
      <c r="AC115" s="15"/>
      <c r="AD115" s="16"/>
      <c r="AE115" s="16"/>
      <c r="AF115" s="16"/>
      <c r="AG115" s="16"/>
      <c r="AH115" s="16"/>
      <c r="AI115" s="16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16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ht="12" customHeight="1" x14ac:dyDescent="0.25">
      <c r="A116" s="3"/>
      <c r="B116" s="14"/>
      <c r="C116" s="14"/>
      <c r="D116" s="14"/>
      <c r="E116" s="14"/>
      <c r="F116" s="26"/>
      <c r="G116" s="26"/>
      <c r="H116" s="26"/>
      <c r="I116" s="10"/>
      <c r="J116" s="10"/>
      <c r="K116" s="14"/>
      <c r="L116" s="11"/>
      <c r="M116" s="14"/>
      <c r="N116" s="14"/>
      <c r="O116" s="4"/>
      <c r="P116" s="3"/>
      <c r="Q116" s="4"/>
      <c r="R116" s="3"/>
      <c r="S116" s="3"/>
      <c r="T116" s="3"/>
      <c r="U116" s="4"/>
      <c r="V116" s="4"/>
      <c r="W116" s="4"/>
      <c r="X116" s="4"/>
      <c r="Y116" s="4"/>
      <c r="Z116" s="11"/>
      <c r="AA116" s="15"/>
      <c r="AB116" s="15"/>
      <c r="AC116" s="15"/>
      <c r="AD116" s="16"/>
      <c r="AE116" s="16"/>
      <c r="AF116" s="16"/>
      <c r="AG116" s="16"/>
      <c r="AH116" s="16"/>
      <c r="AI116" s="16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16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ht="12" customHeight="1" x14ac:dyDescent="0.25">
      <c r="A117" s="3"/>
      <c r="B117" s="14"/>
      <c r="C117" s="14"/>
      <c r="D117" s="14"/>
      <c r="E117" s="14"/>
      <c r="F117" s="26"/>
      <c r="G117" s="26"/>
      <c r="H117" s="26"/>
      <c r="I117" s="10"/>
      <c r="J117" s="10"/>
      <c r="K117" s="14"/>
      <c r="L117" s="11"/>
      <c r="M117" s="14"/>
      <c r="N117" s="14"/>
      <c r="O117" s="4"/>
      <c r="P117" s="3"/>
      <c r="Q117" s="4"/>
      <c r="R117" s="3"/>
      <c r="S117" s="3"/>
      <c r="T117" s="3"/>
      <c r="U117" s="4"/>
      <c r="V117" s="4"/>
      <c r="W117" s="4"/>
      <c r="X117" s="4"/>
      <c r="Y117" s="4"/>
      <c r="Z117" s="11"/>
      <c r="AA117" s="15"/>
      <c r="AB117" s="15"/>
      <c r="AC117" s="15"/>
      <c r="AD117" s="16"/>
      <c r="AE117" s="16"/>
      <c r="AF117" s="16"/>
      <c r="AG117" s="16"/>
      <c r="AH117" s="16"/>
      <c r="AI117" s="16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16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ht="12" customHeight="1" x14ac:dyDescent="0.25">
      <c r="A118" s="3"/>
      <c r="B118" s="14"/>
      <c r="C118" s="14"/>
      <c r="D118" s="14"/>
      <c r="E118" s="14"/>
      <c r="F118" s="26"/>
      <c r="G118" s="26"/>
      <c r="H118" s="26"/>
      <c r="I118" s="10"/>
      <c r="J118" s="10"/>
      <c r="K118" s="14"/>
      <c r="L118" s="11"/>
      <c r="M118" s="14"/>
      <c r="N118" s="14"/>
      <c r="O118" s="4"/>
      <c r="P118" s="3"/>
      <c r="Q118" s="4"/>
      <c r="R118" s="3"/>
      <c r="S118" s="3"/>
      <c r="T118" s="3"/>
      <c r="U118" s="4"/>
      <c r="V118" s="4"/>
      <c r="W118" s="4"/>
      <c r="X118" s="4"/>
      <c r="Y118" s="4"/>
      <c r="Z118" s="11"/>
      <c r="AA118" s="15"/>
      <c r="AB118" s="15"/>
      <c r="AC118" s="15"/>
      <c r="AD118" s="16"/>
      <c r="AE118" s="16"/>
      <c r="AF118" s="16"/>
      <c r="AG118" s="16"/>
      <c r="AH118" s="16"/>
      <c r="AI118" s="16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16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ht="12" customHeight="1" x14ac:dyDescent="0.25">
      <c r="A119" s="3"/>
      <c r="B119" s="14"/>
      <c r="C119" s="14"/>
      <c r="D119" s="14"/>
      <c r="E119" s="14"/>
      <c r="F119" s="26"/>
      <c r="G119" s="26"/>
      <c r="H119" s="26"/>
      <c r="I119" s="10"/>
      <c r="J119" s="10"/>
      <c r="K119" s="14"/>
      <c r="L119" s="11"/>
      <c r="M119" s="14"/>
      <c r="N119" s="14"/>
      <c r="O119" s="4"/>
      <c r="P119" s="3"/>
      <c r="Q119" s="4"/>
      <c r="R119" s="3"/>
      <c r="S119" s="3"/>
      <c r="T119" s="3"/>
      <c r="U119" s="4"/>
      <c r="V119" s="4"/>
      <c r="W119" s="4"/>
      <c r="X119" s="4"/>
      <c r="Y119" s="4"/>
      <c r="Z119" s="11"/>
      <c r="AA119" s="15"/>
      <c r="AB119" s="15"/>
      <c r="AC119" s="15"/>
      <c r="AD119" s="16"/>
      <c r="AE119" s="16"/>
      <c r="AF119" s="16"/>
      <c r="AG119" s="16"/>
      <c r="AH119" s="16"/>
      <c r="AI119" s="16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16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ht="12" customHeight="1" x14ac:dyDescent="0.25">
      <c r="A120" s="3"/>
      <c r="B120" s="14"/>
      <c r="C120" s="14"/>
      <c r="D120" s="14"/>
      <c r="E120" s="14"/>
      <c r="F120" s="26"/>
      <c r="G120" s="26"/>
      <c r="H120" s="26"/>
      <c r="I120" s="10"/>
      <c r="J120" s="10"/>
      <c r="K120" s="14"/>
      <c r="L120" s="11"/>
      <c r="M120" s="14"/>
      <c r="N120" s="14"/>
      <c r="O120" s="4"/>
      <c r="P120" s="3"/>
      <c r="Q120" s="4"/>
      <c r="R120" s="3"/>
      <c r="S120" s="3"/>
      <c r="T120" s="3"/>
      <c r="U120" s="4"/>
      <c r="V120" s="4"/>
      <c r="W120" s="4"/>
      <c r="X120" s="4"/>
      <c r="Y120" s="4"/>
      <c r="Z120" s="11"/>
      <c r="AA120" s="15"/>
      <c r="AB120" s="15"/>
      <c r="AC120" s="15"/>
      <c r="AD120" s="16"/>
      <c r="AE120" s="16"/>
      <c r="AF120" s="16"/>
      <c r="AG120" s="16"/>
      <c r="AH120" s="16"/>
      <c r="AI120" s="16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16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ht="12" customHeight="1" x14ac:dyDescent="0.25">
      <c r="A121" s="3"/>
      <c r="B121" s="14"/>
      <c r="C121" s="14"/>
      <c r="D121" s="14"/>
      <c r="E121" s="14"/>
      <c r="F121" s="26"/>
      <c r="G121" s="26"/>
      <c r="H121" s="26"/>
      <c r="I121" s="10"/>
      <c r="J121" s="10"/>
      <c r="K121" s="14"/>
      <c r="L121" s="11"/>
      <c r="M121" s="14"/>
      <c r="N121" s="14"/>
      <c r="O121" s="4"/>
      <c r="P121" s="3"/>
      <c r="Q121" s="4"/>
      <c r="R121" s="3"/>
      <c r="S121" s="3"/>
      <c r="T121" s="3"/>
      <c r="U121" s="4"/>
      <c r="V121" s="4"/>
      <c r="W121" s="4"/>
      <c r="X121" s="4"/>
      <c r="Y121" s="4"/>
      <c r="Z121" s="11"/>
      <c r="AA121" s="15"/>
      <c r="AB121" s="15"/>
      <c r="AC121" s="15"/>
      <c r="AD121" s="16"/>
      <c r="AE121" s="16"/>
      <c r="AF121" s="16"/>
      <c r="AG121" s="16"/>
      <c r="AH121" s="16"/>
      <c r="AI121" s="16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16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ht="12" customHeight="1" x14ac:dyDescent="0.25">
      <c r="A122" s="3"/>
      <c r="B122" s="14"/>
      <c r="C122" s="14"/>
      <c r="D122" s="14"/>
      <c r="E122" s="14"/>
      <c r="F122" s="26"/>
      <c r="G122" s="26"/>
      <c r="H122" s="26"/>
      <c r="I122" s="10"/>
      <c r="J122" s="10"/>
      <c r="K122" s="14"/>
      <c r="L122" s="11"/>
      <c r="M122" s="14"/>
      <c r="N122" s="14"/>
      <c r="O122" s="4"/>
      <c r="P122" s="3"/>
      <c r="Q122" s="4"/>
      <c r="R122" s="3"/>
      <c r="S122" s="3"/>
      <c r="T122" s="3"/>
      <c r="U122" s="4"/>
      <c r="V122" s="4"/>
      <c r="W122" s="4"/>
      <c r="X122" s="4"/>
      <c r="Y122" s="4"/>
      <c r="Z122" s="11"/>
      <c r="AA122" s="15"/>
      <c r="AB122" s="15"/>
      <c r="AC122" s="15"/>
      <c r="AD122" s="16"/>
      <c r="AE122" s="16"/>
      <c r="AF122" s="16"/>
      <c r="AG122" s="16"/>
      <c r="AH122" s="16"/>
      <c r="AI122" s="16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16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ht="12" customHeight="1" x14ac:dyDescent="0.25">
      <c r="A123" s="3"/>
      <c r="B123" s="14"/>
      <c r="C123" s="14"/>
      <c r="D123" s="14"/>
      <c r="E123" s="14"/>
      <c r="F123" s="26"/>
      <c r="G123" s="26"/>
      <c r="H123" s="26"/>
      <c r="I123" s="10"/>
      <c r="J123" s="10"/>
      <c r="K123" s="14"/>
      <c r="L123" s="11"/>
      <c r="M123" s="14"/>
      <c r="N123" s="14"/>
      <c r="O123" s="4"/>
      <c r="P123" s="3"/>
      <c r="Q123" s="4"/>
      <c r="R123" s="3"/>
      <c r="S123" s="3"/>
      <c r="T123" s="3"/>
      <c r="U123" s="4"/>
      <c r="V123" s="4"/>
      <c r="W123" s="4"/>
      <c r="X123" s="4"/>
      <c r="Y123" s="4"/>
      <c r="Z123" s="11"/>
      <c r="AA123" s="15"/>
      <c r="AB123" s="15"/>
      <c r="AC123" s="15"/>
      <c r="AD123" s="16"/>
      <c r="AE123" s="16"/>
      <c r="AF123" s="16"/>
      <c r="AG123" s="16"/>
      <c r="AH123" s="16"/>
      <c r="AI123" s="16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16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ht="12" customHeight="1" x14ac:dyDescent="0.25">
      <c r="A124" s="3"/>
      <c r="B124" s="14"/>
      <c r="C124" s="14"/>
      <c r="D124" s="14"/>
      <c r="E124" s="14"/>
      <c r="F124" s="26"/>
      <c r="G124" s="26"/>
      <c r="H124" s="26"/>
      <c r="I124" s="10"/>
      <c r="J124" s="10"/>
      <c r="K124" s="14"/>
      <c r="L124" s="11"/>
      <c r="M124" s="14"/>
      <c r="N124" s="14"/>
      <c r="O124" s="4"/>
      <c r="P124" s="3"/>
      <c r="Q124" s="4"/>
      <c r="R124" s="3"/>
      <c r="S124" s="3"/>
      <c r="T124" s="3"/>
      <c r="U124" s="4"/>
      <c r="V124" s="4"/>
      <c r="W124" s="4"/>
      <c r="X124" s="4"/>
      <c r="Y124" s="4"/>
      <c r="Z124" s="11"/>
      <c r="AA124" s="15"/>
      <c r="AB124" s="15"/>
      <c r="AC124" s="15"/>
      <c r="AD124" s="16"/>
      <c r="AE124" s="16"/>
      <c r="AF124" s="16"/>
      <c r="AG124" s="16"/>
      <c r="AH124" s="16"/>
      <c r="AI124" s="16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16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ht="12" customHeight="1" x14ac:dyDescent="0.25">
      <c r="A125" s="3"/>
      <c r="B125" s="14"/>
      <c r="C125" s="14"/>
      <c r="D125" s="14"/>
      <c r="E125" s="14"/>
      <c r="F125" s="26"/>
      <c r="G125" s="26"/>
      <c r="H125" s="26"/>
      <c r="I125" s="10"/>
      <c r="J125" s="10"/>
      <c r="K125" s="14"/>
      <c r="L125" s="11"/>
      <c r="M125" s="14"/>
      <c r="N125" s="14"/>
      <c r="O125" s="4"/>
      <c r="P125" s="3"/>
      <c r="Q125" s="4"/>
      <c r="R125" s="3"/>
      <c r="S125" s="3"/>
      <c r="T125" s="3"/>
      <c r="U125" s="4"/>
      <c r="V125" s="4"/>
      <c r="W125" s="4"/>
      <c r="X125" s="4"/>
      <c r="Y125" s="4"/>
      <c r="Z125" s="11"/>
      <c r="AA125" s="15"/>
      <c r="AB125" s="15"/>
      <c r="AC125" s="15"/>
      <c r="AD125" s="16"/>
      <c r="AE125" s="16"/>
      <c r="AF125" s="16"/>
      <c r="AG125" s="16"/>
      <c r="AH125" s="16"/>
      <c r="AI125" s="16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16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ht="12" customHeight="1" x14ac:dyDescent="0.25">
      <c r="A126" s="3"/>
      <c r="B126" s="14"/>
      <c r="C126" s="14"/>
      <c r="D126" s="14"/>
      <c r="E126" s="14"/>
      <c r="F126" s="26"/>
      <c r="G126" s="26"/>
      <c r="H126" s="26"/>
      <c r="I126" s="10"/>
      <c r="J126" s="10"/>
      <c r="K126" s="14"/>
      <c r="L126" s="11"/>
      <c r="M126" s="14"/>
      <c r="N126" s="14"/>
      <c r="O126" s="4"/>
      <c r="P126" s="3"/>
      <c r="Q126" s="4"/>
      <c r="R126" s="3"/>
      <c r="S126" s="3"/>
      <c r="T126" s="3"/>
      <c r="U126" s="4"/>
      <c r="V126" s="4"/>
      <c r="W126" s="4"/>
      <c r="X126" s="4"/>
      <c r="Y126" s="4"/>
      <c r="Z126" s="11"/>
      <c r="AA126" s="15"/>
      <c r="AB126" s="15"/>
      <c r="AC126" s="15"/>
      <c r="AD126" s="16"/>
      <c r="AE126" s="16"/>
      <c r="AF126" s="16"/>
      <c r="AG126" s="16"/>
      <c r="AH126" s="16"/>
      <c r="AI126" s="16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16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ht="12" customHeight="1" x14ac:dyDescent="0.25">
      <c r="A127" s="3"/>
      <c r="B127" s="14"/>
      <c r="C127" s="14"/>
      <c r="D127" s="14"/>
      <c r="E127" s="14"/>
      <c r="F127" s="26"/>
      <c r="G127" s="26"/>
      <c r="H127" s="26"/>
      <c r="I127" s="10"/>
      <c r="J127" s="10"/>
      <c r="K127" s="14"/>
      <c r="L127" s="11"/>
      <c r="M127" s="14"/>
      <c r="N127" s="14"/>
      <c r="O127" s="4"/>
      <c r="P127" s="3"/>
      <c r="Q127" s="4"/>
      <c r="R127" s="3"/>
      <c r="S127" s="3"/>
      <c r="T127" s="3"/>
      <c r="U127" s="4"/>
      <c r="V127" s="4"/>
      <c r="W127" s="4"/>
      <c r="X127" s="4"/>
      <c r="Y127" s="4"/>
      <c r="Z127" s="11"/>
      <c r="AA127" s="15"/>
      <c r="AB127" s="15"/>
      <c r="AC127" s="15"/>
      <c r="AD127" s="16"/>
      <c r="AE127" s="16"/>
      <c r="AF127" s="16"/>
      <c r="AG127" s="16"/>
      <c r="AH127" s="16"/>
      <c r="AI127" s="16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16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ht="12" customHeight="1" x14ac:dyDescent="0.25">
      <c r="A128" s="3"/>
      <c r="B128" s="14"/>
      <c r="C128" s="14"/>
      <c r="D128" s="14"/>
      <c r="E128" s="14"/>
      <c r="F128" s="26"/>
      <c r="G128" s="26"/>
      <c r="H128" s="26"/>
      <c r="I128" s="10"/>
      <c r="J128" s="10"/>
      <c r="K128" s="14"/>
      <c r="L128" s="11"/>
      <c r="M128" s="14"/>
      <c r="N128" s="14"/>
      <c r="O128" s="4"/>
      <c r="P128" s="3"/>
      <c r="Q128" s="4"/>
      <c r="R128" s="3"/>
      <c r="S128" s="3"/>
      <c r="T128" s="3"/>
      <c r="U128" s="4"/>
      <c r="V128" s="4"/>
      <c r="W128" s="4"/>
      <c r="X128" s="4"/>
      <c r="Y128" s="4"/>
      <c r="Z128" s="11"/>
      <c r="AA128" s="15"/>
      <c r="AB128" s="15"/>
      <c r="AC128" s="15"/>
      <c r="AD128" s="16"/>
      <c r="AE128" s="16"/>
      <c r="AF128" s="16"/>
      <c r="AG128" s="16"/>
      <c r="AH128" s="16"/>
      <c r="AI128" s="16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16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6" ht="12" customHeight="1" x14ac:dyDescent="0.25">
      <c r="A129" s="3"/>
      <c r="B129" s="14"/>
      <c r="C129" s="14"/>
      <c r="D129" s="14"/>
      <c r="E129" s="14"/>
      <c r="F129" s="26"/>
      <c r="G129" s="26"/>
      <c r="H129" s="26"/>
      <c r="I129" s="10"/>
      <c r="J129" s="10"/>
      <c r="K129" s="14"/>
      <c r="L129" s="11"/>
      <c r="M129" s="14"/>
      <c r="N129" s="14"/>
      <c r="O129" s="4"/>
      <c r="P129" s="3"/>
      <c r="Q129" s="4"/>
      <c r="R129" s="3"/>
      <c r="S129" s="3"/>
      <c r="T129" s="3"/>
      <c r="U129" s="4"/>
      <c r="V129" s="4"/>
      <c r="W129" s="4"/>
      <c r="X129" s="4"/>
      <c r="Y129" s="4"/>
      <c r="Z129" s="11"/>
      <c r="AA129" s="15"/>
      <c r="AB129" s="15"/>
      <c r="AC129" s="15"/>
      <c r="AD129" s="16"/>
      <c r="AE129" s="16"/>
      <c r="AF129" s="16"/>
      <c r="AG129" s="16"/>
      <c r="AH129" s="16"/>
      <c r="AI129" s="16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16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0" spans="1:96" ht="12" customHeight="1" x14ac:dyDescent="0.25">
      <c r="A130" s="3"/>
      <c r="B130" s="14"/>
      <c r="C130" s="14"/>
      <c r="D130" s="14"/>
      <c r="E130" s="14"/>
      <c r="F130" s="26"/>
      <c r="G130" s="26"/>
      <c r="H130" s="26"/>
      <c r="I130" s="10"/>
      <c r="J130" s="10"/>
      <c r="K130" s="14"/>
      <c r="L130" s="11"/>
      <c r="M130" s="14"/>
      <c r="N130" s="14"/>
      <c r="O130" s="4"/>
      <c r="P130" s="3"/>
      <c r="Q130" s="4"/>
      <c r="R130" s="3"/>
      <c r="S130" s="3"/>
      <c r="T130" s="3"/>
      <c r="U130" s="4"/>
      <c r="V130" s="4"/>
      <c r="W130" s="4"/>
      <c r="X130" s="4"/>
      <c r="Y130" s="4"/>
      <c r="Z130" s="11"/>
      <c r="AA130" s="15"/>
      <c r="AB130" s="15"/>
      <c r="AC130" s="15"/>
      <c r="AD130" s="16"/>
      <c r="AE130" s="16"/>
      <c r="AF130" s="16"/>
      <c r="AG130" s="16"/>
      <c r="AH130" s="16"/>
      <c r="AI130" s="16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16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</row>
    <row r="131" spans="1:96" ht="12" customHeight="1" x14ac:dyDescent="0.25">
      <c r="A131" s="3"/>
      <c r="B131" s="14"/>
      <c r="C131" s="14"/>
      <c r="D131" s="14"/>
      <c r="E131" s="14"/>
      <c r="F131" s="26"/>
      <c r="G131" s="26"/>
      <c r="H131" s="26"/>
      <c r="I131" s="10"/>
      <c r="J131" s="10"/>
      <c r="K131" s="14"/>
      <c r="L131" s="11"/>
      <c r="M131" s="14"/>
      <c r="N131" s="14"/>
      <c r="O131" s="4"/>
      <c r="P131" s="3"/>
      <c r="Q131" s="4"/>
      <c r="R131" s="3"/>
      <c r="S131" s="3"/>
      <c r="T131" s="3"/>
      <c r="U131" s="4"/>
      <c r="V131" s="4"/>
      <c r="W131" s="4"/>
      <c r="X131" s="4"/>
      <c r="Y131" s="4"/>
      <c r="Z131" s="11"/>
      <c r="AA131" s="15"/>
      <c r="AB131" s="15"/>
      <c r="AC131" s="15"/>
      <c r="AD131" s="16"/>
      <c r="AE131" s="16"/>
      <c r="AF131" s="16"/>
      <c r="AG131" s="16"/>
      <c r="AH131" s="16"/>
      <c r="AI131" s="16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16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</row>
    <row r="132" spans="1:96" ht="12" customHeight="1" x14ac:dyDescent="0.25">
      <c r="A132" s="3"/>
      <c r="B132" s="14"/>
      <c r="C132" s="14"/>
      <c r="D132" s="14"/>
      <c r="E132" s="14"/>
      <c r="F132" s="26"/>
      <c r="G132" s="26"/>
      <c r="H132" s="26"/>
      <c r="I132" s="10"/>
      <c r="J132" s="10"/>
      <c r="K132" s="14"/>
      <c r="L132" s="11"/>
      <c r="M132" s="14"/>
      <c r="N132" s="14"/>
      <c r="O132" s="4"/>
      <c r="P132" s="3"/>
      <c r="Q132" s="4"/>
      <c r="R132" s="3"/>
      <c r="S132" s="3"/>
      <c r="T132" s="3"/>
      <c r="U132" s="4"/>
      <c r="V132" s="4"/>
      <c r="W132" s="4"/>
      <c r="X132" s="4"/>
      <c r="Y132" s="4"/>
      <c r="Z132" s="11"/>
      <c r="AA132" s="15"/>
      <c r="AB132" s="15"/>
      <c r="AC132" s="15"/>
      <c r="AD132" s="16"/>
      <c r="AE132" s="16"/>
      <c r="AF132" s="16"/>
      <c r="AG132" s="16"/>
      <c r="AH132" s="16"/>
      <c r="AI132" s="16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16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</row>
    <row r="133" spans="1:96" ht="12" customHeight="1" x14ac:dyDescent="0.25">
      <c r="A133" s="3"/>
      <c r="B133" s="14"/>
      <c r="C133" s="14"/>
      <c r="D133" s="14"/>
      <c r="E133" s="14"/>
      <c r="F133" s="26"/>
      <c r="G133" s="26"/>
      <c r="H133" s="26"/>
      <c r="I133" s="10"/>
      <c r="J133" s="10"/>
      <c r="K133" s="14"/>
      <c r="L133" s="11"/>
      <c r="M133" s="14"/>
      <c r="N133" s="14"/>
      <c r="O133" s="4"/>
      <c r="P133" s="3"/>
      <c r="Q133" s="4"/>
      <c r="R133" s="3"/>
      <c r="S133" s="3"/>
      <c r="T133" s="3"/>
      <c r="U133" s="4"/>
      <c r="V133" s="4"/>
      <c r="W133" s="4"/>
      <c r="X133" s="4"/>
      <c r="Y133" s="4"/>
      <c r="Z133" s="11"/>
      <c r="AA133" s="15"/>
      <c r="AB133" s="15"/>
      <c r="AC133" s="15"/>
      <c r="AD133" s="16"/>
      <c r="AE133" s="16"/>
      <c r="AF133" s="16"/>
      <c r="AG133" s="16"/>
      <c r="AH133" s="16"/>
      <c r="AI133" s="16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16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</row>
    <row r="134" spans="1:96" ht="12" customHeight="1" x14ac:dyDescent="0.25">
      <c r="A134" s="3"/>
      <c r="B134" s="14"/>
      <c r="C134" s="14"/>
      <c r="D134" s="14"/>
      <c r="E134" s="14"/>
      <c r="F134" s="26"/>
      <c r="G134" s="26"/>
      <c r="H134" s="26"/>
      <c r="I134" s="10"/>
      <c r="J134" s="10"/>
      <c r="K134" s="14"/>
      <c r="L134" s="11"/>
      <c r="M134" s="14"/>
      <c r="N134" s="14"/>
      <c r="O134" s="4"/>
      <c r="P134" s="3"/>
      <c r="Q134" s="4"/>
      <c r="R134" s="3"/>
      <c r="S134" s="3"/>
      <c r="T134" s="3"/>
      <c r="U134" s="4"/>
      <c r="V134" s="4"/>
      <c r="W134" s="4"/>
      <c r="X134" s="4"/>
      <c r="Y134" s="4"/>
      <c r="Z134" s="11"/>
      <c r="AA134" s="15"/>
      <c r="AB134" s="15"/>
      <c r="AC134" s="15"/>
      <c r="AD134" s="16"/>
      <c r="AE134" s="16"/>
      <c r="AF134" s="16"/>
      <c r="AG134" s="16"/>
      <c r="AH134" s="16"/>
      <c r="AI134" s="16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16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</row>
    <row r="135" spans="1:96" ht="12" customHeight="1" x14ac:dyDescent="0.25">
      <c r="A135" s="3"/>
      <c r="B135" s="14"/>
      <c r="C135" s="14"/>
      <c r="D135" s="14"/>
      <c r="E135" s="14"/>
      <c r="F135" s="26"/>
      <c r="G135" s="26"/>
      <c r="H135" s="26"/>
      <c r="I135" s="10"/>
      <c r="J135" s="10"/>
      <c r="K135" s="14"/>
      <c r="L135" s="11"/>
      <c r="M135" s="14"/>
      <c r="N135" s="14"/>
      <c r="O135" s="4"/>
      <c r="P135" s="3"/>
      <c r="Q135" s="4"/>
      <c r="R135" s="3"/>
      <c r="S135" s="3"/>
      <c r="T135" s="3"/>
      <c r="U135" s="4"/>
      <c r="V135" s="4"/>
      <c r="W135" s="4"/>
      <c r="X135" s="4"/>
      <c r="Y135" s="4"/>
      <c r="Z135" s="11"/>
      <c r="AA135" s="15"/>
      <c r="AB135" s="15"/>
      <c r="AC135" s="15"/>
      <c r="AD135" s="16"/>
      <c r="AE135" s="16"/>
      <c r="AF135" s="16"/>
      <c r="AG135" s="16"/>
      <c r="AH135" s="16"/>
      <c r="AI135" s="16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16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</row>
    <row r="136" spans="1:96" ht="12" customHeight="1" x14ac:dyDescent="0.25">
      <c r="A136" s="3"/>
      <c r="B136" s="14"/>
      <c r="C136" s="14"/>
      <c r="D136" s="14"/>
      <c r="E136" s="14"/>
      <c r="F136" s="26"/>
      <c r="G136" s="26"/>
      <c r="H136" s="26"/>
      <c r="I136" s="10"/>
      <c r="J136" s="10"/>
      <c r="K136" s="14"/>
      <c r="L136" s="11"/>
      <c r="M136" s="14"/>
      <c r="N136" s="14"/>
      <c r="O136" s="4"/>
      <c r="P136" s="3"/>
      <c r="Q136" s="4"/>
      <c r="R136" s="3"/>
      <c r="S136" s="3"/>
      <c r="T136" s="3"/>
      <c r="U136" s="4"/>
      <c r="V136" s="4"/>
      <c r="W136" s="4"/>
      <c r="X136" s="4"/>
      <c r="Y136" s="4"/>
      <c r="Z136" s="11"/>
      <c r="AA136" s="15"/>
      <c r="AB136" s="15"/>
      <c r="AC136" s="15"/>
      <c r="AD136" s="16"/>
      <c r="AE136" s="16"/>
      <c r="AF136" s="16"/>
      <c r="AG136" s="16"/>
      <c r="AH136" s="16"/>
      <c r="AI136" s="16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16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</row>
    <row r="137" spans="1:96" ht="12" customHeight="1" x14ac:dyDescent="0.25">
      <c r="A137" s="3"/>
      <c r="B137" s="14"/>
      <c r="C137" s="14"/>
      <c r="D137" s="14"/>
      <c r="E137" s="14"/>
      <c r="F137" s="26"/>
      <c r="G137" s="26"/>
      <c r="H137" s="26"/>
      <c r="I137" s="10"/>
      <c r="J137" s="10"/>
      <c r="K137" s="14"/>
      <c r="L137" s="11"/>
      <c r="M137" s="14"/>
      <c r="N137" s="14"/>
      <c r="O137" s="4"/>
      <c r="P137" s="3"/>
      <c r="Q137" s="4"/>
      <c r="R137" s="3"/>
      <c r="S137" s="3"/>
      <c r="T137" s="3"/>
      <c r="U137" s="4"/>
      <c r="V137" s="4"/>
      <c r="W137" s="4"/>
      <c r="X137" s="4"/>
      <c r="Y137" s="4"/>
      <c r="Z137" s="11"/>
      <c r="AA137" s="15"/>
      <c r="AB137" s="15"/>
      <c r="AC137" s="15"/>
      <c r="AD137" s="16"/>
      <c r="AE137" s="16"/>
      <c r="AF137" s="16"/>
      <c r="AG137" s="16"/>
      <c r="AH137" s="16"/>
      <c r="AI137" s="16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16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</row>
    <row r="138" spans="1:96" ht="12" customHeight="1" x14ac:dyDescent="0.25">
      <c r="A138" s="3"/>
      <c r="B138" s="14"/>
      <c r="C138" s="14"/>
      <c r="D138" s="14"/>
      <c r="E138" s="14"/>
      <c r="F138" s="26"/>
      <c r="G138" s="26"/>
      <c r="H138" s="26"/>
      <c r="I138" s="10"/>
      <c r="J138" s="10"/>
      <c r="K138" s="14"/>
      <c r="L138" s="11"/>
      <c r="M138" s="14"/>
      <c r="N138" s="14"/>
      <c r="O138" s="4"/>
      <c r="P138" s="3"/>
      <c r="Q138" s="4"/>
      <c r="R138" s="3"/>
      <c r="S138" s="3"/>
      <c r="T138" s="3"/>
      <c r="U138" s="4"/>
      <c r="V138" s="4"/>
      <c r="W138" s="4"/>
      <c r="X138" s="4"/>
      <c r="Y138" s="4"/>
      <c r="Z138" s="11"/>
      <c r="AA138" s="15"/>
      <c r="AB138" s="15"/>
      <c r="AC138" s="15"/>
      <c r="AD138" s="16"/>
      <c r="AE138" s="16"/>
      <c r="AF138" s="16"/>
      <c r="AG138" s="16"/>
      <c r="AH138" s="16"/>
      <c r="AI138" s="16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16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</row>
    <row r="139" spans="1:96" ht="12" customHeight="1" x14ac:dyDescent="0.25">
      <c r="A139" s="3"/>
      <c r="B139" s="14"/>
      <c r="C139" s="14"/>
      <c r="D139" s="14"/>
      <c r="E139" s="14"/>
      <c r="F139" s="26"/>
      <c r="G139" s="26"/>
      <c r="H139" s="26"/>
      <c r="I139" s="10"/>
      <c r="J139" s="10"/>
      <c r="K139" s="14"/>
      <c r="L139" s="11"/>
      <c r="M139" s="14"/>
      <c r="N139" s="14"/>
      <c r="O139" s="4"/>
      <c r="P139" s="3"/>
      <c r="Q139" s="4"/>
      <c r="R139" s="3"/>
      <c r="S139" s="3"/>
      <c r="T139" s="3"/>
      <c r="U139" s="4"/>
      <c r="V139" s="4"/>
      <c r="W139" s="4"/>
      <c r="X139" s="4"/>
      <c r="Y139" s="4"/>
      <c r="Z139" s="11"/>
      <c r="AA139" s="15"/>
      <c r="AB139" s="15"/>
      <c r="AC139" s="15"/>
      <c r="AD139" s="16"/>
      <c r="AE139" s="16"/>
      <c r="AF139" s="16"/>
      <c r="AG139" s="16"/>
      <c r="AH139" s="16"/>
      <c r="AI139" s="16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16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</row>
    <row r="140" spans="1:96" ht="12" customHeight="1" x14ac:dyDescent="0.25">
      <c r="A140" s="3"/>
      <c r="B140" s="14"/>
      <c r="C140" s="14"/>
      <c r="D140" s="14"/>
      <c r="E140" s="14"/>
      <c r="F140" s="26"/>
      <c r="G140" s="26"/>
      <c r="H140" s="26"/>
      <c r="I140" s="10"/>
      <c r="J140" s="10"/>
      <c r="K140" s="14"/>
      <c r="L140" s="11"/>
      <c r="M140" s="14"/>
      <c r="N140" s="14"/>
      <c r="O140" s="4"/>
      <c r="P140" s="3"/>
      <c r="Q140" s="4"/>
      <c r="R140" s="3"/>
      <c r="S140" s="3"/>
      <c r="T140" s="3"/>
      <c r="U140" s="4"/>
      <c r="V140" s="4"/>
      <c r="W140" s="4"/>
      <c r="X140" s="4"/>
      <c r="Y140" s="4"/>
      <c r="Z140" s="11"/>
      <c r="AA140" s="15"/>
      <c r="AB140" s="15"/>
      <c r="AC140" s="15"/>
      <c r="AD140" s="16"/>
      <c r="AE140" s="16"/>
      <c r="AF140" s="16"/>
      <c r="AG140" s="16"/>
      <c r="AH140" s="16"/>
      <c r="AI140" s="16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16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</row>
    <row r="141" spans="1:96" ht="12" customHeight="1" x14ac:dyDescent="0.25">
      <c r="A141" s="3"/>
      <c r="B141" s="14"/>
      <c r="C141" s="14"/>
      <c r="D141" s="14"/>
      <c r="E141" s="14"/>
      <c r="F141" s="26"/>
      <c r="G141" s="26"/>
      <c r="H141" s="26"/>
      <c r="I141" s="10"/>
      <c r="J141" s="10"/>
      <c r="K141" s="14"/>
      <c r="L141" s="11"/>
      <c r="M141" s="14"/>
      <c r="N141" s="14"/>
      <c r="O141" s="4"/>
      <c r="P141" s="3"/>
      <c r="Q141" s="4"/>
      <c r="R141" s="3"/>
      <c r="S141" s="3"/>
      <c r="T141" s="3"/>
      <c r="U141" s="4"/>
      <c r="V141" s="4"/>
      <c r="W141" s="4"/>
      <c r="X141" s="4"/>
      <c r="Y141" s="4"/>
      <c r="Z141" s="11"/>
      <c r="AA141" s="15"/>
      <c r="AB141" s="15"/>
      <c r="AC141" s="15"/>
      <c r="AD141" s="16"/>
      <c r="AE141" s="16"/>
      <c r="AF141" s="16"/>
      <c r="AG141" s="16"/>
      <c r="AH141" s="16"/>
      <c r="AI141" s="16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16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</row>
    <row r="142" spans="1:96" ht="12" customHeight="1" x14ac:dyDescent="0.25">
      <c r="A142" s="3"/>
      <c r="B142" s="14"/>
      <c r="C142" s="14"/>
      <c r="D142" s="14"/>
      <c r="E142" s="14"/>
      <c r="F142" s="26"/>
      <c r="G142" s="26"/>
      <c r="H142" s="26"/>
      <c r="I142" s="10"/>
      <c r="J142" s="10"/>
      <c r="K142" s="14"/>
      <c r="L142" s="11"/>
      <c r="M142" s="14"/>
      <c r="N142" s="14"/>
      <c r="O142" s="4"/>
      <c r="P142" s="3"/>
      <c r="Q142" s="4"/>
      <c r="R142" s="3"/>
      <c r="S142" s="3"/>
      <c r="T142" s="3"/>
      <c r="U142" s="4"/>
      <c r="V142" s="4"/>
      <c r="W142" s="4"/>
      <c r="X142" s="4"/>
      <c r="Y142" s="4"/>
      <c r="Z142" s="11"/>
      <c r="AA142" s="15"/>
      <c r="AB142" s="15"/>
      <c r="AC142" s="15"/>
      <c r="AD142" s="16"/>
      <c r="AE142" s="16"/>
      <c r="AF142" s="16"/>
      <c r="AG142" s="16"/>
      <c r="AH142" s="16"/>
      <c r="AI142" s="16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16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</row>
    <row r="143" spans="1:96" ht="12" customHeight="1" x14ac:dyDescent="0.25">
      <c r="A143" s="3"/>
      <c r="B143" s="14"/>
      <c r="C143" s="14"/>
      <c r="D143" s="14"/>
      <c r="E143" s="14"/>
      <c r="F143" s="26"/>
      <c r="G143" s="26"/>
      <c r="H143" s="26"/>
      <c r="I143" s="10"/>
      <c r="J143" s="10"/>
      <c r="K143" s="14"/>
      <c r="L143" s="11"/>
      <c r="M143" s="14"/>
      <c r="N143" s="14"/>
      <c r="O143" s="4"/>
      <c r="P143" s="3"/>
      <c r="Q143" s="4"/>
      <c r="R143" s="3"/>
      <c r="S143" s="3"/>
      <c r="T143" s="3"/>
      <c r="U143" s="4"/>
      <c r="V143" s="4"/>
      <c r="W143" s="4"/>
      <c r="X143" s="4"/>
      <c r="Y143" s="4"/>
      <c r="Z143" s="11"/>
      <c r="AA143" s="15"/>
      <c r="AB143" s="15"/>
      <c r="AC143" s="15"/>
      <c r="AD143" s="16"/>
      <c r="AE143" s="16"/>
      <c r="AF143" s="16"/>
      <c r="AG143" s="16"/>
      <c r="AH143" s="16"/>
      <c r="AI143" s="16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16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</row>
    <row r="144" spans="1:96" ht="12" customHeight="1" x14ac:dyDescent="0.25">
      <c r="A144" s="3"/>
      <c r="B144" s="14"/>
      <c r="C144" s="14"/>
      <c r="D144" s="14"/>
      <c r="E144" s="14"/>
      <c r="F144" s="26"/>
      <c r="G144" s="26"/>
      <c r="H144" s="26"/>
      <c r="I144" s="10"/>
      <c r="J144" s="10"/>
      <c r="K144" s="14"/>
      <c r="L144" s="11"/>
      <c r="M144" s="14"/>
      <c r="N144" s="14"/>
      <c r="O144" s="4"/>
      <c r="P144" s="3"/>
      <c r="Q144" s="4"/>
      <c r="R144" s="3"/>
      <c r="S144" s="3"/>
      <c r="T144" s="3"/>
      <c r="U144" s="4"/>
      <c r="V144" s="4"/>
      <c r="W144" s="4"/>
      <c r="X144" s="4"/>
      <c r="Y144" s="4"/>
      <c r="Z144" s="11"/>
      <c r="AA144" s="15"/>
      <c r="AB144" s="15"/>
      <c r="AC144" s="15"/>
      <c r="AD144" s="16"/>
      <c r="AE144" s="16"/>
      <c r="AF144" s="16"/>
      <c r="AG144" s="16"/>
      <c r="AH144" s="16"/>
      <c r="AI144" s="16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16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</row>
    <row r="145" spans="1:96" ht="12" customHeight="1" x14ac:dyDescent="0.25">
      <c r="A145" s="3"/>
      <c r="B145" s="14"/>
      <c r="C145" s="14"/>
      <c r="D145" s="14"/>
      <c r="E145" s="14"/>
      <c r="F145" s="26"/>
      <c r="G145" s="26"/>
      <c r="H145" s="26"/>
      <c r="I145" s="10"/>
      <c r="J145" s="10"/>
      <c r="K145" s="14"/>
      <c r="L145" s="11"/>
      <c r="M145" s="14"/>
      <c r="N145" s="14"/>
      <c r="O145" s="4"/>
      <c r="P145" s="3"/>
      <c r="Q145" s="4"/>
      <c r="R145" s="3"/>
      <c r="S145" s="3"/>
      <c r="T145" s="3"/>
      <c r="U145" s="4"/>
      <c r="V145" s="4"/>
      <c r="W145" s="4"/>
      <c r="X145" s="4"/>
      <c r="Y145" s="4"/>
      <c r="Z145" s="11"/>
      <c r="AA145" s="15"/>
      <c r="AB145" s="15"/>
      <c r="AC145" s="15"/>
      <c r="AD145" s="16"/>
      <c r="AE145" s="16"/>
      <c r="AF145" s="16"/>
      <c r="AG145" s="16"/>
      <c r="AH145" s="16"/>
      <c r="AI145" s="16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16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</row>
    <row r="146" spans="1:96" ht="12" customHeight="1" x14ac:dyDescent="0.25">
      <c r="A146" s="3"/>
      <c r="B146" s="14"/>
      <c r="C146" s="14"/>
      <c r="D146" s="14"/>
      <c r="E146" s="14"/>
      <c r="F146" s="26"/>
      <c r="G146" s="26"/>
      <c r="H146" s="26"/>
      <c r="I146" s="10"/>
      <c r="J146" s="10"/>
      <c r="K146" s="14"/>
      <c r="L146" s="11"/>
      <c r="M146" s="14"/>
      <c r="N146" s="14"/>
      <c r="O146" s="4"/>
      <c r="P146" s="3"/>
      <c r="Q146" s="4"/>
      <c r="R146" s="3"/>
      <c r="S146" s="3"/>
      <c r="T146" s="3"/>
      <c r="U146" s="4"/>
      <c r="V146" s="4"/>
      <c r="W146" s="4"/>
      <c r="X146" s="4"/>
      <c r="Y146" s="4"/>
      <c r="Z146" s="11"/>
      <c r="AA146" s="15"/>
      <c r="AB146" s="15"/>
      <c r="AC146" s="15"/>
      <c r="AD146" s="16"/>
      <c r="AE146" s="16"/>
      <c r="AF146" s="16"/>
      <c r="AG146" s="16"/>
      <c r="AH146" s="16"/>
      <c r="AI146" s="16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16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</row>
    <row r="147" spans="1:96" ht="12" customHeight="1" x14ac:dyDescent="0.25">
      <c r="A147" s="3"/>
      <c r="B147" s="14"/>
      <c r="C147" s="14"/>
      <c r="D147" s="14"/>
      <c r="E147" s="14"/>
      <c r="F147" s="26"/>
      <c r="G147" s="26"/>
      <c r="H147" s="26"/>
      <c r="I147" s="10"/>
      <c r="J147" s="10"/>
      <c r="K147" s="14"/>
      <c r="L147" s="11"/>
      <c r="M147" s="14"/>
      <c r="N147" s="14"/>
      <c r="O147" s="4"/>
      <c r="P147" s="3"/>
      <c r="Q147" s="4"/>
      <c r="R147" s="3"/>
      <c r="S147" s="3"/>
      <c r="T147" s="3"/>
      <c r="U147" s="4"/>
      <c r="V147" s="4"/>
      <c r="W147" s="4"/>
      <c r="X147" s="4"/>
      <c r="Y147" s="4"/>
      <c r="Z147" s="11"/>
      <c r="AA147" s="15"/>
      <c r="AB147" s="15"/>
      <c r="AC147" s="15"/>
      <c r="AD147" s="16"/>
      <c r="AE147" s="16"/>
      <c r="AF147" s="16"/>
      <c r="AG147" s="16"/>
      <c r="AH147" s="16"/>
      <c r="AI147" s="16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16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</row>
    <row r="148" spans="1:96" ht="12" customHeight="1" x14ac:dyDescent="0.25">
      <c r="A148" s="3"/>
      <c r="B148" s="14"/>
      <c r="C148" s="14"/>
      <c r="D148" s="14"/>
      <c r="E148" s="14"/>
      <c r="F148" s="26"/>
      <c r="G148" s="26"/>
      <c r="H148" s="26"/>
      <c r="I148" s="10"/>
      <c r="J148" s="10"/>
      <c r="K148" s="14"/>
      <c r="L148" s="11"/>
      <c r="M148" s="14"/>
      <c r="N148" s="14"/>
      <c r="O148" s="4"/>
      <c r="P148" s="3"/>
      <c r="Q148" s="4"/>
      <c r="R148" s="3"/>
      <c r="S148" s="3"/>
      <c r="T148" s="3"/>
      <c r="U148" s="4"/>
      <c r="V148" s="4"/>
      <c r="W148" s="4"/>
      <c r="X148" s="4"/>
      <c r="Y148" s="4"/>
      <c r="Z148" s="11"/>
      <c r="AA148" s="15"/>
      <c r="AB148" s="15"/>
      <c r="AC148" s="15"/>
      <c r="AD148" s="16"/>
      <c r="AE148" s="16"/>
      <c r="AF148" s="16"/>
      <c r="AG148" s="16"/>
      <c r="AH148" s="16"/>
      <c r="AI148" s="16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16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</row>
    <row r="149" spans="1:96" ht="12" customHeight="1" x14ac:dyDescent="0.25">
      <c r="A149" s="3"/>
      <c r="B149" s="14"/>
      <c r="C149" s="14"/>
      <c r="D149" s="14"/>
      <c r="E149" s="14"/>
      <c r="F149" s="26"/>
      <c r="G149" s="26"/>
      <c r="H149" s="26"/>
      <c r="I149" s="10"/>
      <c r="J149" s="10"/>
      <c r="K149" s="14"/>
      <c r="L149" s="11"/>
      <c r="M149" s="14"/>
      <c r="N149" s="14"/>
      <c r="O149" s="4"/>
      <c r="P149" s="3"/>
      <c r="Q149" s="4"/>
      <c r="R149" s="3"/>
      <c r="S149" s="3"/>
      <c r="T149" s="3"/>
      <c r="U149" s="4"/>
      <c r="V149" s="4"/>
      <c r="W149" s="4"/>
      <c r="X149" s="4"/>
      <c r="Y149" s="4"/>
      <c r="Z149" s="11"/>
      <c r="AA149" s="15"/>
      <c r="AB149" s="15"/>
      <c r="AC149" s="15"/>
      <c r="AD149" s="16"/>
      <c r="AE149" s="16"/>
      <c r="AF149" s="16"/>
      <c r="AG149" s="16"/>
      <c r="AH149" s="16"/>
      <c r="AI149" s="16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16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</row>
    <row r="150" spans="1:96" ht="12" customHeight="1" x14ac:dyDescent="0.25">
      <c r="A150" s="3"/>
      <c r="B150" s="14"/>
      <c r="C150" s="14"/>
      <c r="D150" s="14"/>
      <c r="E150" s="14"/>
      <c r="F150" s="26"/>
      <c r="G150" s="26"/>
      <c r="H150" s="26"/>
      <c r="I150" s="10"/>
      <c r="J150" s="10"/>
      <c r="K150" s="14"/>
      <c r="L150" s="11"/>
      <c r="M150" s="14"/>
      <c r="N150" s="14"/>
      <c r="O150" s="4"/>
      <c r="P150" s="3"/>
      <c r="Q150" s="4"/>
      <c r="R150" s="3"/>
      <c r="S150" s="3"/>
      <c r="T150" s="3"/>
      <c r="U150" s="4"/>
      <c r="V150" s="4"/>
      <c r="W150" s="4"/>
      <c r="X150" s="4"/>
      <c r="Y150" s="4"/>
      <c r="Z150" s="11"/>
      <c r="AA150" s="15"/>
      <c r="AB150" s="15"/>
      <c r="AC150" s="15"/>
      <c r="AD150" s="16"/>
      <c r="AE150" s="16"/>
      <c r="AF150" s="16"/>
      <c r="AG150" s="16"/>
      <c r="AH150" s="16"/>
      <c r="AI150" s="16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16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</row>
    <row r="151" spans="1:96" ht="12" customHeight="1" x14ac:dyDescent="0.25">
      <c r="A151" s="3"/>
      <c r="B151" s="14"/>
      <c r="C151" s="14"/>
      <c r="D151" s="14"/>
      <c r="E151" s="14"/>
      <c r="F151" s="26"/>
      <c r="G151" s="26"/>
      <c r="H151" s="26"/>
      <c r="I151" s="10"/>
      <c r="J151" s="10"/>
      <c r="K151" s="14"/>
      <c r="L151" s="11"/>
      <c r="M151" s="14"/>
      <c r="N151" s="14"/>
      <c r="O151" s="4"/>
      <c r="P151" s="3"/>
      <c r="Q151" s="4"/>
      <c r="R151" s="3"/>
      <c r="S151" s="3"/>
      <c r="T151" s="3"/>
      <c r="U151" s="4"/>
      <c r="V151" s="4"/>
      <c r="W151" s="4"/>
      <c r="X151" s="4"/>
      <c r="Y151" s="4"/>
      <c r="Z151" s="11"/>
      <c r="AA151" s="15"/>
      <c r="AB151" s="15"/>
      <c r="AC151" s="15"/>
      <c r="AD151" s="16"/>
      <c r="AE151" s="16"/>
      <c r="AF151" s="16"/>
      <c r="AG151" s="16"/>
      <c r="AH151" s="16"/>
      <c r="AI151" s="16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16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</row>
    <row r="152" spans="1:96" ht="12" customHeight="1" x14ac:dyDescent="0.25">
      <c r="A152" s="3"/>
      <c r="B152" s="14"/>
      <c r="C152" s="14"/>
      <c r="D152" s="14"/>
      <c r="E152" s="14"/>
      <c r="F152" s="26"/>
      <c r="G152" s="26"/>
      <c r="H152" s="26"/>
      <c r="I152" s="10"/>
      <c r="J152" s="10"/>
      <c r="K152" s="14"/>
      <c r="L152" s="11"/>
      <c r="M152" s="14"/>
      <c r="N152" s="14"/>
      <c r="O152" s="4"/>
      <c r="P152" s="3"/>
      <c r="Q152" s="4"/>
      <c r="R152" s="3"/>
      <c r="S152" s="3"/>
      <c r="T152" s="3"/>
      <c r="U152" s="4"/>
      <c r="V152" s="4"/>
      <c r="W152" s="4"/>
      <c r="X152" s="4"/>
      <c r="Y152" s="4"/>
      <c r="Z152" s="11"/>
      <c r="AA152" s="15"/>
      <c r="AB152" s="15"/>
      <c r="AC152" s="15"/>
      <c r="AD152" s="16"/>
      <c r="AE152" s="16"/>
      <c r="AF152" s="16"/>
      <c r="AG152" s="16"/>
      <c r="AH152" s="16"/>
      <c r="AI152" s="16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16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</row>
    <row r="153" spans="1:96" ht="12" customHeight="1" x14ac:dyDescent="0.25">
      <c r="A153" s="3"/>
      <c r="B153" s="14"/>
      <c r="C153" s="14"/>
      <c r="D153" s="14"/>
      <c r="E153" s="14"/>
      <c r="F153" s="26"/>
      <c r="G153" s="26"/>
      <c r="H153" s="26"/>
      <c r="I153" s="10"/>
      <c r="J153" s="10"/>
      <c r="K153" s="14"/>
      <c r="L153" s="11"/>
      <c r="M153" s="14"/>
      <c r="N153" s="14"/>
      <c r="O153" s="4"/>
      <c r="P153" s="3"/>
      <c r="Q153" s="4"/>
      <c r="R153" s="3"/>
      <c r="S153" s="3"/>
      <c r="T153" s="3"/>
      <c r="U153" s="4"/>
      <c r="V153" s="4"/>
      <c r="W153" s="4"/>
      <c r="X153" s="4"/>
      <c r="Y153" s="4"/>
      <c r="Z153" s="11"/>
      <c r="AA153" s="15"/>
      <c r="AB153" s="15"/>
      <c r="AC153" s="15"/>
      <c r="AD153" s="16"/>
      <c r="AE153" s="16"/>
      <c r="AF153" s="16"/>
      <c r="AG153" s="16"/>
      <c r="AH153" s="16"/>
      <c r="AI153" s="16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16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</row>
    <row r="154" spans="1:96" ht="12" customHeight="1" x14ac:dyDescent="0.25">
      <c r="A154" s="3"/>
      <c r="B154" s="14"/>
      <c r="C154" s="14"/>
      <c r="D154" s="14"/>
      <c r="E154" s="14"/>
      <c r="F154" s="26"/>
      <c r="G154" s="26"/>
      <c r="H154" s="26"/>
      <c r="I154" s="10"/>
      <c r="J154" s="10"/>
      <c r="K154" s="14"/>
      <c r="L154" s="11"/>
      <c r="M154" s="14"/>
      <c r="N154" s="14"/>
      <c r="O154" s="4"/>
      <c r="P154" s="3"/>
      <c r="Q154" s="4"/>
      <c r="R154" s="3"/>
      <c r="S154" s="3"/>
      <c r="T154" s="3"/>
      <c r="U154" s="4"/>
      <c r="V154" s="4"/>
      <c r="W154" s="4"/>
      <c r="X154" s="4"/>
      <c r="Y154" s="4"/>
      <c r="Z154" s="11"/>
      <c r="AA154" s="15"/>
      <c r="AB154" s="15"/>
      <c r="AC154" s="15"/>
      <c r="AD154" s="16"/>
      <c r="AE154" s="16"/>
      <c r="AF154" s="16"/>
      <c r="AG154" s="16"/>
      <c r="AH154" s="16"/>
      <c r="AI154" s="16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16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</row>
    <row r="155" spans="1:96" ht="12" customHeight="1" x14ac:dyDescent="0.25">
      <c r="A155" s="3"/>
      <c r="B155" s="14"/>
      <c r="C155" s="14"/>
      <c r="D155" s="14"/>
      <c r="E155" s="14"/>
      <c r="F155" s="26"/>
      <c r="G155" s="26"/>
      <c r="H155" s="26"/>
      <c r="I155" s="10"/>
      <c r="J155" s="10"/>
      <c r="K155" s="14"/>
      <c r="L155" s="11"/>
      <c r="M155" s="14"/>
      <c r="N155" s="14"/>
      <c r="O155" s="4"/>
      <c r="P155" s="3"/>
      <c r="Q155" s="4"/>
      <c r="R155" s="3"/>
      <c r="S155" s="3"/>
      <c r="T155" s="3"/>
      <c r="U155" s="4"/>
      <c r="V155" s="4"/>
      <c r="W155" s="4"/>
      <c r="X155" s="4"/>
      <c r="Y155" s="4"/>
      <c r="Z155" s="11"/>
      <c r="AA155" s="15"/>
      <c r="AB155" s="15"/>
      <c r="AC155" s="15"/>
      <c r="AD155" s="16"/>
      <c r="AE155" s="16"/>
      <c r="AF155" s="16"/>
      <c r="AG155" s="16"/>
      <c r="AH155" s="16"/>
      <c r="AI155" s="16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16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</row>
    <row r="156" spans="1:96" ht="12" customHeight="1" x14ac:dyDescent="0.25">
      <c r="A156" s="3"/>
      <c r="B156" s="14"/>
      <c r="C156" s="14"/>
      <c r="D156" s="14"/>
      <c r="E156" s="14"/>
      <c r="F156" s="26"/>
      <c r="G156" s="26"/>
      <c r="H156" s="26"/>
      <c r="I156" s="10"/>
      <c r="J156" s="10"/>
      <c r="K156" s="14"/>
      <c r="L156" s="11"/>
      <c r="M156" s="14"/>
      <c r="N156" s="14"/>
      <c r="O156" s="4"/>
      <c r="P156" s="3"/>
      <c r="Q156" s="4"/>
      <c r="R156" s="3"/>
      <c r="S156" s="3"/>
      <c r="T156" s="3"/>
      <c r="U156" s="4"/>
      <c r="V156" s="4"/>
      <c r="W156" s="4"/>
      <c r="X156" s="4"/>
      <c r="Y156" s="4"/>
      <c r="Z156" s="11"/>
      <c r="AA156" s="15"/>
      <c r="AB156" s="15"/>
      <c r="AC156" s="15"/>
      <c r="AD156" s="16"/>
      <c r="AE156" s="16"/>
      <c r="AF156" s="16"/>
      <c r="AG156" s="16"/>
      <c r="AH156" s="16"/>
      <c r="AI156" s="16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16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</row>
    <row r="157" spans="1:96" ht="12" customHeight="1" x14ac:dyDescent="0.25">
      <c r="A157" s="3"/>
      <c r="B157" s="14"/>
      <c r="C157" s="14"/>
      <c r="D157" s="14"/>
      <c r="E157" s="14"/>
      <c r="F157" s="26"/>
      <c r="G157" s="26"/>
      <c r="H157" s="26"/>
      <c r="I157" s="10"/>
      <c r="J157" s="10"/>
      <c r="K157" s="14"/>
      <c r="L157" s="11"/>
      <c r="M157" s="14"/>
      <c r="N157" s="14"/>
      <c r="O157" s="4"/>
      <c r="P157" s="3"/>
      <c r="Q157" s="4"/>
      <c r="R157" s="3"/>
      <c r="S157" s="3"/>
      <c r="T157" s="3"/>
      <c r="U157" s="4"/>
      <c r="V157" s="4"/>
      <c r="W157" s="4"/>
      <c r="X157" s="4"/>
      <c r="Y157" s="4"/>
      <c r="Z157" s="11"/>
      <c r="AA157" s="15"/>
      <c r="AB157" s="15"/>
      <c r="AC157" s="15"/>
      <c r="AD157" s="16"/>
      <c r="AE157" s="16"/>
      <c r="AF157" s="16"/>
      <c r="AG157" s="16"/>
      <c r="AH157" s="16"/>
      <c r="AI157" s="16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16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</row>
    <row r="158" spans="1:96" ht="12" customHeight="1" x14ac:dyDescent="0.25">
      <c r="A158" s="3"/>
      <c r="B158" s="14"/>
      <c r="C158" s="14"/>
      <c r="D158" s="14"/>
      <c r="E158" s="14"/>
      <c r="F158" s="26"/>
      <c r="G158" s="26"/>
      <c r="H158" s="26"/>
      <c r="I158" s="10"/>
      <c r="J158" s="10"/>
      <c r="K158" s="14"/>
      <c r="L158" s="11"/>
      <c r="M158" s="14"/>
      <c r="N158" s="14"/>
      <c r="O158" s="4"/>
      <c r="P158" s="3"/>
      <c r="Q158" s="4"/>
      <c r="R158" s="3"/>
      <c r="S158" s="3"/>
      <c r="T158" s="3"/>
      <c r="U158" s="4"/>
      <c r="V158" s="4"/>
      <c r="W158" s="4"/>
      <c r="X158" s="4"/>
      <c r="Y158" s="4"/>
      <c r="Z158" s="11"/>
      <c r="AA158" s="15"/>
      <c r="AB158" s="15"/>
      <c r="AC158" s="15"/>
      <c r="AD158" s="16"/>
      <c r="AE158" s="16"/>
      <c r="AF158" s="16"/>
      <c r="AG158" s="16"/>
      <c r="AH158" s="16"/>
      <c r="AI158" s="16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16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</row>
    <row r="159" spans="1:96" ht="12" customHeight="1" x14ac:dyDescent="0.25">
      <c r="A159" s="3"/>
      <c r="B159" s="14"/>
      <c r="C159" s="14"/>
      <c r="D159" s="14"/>
      <c r="E159" s="14"/>
      <c r="F159" s="26"/>
      <c r="G159" s="26"/>
      <c r="H159" s="26"/>
      <c r="I159" s="10"/>
      <c r="J159" s="10"/>
      <c r="K159" s="14"/>
      <c r="L159" s="11"/>
      <c r="M159" s="14"/>
      <c r="N159" s="14"/>
      <c r="O159" s="4"/>
      <c r="P159" s="3"/>
      <c r="Q159" s="4"/>
      <c r="R159" s="3"/>
      <c r="S159" s="3"/>
      <c r="T159" s="3"/>
      <c r="U159" s="4"/>
      <c r="V159" s="4"/>
      <c r="W159" s="4"/>
      <c r="X159" s="4"/>
      <c r="Y159" s="4"/>
      <c r="Z159" s="11"/>
      <c r="AA159" s="15"/>
      <c r="AB159" s="15"/>
      <c r="AC159" s="15"/>
      <c r="AD159" s="16"/>
      <c r="AE159" s="16"/>
      <c r="AF159" s="16"/>
      <c r="AG159" s="16"/>
      <c r="AH159" s="16"/>
      <c r="AI159" s="16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16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</row>
    <row r="160" spans="1:96" ht="12" customHeight="1" x14ac:dyDescent="0.25">
      <c r="A160" s="3"/>
      <c r="B160" s="14"/>
      <c r="C160" s="14"/>
      <c r="D160" s="14"/>
      <c r="E160" s="14"/>
      <c r="F160" s="26"/>
      <c r="G160" s="26"/>
      <c r="H160" s="26"/>
      <c r="I160" s="10"/>
      <c r="J160" s="10"/>
      <c r="K160" s="14"/>
      <c r="L160" s="11"/>
      <c r="M160" s="14"/>
      <c r="N160" s="14"/>
      <c r="O160" s="4"/>
      <c r="P160" s="3"/>
      <c r="Q160" s="4"/>
      <c r="R160" s="3"/>
      <c r="S160" s="3"/>
      <c r="T160" s="3"/>
      <c r="U160" s="4"/>
      <c r="V160" s="4"/>
      <c r="W160" s="4"/>
      <c r="X160" s="4"/>
      <c r="Y160" s="4"/>
      <c r="Z160" s="11"/>
      <c r="AA160" s="15"/>
      <c r="AB160" s="15"/>
      <c r="AC160" s="15"/>
      <c r="AD160" s="16"/>
      <c r="AE160" s="16"/>
      <c r="AF160" s="16"/>
      <c r="AG160" s="16"/>
      <c r="AH160" s="16"/>
      <c r="AI160" s="16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16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</row>
    <row r="161" spans="1:96" ht="12" customHeight="1" x14ac:dyDescent="0.25">
      <c r="A161" s="3"/>
      <c r="B161" s="14"/>
      <c r="C161" s="14"/>
      <c r="D161" s="14"/>
      <c r="E161" s="14"/>
      <c r="F161" s="26"/>
      <c r="G161" s="26"/>
      <c r="H161" s="26"/>
      <c r="I161" s="10"/>
      <c r="J161" s="10"/>
      <c r="K161" s="14"/>
      <c r="L161" s="11"/>
      <c r="M161" s="14"/>
      <c r="N161" s="14"/>
      <c r="O161" s="4"/>
      <c r="P161" s="3"/>
      <c r="Q161" s="4"/>
      <c r="R161" s="3"/>
      <c r="S161" s="3"/>
      <c r="T161" s="3"/>
      <c r="U161" s="4"/>
      <c r="V161" s="4"/>
      <c r="W161" s="4"/>
      <c r="X161" s="4"/>
      <c r="Y161" s="4"/>
      <c r="Z161" s="11"/>
      <c r="AA161" s="15"/>
      <c r="AB161" s="15"/>
      <c r="AC161" s="15"/>
      <c r="AD161" s="16"/>
      <c r="AE161" s="16"/>
      <c r="AF161" s="16"/>
      <c r="AG161" s="16"/>
      <c r="AH161" s="16"/>
      <c r="AI161" s="16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16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</row>
    <row r="162" spans="1:96" ht="12" customHeight="1" x14ac:dyDescent="0.25">
      <c r="A162" s="3"/>
      <c r="B162" s="14"/>
      <c r="C162" s="14"/>
      <c r="D162" s="14"/>
      <c r="E162" s="14"/>
      <c r="F162" s="26"/>
      <c r="G162" s="26"/>
      <c r="H162" s="26"/>
      <c r="I162" s="10"/>
      <c r="J162" s="10"/>
      <c r="K162" s="14"/>
      <c r="L162" s="11"/>
      <c r="M162" s="14"/>
      <c r="N162" s="14"/>
      <c r="O162" s="4"/>
      <c r="P162" s="3"/>
      <c r="Q162" s="4"/>
      <c r="R162" s="3"/>
      <c r="S162" s="3"/>
      <c r="T162" s="3"/>
      <c r="U162" s="4"/>
      <c r="V162" s="4"/>
      <c r="W162" s="4"/>
      <c r="X162" s="4"/>
      <c r="Y162" s="4"/>
      <c r="Z162" s="11"/>
      <c r="AA162" s="15"/>
      <c r="AB162" s="15"/>
      <c r="AC162" s="15"/>
      <c r="AD162" s="16"/>
      <c r="AE162" s="16"/>
      <c r="AF162" s="16"/>
      <c r="AG162" s="16"/>
      <c r="AH162" s="16"/>
      <c r="AI162" s="16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16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</row>
    <row r="163" spans="1:96" ht="12" customHeight="1" x14ac:dyDescent="0.25">
      <c r="A163" s="3"/>
      <c r="B163" s="14"/>
      <c r="C163" s="14"/>
      <c r="D163" s="14"/>
      <c r="E163" s="14"/>
      <c r="F163" s="26"/>
      <c r="G163" s="26"/>
      <c r="H163" s="26"/>
      <c r="I163" s="10"/>
      <c r="J163" s="10"/>
      <c r="K163" s="14"/>
      <c r="L163" s="11"/>
      <c r="M163" s="14"/>
      <c r="N163" s="14"/>
      <c r="O163" s="4"/>
      <c r="P163" s="3"/>
      <c r="Q163" s="4"/>
      <c r="R163" s="3"/>
      <c r="S163" s="3"/>
      <c r="T163" s="3"/>
      <c r="U163" s="4"/>
      <c r="V163" s="4"/>
      <c r="W163" s="4"/>
      <c r="X163" s="4"/>
      <c r="Y163" s="4"/>
      <c r="Z163" s="11"/>
      <c r="AA163" s="15"/>
      <c r="AB163" s="15"/>
      <c r="AC163" s="15"/>
      <c r="AD163" s="16"/>
      <c r="AE163" s="16"/>
      <c r="AF163" s="16"/>
      <c r="AG163" s="16"/>
      <c r="AH163" s="16"/>
      <c r="AI163" s="16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16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</row>
    <row r="164" spans="1:96" ht="12" customHeight="1" x14ac:dyDescent="0.25">
      <c r="A164" s="3"/>
      <c r="B164" s="14"/>
      <c r="C164" s="14"/>
      <c r="D164" s="14"/>
      <c r="E164" s="14"/>
      <c r="F164" s="9"/>
      <c r="G164" s="9"/>
      <c r="H164" s="9"/>
      <c r="I164" s="10"/>
      <c r="J164" s="10"/>
      <c r="K164" s="14"/>
      <c r="L164" s="11"/>
      <c r="M164" s="14"/>
      <c r="N164" s="14"/>
      <c r="O164" s="4"/>
      <c r="P164" s="3"/>
      <c r="Q164" s="4"/>
      <c r="R164" s="3"/>
      <c r="S164" s="3"/>
      <c r="T164" s="3"/>
      <c r="U164" s="4"/>
      <c r="V164" s="4"/>
      <c r="W164" s="4"/>
      <c r="X164" s="4"/>
      <c r="Y164" s="4"/>
      <c r="Z164" s="11"/>
      <c r="AA164" s="15"/>
      <c r="AB164" s="15"/>
      <c r="AC164" s="15"/>
      <c r="AD164" s="16"/>
      <c r="AE164" s="16"/>
      <c r="AF164" s="16"/>
      <c r="AG164" s="16"/>
      <c r="AH164" s="16"/>
      <c r="AI164" s="16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16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</row>
    <row r="165" spans="1:96" ht="12" customHeight="1" x14ac:dyDescent="0.25">
      <c r="A165" s="3"/>
      <c r="B165" s="14"/>
      <c r="C165" s="14"/>
      <c r="D165" s="14"/>
      <c r="E165" s="14"/>
      <c r="F165" s="9"/>
      <c r="G165" s="9"/>
      <c r="H165" s="9"/>
      <c r="I165" s="10"/>
      <c r="J165" s="10"/>
      <c r="K165" s="14"/>
      <c r="L165" s="11"/>
      <c r="M165" s="14"/>
      <c r="N165" s="14"/>
      <c r="O165" s="4"/>
      <c r="P165" s="3"/>
      <c r="Q165" s="4"/>
      <c r="R165" s="3"/>
      <c r="S165" s="3"/>
      <c r="T165" s="3"/>
      <c r="U165" s="4"/>
      <c r="V165" s="4"/>
      <c r="W165" s="4"/>
      <c r="X165" s="4"/>
      <c r="Y165" s="4"/>
      <c r="Z165" s="11"/>
      <c r="AA165" s="15"/>
      <c r="AB165" s="15"/>
      <c r="AC165" s="15"/>
      <c r="AD165" s="16"/>
      <c r="AE165" s="16"/>
      <c r="AF165" s="16"/>
      <c r="AG165" s="16"/>
      <c r="AH165" s="16"/>
      <c r="AI165" s="16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16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</row>
    <row r="166" spans="1:96" ht="12" customHeight="1" x14ac:dyDescent="0.25">
      <c r="A166" s="3"/>
      <c r="B166" s="14"/>
      <c r="C166" s="14"/>
      <c r="D166" s="14"/>
      <c r="E166" s="14"/>
      <c r="F166" s="9"/>
      <c r="G166" s="9"/>
      <c r="H166" s="9"/>
      <c r="I166" s="10"/>
      <c r="J166" s="10"/>
      <c r="K166" s="14"/>
      <c r="L166" s="11"/>
      <c r="M166" s="14"/>
      <c r="N166" s="14"/>
      <c r="O166" s="4"/>
      <c r="P166" s="3"/>
      <c r="Q166" s="4"/>
      <c r="R166" s="3"/>
      <c r="S166" s="3"/>
      <c r="T166" s="3"/>
      <c r="U166" s="4"/>
      <c r="V166" s="4"/>
      <c r="W166" s="4"/>
      <c r="X166" s="4"/>
      <c r="Y166" s="4"/>
      <c r="Z166" s="11"/>
      <c r="AA166" s="15"/>
      <c r="AB166" s="15"/>
      <c r="AC166" s="15"/>
      <c r="AD166" s="16"/>
      <c r="AE166" s="16"/>
      <c r="AF166" s="16"/>
      <c r="AG166" s="16"/>
      <c r="AH166" s="16"/>
      <c r="AI166" s="16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16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</row>
    <row r="167" spans="1:96" ht="12" customHeight="1" x14ac:dyDescent="0.25">
      <c r="A167" s="3"/>
      <c r="B167" s="14"/>
      <c r="C167" s="14"/>
      <c r="D167" s="14"/>
      <c r="E167" s="14"/>
      <c r="F167" s="9"/>
      <c r="G167" s="9"/>
      <c r="H167" s="9"/>
      <c r="I167" s="10"/>
      <c r="J167" s="10"/>
      <c r="K167" s="14"/>
      <c r="L167" s="11"/>
      <c r="M167" s="14"/>
      <c r="N167" s="14"/>
      <c r="O167" s="4"/>
      <c r="P167" s="3"/>
      <c r="Q167" s="4"/>
      <c r="R167" s="3"/>
      <c r="S167" s="3"/>
      <c r="T167" s="3"/>
      <c r="U167" s="4"/>
      <c r="V167" s="4"/>
      <c r="W167" s="4"/>
      <c r="X167" s="4"/>
      <c r="Y167" s="4"/>
      <c r="Z167" s="11"/>
      <c r="AA167" s="15"/>
      <c r="AB167" s="15"/>
      <c r="AC167" s="15"/>
      <c r="AD167" s="16"/>
      <c r="AE167" s="16"/>
      <c r="AF167" s="16"/>
      <c r="AG167" s="16"/>
      <c r="AH167" s="16"/>
      <c r="AI167" s="16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16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</row>
    <row r="168" spans="1:96" ht="12" customHeight="1" x14ac:dyDescent="0.25">
      <c r="A168" s="3"/>
      <c r="B168" s="14"/>
      <c r="C168" s="14"/>
      <c r="D168" s="14"/>
      <c r="E168" s="14"/>
      <c r="F168" s="9"/>
      <c r="G168" s="9"/>
      <c r="H168" s="9"/>
      <c r="I168" s="10"/>
      <c r="J168" s="10"/>
      <c r="K168" s="14"/>
      <c r="L168" s="11"/>
      <c r="M168" s="14"/>
      <c r="N168" s="14"/>
      <c r="O168" s="4"/>
      <c r="P168" s="3"/>
      <c r="Q168" s="4"/>
      <c r="R168" s="3"/>
      <c r="S168" s="3"/>
      <c r="T168" s="3"/>
      <c r="U168" s="4"/>
      <c r="V168" s="4"/>
      <c r="W168" s="4"/>
      <c r="X168" s="4"/>
      <c r="Y168" s="4"/>
      <c r="Z168" s="11"/>
      <c r="AA168" s="15"/>
      <c r="AB168" s="15"/>
      <c r="AC168" s="15"/>
      <c r="AD168" s="16"/>
      <c r="AE168" s="16"/>
      <c r="AF168" s="16"/>
      <c r="AG168" s="16"/>
      <c r="AH168" s="16"/>
      <c r="AI168" s="16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16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</row>
    <row r="169" spans="1:96" ht="12" customHeight="1" x14ac:dyDescent="0.25">
      <c r="A169" s="3"/>
      <c r="B169" s="14"/>
      <c r="C169" s="14"/>
      <c r="D169" s="14"/>
      <c r="E169" s="14"/>
      <c r="F169" s="9"/>
      <c r="G169" s="9"/>
      <c r="H169" s="9"/>
      <c r="I169" s="10"/>
      <c r="J169" s="10"/>
      <c r="K169" s="14"/>
      <c r="L169" s="11"/>
      <c r="M169" s="14"/>
      <c r="N169" s="14"/>
      <c r="O169" s="4"/>
      <c r="P169" s="3"/>
      <c r="Q169" s="4"/>
      <c r="R169" s="3"/>
      <c r="S169" s="3"/>
      <c r="T169" s="3"/>
      <c r="U169" s="4"/>
      <c r="V169" s="4"/>
      <c r="W169" s="4"/>
      <c r="X169" s="4"/>
      <c r="Y169" s="4"/>
      <c r="Z169" s="11"/>
      <c r="AA169" s="15"/>
      <c r="AB169" s="15"/>
      <c r="AC169" s="15"/>
      <c r="AD169" s="16"/>
      <c r="AE169" s="16"/>
      <c r="AF169" s="16"/>
      <c r="AG169" s="16"/>
      <c r="AH169" s="16"/>
      <c r="AI169" s="16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16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</row>
    <row r="170" spans="1:96" ht="12" customHeight="1" x14ac:dyDescent="0.25">
      <c r="A170" s="3"/>
      <c r="B170" s="14"/>
      <c r="C170" s="14"/>
      <c r="D170" s="14"/>
      <c r="E170" s="14"/>
      <c r="F170" s="9"/>
      <c r="G170" s="9"/>
      <c r="H170" s="9"/>
      <c r="I170" s="10"/>
      <c r="J170" s="10"/>
      <c r="K170" s="14"/>
      <c r="L170" s="11"/>
      <c r="M170" s="14"/>
      <c r="N170" s="14"/>
      <c r="O170" s="4"/>
      <c r="P170" s="3"/>
      <c r="Q170" s="4"/>
      <c r="R170" s="3"/>
      <c r="S170" s="3"/>
      <c r="T170" s="3"/>
      <c r="U170" s="4"/>
      <c r="V170" s="4"/>
      <c r="W170" s="4"/>
      <c r="X170" s="4"/>
      <c r="Y170" s="4"/>
      <c r="Z170" s="11"/>
      <c r="AA170" s="15"/>
      <c r="AB170" s="15"/>
      <c r="AC170" s="15"/>
      <c r="AD170" s="16"/>
      <c r="AE170" s="16"/>
      <c r="AF170" s="16"/>
      <c r="AG170" s="16"/>
      <c r="AH170" s="16"/>
      <c r="AI170" s="16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16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</row>
    <row r="171" spans="1:96" ht="12" customHeight="1" x14ac:dyDescent="0.25">
      <c r="A171" s="3"/>
      <c r="B171" s="14"/>
      <c r="C171" s="14"/>
      <c r="D171" s="14"/>
      <c r="E171" s="14"/>
      <c r="F171" s="9"/>
      <c r="G171" s="9"/>
      <c r="H171" s="9"/>
      <c r="I171" s="10"/>
      <c r="J171" s="10"/>
      <c r="K171" s="14"/>
      <c r="L171" s="11"/>
      <c r="M171" s="14"/>
      <c r="N171" s="14"/>
      <c r="O171" s="4"/>
      <c r="P171" s="3"/>
      <c r="Q171" s="4"/>
      <c r="R171" s="3"/>
      <c r="S171" s="3"/>
      <c r="T171" s="3"/>
      <c r="U171" s="4"/>
      <c r="V171" s="4"/>
      <c r="W171" s="4"/>
      <c r="X171" s="4"/>
      <c r="Y171" s="4"/>
      <c r="Z171" s="11"/>
      <c r="AA171" s="15"/>
      <c r="AB171" s="15"/>
      <c r="AC171" s="15"/>
      <c r="AD171" s="16"/>
      <c r="AE171" s="16"/>
      <c r="AF171" s="16"/>
      <c r="AG171" s="16"/>
      <c r="AH171" s="16"/>
      <c r="AI171" s="16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16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</row>
    <row r="172" spans="1:96" ht="12" customHeight="1" x14ac:dyDescent="0.25">
      <c r="A172" s="3"/>
      <c r="B172" s="14"/>
      <c r="C172" s="14"/>
      <c r="D172" s="14"/>
      <c r="E172" s="14"/>
      <c r="F172" s="9"/>
      <c r="G172" s="9"/>
      <c r="H172" s="9"/>
      <c r="I172" s="10"/>
      <c r="J172" s="10"/>
      <c r="K172" s="14"/>
      <c r="L172" s="11"/>
      <c r="M172" s="14"/>
      <c r="N172" s="14"/>
      <c r="O172" s="4"/>
      <c r="P172" s="3"/>
      <c r="Q172" s="4"/>
      <c r="R172" s="3"/>
      <c r="S172" s="3"/>
      <c r="T172" s="3"/>
      <c r="U172" s="4"/>
      <c r="V172" s="4"/>
      <c r="W172" s="4"/>
      <c r="X172" s="4"/>
      <c r="Y172" s="4"/>
      <c r="Z172" s="11"/>
      <c r="AA172" s="15"/>
      <c r="AB172" s="15"/>
      <c r="AC172" s="15"/>
      <c r="AD172" s="16"/>
      <c r="AE172" s="16"/>
      <c r="AF172" s="16"/>
      <c r="AG172" s="16"/>
      <c r="AH172" s="16"/>
      <c r="AI172" s="16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16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</row>
    <row r="173" spans="1:96" ht="12" customHeight="1" x14ac:dyDescent="0.25">
      <c r="A173" s="3"/>
      <c r="B173" s="14"/>
      <c r="C173" s="14"/>
      <c r="D173" s="14"/>
      <c r="E173" s="14"/>
      <c r="F173" s="9"/>
      <c r="G173" s="9"/>
      <c r="H173" s="9"/>
      <c r="I173" s="10"/>
      <c r="J173" s="10"/>
      <c r="K173" s="14"/>
      <c r="L173" s="11"/>
      <c r="M173" s="14"/>
      <c r="N173" s="14"/>
      <c r="O173" s="4"/>
      <c r="P173" s="3"/>
      <c r="Q173" s="4"/>
      <c r="R173" s="3"/>
      <c r="S173" s="3"/>
      <c r="T173" s="3"/>
      <c r="U173" s="4"/>
      <c r="V173" s="4"/>
      <c r="W173" s="4"/>
      <c r="X173" s="4"/>
      <c r="Y173" s="4"/>
      <c r="Z173" s="11"/>
      <c r="AA173" s="15"/>
      <c r="AB173" s="15"/>
      <c r="AC173" s="15"/>
      <c r="AD173" s="16"/>
      <c r="AE173" s="16"/>
      <c r="AF173" s="16"/>
      <c r="AG173" s="16"/>
      <c r="AH173" s="16"/>
      <c r="AI173" s="16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16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</row>
    <row r="174" spans="1:96" ht="12" customHeight="1" x14ac:dyDescent="0.25">
      <c r="A174" s="3"/>
      <c r="B174" s="14"/>
      <c r="C174" s="14"/>
      <c r="D174" s="14"/>
      <c r="E174" s="14"/>
      <c r="F174" s="9"/>
      <c r="G174" s="9"/>
      <c r="H174" s="9"/>
      <c r="I174" s="10"/>
      <c r="J174" s="10"/>
      <c r="K174" s="14"/>
      <c r="L174" s="11"/>
      <c r="M174" s="14"/>
      <c r="N174" s="14"/>
      <c r="O174" s="4"/>
      <c r="P174" s="3"/>
      <c r="Q174" s="4"/>
      <c r="R174" s="3"/>
      <c r="S174" s="3"/>
      <c r="T174" s="3"/>
      <c r="U174" s="4"/>
      <c r="V174" s="4"/>
      <c r="W174" s="4"/>
      <c r="X174" s="4"/>
      <c r="Y174" s="4"/>
      <c r="Z174" s="11"/>
      <c r="AA174" s="15"/>
      <c r="AB174" s="15"/>
      <c r="AC174" s="15"/>
      <c r="AD174" s="16"/>
      <c r="AE174" s="16"/>
      <c r="AF174" s="16"/>
      <c r="AG174" s="16"/>
      <c r="AH174" s="16"/>
      <c r="AI174" s="16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16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</row>
    <row r="175" spans="1:96" ht="12" customHeight="1" x14ac:dyDescent="0.25">
      <c r="A175" s="3"/>
      <c r="B175" s="14"/>
      <c r="C175" s="14"/>
      <c r="D175" s="14"/>
      <c r="E175" s="14"/>
      <c r="F175" s="9"/>
      <c r="G175" s="9"/>
      <c r="H175" s="9"/>
      <c r="I175" s="10"/>
      <c r="J175" s="10"/>
      <c r="K175" s="14"/>
      <c r="L175" s="11"/>
      <c r="M175" s="14"/>
      <c r="N175" s="14"/>
      <c r="O175" s="4"/>
      <c r="P175" s="3"/>
      <c r="Q175" s="4"/>
      <c r="R175" s="3"/>
      <c r="S175" s="3"/>
      <c r="T175" s="3"/>
      <c r="U175" s="4"/>
      <c r="V175" s="4"/>
      <c r="W175" s="4"/>
      <c r="X175" s="4"/>
      <c r="Y175" s="4"/>
      <c r="Z175" s="11"/>
      <c r="AA175" s="15"/>
      <c r="AB175" s="15"/>
      <c r="AC175" s="15"/>
      <c r="AD175" s="16"/>
      <c r="AE175" s="16"/>
      <c r="AF175" s="16"/>
      <c r="AG175" s="16"/>
      <c r="AH175" s="16"/>
      <c r="AI175" s="16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16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</row>
    <row r="176" spans="1:96" ht="12" customHeight="1" x14ac:dyDescent="0.25">
      <c r="A176" s="3"/>
      <c r="B176" s="14"/>
      <c r="C176" s="14"/>
      <c r="D176" s="14"/>
      <c r="E176" s="14"/>
      <c r="F176" s="9"/>
      <c r="G176" s="9"/>
      <c r="H176" s="9"/>
      <c r="I176" s="10"/>
      <c r="J176" s="10"/>
      <c r="K176" s="14"/>
      <c r="L176" s="11"/>
      <c r="M176" s="14"/>
      <c r="N176" s="14"/>
      <c r="O176" s="4"/>
      <c r="P176" s="3"/>
      <c r="Q176" s="4"/>
      <c r="R176" s="3"/>
      <c r="S176" s="3"/>
      <c r="T176" s="3"/>
      <c r="U176" s="4"/>
      <c r="V176" s="4"/>
      <c r="W176" s="4"/>
      <c r="X176" s="4"/>
      <c r="Y176" s="4"/>
      <c r="Z176" s="11"/>
      <c r="AA176" s="15"/>
      <c r="AB176" s="15"/>
      <c r="AC176" s="15"/>
      <c r="AD176" s="16"/>
      <c r="AE176" s="16"/>
      <c r="AF176" s="16"/>
      <c r="AG176" s="16"/>
      <c r="AH176" s="16"/>
      <c r="AI176" s="16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16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</row>
    <row r="177" spans="1:96" ht="12" customHeight="1" x14ac:dyDescent="0.25">
      <c r="A177" s="3"/>
      <c r="B177" s="14"/>
      <c r="C177" s="14"/>
      <c r="D177" s="14"/>
      <c r="E177" s="14"/>
      <c r="F177" s="9"/>
      <c r="G177" s="9"/>
      <c r="H177" s="9"/>
      <c r="I177" s="10"/>
      <c r="J177" s="10"/>
      <c r="K177" s="14"/>
      <c r="L177" s="11"/>
      <c r="M177" s="14"/>
      <c r="N177" s="14"/>
      <c r="O177" s="4"/>
      <c r="P177" s="3"/>
      <c r="Q177" s="4"/>
      <c r="R177" s="3"/>
      <c r="S177" s="3"/>
      <c r="T177" s="3"/>
      <c r="U177" s="4"/>
      <c r="V177" s="4"/>
      <c r="W177" s="4"/>
      <c r="X177" s="4"/>
      <c r="Y177" s="4"/>
      <c r="Z177" s="11"/>
      <c r="AA177" s="15"/>
      <c r="AB177" s="15"/>
      <c r="AC177" s="15"/>
      <c r="AD177" s="16"/>
      <c r="AE177" s="16"/>
      <c r="AF177" s="16"/>
      <c r="AG177" s="16"/>
      <c r="AH177" s="16"/>
      <c r="AI177" s="16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16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</row>
    <row r="178" spans="1:96" ht="12" customHeight="1" x14ac:dyDescent="0.25">
      <c r="A178" s="3"/>
      <c r="B178" s="14"/>
      <c r="C178" s="14"/>
      <c r="D178" s="14"/>
      <c r="E178" s="14"/>
      <c r="F178" s="9"/>
      <c r="G178" s="9"/>
      <c r="H178" s="9"/>
      <c r="I178" s="10"/>
      <c r="J178" s="10"/>
      <c r="K178" s="14"/>
      <c r="L178" s="11"/>
      <c r="M178" s="14"/>
      <c r="N178" s="14"/>
      <c r="O178" s="4"/>
      <c r="P178" s="3"/>
      <c r="Q178" s="4"/>
      <c r="R178" s="3"/>
      <c r="S178" s="3"/>
      <c r="T178" s="3"/>
      <c r="U178" s="4"/>
      <c r="V178" s="4"/>
      <c r="W178" s="4"/>
      <c r="X178" s="4"/>
      <c r="Y178" s="4"/>
      <c r="Z178" s="11"/>
      <c r="AA178" s="15"/>
      <c r="AB178" s="15"/>
      <c r="AC178" s="15"/>
      <c r="AD178" s="16"/>
      <c r="AE178" s="16"/>
      <c r="AF178" s="16"/>
      <c r="AG178" s="16"/>
      <c r="AH178" s="16"/>
      <c r="AI178" s="16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16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</row>
    <row r="179" spans="1:96" ht="12" customHeight="1" x14ac:dyDescent="0.25">
      <c r="A179" s="3"/>
      <c r="B179" s="14"/>
      <c r="C179" s="14"/>
      <c r="D179" s="14"/>
      <c r="E179" s="14"/>
      <c r="F179" s="9"/>
      <c r="G179" s="9"/>
      <c r="H179" s="9"/>
      <c r="I179" s="10"/>
      <c r="J179" s="10"/>
      <c r="K179" s="14"/>
      <c r="L179" s="11"/>
      <c r="M179" s="14"/>
      <c r="N179" s="14"/>
      <c r="O179" s="4"/>
      <c r="P179" s="3"/>
      <c r="Q179" s="4"/>
      <c r="R179" s="3"/>
      <c r="S179" s="3"/>
      <c r="T179" s="3"/>
      <c r="U179" s="4"/>
      <c r="V179" s="4"/>
      <c r="W179" s="4"/>
      <c r="X179" s="4"/>
      <c r="Y179" s="4"/>
      <c r="Z179" s="11"/>
      <c r="AA179" s="15"/>
      <c r="AB179" s="15"/>
      <c r="AC179" s="15"/>
      <c r="AD179" s="16"/>
      <c r="AE179" s="16"/>
      <c r="AF179" s="16"/>
      <c r="AG179" s="16"/>
      <c r="AH179" s="16"/>
      <c r="AI179" s="16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16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</row>
    <row r="180" spans="1:96" ht="12" customHeight="1" x14ac:dyDescent="0.25">
      <c r="A180" s="3"/>
      <c r="B180" s="14"/>
      <c r="C180" s="14"/>
      <c r="D180" s="14"/>
      <c r="E180" s="14"/>
      <c r="F180" s="9"/>
      <c r="G180" s="9"/>
      <c r="H180" s="9"/>
      <c r="I180" s="10"/>
      <c r="J180" s="10"/>
      <c r="K180" s="14"/>
      <c r="L180" s="11"/>
      <c r="M180" s="14"/>
      <c r="N180" s="14"/>
      <c r="O180" s="4"/>
      <c r="P180" s="3"/>
      <c r="Q180" s="4"/>
      <c r="R180" s="3"/>
      <c r="S180" s="3"/>
      <c r="T180" s="3"/>
      <c r="U180" s="4"/>
      <c r="V180" s="4"/>
      <c r="W180" s="4"/>
      <c r="X180" s="4"/>
      <c r="Y180" s="4"/>
      <c r="Z180" s="11"/>
      <c r="AA180" s="15"/>
      <c r="AB180" s="15"/>
      <c r="AC180" s="15"/>
      <c r="AD180" s="16"/>
      <c r="AE180" s="16"/>
      <c r="AF180" s="16"/>
      <c r="AG180" s="16"/>
      <c r="AH180" s="16"/>
      <c r="AI180" s="16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16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</row>
    <row r="181" spans="1:96" ht="12" customHeight="1" x14ac:dyDescent="0.25">
      <c r="A181" s="3"/>
      <c r="B181" s="14"/>
      <c r="C181" s="14"/>
      <c r="D181" s="14"/>
      <c r="E181" s="14"/>
      <c r="F181" s="9"/>
      <c r="G181" s="9"/>
      <c r="H181" s="9"/>
      <c r="I181" s="10"/>
      <c r="J181" s="10"/>
      <c r="K181" s="14"/>
      <c r="L181" s="11"/>
      <c r="M181" s="14"/>
      <c r="N181" s="14"/>
      <c r="O181" s="4"/>
      <c r="P181" s="3"/>
      <c r="Q181" s="4"/>
      <c r="R181" s="3"/>
      <c r="S181" s="3"/>
      <c r="T181" s="3"/>
      <c r="U181" s="4"/>
      <c r="V181" s="4"/>
      <c r="W181" s="4"/>
      <c r="X181" s="4"/>
      <c r="Y181" s="4"/>
      <c r="Z181" s="11"/>
      <c r="AA181" s="15"/>
      <c r="AB181" s="15"/>
      <c r="AC181" s="15"/>
      <c r="AD181" s="16"/>
      <c r="AE181" s="16"/>
      <c r="AF181" s="16"/>
      <c r="AG181" s="16"/>
      <c r="AH181" s="16"/>
      <c r="AI181" s="16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16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</row>
    <row r="182" spans="1:96" ht="12" customHeight="1" x14ac:dyDescent="0.25">
      <c r="A182" s="3"/>
      <c r="B182" s="14"/>
      <c r="C182" s="14"/>
      <c r="D182" s="14"/>
      <c r="E182" s="14"/>
      <c r="F182" s="9"/>
      <c r="G182" s="9"/>
      <c r="H182" s="9"/>
      <c r="I182" s="10"/>
      <c r="J182" s="10"/>
      <c r="K182" s="14"/>
      <c r="L182" s="11"/>
      <c r="M182" s="14"/>
      <c r="N182" s="14"/>
      <c r="O182" s="4"/>
      <c r="P182" s="3"/>
      <c r="Q182" s="4"/>
      <c r="R182" s="3"/>
      <c r="S182" s="3"/>
      <c r="T182" s="3"/>
      <c r="U182" s="4"/>
      <c r="V182" s="4"/>
      <c r="W182" s="4"/>
      <c r="X182" s="4"/>
      <c r="Y182" s="4"/>
      <c r="Z182" s="11"/>
      <c r="AA182" s="15"/>
      <c r="AB182" s="15"/>
      <c r="AC182" s="15"/>
      <c r="AD182" s="16"/>
      <c r="AE182" s="16"/>
      <c r="AF182" s="16"/>
      <c r="AG182" s="16"/>
      <c r="AH182" s="16"/>
      <c r="AI182" s="16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16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</row>
    <row r="183" spans="1:96" ht="12" customHeight="1" x14ac:dyDescent="0.25">
      <c r="A183" s="3"/>
      <c r="B183" s="14"/>
      <c r="C183" s="14"/>
      <c r="D183" s="14"/>
      <c r="E183" s="14"/>
      <c r="F183" s="9"/>
      <c r="G183" s="9"/>
      <c r="H183" s="9"/>
      <c r="I183" s="10"/>
      <c r="J183" s="10"/>
      <c r="K183" s="14"/>
      <c r="L183" s="11"/>
      <c r="M183" s="14"/>
      <c r="N183" s="14"/>
      <c r="O183" s="4"/>
      <c r="P183" s="3"/>
      <c r="Q183" s="4"/>
      <c r="R183" s="3"/>
      <c r="S183" s="3"/>
      <c r="T183" s="3"/>
      <c r="U183" s="4"/>
      <c r="V183" s="4"/>
      <c r="W183" s="4"/>
      <c r="X183" s="4"/>
      <c r="Y183" s="4"/>
      <c r="Z183" s="11"/>
      <c r="AA183" s="15"/>
      <c r="AB183" s="15"/>
      <c r="AC183" s="15"/>
      <c r="AD183" s="16"/>
      <c r="AE183" s="16"/>
      <c r="AF183" s="16"/>
      <c r="AG183" s="16"/>
      <c r="AH183" s="16"/>
      <c r="AI183" s="16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16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</row>
    <row r="184" spans="1:96" ht="12" customHeight="1" x14ac:dyDescent="0.25">
      <c r="A184" s="3"/>
      <c r="B184" s="14"/>
      <c r="C184" s="14"/>
      <c r="D184" s="14"/>
      <c r="E184" s="14"/>
      <c r="F184" s="9"/>
      <c r="G184" s="9"/>
      <c r="H184" s="9"/>
      <c r="I184" s="10"/>
      <c r="J184" s="10"/>
      <c r="K184" s="14"/>
      <c r="L184" s="11"/>
      <c r="M184" s="14"/>
      <c r="N184" s="14"/>
      <c r="O184" s="4"/>
      <c r="P184" s="3"/>
      <c r="Q184" s="4"/>
      <c r="R184" s="3"/>
      <c r="S184" s="3"/>
      <c r="T184" s="3"/>
      <c r="U184" s="4"/>
      <c r="V184" s="4"/>
      <c r="W184" s="4"/>
      <c r="X184" s="4"/>
      <c r="Y184" s="4"/>
      <c r="Z184" s="11"/>
      <c r="AA184" s="15"/>
      <c r="AB184" s="15"/>
      <c r="AC184" s="15"/>
      <c r="AD184" s="16"/>
      <c r="AE184" s="16"/>
      <c r="AF184" s="16"/>
      <c r="AG184" s="16"/>
      <c r="AH184" s="16"/>
      <c r="AI184" s="16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16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</row>
    <row r="185" spans="1:96" ht="12" customHeight="1" x14ac:dyDescent="0.25">
      <c r="A185" s="3"/>
      <c r="B185" s="14"/>
      <c r="C185" s="14"/>
      <c r="D185" s="14"/>
      <c r="E185" s="14"/>
      <c r="F185" s="9"/>
      <c r="G185" s="9"/>
      <c r="H185" s="9"/>
      <c r="I185" s="10"/>
      <c r="J185" s="10"/>
      <c r="K185" s="14"/>
      <c r="L185" s="11"/>
      <c r="M185" s="14"/>
      <c r="N185" s="14"/>
      <c r="O185" s="4"/>
      <c r="P185" s="3"/>
      <c r="Q185" s="4"/>
      <c r="R185" s="3"/>
      <c r="S185" s="3"/>
      <c r="T185" s="3"/>
      <c r="U185" s="4"/>
      <c r="V185" s="4"/>
      <c r="W185" s="4"/>
      <c r="X185" s="4"/>
      <c r="Y185" s="4"/>
      <c r="Z185" s="11"/>
      <c r="AA185" s="15"/>
      <c r="AB185" s="15"/>
      <c r="AC185" s="15"/>
      <c r="AD185" s="16"/>
      <c r="AE185" s="16"/>
      <c r="AF185" s="16"/>
      <c r="AG185" s="16"/>
      <c r="AH185" s="16"/>
      <c r="AI185" s="16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16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</row>
    <row r="186" spans="1:96" ht="12" customHeight="1" x14ac:dyDescent="0.25">
      <c r="A186" s="3"/>
      <c r="B186" s="14"/>
      <c r="C186" s="14"/>
      <c r="D186" s="14"/>
      <c r="E186" s="14"/>
      <c r="F186" s="9"/>
      <c r="G186" s="9"/>
      <c r="H186" s="9"/>
      <c r="I186" s="10"/>
      <c r="J186" s="10"/>
      <c r="K186" s="14"/>
      <c r="L186" s="11"/>
      <c r="M186" s="14"/>
      <c r="N186" s="14"/>
      <c r="O186" s="4"/>
      <c r="P186" s="3"/>
      <c r="Q186" s="4"/>
      <c r="R186" s="3"/>
      <c r="S186" s="3"/>
      <c r="T186" s="3"/>
      <c r="U186" s="4"/>
      <c r="V186" s="4"/>
      <c r="W186" s="4"/>
      <c r="X186" s="4"/>
      <c r="Y186" s="4"/>
      <c r="Z186" s="11"/>
      <c r="AA186" s="15"/>
      <c r="AB186" s="15"/>
      <c r="AC186" s="15"/>
      <c r="AD186" s="16"/>
      <c r="AE186" s="16"/>
      <c r="AF186" s="16"/>
      <c r="AG186" s="16"/>
      <c r="AH186" s="16"/>
      <c r="AI186" s="16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16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</row>
    <row r="187" spans="1:96" ht="12" customHeight="1" x14ac:dyDescent="0.25">
      <c r="A187" s="3"/>
      <c r="B187" s="14"/>
      <c r="C187" s="14"/>
      <c r="D187" s="14"/>
      <c r="E187" s="14"/>
      <c r="F187" s="9"/>
      <c r="G187" s="9"/>
      <c r="H187" s="9"/>
      <c r="I187" s="10"/>
      <c r="J187" s="10"/>
      <c r="K187" s="14"/>
      <c r="L187" s="11"/>
      <c r="M187" s="14"/>
      <c r="N187" s="14"/>
      <c r="O187" s="4"/>
      <c r="P187" s="3"/>
      <c r="Q187" s="4"/>
      <c r="R187" s="3"/>
      <c r="S187" s="3"/>
      <c r="T187" s="3"/>
      <c r="U187" s="4"/>
      <c r="V187" s="4"/>
      <c r="W187" s="4"/>
      <c r="X187" s="4"/>
      <c r="Y187" s="4"/>
      <c r="Z187" s="11"/>
      <c r="AA187" s="15"/>
      <c r="AB187" s="15"/>
      <c r="AC187" s="15"/>
      <c r="AD187" s="16"/>
      <c r="AE187" s="16"/>
      <c r="AF187" s="16"/>
      <c r="AG187" s="16"/>
      <c r="AH187" s="16"/>
      <c r="AI187" s="16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16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</row>
    <row r="188" spans="1:96" ht="12" customHeight="1" x14ac:dyDescent="0.25">
      <c r="A188" s="3"/>
      <c r="B188" s="14"/>
      <c r="C188" s="14"/>
      <c r="D188" s="14"/>
      <c r="E188" s="14"/>
      <c r="F188" s="9"/>
      <c r="G188" s="9"/>
      <c r="H188" s="9"/>
      <c r="I188" s="10"/>
      <c r="J188" s="10"/>
      <c r="K188" s="14"/>
      <c r="L188" s="11"/>
      <c r="M188" s="14"/>
      <c r="N188" s="14"/>
      <c r="O188" s="4"/>
      <c r="P188" s="3"/>
      <c r="Q188" s="4"/>
      <c r="R188" s="3"/>
      <c r="S188" s="3"/>
      <c r="T188" s="3"/>
      <c r="U188" s="4"/>
      <c r="V188" s="4"/>
      <c r="W188" s="4"/>
      <c r="X188" s="4"/>
      <c r="Y188" s="4"/>
      <c r="Z188" s="11"/>
      <c r="AA188" s="15"/>
      <c r="AB188" s="15"/>
      <c r="AC188" s="15"/>
      <c r="AD188" s="16"/>
      <c r="AE188" s="16"/>
      <c r="AF188" s="16"/>
      <c r="AG188" s="16"/>
      <c r="AH188" s="16"/>
      <c r="AI188" s="16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16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</row>
    <row r="189" spans="1:96" ht="12" customHeight="1" x14ac:dyDescent="0.25">
      <c r="A189" s="3"/>
      <c r="B189" s="14"/>
      <c r="C189" s="14"/>
      <c r="D189" s="14"/>
      <c r="E189" s="14"/>
      <c r="F189" s="9"/>
      <c r="G189" s="9"/>
      <c r="H189" s="9"/>
      <c r="I189" s="10"/>
      <c r="J189" s="10"/>
      <c r="K189" s="14"/>
      <c r="L189" s="11"/>
      <c r="M189" s="14"/>
      <c r="N189" s="14"/>
      <c r="O189" s="4"/>
      <c r="P189" s="3"/>
      <c r="Q189" s="4"/>
      <c r="R189" s="3"/>
      <c r="S189" s="3"/>
      <c r="T189" s="3"/>
      <c r="U189" s="4"/>
      <c r="V189" s="4"/>
      <c r="W189" s="4"/>
      <c r="X189" s="4"/>
      <c r="Y189" s="4"/>
      <c r="Z189" s="11"/>
      <c r="AA189" s="15"/>
      <c r="AB189" s="15"/>
      <c r="AC189" s="15"/>
      <c r="AD189" s="16"/>
      <c r="AE189" s="16"/>
      <c r="AF189" s="16"/>
      <c r="AG189" s="16"/>
      <c r="AH189" s="16"/>
      <c r="AI189" s="16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16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</row>
    <row r="190" spans="1:96" ht="12" customHeight="1" x14ac:dyDescent="0.25">
      <c r="A190" s="3"/>
      <c r="B190" s="14"/>
      <c r="C190" s="14"/>
      <c r="D190" s="14"/>
      <c r="E190" s="14"/>
      <c r="F190" s="9"/>
      <c r="G190" s="9"/>
      <c r="H190" s="9"/>
      <c r="I190" s="10"/>
      <c r="J190" s="10"/>
      <c r="K190" s="14"/>
      <c r="L190" s="11"/>
      <c r="M190" s="14"/>
      <c r="N190" s="14"/>
      <c r="O190" s="4"/>
      <c r="P190" s="3"/>
      <c r="Q190" s="4"/>
      <c r="R190" s="3"/>
      <c r="S190" s="3"/>
      <c r="T190" s="3"/>
      <c r="U190" s="4"/>
      <c r="V190" s="4"/>
      <c r="W190" s="4"/>
      <c r="X190" s="4"/>
      <c r="Y190" s="4"/>
      <c r="Z190" s="11"/>
      <c r="AA190" s="15"/>
      <c r="AB190" s="15"/>
      <c r="AC190" s="15"/>
      <c r="AD190" s="16"/>
      <c r="AE190" s="16"/>
      <c r="AF190" s="16"/>
      <c r="AG190" s="16"/>
      <c r="AH190" s="16"/>
      <c r="AI190" s="16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16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</row>
    <row r="191" spans="1:96" ht="12" customHeight="1" x14ac:dyDescent="0.25">
      <c r="A191" s="3"/>
      <c r="B191" s="14"/>
      <c r="C191" s="14"/>
      <c r="D191" s="14"/>
      <c r="E191" s="14"/>
      <c r="F191" s="9"/>
      <c r="G191" s="9"/>
      <c r="H191" s="9"/>
      <c r="I191" s="10"/>
      <c r="J191" s="10"/>
      <c r="K191" s="14"/>
      <c r="L191" s="11"/>
      <c r="M191" s="14"/>
      <c r="N191" s="14"/>
      <c r="O191" s="4"/>
      <c r="P191" s="3"/>
      <c r="Q191" s="4"/>
      <c r="R191" s="3"/>
      <c r="S191" s="3"/>
      <c r="T191" s="3"/>
      <c r="U191" s="4"/>
      <c r="V191" s="4"/>
      <c r="W191" s="4"/>
      <c r="X191" s="4"/>
      <c r="Y191" s="4"/>
      <c r="Z191" s="11"/>
      <c r="AA191" s="15"/>
      <c r="AB191" s="15"/>
      <c r="AC191" s="15"/>
      <c r="AD191" s="16"/>
      <c r="AE191" s="16"/>
      <c r="AF191" s="16"/>
      <c r="AG191" s="16"/>
      <c r="AH191" s="16"/>
      <c r="AI191" s="16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16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</row>
    <row r="192" spans="1:96" ht="12" customHeight="1" x14ac:dyDescent="0.25">
      <c r="A192" s="3"/>
      <c r="B192" s="14"/>
      <c r="C192" s="14"/>
      <c r="D192" s="14"/>
      <c r="E192" s="14"/>
      <c r="F192" s="9"/>
      <c r="G192" s="9"/>
      <c r="H192" s="9"/>
      <c r="I192" s="10"/>
      <c r="J192" s="10"/>
      <c r="K192" s="14"/>
      <c r="L192" s="11"/>
      <c r="M192" s="14"/>
      <c r="N192" s="14"/>
      <c r="O192" s="4"/>
      <c r="P192" s="3"/>
      <c r="Q192" s="4"/>
      <c r="R192" s="3"/>
      <c r="S192" s="3"/>
      <c r="T192" s="3"/>
      <c r="U192" s="4"/>
      <c r="V192" s="4"/>
      <c r="W192" s="4"/>
      <c r="X192" s="4"/>
      <c r="Y192" s="4"/>
      <c r="Z192" s="11"/>
      <c r="AA192" s="15"/>
      <c r="AB192" s="15"/>
      <c r="AC192" s="15"/>
      <c r="AD192" s="16"/>
      <c r="AE192" s="16"/>
      <c r="AF192" s="16"/>
      <c r="AG192" s="16"/>
      <c r="AH192" s="16"/>
      <c r="AI192" s="16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16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</row>
    <row r="193" spans="1:96" ht="12" customHeight="1" x14ac:dyDescent="0.25">
      <c r="A193" s="3"/>
      <c r="B193" s="14"/>
      <c r="C193" s="14"/>
      <c r="D193" s="14"/>
      <c r="E193" s="14"/>
      <c r="F193" s="9"/>
      <c r="G193" s="9"/>
      <c r="H193" s="9"/>
      <c r="I193" s="10"/>
      <c r="J193" s="10"/>
      <c r="K193" s="14"/>
      <c r="L193" s="11"/>
      <c r="M193" s="14"/>
      <c r="N193" s="14"/>
      <c r="O193" s="4"/>
      <c r="P193" s="3"/>
      <c r="Q193" s="4"/>
      <c r="R193" s="3"/>
      <c r="S193" s="3"/>
      <c r="T193" s="3"/>
      <c r="U193" s="4"/>
      <c r="V193" s="4"/>
      <c r="W193" s="4"/>
      <c r="X193" s="4"/>
      <c r="Y193" s="4"/>
      <c r="Z193" s="11"/>
      <c r="AA193" s="15"/>
      <c r="AB193" s="15"/>
      <c r="AC193" s="15"/>
      <c r="AD193" s="16"/>
      <c r="AE193" s="16"/>
      <c r="AF193" s="16"/>
      <c r="AG193" s="16"/>
      <c r="AH193" s="16"/>
      <c r="AI193" s="16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16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</row>
    <row r="194" spans="1:96" ht="12" customHeight="1" x14ac:dyDescent="0.25">
      <c r="A194" s="3"/>
      <c r="B194" s="14"/>
      <c r="C194" s="14"/>
      <c r="D194" s="14"/>
      <c r="E194" s="14"/>
      <c r="F194" s="9"/>
      <c r="G194" s="9"/>
      <c r="H194" s="9"/>
      <c r="I194" s="10"/>
      <c r="J194" s="10"/>
      <c r="K194" s="14"/>
      <c r="L194" s="11"/>
      <c r="M194" s="14"/>
      <c r="N194" s="14"/>
      <c r="O194" s="4"/>
      <c r="P194" s="3"/>
      <c r="Q194" s="4"/>
      <c r="R194" s="3"/>
      <c r="S194" s="3"/>
      <c r="T194" s="3"/>
      <c r="U194" s="4"/>
      <c r="V194" s="4"/>
      <c r="W194" s="4"/>
      <c r="X194" s="4"/>
      <c r="Y194" s="4"/>
      <c r="Z194" s="11"/>
      <c r="AA194" s="15"/>
      <c r="AB194" s="15"/>
      <c r="AC194" s="15"/>
      <c r="AD194" s="16"/>
      <c r="AE194" s="16"/>
      <c r="AF194" s="16"/>
      <c r="AG194" s="16"/>
      <c r="AH194" s="16"/>
      <c r="AI194" s="16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16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</row>
    <row r="195" spans="1:96" ht="12" customHeight="1" x14ac:dyDescent="0.25">
      <c r="A195" s="3"/>
      <c r="B195" s="14"/>
      <c r="C195" s="14"/>
      <c r="D195" s="14"/>
      <c r="E195" s="14"/>
      <c r="F195" s="9"/>
      <c r="G195" s="9"/>
      <c r="H195" s="9"/>
      <c r="I195" s="10"/>
      <c r="J195" s="10"/>
      <c r="K195" s="14"/>
      <c r="L195" s="11"/>
      <c r="M195" s="14"/>
      <c r="N195" s="14"/>
      <c r="O195" s="4"/>
      <c r="P195" s="3"/>
      <c r="Q195" s="4"/>
      <c r="R195" s="3"/>
      <c r="S195" s="3"/>
      <c r="T195" s="3"/>
      <c r="U195" s="4"/>
      <c r="V195" s="4"/>
      <c r="W195" s="4"/>
      <c r="X195" s="4"/>
      <c r="Y195" s="4"/>
      <c r="Z195" s="11"/>
      <c r="AA195" s="15"/>
      <c r="AB195" s="15"/>
      <c r="AC195" s="15"/>
      <c r="AD195" s="16"/>
      <c r="AE195" s="16"/>
      <c r="AF195" s="16"/>
      <c r="AG195" s="16"/>
      <c r="AH195" s="16"/>
      <c r="AI195" s="16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16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</row>
    <row r="196" spans="1:96" ht="12" customHeight="1" x14ac:dyDescent="0.25">
      <c r="A196" s="3"/>
      <c r="B196" s="14"/>
      <c r="C196" s="14"/>
      <c r="D196" s="14"/>
      <c r="E196" s="14"/>
      <c r="F196" s="9"/>
      <c r="G196" s="9"/>
      <c r="H196" s="9"/>
      <c r="I196" s="10"/>
      <c r="J196" s="10"/>
      <c r="K196" s="14"/>
      <c r="L196" s="11"/>
      <c r="M196" s="14"/>
      <c r="N196" s="14"/>
      <c r="O196" s="4"/>
      <c r="P196" s="3"/>
      <c r="Q196" s="4"/>
      <c r="R196" s="3"/>
      <c r="S196" s="3"/>
      <c r="T196" s="3"/>
      <c r="U196" s="4"/>
      <c r="V196" s="4"/>
      <c r="W196" s="4"/>
      <c r="X196" s="4"/>
      <c r="Y196" s="4"/>
      <c r="Z196" s="11"/>
      <c r="AA196" s="15"/>
      <c r="AB196" s="15"/>
      <c r="AC196" s="15"/>
      <c r="AD196" s="16"/>
      <c r="AE196" s="16"/>
      <c r="AF196" s="16"/>
      <c r="AG196" s="16"/>
      <c r="AH196" s="16"/>
      <c r="AI196" s="16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16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</row>
    <row r="197" spans="1:96" ht="12" customHeight="1" x14ac:dyDescent="0.25">
      <c r="A197" s="3"/>
      <c r="B197" s="14"/>
      <c r="C197" s="14"/>
      <c r="D197" s="14"/>
      <c r="E197" s="14"/>
      <c r="F197" s="9"/>
      <c r="G197" s="9"/>
      <c r="H197" s="9"/>
      <c r="I197" s="10"/>
      <c r="J197" s="10"/>
      <c r="K197" s="14"/>
      <c r="L197" s="11"/>
      <c r="M197" s="14"/>
      <c r="N197" s="14"/>
      <c r="O197" s="4"/>
      <c r="P197" s="3"/>
      <c r="Q197" s="4"/>
      <c r="R197" s="3"/>
      <c r="S197" s="3"/>
      <c r="T197" s="3"/>
      <c r="U197" s="4"/>
      <c r="V197" s="4"/>
      <c r="W197" s="4"/>
      <c r="X197" s="4"/>
      <c r="Y197" s="4"/>
      <c r="Z197" s="11"/>
      <c r="AA197" s="15"/>
      <c r="AB197" s="15"/>
      <c r="AC197" s="15"/>
      <c r="AD197" s="16"/>
      <c r="AE197" s="16"/>
      <c r="AF197" s="16"/>
      <c r="AG197" s="16"/>
      <c r="AH197" s="16"/>
      <c r="AI197" s="16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16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</row>
    <row r="198" spans="1:96" ht="12" customHeight="1" x14ac:dyDescent="0.25">
      <c r="A198" s="3"/>
      <c r="B198" s="14"/>
      <c r="C198" s="14"/>
      <c r="D198" s="14"/>
      <c r="E198" s="14"/>
      <c r="F198" s="9"/>
      <c r="G198" s="9"/>
      <c r="H198" s="9"/>
      <c r="I198" s="10"/>
      <c r="J198" s="10"/>
      <c r="K198" s="14"/>
      <c r="L198" s="11"/>
      <c r="M198" s="14"/>
      <c r="N198" s="14"/>
      <c r="O198" s="4"/>
      <c r="P198" s="3"/>
      <c r="Q198" s="4"/>
      <c r="R198" s="3"/>
      <c r="S198" s="3"/>
      <c r="T198" s="3"/>
      <c r="U198" s="4"/>
      <c r="V198" s="4"/>
      <c r="W198" s="4"/>
      <c r="X198" s="4"/>
      <c r="Y198" s="4"/>
      <c r="Z198" s="11"/>
      <c r="AA198" s="15"/>
      <c r="AB198" s="15"/>
      <c r="AC198" s="15"/>
      <c r="AD198" s="16"/>
      <c r="AE198" s="16"/>
      <c r="AF198" s="16"/>
      <c r="AG198" s="16"/>
      <c r="AH198" s="16"/>
      <c r="AI198" s="16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16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</row>
    <row r="199" spans="1:96" ht="12" customHeight="1" x14ac:dyDescent="0.25">
      <c r="A199" s="3"/>
      <c r="B199" s="14"/>
      <c r="C199" s="14"/>
      <c r="D199" s="14"/>
      <c r="E199" s="14"/>
      <c r="F199" s="9"/>
      <c r="G199" s="9"/>
      <c r="H199" s="9"/>
      <c r="I199" s="10"/>
      <c r="J199" s="10"/>
      <c r="K199" s="14"/>
      <c r="L199" s="11"/>
      <c r="M199" s="14"/>
      <c r="N199" s="14"/>
      <c r="O199" s="4"/>
      <c r="P199" s="3"/>
      <c r="Q199" s="4"/>
      <c r="R199" s="3"/>
      <c r="S199" s="3"/>
      <c r="T199" s="3"/>
      <c r="U199" s="4"/>
      <c r="V199" s="4"/>
      <c r="W199" s="4"/>
      <c r="X199" s="4"/>
      <c r="Y199" s="4"/>
      <c r="Z199" s="11"/>
      <c r="AA199" s="15"/>
      <c r="AB199" s="15"/>
      <c r="AC199" s="15"/>
      <c r="AD199" s="16"/>
      <c r="AE199" s="16"/>
      <c r="AF199" s="16"/>
      <c r="AG199" s="16"/>
      <c r="AH199" s="16"/>
      <c r="AI199" s="16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16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</row>
    <row r="200" spans="1:96" ht="12" customHeight="1" x14ac:dyDescent="0.25">
      <c r="A200" s="3"/>
      <c r="B200" s="14"/>
      <c r="C200" s="14"/>
      <c r="D200" s="14"/>
      <c r="E200" s="14"/>
      <c r="F200" s="9"/>
      <c r="G200" s="9"/>
      <c r="H200" s="9"/>
      <c r="I200" s="10"/>
      <c r="J200" s="10"/>
      <c r="K200" s="14"/>
      <c r="L200" s="11"/>
      <c r="M200" s="14"/>
      <c r="N200" s="14"/>
      <c r="O200" s="4"/>
      <c r="P200" s="3"/>
      <c r="Q200" s="4"/>
      <c r="R200" s="3"/>
      <c r="S200" s="3"/>
      <c r="T200" s="3"/>
      <c r="U200" s="4"/>
      <c r="V200" s="4"/>
      <c r="W200" s="4"/>
      <c r="X200" s="4"/>
      <c r="Y200" s="4"/>
      <c r="Z200" s="11"/>
      <c r="AA200" s="15"/>
      <c r="AB200" s="15"/>
      <c r="AC200" s="15"/>
      <c r="AD200" s="16"/>
      <c r="AE200" s="16"/>
      <c r="AF200" s="16"/>
      <c r="AG200" s="16"/>
      <c r="AH200" s="16"/>
      <c r="AI200" s="16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16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</row>
    <row r="201" spans="1:96" ht="12" customHeight="1" x14ac:dyDescent="0.25">
      <c r="A201" s="3"/>
      <c r="B201" s="14"/>
      <c r="C201" s="14"/>
      <c r="D201" s="14"/>
      <c r="E201" s="14"/>
      <c r="F201" s="9"/>
      <c r="G201" s="9"/>
      <c r="H201" s="9"/>
      <c r="I201" s="10"/>
      <c r="J201" s="10"/>
      <c r="K201" s="14"/>
      <c r="L201" s="11"/>
      <c r="M201" s="14"/>
      <c r="N201" s="14"/>
      <c r="O201" s="4"/>
      <c r="P201" s="3"/>
      <c r="Q201" s="4"/>
      <c r="R201" s="3"/>
      <c r="S201" s="3"/>
      <c r="T201" s="3"/>
      <c r="U201" s="4"/>
      <c r="V201" s="4"/>
      <c r="W201" s="4"/>
      <c r="X201" s="4"/>
      <c r="Y201" s="4"/>
      <c r="Z201" s="11"/>
      <c r="AA201" s="15"/>
      <c r="AB201" s="15"/>
      <c r="AC201" s="15"/>
      <c r="AD201" s="16"/>
      <c r="AE201" s="16"/>
      <c r="AF201" s="16"/>
      <c r="AG201" s="16"/>
      <c r="AH201" s="16"/>
      <c r="AI201" s="16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16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</row>
    <row r="202" spans="1:96" ht="12" customHeight="1" x14ac:dyDescent="0.25">
      <c r="A202" s="3"/>
      <c r="B202" s="14"/>
      <c r="C202" s="14"/>
      <c r="D202" s="14"/>
      <c r="E202" s="14"/>
      <c r="F202" s="9"/>
      <c r="G202" s="9"/>
      <c r="H202" s="9"/>
      <c r="I202" s="10"/>
      <c r="J202" s="10"/>
      <c r="K202" s="14"/>
      <c r="L202" s="11"/>
      <c r="M202" s="14"/>
      <c r="N202" s="14"/>
      <c r="O202" s="4"/>
      <c r="P202" s="3"/>
      <c r="Q202" s="4"/>
      <c r="R202" s="3"/>
      <c r="S202" s="3"/>
      <c r="T202" s="3"/>
      <c r="U202" s="4"/>
      <c r="V202" s="4"/>
      <c r="W202" s="4"/>
      <c r="X202" s="4"/>
      <c r="Y202" s="4"/>
      <c r="Z202" s="11"/>
      <c r="AA202" s="15"/>
      <c r="AB202" s="15"/>
      <c r="AC202" s="15"/>
      <c r="AD202" s="16"/>
      <c r="AE202" s="16"/>
      <c r="AF202" s="16"/>
      <c r="AG202" s="16"/>
      <c r="AH202" s="16"/>
      <c r="AI202" s="16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16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</row>
    <row r="203" spans="1:96" ht="12" customHeight="1" x14ac:dyDescent="0.25">
      <c r="A203" s="3"/>
      <c r="B203" s="14"/>
      <c r="C203" s="14"/>
      <c r="D203" s="14"/>
      <c r="E203" s="14"/>
      <c r="F203" s="9"/>
      <c r="G203" s="9"/>
      <c r="H203" s="9"/>
      <c r="I203" s="10"/>
      <c r="J203" s="10"/>
      <c r="K203" s="14"/>
      <c r="L203" s="11"/>
      <c r="M203" s="14"/>
      <c r="N203" s="14"/>
      <c r="O203" s="4"/>
      <c r="P203" s="3"/>
      <c r="Q203" s="4"/>
      <c r="R203" s="3"/>
      <c r="S203" s="3"/>
      <c r="T203" s="3"/>
      <c r="U203" s="4"/>
      <c r="V203" s="4"/>
      <c r="W203" s="4"/>
      <c r="X203" s="4"/>
      <c r="Y203" s="4"/>
      <c r="Z203" s="11"/>
      <c r="AA203" s="15"/>
      <c r="AB203" s="15"/>
      <c r="AC203" s="15"/>
      <c r="AD203" s="16"/>
      <c r="AE203" s="16"/>
      <c r="AF203" s="16"/>
      <c r="AG203" s="16"/>
      <c r="AH203" s="16"/>
      <c r="AI203" s="16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16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</row>
    <row r="204" spans="1:96" ht="12" customHeight="1" x14ac:dyDescent="0.25">
      <c r="A204" s="3"/>
      <c r="B204" s="14"/>
      <c r="C204" s="14"/>
      <c r="D204" s="14"/>
      <c r="E204" s="14"/>
      <c r="F204" s="9"/>
      <c r="G204" s="9"/>
      <c r="H204" s="9"/>
      <c r="I204" s="10"/>
      <c r="J204" s="10"/>
      <c r="K204" s="14"/>
      <c r="L204" s="11"/>
      <c r="M204" s="14"/>
      <c r="N204" s="14"/>
      <c r="O204" s="4"/>
      <c r="P204" s="3"/>
      <c r="Q204" s="4"/>
      <c r="R204" s="3"/>
      <c r="S204" s="3"/>
      <c r="T204" s="3"/>
      <c r="U204" s="4"/>
      <c r="V204" s="4"/>
      <c r="W204" s="4"/>
      <c r="X204" s="4"/>
      <c r="Y204" s="4"/>
      <c r="Z204" s="11"/>
      <c r="AA204" s="15"/>
      <c r="AB204" s="15"/>
      <c r="AC204" s="15"/>
      <c r="AD204" s="16"/>
      <c r="AE204" s="16"/>
      <c r="AF204" s="16"/>
      <c r="AG204" s="16"/>
      <c r="AH204" s="16"/>
      <c r="AI204" s="16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16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</row>
    <row r="205" spans="1:96" ht="12" customHeight="1" x14ac:dyDescent="0.25">
      <c r="A205" s="3"/>
      <c r="B205" s="14"/>
      <c r="C205" s="14"/>
      <c r="D205" s="14"/>
      <c r="E205" s="14"/>
      <c r="F205" s="9"/>
      <c r="G205" s="9"/>
      <c r="H205" s="9"/>
      <c r="I205" s="10"/>
      <c r="J205" s="10"/>
      <c r="K205" s="14"/>
      <c r="L205" s="11"/>
      <c r="M205" s="14"/>
      <c r="N205" s="14"/>
      <c r="O205" s="4"/>
      <c r="P205" s="3"/>
      <c r="Q205" s="4"/>
      <c r="R205" s="3"/>
      <c r="S205" s="3"/>
      <c r="T205" s="3"/>
      <c r="U205" s="4"/>
      <c r="V205" s="4"/>
      <c r="W205" s="4"/>
      <c r="X205" s="4"/>
      <c r="Y205" s="4"/>
      <c r="Z205" s="11"/>
      <c r="AA205" s="15"/>
      <c r="AB205" s="15"/>
      <c r="AC205" s="15"/>
      <c r="AD205" s="16"/>
      <c r="AE205" s="16"/>
      <c r="AF205" s="16"/>
      <c r="AG205" s="16"/>
      <c r="AH205" s="16"/>
      <c r="AI205" s="16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16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</row>
    <row r="206" spans="1:96" ht="12" customHeight="1" x14ac:dyDescent="0.25">
      <c r="A206" s="3"/>
      <c r="B206" s="14"/>
      <c r="C206" s="14"/>
      <c r="D206" s="14"/>
      <c r="E206" s="14"/>
      <c r="F206" s="9"/>
      <c r="G206" s="9"/>
      <c r="H206" s="9"/>
      <c r="I206" s="10"/>
      <c r="J206" s="10"/>
      <c r="K206" s="14"/>
      <c r="L206" s="11"/>
      <c r="M206" s="14"/>
      <c r="N206" s="14"/>
      <c r="O206" s="4"/>
      <c r="P206" s="3"/>
      <c r="Q206" s="4"/>
      <c r="R206" s="3"/>
      <c r="S206" s="3"/>
      <c r="T206" s="3"/>
      <c r="U206" s="4"/>
      <c r="V206" s="4"/>
      <c r="W206" s="4"/>
      <c r="X206" s="4"/>
      <c r="Y206" s="4"/>
      <c r="Z206" s="11"/>
      <c r="AA206" s="15"/>
      <c r="AB206" s="15"/>
      <c r="AC206" s="15"/>
      <c r="AD206" s="16"/>
      <c r="AE206" s="16"/>
      <c r="AF206" s="16"/>
      <c r="AG206" s="16"/>
      <c r="AH206" s="16"/>
      <c r="AI206" s="16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16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</row>
    <row r="207" spans="1:96" ht="12" customHeight="1" x14ac:dyDescent="0.25">
      <c r="A207" s="3"/>
      <c r="B207" s="14"/>
      <c r="C207" s="14"/>
      <c r="D207" s="14"/>
      <c r="E207" s="14"/>
      <c r="F207" s="9"/>
      <c r="G207" s="9"/>
      <c r="H207" s="9"/>
      <c r="I207" s="10"/>
      <c r="J207" s="10"/>
      <c r="K207" s="14"/>
      <c r="L207" s="11"/>
      <c r="M207" s="14"/>
      <c r="N207" s="14"/>
      <c r="O207" s="4"/>
      <c r="P207" s="3"/>
      <c r="Q207" s="4"/>
      <c r="R207" s="3"/>
      <c r="S207" s="3"/>
      <c r="T207" s="3"/>
      <c r="U207" s="4"/>
      <c r="V207" s="4"/>
      <c r="W207" s="4"/>
      <c r="X207" s="4"/>
      <c r="Y207" s="4"/>
      <c r="Z207" s="11"/>
      <c r="AA207" s="15"/>
      <c r="AB207" s="15"/>
      <c r="AC207" s="15"/>
      <c r="AD207" s="16"/>
      <c r="AE207" s="16"/>
      <c r="AF207" s="16"/>
      <c r="AG207" s="16"/>
      <c r="AH207" s="16"/>
      <c r="AI207" s="16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16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</row>
    <row r="208" spans="1:96" ht="12" customHeight="1" x14ac:dyDescent="0.25">
      <c r="A208" s="3"/>
      <c r="B208" s="14"/>
      <c r="C208" s="14"/>
      <c r="D208" s="14"/>
      <c r="E208" s="14"/>
      <c r="F208" s="9"/>
      <c r="G208" s="9"/>
      <c r="H208" s="9"/>
      <c r="I208" s="10"/>
      <c r="J208" s="10"/>
      <c r="K208" s="14"/>
      <c r="L208" s="11"/>
      <c r="M208" s="14"/>
      <c r="N208" s="14"/>
      <c r="O208" s="4"/>
      <c r="P208" s="3"/>
      <c r="Q208" s="4"/>
      <c r="R208" s="3"/>
      <c r="S208" s="3"/>
      <c r="T208" s="3"/>
      <c r="U208" s="4"/>
      <c r="V208" s="4"/>
      <c r="W208" s="4"/>
      <c r="X208" s="4"/>
      <c r="Y208" s="4"/>
      <c r="Z208" s="11"/>
      <c r="AA208" s="15"/>
      <c r="AB208" s="15"/>
      <c r="AC208" s="15"/>
      <c r="AD208" s="16"/>
      <c r="AE208" s="16"/>
      <c r="AF208" s="16"/>
      <c r="AG208" s="16"/>
      <c r="AH208" s="16"/>
      <c r="AI208" s="16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16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</row>
    <row r="209" spans="1:96" ht="12" customHeight="1" x14ac:dyDescent="0.25">
      <c r="A209" s="3"/>
      <c r="B209" s="14"/>
      <c r="C209" s="14"/>
      <c r="D209" s="14"/>
      <c r="E209" s="14"/>
      <c r="F209" s="9"/>
      <c r="G209" s="9"/>
      <c r="H209" s="9"/>
      <c r="I209" s="10"/>
      <c r="J209" s="10"/>
      <c r="K209" s="14"/>
      <c r="L209" s="11"/>
      <c r="M209" s="14"/>
      <c r="N209" s="14"/>
      <c r="O209" s="4"/>
      <c r="P209" s="3"/>
      <c r="Q209" s="4"/>
      <c r="R209" s="3"/>
      <c r="S209" s="3"/>
      <c r="T209" s="3"/>
      <c r="U209" s="4"/>
      <c r="V209" s="4"/>
      <c r="W209" s="4"/>
      <c r="X209" s="4"/>
      <c r="Y209" s="4"/>
      <c r="Z209" s="11"/>
      <c r="AA209" s="15"/>
      <c r="AB209" s="15"/>
      <c r="AC209" s="15"/>
      <c r="AD209" s="16"/>
      <c r="AE209" s="16"/>
      <c r="AF209" s="16"/>
      <c r="AG209" s="16"/>
      <c r="AH209" s="16"/>
      <c r="AI209" s="16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16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</row>
    <row r="210" spans="1:96" ht="12" customHeight="1" x14ac:dyDescent="0.25">
      <c r="A210" s="3"/>
      <c r="B210" s="14"/>
      <c r="C210" s="14"/>
      <c r="D210" s="14"/>
      <c r="E210" s="14"/>
      <c r="F210" s="9"/>
      <c r="G210" s="9"/>
      <c r="H210" s="9"/>
      <c r="I210" s="10"/>
      <c r="J210" s="10"/>
      <c r="K210" s="14"/>
      <c r="L210" s="11"/>
      <c r="M210" s="14"/>
      <c r="N210" s="14"/>
      <c r="O210" s="4"/>
      <c r="P210" s="3"/>
      <c r="Q210" s="4"/>
      <c r="R210" s="3"/>
      <c r="S210" s="3"/>
      <c r="T210" s="3"/>
      <c r="U210" s="4"/>
      <c r="V210" s="4"/>
      <c r="W210" s="4"/>
      <c r="X210" s="4"/>
      <c r="Y210" s="4"/>
      <c r="Z210" s="11"/>
      <c r="AA210" s="15"/>
      <c r="AB210" s="15"/>
      <c r="AC210" s="15"/>
      <c r="AD210" s="16"/>
      <c r="AE210" s="16"/>
      <c r="AF210" s="16"/>
      <c r="AG210" s="16"/>
      <c r="AH210" s="16"/>
      <c r="AI210" s="16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16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</row>
    <row r="211" spans="1:96" ht="12" customHeight="1" x14ac:dyDescent="0.25">
      <c r="A211" s="3"/>
      <c r="B211" s="14"/>
      <c r="C211" s="14"/>
      <c r="D211" s="14"/>
      <c r="E211" s="14"/>
      <c r="F211" s="9"/>
      <c r="G211" s="9"/>
      <c r="H211" s="9"/>
      <c r="I211" s="10"/>
      <c r="J211" s="10"/>
      <c r="K211" s="14"/>
      <c r="L211" s="11"/>
      <c r="M211" s="14"/>
      <c r="N211" s="14"/>
      <c r="O211" s="4"/>
      <c r="P211" s="3"/>
      <c r="Q211" s="4"/>
      <c r="R211" s="3"/>
      <c r="S211" s="3"/>
      <c r="T211" s="3"/>
      <c r="U211" s="4"/>
      <c r="V211" s="4"/>
      <c r="W211" s="4"/>
      <c r="X211" s="4"/>
      <c r="Y211" s="4"/>
      <c r="Z211" s="11"/>
      <c r="AA211" s="15"/>
      <c r="AB211" s="15"/>
      <c r="AC211" s="15"/>
      <c r="AD211" s="16"/>
      <c r="AE211" s="16"/>
      <c r="AF211" s="16"/>
      <c r="AG211" s="16"/>
      <c r="AH211" s="16"/>
      <c r="AI211" s="16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16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</row>
    <row r="212" spans="1:96" ht="12" customHeight="1" x14ac:dyDescent="0.25">
      <c r="A212" s="3"/>
      <c r="B212" s="14"/>
      <c r="C212" s="14"/>
      <c r="D212" s="14"/>
      <c r="E212" s="14"/>
      <c r="F212" s="9"/>
      <c r="G212" s="9"/>
      <c r="H212" s="9"/>
      <c r="I212" s="10"/>
      <c r="J212" s="10"/>
      <c r="K212" s="14"/>
      <c r="L212" s="11"/>
      <c r="M212" s="14"/>
      <c r="N212" s="14"/>
      <c r="O212" s="4"/>
      <c r="P212" s="3"/>
      <c r="Q212" s="4"/>
      <c r="R212" s="3"/>
      <c r="S212" s="3"/>
      <c r="T212" s="3"/>
      <c r="U212" s="4"/>
      <c r="V212" s="4"/>
      <c r="W212" s="4"/>
      <c r="X212" s="4"/>
      <c r="Y212" s="4"/>
      <c r="Z212" s="11"/>
      <c r="AA212" s="15"/>
      <c r="AB212" s="15"/>
      <c r="AC212" s="15"/>
      <c r="AD212" s="16"/>
      <c r="AE212" s="16"/>
      <c r="AF212" s="16"/>
      <c r="AG212" s="16"/>
      <c r="AH212" s="16"/>
      <c r="AI212" s="16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16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</row>
    <row r="213" spans="1:96" ht="12" customHeight="1" x14ac:dyDescent="0.25">
      <c r="A213" s="3"/>
      <c r="B213" s="14"/>
      <c r="C213" s="14"/>
      <c r="D213" s="14"/>
      <c r="E213" s="14"/>
      <c r="F213" s="9"/>
      <c r="G213" s="9"/>
      <c r="H213" s="9"/>
      <c r="I213" s="10"/>
      <c r="J213" s="10"/>
      <c r="K213" s="14"/>
      <c r="L213" s="11"/>
      <c r="M213" s="14"/>
      <c r="N213" s="14"/>
      <c r="O213" s="4"/>
      <c r="P213" s="3"/>
      <c r="Q213" s="4"/>
      <c r="R213" s="3"/>
      <c r="S213" s="3"/>
      <c r="T213" s="3"/>
      <c r="U213" s="4"/>
      <c r="V213" s="4"/>
      <c r="W213" s="4"/>
      <c r="X213" s="4"/>
      <c r="Y213" s="4"/>
      <c r="Z213" s="11"/>
      <c r="AA213" s="15"/>
      <c r="AB213" s="15"/>
      <c r="AC213" s="15"/>
      <c r="AD213" s="16"/>
      <c r="AE213" s="16"/>
      <c r="AF213" s="16"/>
      <c r="AG213" s="16"/>
      <c r="AH213" s="16"/>
      <c r="AI213" s="16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16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</row>
    <row r="214" spans="1:96" ht="12" customHeight="1" x14ac:dyDescent="0.25">
      <c r="A214" s="3"/>
      <c r="B214" s="14"/>
      <c r="C214" s="14"/>
      <c r="D214" s="14"/>
      <c r="E214" s="14"/>
      <c r="F214" s="9"/>
      <c r="G214" s="9"/>
      <c r="H214" s="9"/>
      <c r="I214" s="10"/>
      <c r="J214" s="10"/>
      <c r="K214" s="14"/>
      <c r="L214" s="11"/>
      <c r="M214" s="14"/>
      <c r="N214" s="14"/>
      <c r="O214" s="4"/>
      <c r="P214" s="3"/>
      <c r="Q214" s="4"/>
      <c r="R214" s="3"/>
      <c r="S214" s="3"/>
      <c r="T214" s="3"/>
      <c r="U214" s="4"/>
      <c r="V214" s="4"/>
      <c r="W214" s="4"/>
      <c r="X214" s="4"/>
      <c r="Y214" s="4"/>
      <c r="Z214" s="11"/>
      <c r="AA214" s="15"/>
      <c r="AB214" s="15"/>
      <c r="AC214" s="15"/>
      <c r="AD214" s="16"/>
      <c r="AE214" s="16"/>
      <c r="AF214" s="16"/>
      <c r="AG214" s="16"/>
      <c r="AH214" s="16"/>
      <c r="AI214" s="16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16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</row>
    <row r="215" spans="1:96" ht="12" customHeight="1" x14ac:dyDescent="0.25">
      <c r="A215" s="3"/>
      <c r="B215" s="14"/>
      <c r="C215" s="14"/>
      <c r="D215" s="14"/>
      <c r="E215" s="14"/>
      <c r="F215" s="9"/>
      <c r="G215" s="9"/>
      <c r="H215" s="9"/>
      <c r="I215" s="10"/>
      <c r="J215" s="10"/>
      <c r="K215" s="14"/>
      <c r="L215" s="11"/>
      <c r="M215" s="14"/>
      <c r="N215" s="14"/>
      <c r="O215" s="4"/>
      <c r="P215" s="3"/>
      <c r="Q215" s="4"/>
      <c r="R215" s="3"/>
      <c r="S215" s="3"/>
      <c r="T215" s="3"/>
      <c r="U215" s="4"/>
      <c r="V215" s="4"/>
      <c r="W215" s="4"/>
      <c r="X215" s="4"/>
      <c r="Y215" s="4"/>
      <c r="Z215" s="11"/>
      <c r="AA215" s="15"/>
      <c r="AB215" s="15"/>
      <c r="AC215" s="15"/>
      <c r="AD215" s="16"/>
      <c r="AE215" s="16"/>
      <c r="AF215" s="16"/>
      <c r="AG215" s="16"/>
      <c r="AH215" s="16"/>
      <c r="AI215" s="16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16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</row>
    <row r="216" spans="1:96" ht="12" customHeight="1" x14ac:dyDescent="0.25">
      <c r="A216" s="3"/>
      <c r="B216" s="14"/>
      <c r="C216" s="14"/>
      <c r="D216" s="14"/>
      <c r="E216" s="14"/>
      <c r="F216" s="9"/>
      <c r="G216" s="9"/>
      <c r="H216" s="9"/>
      <c r="I216" s="10"/>
      <c r="J216" s="10"/>
      <c r="K216" s="14"/>
      <c r="L216" s="11"/>
      <c r="M216" s="14"/>
      <c r="N216" s="14"/>
      <c r="O216" s="4"/>
      <c r="P216" s="3"/>
      <c r="Q216" s="4"/>
      <c r="R216" s="3"/>
      <c r="S216" s="3"/>
      <c r="T216" s="3"/>
      <c r="U216" s="4"/>
      <c r="V216" s="4"/>
      <c r="W216" s="4"/>
      <c r="X216" s="4"/>
      <c r="Y216" s="4"/>
      <c r="Z216" s="11"/>
      <c r="AA216" s="15"/>
      <c r="AB216" s="15"/>
      <c r="AC216" s="15"/>
      <c r="AD216" s="16"/>
      <c r="AE216" s="16"/>
      <c r="AF216" s="16"/>
      <c r="AG216" s="16"/>
      <c r="AH216" s="16"/>
      <c r="AI216" s="16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16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</row>
    <row r="217" spans="1:96" ht="12" customHeight="1" x14ac:dyDescent="0.25">
      <c r="A217" s="3"/>
      <c r="B217" s="14"/>
      <c r="C217" s="14"/>
      <c r="D217" s="14"/>
      <c r="E217" s="14"/>
      <c r="F217" s="9"/>
      <c r="G217" s="9"/>
      <c r="H217" s="9"/>
      <c r="I217" s="10"/>
      <c r="J217" s="10"/>
      <c r="K217" s="14"/>
      <c r="L217" s="11"/>
      <c r="M217" s="14"/>
      <c r="N217" s="14"/>
      <c r="O217" s="4"/>
      <c r="P217" s="3"/>
      <c r="Q217" s="4"/>
      <c r="R217" s="3"/>
      <c r="S217" s="3"/>
      <c r="T217" s="3"/>
      <c r="U217" s="4"/>
      <c r="V217" s="4"/>
      <c r="W217" s="4"/>
      <c r="X217" s="4"/>
      <c r="Y217" s="4"/>
      <c r="Z217" s="11"/>
      <c r="AA217" s="15"/>
      <c r="AB217" s="15"/>
      <c r="AC217" s="15"/>
      <c r="AD217" s="16"/>
      <c r="AE217" s="16"/>
      <c r="AF217" s="16"/>
      <c r="AG217" s="16"/>
      <c r="AH217" s="16"/>
      <c r="AI217" s="16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16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</row>
    <row r="218" spans="1:96" ht="12" customHeight="1" x14ac:dyDescent="0.25">
      <c r="A218" s="3"/>
      <c r="B218" s="14"/>
      <c r="C218" s="14"/>
      <c r="D218" s="14"/>
      <c r="E218" s="14"/>
      <c r="F218" s="9"/>
      <c r="G218" s="9"/>
      <c r="H218" s="9"/>
      <c r="I218" s="10"/>
      <c r="J218" s="10"/>
      <c r="K218" s="14"/>
      <c r="L218" s="11"/>
      <c r="M218" s="14"/>
      <c r="N218" s="14"/>
      <c r="O218" s="4"/>
      <c r="P218" s="3"/>
      <c r="Q218" s="4"/>
      <c r="R218" s="3"/>
      <c r="S218" s="3"/>
      <c r="T218" s="3"/>
      <c r="U218" s="4"/>
      <c r="V218" s="4"/>
      <c r="W218" s="4"/>
      <c r="X218" s="4"/>
      <c r="Y218" s="4"/>
      <c r="Z218" s="11"/>
      <c r="AA218" s="15"/>
      <c r="AB218" s="15"/>
      <c r="AC218" s="15"/>
      <c r="AD218" s="16"/>
      <c r="AE218" s="16"/>
      <c r="AF218" s="16"/>
      <c r="AG218" s="16"/>
      <c r="AH218" s="16"/>
      <c r="AI218" s="16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16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</row>
    <row r="219" spans="1:96" ht="12" customHeight="1" x14ac:dyDescent="0.25">
      <c r="A219" s="3"/>
      <c r="B219" s="14"/>
      <c r="C219" s="14"/>
      <c r="D219" s="14"/>
      <c r="E219" s="14"/>
      <c r="F219" s="9"/>
      <c r="G219" s="9"/>
      <c r="H219" s="9"/>
      <c r="I219" s="10"/>
      <c r="J219" s="10"/>
      <c r="K219" s="14"/>
      <c r="L219" s="11"/>
      <c r="M219" s="14"/>
      <c r="N219" s="14"/>
      <c r="O219" s="4"/>
      <c r="P219" s="3"/>
      <c r="Q219" s="4"/>
      <c r="R219" s="3"/>
      <c r="S219" s="3"/>
      <c r="T219" s="3"/>
      <c r="U219" s="4"/>
      <c r="V219" s="4"/>
      <c r="W219" s="4"/>
      <c r="X219" s="4"/>
      <c r="Y219" s="4"/>
      <c r="Z219" s="11"/>
      <c r="AA219" s="15"/>
      <c r="AB219" s="15"/>
      <c r="AC219" s="15"/>
      <c r="AD219" s="16"/>
      <c r="AE219" s="16"/>
      <c r="AF219" s="16"/>
      <c r="AG219" s="16"/>
      <c r="AH219" s="16"/>
      <c r="AI219" s="16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16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</row>
    <row r="220" spans="1:96" ht="12" customHeight="1" x14ac:dyDescent="0.25">
      <c r="A220" s="3"/>
      <c r="B220" s="14"/>
      <c r="C220" s="14"/>
      <c r="D220" s="14"/>
      <c r="E220" s="14"/>
      <c r="F220" s="9"/>
      <c r="G220" s="9"/>
      <c r="H220" s="9"/>
      <c r="I220" s="10"/>
      <c r="J220" s="10"/>
      <c r="K220" s="14"/>
      <c r="L220" s="11"/>
      <c r="M220" s="14"/>
      <c r="N220" s="14"/>
      <c r="O220" s="4"/>
      <c r="P220" s="3"/>
      <c r="Q220" s="4"/>
      <c r="R220" s="3"/>
      <c r="S220" s="3"/>
      <c r="T220" s="3"/>
      <c r="U220" s="4"/>
      <c r="V220" s="4"/>
      <c r="W220" s="4"/>
      <c r="X220" s="4"/>
      <c r="Y220" s="4"/>
      <c r="Z220" s="11"/>
      <c r="AA220" s="15"/>
      <c r="AB220" s="15"/>
      <c r="AC220" s="15"/>
      <c r="AD220" s="16"/>
      <c r="AE220" s="16"/>
      <c r="AF220" s="16"/>
      <c r="AG220" s="16"/>
      <c r="AH220" s="16"/>
      <c r="AI220" s="16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16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</row>
    <row r="221" spans="1:96" ht="12" customHeight="1" x14ac:dyDescent="0.25">
      <c r="A221" s="3"/>
      <c r="B221" s="14"/>
      <c r="C221" s="14"/>
      <c r="D221" s="14"/>
      <c r="E221" s="14"/>
      <c r="F221" s="9"/>
      <c r="G221" s="9"/>
      <c r="H221" s="9"/>
      <c r="I221" s="10"/>
      <c r="J221" s="10"/>
      <c r="K221" s="14"/>
      <c r="L221" s="11"/>
      <c r="M221" s="14"/>
      <c r="N221" s="14"/>
      <c r="O221" s="4"/>
      <c r="P221" s="3"/>
      <c r="Q221" s="4"/>
      <c r="R221" s="3"/>
      <c r="S221" s="3"/>
      <c r="T221" s="3"/>
      <c r="U221" s="4"/>
      <c r="V221" s="4"/>
      <c r="W221" s="4"/>
      <c r="X221" s="4"/>
      <c r="Y221" s="4"/>
      <c r="Z221" s="11"/>
      <c r="AA221" s="15"/>
      <c r="AB221" s="15"/>
      <c r="AC221" s="15"/>
      <c r="AD221" s="16"/>
      <c r="AE221" s="16"/>
      <c r="AF221" s="16"/>
      <c r="AG221" s="16"/>
      <c r="AH221" s="16"/>
      <c r="AI221" s="16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16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</row>
    <row r="222" spans="1:96" ht="12" customHeight="1" x14ac:dyDescent="0.25">
      <c r="A222" s="3"/>
      <c r="B222" s="14"/>
      <c r="C222" s="14"/>
      <c r="D222" s="14"/>
      <c r="E222" s="14"/>
      <c r="F222" s="9"/>
      <c r="G222" s="9"/>
      <c r="H222" s="9"/>
      <c r="I222" s="10"/>
      <c r="J222" s="10"/>
      <c r="K222" s="14"/>
      <c r="L222" s="11"/>
      <c r="M222" s="14"/>
      <c r="N222" s="14"/>
      <c r="O222" s="4"/>
      <c r="P222" s="3"/>
      <c r="Q222" s="4"/>
      <c r="R222" s="3"/>
      <c r="S222" s="3"/>
      <c r="T222" s="3"/>
      <c r="U222" s="4"/>
      <c r="V222" s="4"/>
      <c r="W222" s="4"/>
      <c r="X222" s="4"/>
      <c r="Y222" s="4"/>
      <c r="Z222" s="11"/>
      <c r="AA222" s="15"/>
      <c r="AB222" s="15"/>
      <c r="AC222" s="15"/>
      <c r="AD222" s="16"/>
      <c r="AE222" s="16"/>
      <c r="AF222" s="16"/>
      <c r="AG222" s="16"/>
      <c r="AH222" s="16"/>
      <c r="AI222" s="16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16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</row>
    <row r="223" spans="1:96" ht="12" customHeight="1" x14ac:dyDescent="0.25">
      <c r="A223" s="3"/>
      <c r="B223" s="14"/>
      <c r="C223" s="14"/>
      <c r="D223" s="14"/>
      <c r="E223" s="14"/>
      <c r="F223" s="9"/>
      <c r="G223" s="9"/>
      <c r="H223" s="9"/>
      <c r="I223" s="10"/>
      <c r="J223" s="10"/>
      <c r="K223" s="14"/>
      <c r="L223" s="11"/>
      <c r="M223" s="14"/>
      <c r="N223" s="14"/>
      <c r="O223" s="4"/>
      <c r="P223" s="3"/>
      <c r="Q223" s="4"/>
      <c r="R223" s="3"/>
      <c r="S223" s="3"/>
      <c r="T223" s="3"/>
      <c r="U223" s="4"/>
      <c r="V223" s="4"/>
      <c r="W223" s="4"/>
      <c r="X223" s="4"/>
      <c r="Y223" s="4"/>
      <c r="Z223" s="11"/>
      <c r="AA223" s="15"/>
      <c r="AB223" s="15"/>
      <c r="AC223" s="15"/>
      <c r="AD223" s="16"/>
      <c r="AE223" s="16"/>
      <c r="AF223" s="16"/>
      <c r="AG223" s="16"/>
      <c r="AH223" s="16"/>
      <c r="AI223" s="16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16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</row>
    <row r="224" spans="1:96" ht="12" customHeight="1" x14ac:dyDescent="0.25">
      <c r="A224" s="3"/>
      <c r="B224" s="14"/>
      <c r="C224" s="14"/>
      <c r="D224" s="14"/>
      <c r="E224" s="14"/>
      <c r="F224" s="9"/>
      <c r="G224" s="9"/>
      <c r="H224" s="9"/>
      <c r="I224" s="10"/>
      <c r="J224" s="10"/>
      <c r="K224" s="14"/>
      <c r="L224" s="11"/>
      <c r="M224" s="14"/>
      <c r="N224" s="14"/>
      <c r="O224" s="4"/>
      <c r="P224" s="3"/>
      <c r="Q224" s="4"/>
      <c r="R224" s="3"/>
      <c r="S224" s="3"/>
      <c r="T224" s="3"/>
      <c r="U224" s="4"/>
      <c r="V224" s="4"/>
      <c r="W224" s="4"/>
      <c r="X224" s="4"/>
      <c r="Y224" s="4"/>
      <c r="Z224" s="11"/>
      <c r="AA224" s="15"/>
      <c r="AB224" s="15"/>
      <c r="AC224" s="15"/>
      <c r="AD224" s="16"/>
      <c r="AE224" s="16"/>
      <c r="AF224" s="16"/>
      <c r="AG224" s="16"/>
      <c r="AH224" s="16"/>
      <c r="AI224" s="16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16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</row>
    <row r="225" spans="1:96" ht="12" customHeight="1" x14ac:dyDescent="0.25">
      <c r="A225" s="3"/>
      <c r="B225" s="14"/>
      <c r="C225" s="14"/>
      <c r="D225" s="14"/>
      <c r="E225" s="14"/>
      <c r="F225" s="9"/>
      <c r="G225" s="9"/>
      <c r="H225" s="9"/>
      <c r="I225" s="10"/>
      <c r="J225" s="10"/>
      <c r="K225" s="14"/>
      <c r="L225" s="11"/>
      <c r="M225" s="14"/>
      <c r="N225" s="14"/>
      <c r="O225" s="4"/>
      <c r="P225" s="3"/>
      <c r="Q225" s="4"/>
      <c r="R225" s="3"/>
      <c r="S225" s="3"/>
      <c r="T225" s="3"/>
      <c r="U225" s="4"/>
      <c r="V225" s="4"/>
      <c r="W225" s="4"/>
      <c r="X225" s="4"/>
      <c r="Y225" s="4"/>
      <c r="Z225" s="11"/>
      <c r="AA225" s="15"/>
      <c r="AB225" s="15"/>
      <c r="AC225" s="15"/>
      <c r="AD225" s="16"/>
      <c r="AE225" s="16"/>
      <c r="AF225" s="16"/>
      <c r="AG225" s="16"/>
      <c r="AH225" s="16"/>
      <c r="AI225" s="16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16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</row>
    <row r="226" spans="1:96" ht="12" customHeight="1" x14ac:dyDescent="0.25">
      <c r="A226" s="3"/>
      <c r="B226" s="14"/>
      <c r="C226" s="14"/>
      <c r="D226" s="14"/>
      <c r="E226" s="14"/>
      <c r="F226" s="9"/>
      <c r="G226" s="9"/>
      <c r="H226" s="9"/>
      <c r="I226" s="10"/>
      <c r="J226" s="10"/>
      <c r="K226" s="14"/>
      <c r="L226" s="11"/>
      <c r="M226" s="14"/>
      <c r="N226" s="14"/>
      <c r="O226" s="4"/>
      <c r="P226" s="3"/>
      <c r="Q226" s="4"/>
      <c r="R226" s="3"/>
      <c r="S226" s="3"/>
      <c r="T226" s="3"/>
      <c r="U226" s="4"/>
      <c r="V226" s="4"/>
      <c r="W226" s="4"/>
      <c r="X226" s="4"/>
      <c r="Y226" s="4"/>
      <c r="Z226" s="11"/>
      <c r="AA226" s="15"/>
      <c r="AB226" s="15"/>
      <c r="AC226" s="15"/>
      <c r="AD226" s="16"/>
      <c r="AE226" s="16"/>
      <c r="AF226" s="16"/>
      <c r="AG226" s="16"/>
      <c r="AH226" s="16"/>
      <c r="AI226" s="16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16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</row>
    <row r="227" spans="1:96" ht="12" customHeight="1" x14ac:dyDescent="0.25">
      <c r="A227" s="3"/>
      <c r="B227" s="14"/>
      <c r="C227" s="14"/>
      <c r="D227" s="14"/>
      <c r="E227" s="14"/>
      <c r="F227" s="9"/>
      <c r="G227" s="9"/>
      <c r="H227" s="9"/>
      <c r="I227" s="10"/>
      <c r="J227" s="10"/>
      <c r="K227" s="14"/>
      <c r="L227" s="11"/>
      <c r="M227" s="14"/>
      <c r="N227" s="14"/>
      <c r="O227" s="4"/>
      <c r="P227" s="3"/>
      <c r="Q227" s="4"/>
      <c r="R227" s="3"/>
      <c r="S227" s="3"/>
      <c r="T227" s="3"/>
      <c r="U227" s="4"/>
      <c r="V227" s="4"/>
      <c r="W227" s="4"/>
      <c r="X227" s="4"/>
      <c r="Y227" s="4"/>
      <c r="Z227" s="11"/>
      <c r="AA227" s="15"/>
      <c r="AB227" s="15"/>
      <c r="AC227" s="15"/>
      <c r="AD227" s="16"/>
      <c r="AE227" s="16"/>
      <c r="AF227" s="16"/>
      <c r="AG227" s="16"/>
      <c r="AH227" s="16"/>
      <c r="AI227" s="16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16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</row>
    <row r="228" spans="1:96" ht="12" customHeight="1" x14ac:dyDescent="0.25">
      <c r="A228" s="3"/>
      <c r="B228" s="14"/>
      <c r="C228" s="14"/>
      <c r="D228" s="14"/>
      <c r="E228" s="14"/>
      <c r="F228" s="9"/>
      <c r="G228" s="9"/>
      <c r="H228" s="9"/>
      <c r="I228" s="10"/>
      <c r="J228" s="10"/>
      <c r="K228" s="14"/>
      <c r="L228" s="11"/>
      <c r="M228" s="14"/>
      <c r="N228" s="14"/>
      <c r="O228" s="4"/>
      <c r="P228" s="3"/>
      <c r="Q228" s="4"/>
      <c r="R228" s="3"/>
      <c r="S228" s="3"/>
      <c r="T228" s="3"/>
      <c r="U228" s="4"/>
      <c r="V228" s="4"/>
      <c r="W228" s="4"/>
      <c r="X228" s="4"/>
      <c r="Y228" s="4"/>
      <c r="Z228" s="11"/>
      <c r="AA228" s="15"/>
      <c r="AB228" s="15"/>
      <c r="AC228" s="15"/>
      <c r="AD228" s="16"/>
      <c r="AE228" s="16"/>
      <c r="AF228" s="16"/>
      <c r="AG228" s="16"/>
      <c r="AH228" s="16"/>
      <c r="AI228" s="16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16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</row>
    <row r="229" spans="1:96" ht="12" customHeight="1" x14ac:dyDescent="0.25">
      <c r="A229" s="3"/>
      <c r="B229" s="14"/>
      <c r="C229" s="14"/>
      <c r="D229" s="14"/>
      <c r="E229" s="14"/>
      <c r="F229" s="9"/>
      <c r="G229" s="9"/>
      <c r="H229" s="9"/>
      <c r="I229" s="10"/>
      <c r="J229" s="10"/>
      <c r="K229" s="14"/>
      <c r="L229" s="11"/>
      <c r="M229" s="14"/>
      <c r="N229" s="14"/>
      <c r="O229" s="4"/>
      <c r="P229" s="3"/>
      <c r="Q229" s="4"/>
      <c r="R229" s="3"/>
      <c r="S229" s="3"/>
      <c r="T229" s="3"/>
      <c r="U229" s="4"/>
      <c r="V229" s="4"/>
      <c r="W229" s="4"/>
      <c r="X229" s="4"/>
      <c r="Y229" s="4"/>
      <c r="Z229" s="11"/>
      <c r="AA229" s="15"/>
      <c r="AB229" s="15"/>
      <c r="AC229" s="15"/>
      <c r="AD229" s="16"/>
      <c r="AE229" s="16"/>
      <c r="AF229" s="16"/>
      <c r="AG229" s="16"/>
      <c r="AH229" s="16"/>
      <c r="AI229" s="16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16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</row>
    <row r="230" spans="1:96" ht="12" customHeight="1" x14ac:dyDescent="0.25">
      <c r="A230" s="3"/>
      <c r="B230" s="14"/>
      <c r="C230" s="14"/>
      <c r="D230" s="14"/>
      <c r="E230" s="14"/>
      <c r="F230" s="9"/>
      <c r="G230" s="9"/>
      <c r="H230" s="9"/>
      <c r="I230" s="10"/>
      <c r="J230" s="10"/>
      <c r="K230" s="14"/>
      <c r="L230" s="11"/>
      <c r="M230" s="14"/>
      <c r="N230" s="14"/>
      <c r="O230" s="4"/>
      <c r="P230" s="3"/>
      <c r="Q230" s="4"/>
      <c r="R230" s="3"/>
      <c r="S230" s="3"/>
      <c r="T230" s="3"/>
      <c r="U230" s="4"/>
      <c r="V230" s="4"/>
      <c r="W230" s="4"/>
      <c r="X230" s="4"/>
      <c r="Y230" s="4"/>
      <c r="Z230" s="11"/>
      <c r="AA230" s="15"/>
      <c r="AB230" s="15"/>
      <c r="AC230" s="15"/>
      <c r="AD230" s="16"/>
      <c r="AE230" s="16"/>
      <c r="AF230" s="16"/>
      <c r="AG230" s="16"/>
      <c r="AH230" s="16"/>
      <c r="AI230" s="16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16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</row>
    <row r="231" spans="1:96" ht="12" customHeight="1" x14ac:dyDescent="0.25">
      <c r="A231" s="3"/>
      <c r="B231" s="14"/>
      <c r="C231" s="14"/>
      <c r="D231" s="14"/>
      <c r="E231" s="14"/>
      <c r="F231" s="9"/>
      <c r="G231" s="9"/>
      <c r="H231" s="9"/>
      <c r="I231" s="10"/>
      <c r="J231" s="10"/>
      <c r="K231" s="14"/>
      <c r="L231" s="11"/>
      <c r="M231" s="14"/>
      <c r="N231" s="14"/>
      <c r="O231" s="4"/>
      <c r="P231" s="3"/>
      <c r="Q231" s="4"/>
      <c r="R231" s="3"/>
      <c r="S231" s="3"/>
      <c r="T231" s="3"/>
      <c r="U231" s="4"/>
      <c r="V231" s="4"/>
      <c r="W231" s="4"/>
      <c r="X231" s="4"/>
      <c r="Y231" s="4"/>
      <c r="Z231" s="11"/>
      <c r="AA231" s="15"/>
      <c r="AB231" s="15"/>
      <c r="AC231" s="15"/>
      <c r="AD231" s="16"/>
      <c r="AE231" s="16"/>
      <c r="AF231" s="16"/>
      <c r="AG231" s="16"/>
      <c r="AH231" s="16"/>
      <c r="AI231" s="16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16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</row>
    <row r="232" spans="1:96" ht="12" customHeight="1" x14ac:dyDescent="0.25">
      <c r="A232" s="3"/>
      <c r="B232" s="14"/>
      <c r="C232" s="14"/>
      <c r="D232" s="14"/>
      <c r="E232" s="14"/>
      <c r="F232" s="9"/>
      <c r="G232" s="9"/>
      <c r="H232" s="9"/>
      <c r="I232" s="10"/>
      <c r="J232" s="10"/>
      <c r="K232" s="14"/>
      <c r="L232" s="11"/>
      <c r="M232" s="14"/>
      <c r="N232" s="14"/>
      <c r="O232" s="4"/>
      <c r="P232" s="3"/>
      <c r="Q232" s="4"/>
      <c r="R232" s="3"/>
      <c r="S232" s="3"/>
      <c r="T232" s="3"/>
      <c r="U232" s="4"/>
      <c r="V232" s="4"/>
      <c r="W232" s="4"/>
      <c r="X232" s="4"/>
      <c r="Y232" s="4"/>
      <c r="Z232" s="11"/>
      <c r="AA232" s="15"/>
      <c r="AB232" s="15"/>
      <c r="AC232" s="15"/>
      <c r="AD232" s="16"/>
      <c r="AE232" s="16"/>
      <c r="AF232" s="16"/>
      <c r="AG232" s="16"/>
      <c r="AH232" s="16"/>
      <c r="AI232" s="16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16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</row>
    <row r="233" spans="1:96" ht="12" customHeight="1" x14ac:dyDescent="0.25">
      <c r="A233" s="3"/>
      <c r="B233" s="14"/>
      <c r="C233" s="14"/>
      <c r="D233" s="14"/>
      <c r="E233" s="14"/>
      <c r="F233" s="9"/>
      <c r="G233" s="9"/>
      <c r="H233" s="9"/>
      <c r="I233" s="10"/>
      <c r="J233" s="10"/>
      <c r="K233" s="14"/>
      <c r="L233" s="11"/>
      <c r="M233" s="14"/>
      <c r="N233" s="14"/>
      <c r="O233" s="4"/>
      <c r="P233" s="3"/>
      <c r="Q233" s="4"/>
      <c r="R233" s="3"/>
      <c r="S233" s="3"/>
      <c r="T233" s="3"/>
      <c r="U233" s="4"/>
      <c r="V233" s="4"/>
      <c r="W233" s="4"/>
      <c r="X233" s="4"/>
      <c r="Y233" s="4"/>
      <c r="Z233" s="11"/>
      <c r="AA233" s="15"/>
      <c r="AB233" s="15"/>
      <c r="AC233" s="15"/>
      <c r="AD233" s="16"/>
      <c r="AE233" s="16"/>
      <c r="AF233" s="16"/>
      <c r="AG233" s="16"/>
      <c r="AH233" s="16"/>
      <c r="AI233" s="16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16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</row>
    <row r="234" spans="1:96" ht="12" customHeight="1" x14ac:dyDescent="0.25">
      <c r="A234" s="3"/>
      <c r="B234" s="14"/>
      <c r="C234" s="14"/>
      <c r="D234" s="14"/>
      <c r="E234" s="14"/>
      <c r="F234" s="9"/>
      <c r="G234" s="9"/>
      <c r="H234" s="9"/>
      <c r="I234" s="10"/>
      <c r="J234" s="10"/>
      <c r="K234" s="14"/>
      <c r="L234" s="11"/>
      <c r="M234" s="14"/>
      <c r="N234" s="14"/>
      <c r="O234" s="4"/>
      <c r="P234" s="3"/>
      <c r="Q234" s="4"/>
      <c r="R234" s="3"/>
      <c r="S234" s="3"/>
      <c r="T234" s="3"/>
      <c r="U234" s="4"/>
      <c r="V234" s="4"/>
      <c r="W234" s="4"/>
      <c r="X234" s="4"/>
      <c r="Y234" s="4"/>
      <c r="Z234" s="11"/>
      <c r="AA234" s="15"/>
      <c r="AB234" s="15"/>
      <c r="AC234" s="15"/>
      <c r="AD234" s="16"/>
      <c r="AE234" s="16"/>
      <c r="AF234" s="16"/>
      <c r="AG234" s="16"/>
      <c r="AH234" s="16"/>
      <c r="AI234" s="16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16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</row>
    <row r="235" spans="1:96" ht="12" customHeight="1" x14ac:dyDescent="0.25">
      <c r="A235" s="3"/>
      <c r="B235" s="14"/>
      <c r="C235" s="14"/>
      <c r="D235" s="14"/>
      <c r="E235" s="14"/>
      <c r="F235" s="9"/>
      <c r="G235" s="9"/>
      <c r="H235" s="9"/>
      <c r="I235" s="10"/>
      <c r="J235" s="10"/>
      <c r="K235" s="14"/>
      <c r="L235" s="11"/>
      <c r="M235" s="14"/>
      <c r="N235" s="14"/>
      <c r="O235" s="4"/>
      <c r="P235" s="3"/>
      <c r="Q235" s="4"/>
      <c r="R235" s="3"/>
      <c r="S235" s="3"/>
      <c r="T235" s="3"/>
      <c r="U235" s="4"/>
      <c r="V235" s="4"/>
      <c r="W235" s="4"/>
      <c r="X235" s="4"/>
      <c r="Y235" s="4"/>
      <c r="Z235" s="11"/>
      <c r="AA235" s="15"/>
      <c r="AB235" s="15"/>
      <c r="AC235" s="15"/>
      <c r="AD235" s="16"/>
      <c r="AE235" s="16"/>
      <c r="AF235" s="16"/>
      <c r="AG235" s="16"/>
      <c r="AH235" s="16"/>
      <c r="AI235" s="16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16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</row>
    <row r="236" spans="1:96" ht="12" customHeight="1" x14ac:dyDescent="0.25">
      <c r="A236" s="3"/>
      <c r="B236" s="14"/>
      <c r="C236" s="14"/>
      <c r="D236" s="14"/>
      <c r="E236" s="14"/>
      <c r="F236" s="9"/>
      <c r="G236" s="9"/>
      <c r="H236" s="9"/>
      <c r="I236" s="10"/>
      <c r="J236" s="10"/>
      <c r="K236" s="14"/>
      <c r="L236" s="11"/>
      <c r="M236" s="14"/>
      <c r="N236" s="14"/>
      <c r="O236" s="4"/>
      <c r="P236" s="3"/>
      <c r="Q236" s="4"/>
      <c r="R236" s="3"/>
      <c r="S236" s="3"/>
      <c r="T236" s="3"/>
      <c r="U236" s="4"/>
      <c r="V236" s="4"/>
      <c r="W236" s="4"/>
      <c r="X236" s="4"/>
      <c r="Y236" s="4"/>
      <c r="Z236" s="11"/>
      <c r="AA236" s="15"/>
      <c r="AB236" s="15"/>
      <c r="AC236" s="15"/>
      <c r="AD236" s="16"/>
      <c r="AE236" s="16"/>
      <c r="AF236" s="16"/>
      <c r="AG236" s="16"/>
      <c r="AH236" s="16"/>
      <c r="AI236" s="16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16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</row>
    <row r="237" spans="1:96" ht="12" customHeight="1" x14ac:dyDescent="0.25">
      <c r="A237" s="3"/>
      <c r="B237" s="14"/>
      <c r="C237" s="14"/>
      <c r="D237" s="14"/>
      <c r="E237" s="14"/>
      <c r="F237" s="9"/>
      <c r="G237" s="9"/>
      <c r="H237" s="9"/>
      <c r="I237" s="10"/>
      <c r="J237" s="10"/>
      <c r="K237" s="14"/>
      <c r="L237" s="11"/>
      <c r="M237" s="14"/>
      <c r="N237" s="14"/>
      <c r="O237" s="4"/>
      <c r="P237" s="3"/>
      <c r="Q237" s="4"/>
      <c r="R237" s="3"/>
      <c r="S237" s="3"/>
      <c r="T237" s="3"/>
      <c r="U237" s="4"/>
      <c r="V237" s="4"/>
      <c r="W237" s="4"/>
      <c r="X237" s="4"/>
      <c r="Y237" s="4"/>
      <c r="Z237" s="11"/>
      <c r="AA237" s="15"/>
      <c r="AB237" s="15"/>
      <c r="AC237" s="15"/>
      <c r="AD237" s="16"/>
      <c r="AE237" s="16"/>
      <c r="AF237" s="16"/>
      <c r="AG237" s="16"/>
      <c r="AH237" s="16"/>
      <c r="AI237" s="16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16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</row>
    <row r="238" spans="1:96" ht="12" customHeight="1" x14ac:dyDescent="0.25">
      <c r="A238" s="3"/>
      <c r="B238" s="14"/>
      <c r="C238" s="14"/>
      <c r="D238" s="14"/>
      <c r="E238" s="14"/>
      <c r="F238" s="9"/>
      <c r="G238" s="9"/>
      <c r="H238" s="9"/>
      <c r="I238" s="10"/>
      <c r="J238" s="10"/>
      <c r="K238" s="14"/>
      <c r="L238" s="11"/>
      <c r="M238" s="14"/>
      <c r="N238" s="14"/>
      <c r="O238" s="4"/>
      <c r="P238" s="3"/>
      <c r="Q238" s="4"/>
      <c r="R238" s="3"/>
      <c r="S238" s="3"/>
      <c r="T238" s="3"/>
      <c r="U238" s="4"/>
      <c r="V238" s="4"/>
      <c r="W238" s="4"/>
      <c r="X238" s="4"/>
      <c r="Y238" s="4"/>
      <c r="Z238" s="11"/>
      <c r="AA238" s="15"/>
      <c r="AB238" s="15"/>
      <c r="AC238" s="15"/>
      <c r="AD238" s="16"/>
      <c r="AE238" s="16"/>
      <c r="AF238" s="16"/>
      <c r="AG238" s="16"/>
      <c r="AH238" s="16"/>
      <c r="AI238" s="16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16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</row>
    <row r="239" spans="1:96" ht="12" customHeight="1" x14ac:dyDescent="0.25">
      <c r="A239" s="3"/>
      <c r="B239" s="14"/>
      <c r="C239" s="14"/>
      <c r="D239" s="14"/>
      <c r="E239" s="14"/>
      <c r="F239" s="9"/>
      <c r="G239" s="9"/>
      <c r="H239" s="9"/>
      <c r="I239" s="10"/>
      <c r="J239" s="10"/>
      <c r="K239" s="14"/>
      <c r="L239" s="11"/>
      <c r="M239" s="14"/>
      <c r="N239" s="14"/>
      <c r="O239" s="4"/>
      <c r="P239" s="3"/>
      <c r="Q239" s="4"/>
      <c r="R239" s="3"/>
      <c r="S239" s="3"/>
      <c r="T239" s="3"/>
      <c r="U239" s="4"/>
      <c r="V239" s="4"/>
      <c r="W239" s="4"/>
      <c r="X239" s="4"/>
      <c r="Y239" s="4"/>
      <c r="Z239" s="11"/>
      <c r="AA239" s="15"/>
      <c r="AB239" s="15"/>
      <c r="AC239" s="15"/>
      <c r="AD239" s="16"/>
      <c r="AE239" s="16"/>
      <c r="AF239" s="16"/>
      <c r="AG239" s="16"/>
      <c r="AH239" s="16"/>
      <c r="AI239" s="16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16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</row>
    <row r="240" spans="1:96" ht="12" customHeight="1" x14ac:dyDescent="0.25">
      <c r="A240" s="3"/>
      <c r="B240" s="14"/>
      <c r="C240" s="14"/>
      <c r="D240" s="14"/>
      <c r="E240" s="14"/>
      <c r="F240" s="9"/>
      <c r="G240" s="9"/>
      <c r="H240" s="9"/>
      <c r="I240" s="10"/>
      <c r="J240" s="10"/>
      <c r="K240" s="14"/>
      <c r="L240" s="11"/>
      <c r="M240" s="14"/>
      <c r="N240" s="14"/>
      <c r="O240" s="4"/>
      <c r="P240" s="3"/>
      <c r="Q240" s="4"/>
      <c r="R240" s="3"/>
      <c r="S240" s="3"/>
      <c r="T240" s="3"/>
      <c r="U240" s="4"/>
      <c r="V240" s="4"/>
      <c r="W240" s="4"/>
      <c r="X240" s="4"/>
      <c r="Y240" s="4"/>
      <c r="Z240" s="11"/>
      <c r="AA240" s="15"/>
      <c r="AB240" s="15"/>
      <c r="AC240" s="15"/>
      <c r="AD240" s="16"/>
      <c r="AE240" s="16"/>
      <c r="AF240" s="16"/>
      <c r="AG240" s="16"/>
      <c r="AH240" s="16"/>
      <c r="AI240" s="16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16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</row>
    <row r="241" spans="1:96" ht="12" customHeight="1" x14ac:dyDescent="0.25">
      <c r="A241" s="3"/>
      <c r="B241" s="14"/>
      <c r="C241" s="14"/>
      <c r="D241" s="14"/>
      <c r="E241" s="14"/>
      <c r="F241" s="9"/>
      <c r="G241" s="9"/>
      <c r="H241" s="9"/>
      <c r="I241" s="10"/>
      <c r="J241" s="10"/>
      <c r="K241" s="14"/>
      <c r="L241" s="11"/>
      <c r="M241" s="14"/>
      <c r="N241" s="14"/>
      <c r="O241" s="4"/>
      <c r="P241" s="3"/>
      <c r="Q241" s="4"/>
      <c r="R241" s="3"/>
      <c r="S241" s="3"/>
      <c r="T241" s="3"/>
      <c r="U241" s="4"/>
      <c r="V241" s="4"/>
      <c r="W241" s="4"/>
      <c r="X241" s="4"/>
      <c r="Y241" s="4"/>
      <c r="Z241" s="11"/>
      <c r="AA241" s="15"/>
      <c r="AB241" s="15"/>
      <c r="AC241" s="15"/>
      <c r="AD241" s="16"/>
      <c r="AE241" s="16"/>
      <c r="AF241" s="16"/>
      <c r="AG241" s="16"/>
      <c r="AH241" s="16"/>
      <c r="AI241" s="16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16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</row>
    <row r="242" spans="1:96" ht="12" customHeight="1" x14ac:dyDescent="0.25">
      <c r="A242" s="3"/>
      <c r="B242" s="14"/>
      <c r="C242" s="14"/>
      <c r="D242" s="14"/>
      <c r="E242" s="14"/>
      <c r="F242" s="9"/>
      <c r="G242" s="9"/>
      <c r="H242" s="9"/>
      <c r="I242" s="10"/>
      <c r="J242" s="10"/>
      <c r="K242" s="14"/>
      <c r="L242" s="11"/>
      <c r="M242" s="14"/>
      <c r="N242" s="14"/>
      <c r="O242" s="4"/>
      <c r="P242" s="3"/>
      <c r="Q242" s="4"/>
      <c r="R242" s="3"/>
      <c r="S242" s="3"/>
      <c r="T242" s="3"/>
      <c r="U242" s="4"/>
      <c r="V242" s="4"/>
      <c r="W242" s="4"/>
      <c r="X242" s="4"/>
      <c r="Y242" s="4"/>
      <c r="Z242" s="11"/>
      <c r="AA242" s="15"/>
      <c r="AB242" s="15"/>
      <c r="AC242" s="15"/>
      <c r="AD242" s="16"/>
      <c r="AE242" s="16"/>
      <c r="AF242" s="16"/>
      <c r="AG242" s="16"/>
      <c r="AH242" s="16"/>
      <c r="AI242" s="16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16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</row>
    <row r="243" spans="1:96" ht="12" customHeight="1" x14ac:dyDescent="0.25">
      <c r="A243" s="3"/>
      <c r="B243" s="14"/>
      <c r="C243" s="14"/>
      <c r="D243" s="14"/>
      <c r="E243" s="14"/>
      <c r="F243" s="9"/>
      <c r="G243" s="9"/>
      <c r="H243" s="9"/>
      <c r="I243" s="10"/>
      <c r="J243" s="10"/>
      <c r="K243" s="14"/>
      <c r="L243" s="11"/>
      <c r="M243" s="14"/>
      <c r="N243" s="14"/>
      <c r="O243" s="4"/>
      <c r="P243" s="3"/>
      <c r="Q243" s="4"/>
      <c r="R243" s="3"/>
      <c r="S243" s="3"/>
      <c r="T243" s="3"/>
      <c r="U243" s="4"/>
      <c r="V243" s="4"/>
      <c r="W243" s="4"/>
      <c r="X243" s="4"/>
      <c r="Y243" s="4"/>
      <c r="Z243" s="11"/>
      <c r="AA243" s="15"/>
      <c r="AB243" s="15"/>
      <c r="AC243" s="15"/>
      <c r="AD243" s="16"/>
      <c r="AE243" s="16"/>
      <c r="AF243" s="16"/>
      <c r="AG243" s="16"/>
      <c r="AH243" s="16"/>
      <c r="AI243" s="16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16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</row>
    <row r="244" spans="1:96" ht="12" customHeight="1" x14ac:dyDescent="0.25">
      <c r="A244" s="3"/>
      <c r="B244" s="14"/>
      <c r="C244" s="14"/>
      <c r="D244" s="14"/>
      <c r="E244" s="14"/>
      <c r="F244" s="9"/>
      <c r="G244" s="9"/>
      <c r="H244" s="9"/>
      <c r="I244" s="10"/>
      <c r="J244" s="10"/>
      <c r="K244" s="14"/>
      <c r="L244" s="11"/>
      <c r="M244" s="14"/>
      <c r="N244" s="14"/>
      <c r="O244" s="4"/>
      <c r="P244" s="3"/>
      <c r="Q244" s="4"/>
      <c r="R244" s="3"/>
      <c r="S244" s="3"/>
      <c r="T244" s="3"/>
      <c r="U244" s="4"/>
      <c r="V244" s="4"/>
      <c r="W244" s="4"/>
      <c r="X244" s="4"/>
      <c r="Y244" s="4"/>
      <c r="Z244" s="11"/>
      <c r="AA244" s="15"/>
      <c r="AB244" s="15"/>
      <c r="AC244" s="15"/>
      <c r="AD244" s="16"/>
      <c r="AE244" s="16"/>
      <c r="AF244" s="16"/>
      <c r="AG244" s="16"/>
      <c r="AH244" s="16"/>
      <c r="AI244" s="16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16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</row>
    <row r="245" spans="1:96" ht="12" customHeight="1" x14ac:dyDescent="0.25">
      <c r="A245" s="3"/>
      <c r="B245" s="14"/>
      <c r="C245" s="14"/>
      <c r="D245" s="14"/>
      <c r="E245" s="14"/>
      <c r="F245" s="9"/>
      <c r="G245" s="9"/>
      <c r="H245" s="9"/>
      <c r="I245" s="10"/>
      <c r="J245" s="10"/>
      <c r="K245" s="14"/>
      <c r="L245" s="11"/>
      <c r="M245" s="14"/>
      <c r="N245" s="14"/>
      <c r="O245" s="4"/>
      <c r="P245" s="3"/>
      <c r="Q245" s="4"/>
      <c r="R245" s="3"/>
      <c r="S245" s="3"/>
      <c r="T245" s="3"/>
      <c r="U245" s="4"/>
      <c r="V245" s="4"/>
      <c r="W245" s="4"/>
      <c r="X245" s="4"/>
      <c r="Y245" s="4"/>
      <c r="Z245" s="11"/>
      <c r="AA245" s="15"/>
      <c r="AB245" s="15"/>
      <c r="AC245" s="15"/>
      <c r="AD245" s="16"/>
      <c r="AE245" s="16"/>
      <c r="AF245" s="16"/>
      <c r="AG245" s="16"/>
      <c r="AH245" s="16"/>
      <c r="AI245" s="16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16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</row>
    <row r="246" spans="1:96" ht="12" customHeight="1" x14ac:dyDescent="0.25">
      <c r="A246" s="3"/>
      <c r="B246" s="14"/>
      <c r="C246" s="14"/>
      <c r="D246" s="14"/>
      <c r="E246" s="14"/>
      <c r="F246" s="9"/>
      <c r="G246" s="9"/>
      <c r="H246" s="9"/>
      <c r="I246" s="10"/>
      <c r="J246" s="10"/>
      <c r="K246" s="14"/>
      <c r="L246" s="11"/>
      <c r="M246" s="14"/>
      <c r="N246" s="14"/>
      <c r="O246" s="4"/>
      <c r="P246" s="3"/>
      <c r="Q246" s="4"/>
      <c r="R246" s="3"/>
      <c r="S246" s="3"/>
      <c r="T246" s="3"/>
      <c r="U246" s="4"/>
      <c r="V246" s="4"/>
      <c r="W246" s="4"/>
      <c r="X246" s="4"/>
      <c r="Y246" s="4"/>
      <c r="Z246" s="11"/>
      <c r="AA246" s="15"/>
      <c r="AB246" s="15"/>
      <c r="AC246" s="15"/>
      <c r="AD246" s="16"/>
      <c r="AE246" s="16"/>
      <c r="AF246" s="16"/>
      <c r="AG246" s="16"/>
      <c r="AH246" s="16"/>
      <c r="AI246" s="16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16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</row>
    <row r="247" spans="1:96" ht="12" customHeight="1" x14ac:dyDescent="0.25">
      <c r="A247" s="3"/>
      <c r="B247" s="14"/>
      <c r="C247" s="14"/>
      <c r="D247" s="14"/>
      <c r="E247" s="14"/>
      <c r="F247" s="9"/>
      <c r="G247" s="9"/>
      <c r="H247" s="9"/>
      <c r="I247" s="10"/>
      <c r="J247" s="10"/>
      <c r="K247" s="14"/>
      <c r="L247" s="11"/>
      <c r="M247" s="14"/>
      <c r="N247" s="14"/>
      <c r="O247" s="4"/>
      <c r="P247" s="3"/>
      <c r="Q247" s="4"/>
      <c r="R247" s="3"/>
      <c r="S247" s="3"/>
      <c r="T247" s="3"/>
      <c r="U247" s="4"/>
      <c r="V247" s="4"/>
      <c r="W247" s="4"/>
      <c r="X247" s="4"/>
      <c r="Y247" s="4"/>
      <c r="Z247" s="11"/>
      <c r="AA247" s="15"/>
      <c r="AB247" s="15"/>
      <c r="AC247" s="15"/>
      <c r="AD247" s="16"/>
      <c r="AE247" s="16"/>
      <c r="AF247" s="16"/>
      <c r="AG247" s="16"/>
      <c r="AH247" s="16"/>
      <c r="AI247" s="16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16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</row>
    <row r="248" spans="1:96" ht="12" customHeight="1" x14ac:dyDescent="0.25">
      <c r="A248" s="3"/>
      <c r="B248" s="14"/>
      <c r="C248" s="14"/>
      <c r="D248" s="14"/>
      <c r="E248" s="14"/>
      <c r="F248" s="9"/>
      <c r="G248" s="9"/>
      <c r="H248" s="9"/>
      <c r="I248" s="10"/>
      <c r="J248" s="10"/>
      <c r="K248" s="14"/>
      <c r="L248" s="11"/>
      <c r="M248" s="14"/>
      <c r="N248" s="14"/>
      <c r="O248" s="4"/>
      <c r="P248" s="3"/>
      <c r="Q248" s="4"/>
      <c r="R248" s="3"/>
      <c r="S248" s="3"/>
      <c r="T248" s="3"/>
      <c r="U248" s="4"/>
      <c r="V248" s="4"/>
      <c r="W248" s="4"/>
      <c r="X248" s="4"/>
      <c r="Y248" s="4"/>
      <c r="Z248" s="11"/>
      <c r="AA248" s="15"/>
      <c r="AB248" s="15"/>
      <c r="AC248" s="15"/>
      <c r="AD248" s="16"/>
      <c r="AE248" s="16"/>
      <c r="AF248" s="16"/>
      <c r="AG248" s="16"/>
      <c r="AH248" s="16"/>
      <c r="AI248" s="16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16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</row>
    <row r="249" spans="1:96" ht="12" customHeight="1" x14ac:dyDescent="0.25">
      <c r="A249" s="3"/>
      <c r="B249" s="14"/>
      <c r="C249" s="14"/>
      <c r="D249" s="14"/>
      <c r="E249" s="14"/>
      <c r="F249" s="9"/>
      <c r="G249" s="9"/>
      <c r="H249" s="9"/>
      <c r="I249" s="10"/>
      <c r="J249" s="10"/>
      <c r="K249" s="14"/>
      <c r="L249" s="11"/>
      <c r="M249" s="14"/>
      <c r="N249" s="14"/>
      <c r="O249" s="4"/>
      <c r="P249" s="3"/>
      <c r="Q249" s="4"/>
      <c r="R249" s="3"/>
      <c r="S249" s="3"/>
      <c r="T249" s="3"/>
      <c r="U249" s="4"/>
      <c r="V249" s="4"/>
      <c r="W249" s="4"/>
      <c r="X249" s="4"/>
      <c r="Y249" s="4"/>
      <c r="Z249" s="11"/>
      <c r="AA249" s="15"/>
      <c r="AB249" s="15"/>
      <c r="AC249" s="15"/>
      <c r="AD249" s="16"/>
      <c r="AE249" s="16"/>
      <c r="AF249" s="16"/>
      <c r="AG249" s="16"/>
      <c r="AH249" s="16"/>
      <c r="AI249" s="16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16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</row>
    <row r="250" spans="1:96" ht="12" customHeight="1" x14ac:dyDescent="0.25">
      <c r="A250" s="3"/>
      <c r="B250" s="14"/>
      <c r="C250" s="14"/>
      <c r="D250" s="14"/>
      <c r="E250" s="14"/>
      <c r="F250" s="9"/>
      <c r="G250" s="9"/>
      <c r="H250" s="9"/>
      <c r="I250" s="10"/>
      <c r="J250" s="10"/>
      <c r="K250" s="14"/>
      <c r="L250" s="11"/>
      <c r="M250" s="14"/>
      <c r="N250" s="14"/>
      <c r="O250" s="4"/>
      <c r="P250" s="3"/>
      <c r="Q250" s="4"/>
      <c r="R250" s="3"/>
      <c r="S250" s="3"/>
      <c r="T250" s="3"/>
      <c r="U250" s="4"/>
      <c r="V250" s="4"/>
      <c r="W250" s="4"/>
      <c r="X250" s="4"/>
      <c r="Y250" s="4"/>
      <c r="Z250" s="11"/>
      <c r="AA250" s="15"/>
      <c r="AB250" s="15"/>
      <c r="AC250" s="15"/>
      <c r="AD250" s="16"/>
      <c r="AE250" s="16"/>
      <c r="AF250" s="16"/>
      <c r="AG250" s="16"/>
      <c r="AH250" s="16"/>
      <c r="AI250" s="16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16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</row>
    <row r="251" spans="1:96" ht="12" customHeight="1" x14ac:dyDescent="0.25">
      <c r="A251" s="3"/>
      <c r="B251" s="14"/>
      <c r="C251" s="14"/>
      <c r="D251" s="14"/>
      <c r="E251" s="14"/>
      <c r="F251" s="9"/>
      <c r="G251" s="9"/>
      <c r="H251" s="9"/>
      <c r="I251" s="10"/>
      <c r="J251" s="10"/>
      <c r="K251" s="14"/>
      <c r="L251" s="11"/>
      <c r="M251" s="14"/>
      <c r="N251" s="14"/>
      <c r="O251" s="4"/>
      <c r="P251" s="3"/>
      <c r="Q251" s="4"/>
      <c r="R251" s="3"/>
      <c r="S251" s="3"/>
      <c r="T251" s="3"/>
      <c r="U251" s="4"/>
      <c r="V251" s="4"/>
      <c r="W251" s="4"/>
      <c r="X251" s="4"/>
      <c r="Y251" s="4"/>
      <c r="Z251" s="11"/>
      <c r="AA251" s="15"/>
      <c r="AB251" s="15"/>
      <c r="AC251" s="15"/>
      <c r="AD251" s="16"/>
      <c r="AE251" s="16"/>
      <c r="AF251" s="16"/>
      <c r="AG251" s="16"/>
      <c r="AH251" s="16"/>
      <c r="AI251" s="16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16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</row>
    <row r="252" spans="1:96" ht="12" customHeight="1" x14ac:dyDescent="0.25">
      <c r="A252" s="3"/>
      <c r="B252" s="14"/>
      <c r="C252" s="14"/>
      <c r="D252" s="14"/>
      <c r="E252" s="14"/>
      <c r="F252" s="9"/>
      <c r="G252" s="9"/>
      <c r="H252" s="9"/>
      <c r="I252" s="10"/>
      <c r="J252" s="10"/>
      <c r="K252" s="14"/>
      <c r="L252" s="11"/>
      <c r="M252" s="14"/>
      <c r="N252" s="14"/>
      <c r="O252" s="4"/>
      <c r="P252" s="3"/>
      <c r="Q252" s="4"/>
      <c r="R252" s="3"/>
      <c r="S252" s="3"/>
      <c r="T252" s="3"/>
      <c r="U252" s="4"/>
      <c r="V252" s="4"/>
      <c r="W252" s="4"/>
      <c r="X252" s="4"/>
      <c r="Y252" s="4"/>
      <c r="Z252" s="11"/>
      <c r="AA252" s="15"/>
      <c r="AB252" s="15"/>
      <c r="AC252" s="15"/>
      <c r="AD252" s="16"/>
      <c r="AE252" s="16"/>
      <c r="AF252" s="16"/>
      <c r="AG252" s="16"/>
      <c r="AH252" s="16"/>
      <c r="AI252" s="16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16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</row>
    <row r="253" spans="1:96" ht="12" customHeight="1" x14ac:dyDescent="0.25">
      <c r="A253" s="3"/>
      <c r="B253" s="14"/>
      <c r="C253" s="14"/>
      <c r="D253" s="14"/>
      <c r="E253" s="14"/>
      <c r="F253" s="9"/>
      <c r="G253" s="9"/>
      <c r="H253" s="9"/>
      <c r="I253" s="10"/>
      <c r="J253" s="10"/>
      <c r="K253" s="14"/>
      <c r="L253" s="11"/>
      <c r="M253" s="14"/>
      <c r="N253" s="14"/>
      <c r="O253" s="4"/>
      <c r="P253" s="3"/>
      <c r="Q253" s="4"/>
      <c r="R253" s="3"/>
      <c r="S253" s="3"/>
      <c r="T253" s="3"/>
      <c r="U253" s="4"/>
      <c r="V253" s="4"/>
      <c r="W253" s="4"/>
      <c r="X253" s="4"/>
      <c r="Y253" s="4"/>
      <c r="Z253" s="11"/>
      <c r="AA253" s="15"/>
      <c r="AB253" s="15"/>
      <c r="AC253" s="15"/>
      <c r="AD253" s="16"/>
      <c r="AE253" s="16"/>
      <c r="AF253" s="16"/>
      <c r="AG253" s="16"/>
      <c r="AH253" s="16"/>
      <c r="AI253" s="16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16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</row>
    <row r="254" spans="1:96" ht="12" customHeight="1" x14ac:dyDescent="0.25">
      <c r="A254" s="3"/>
      <c r="B254" s="14"/>
      <c r="C254" s="14"/>
      <c r="D254" s="14"/>
      <c r="E254" s="14"/>
      <c r="F254" s="9"/>
      <c r="G254" s="9"/>
      <c r="H254" s="9"/>
      <c r="I254" s="10"/>
      <c r="J254" s="10"/>
      <c r="K254" s="14"/>
      <c r="L254" s="11"/>
      <c r="M254" s="14"/>
      <c r="N254" s="14"/>
      <c r="O254" s="4"/>
      <c r="P254" s="3"/>
      <c r="Q254" s="4"/>
      <c r="R254" s="3"/>
      <c r="S254" s="3"/>
      <c r="T254" s="3"/>
      <c r="U254" s="4"/>
      <c r="V254" s="4"/>
      <c r="W254" s="4"/>
      <c r="X254" s="4"/>
      <c r="Y254" s="4"/>
      <c r="Z254" s="11"/>
      <c r="AA254" s="15"/>
      <c r="AB254" s="15"/>
      <c r="AC254" s="15"/>
      <c r="AD254" s="16"/>
      <c r="AE254" s="16"/>
      <c r="AF254" s="16"/>
      <c r="AG254" s="16"/>
      <c r="AH254" s="16"/>
      <c r="AI254" s="16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16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</row>
    <row r="255" spans="1:96" ht="12" customHeight="1" x14ac:dyDescent="0.25">
      <c r="A255" s="3"/>
      <c r="B255" s="14"/>
      <c r="C255" s="14"/>
      <c r="D255" s="14"/>
      <c r="E255" s="14"/>
      <c r="F255" s="9"/>
      <c r="G255" s="9"/>
      <c r="H255" s="9"/>
      <c r="I255" s="10"/>
      <c r="J255" s="10"/>
      <c r="K255" s="14"/>
      <c r="L255" s="11"/>
      <c r="M255" s="14"/>
      <c r="N255" s="14"/>
      <c r="O255" s="4"/>
      <c r="P255" s="3"/>
      <c r="Q255" s="4"/>
      <c r="R255" s="3"/>
      <c r="S255" s="3"/>
      <c r="T255" s="3"/>
      <c r="U255" s="4"/>
      <c r="V255" s="4"/>
      <c r="W255" s="4"/>
      <c r="X255" s="4"/>
      <c r="Y255" s="4"/>
      <c r="Z255" s="11"/>
      <c r="AA255" s="15"/>
      <c r="AB255" s="15"/>
      <c r="AC255" s="15"/>
      <c r="AD255" s="16"/>
      <c r="AE255" s="16"/>
      <c r="AF255" s="16"/>
      <c r="AG255" s="16"/>
      <c r="AH255" s="16"/>
      <c r="AI255" s="16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16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</row>
    <row r="256" spans="1:96" ht="12" customHeight="1" x14ac:dyDescent="0.25">
      <c r="A256" s="3"/>
      <c r="B256" s="14"/>
      <c r="C256" s="14"/>
      <c r="D256" s="14"/>
      <c r="E256" s="14"/>
      <c r="F256" s="9"/>
      <c r="G256" s="9"/>
      <c r="H256" s="9"/>
      <c r="I256" s="10"/>
      <c r="J256" s="10"/>
      <c r="K256" s="14"/>
      <c r="L256" s="11"/>
      <c r="M256" s="14"/>
      <c r="N256" s="14"/>
      <c r="O256" s="4"/>
      <c r="P256" s="3"/>
      <c r="Q256" s="4"/>
      <c r="R256" s="3"/>
      <c r="S256" s="3"/>
      <c r="T256" s="3"/>
      <c r="U256" s="4"/>
      <c r="V256" s="4"/>
      <c r="W256" s="4"/>
      <c r="X256" s="4"/>
      <c r="Y256" s="4"/>
      <c r="Z256" s="11"/>
      <c r="AA256" s="15"/>
      <c r="AB256" s="15"/>
      <c r="AC256" s="15"/>
      <c r="AD256" s="16"/>
      <c r="AE256" s="16"/>
      <c r="AF256" s="16"/>
      <c r="AG256" s="16"/>
      <c r="AH256" s="16"/>
      <c r="AI256" s="16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16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</row>
    <row r="257" spans="1:96" ht="12" customHeight="1" x14ac:dyDescent="0.25">
      <c r="A257" s="3"/>
      <c r="B257" s="14"/>
      <c r="C257" s="14"/>
      <c r="D257" s="14"/>
      <c r="E257" s="14"/>
      <c r="F257" s="9"/>
      <c r="G257" s="9"/>
      <c r="H257" s="9"/>
      <c r="I257" s="10"/>
      <c r="J257" s="10"/>
      <c r="K257" s="14"/>
      <c r="L257" s="11"/>
      <c r="M257" s="14"/>
      <c r="N257" s="14"/>
      <c r="O257" s="4"/>
      <c r="P257" s="3"/>
      <c r="Q257" s="4"/>
      <c r="R257" s="3"/>
      <c r="S257" s="3"/>
      <c r="T257" s="3"/>
      <c r="U257" s="4"/>
      <c r="V257" s="4"/>
      <c r="W257" s="4"/>
      <c r="X257" s="4"/>
      <c r="Y257" s="4"/>
      <c r="Z257" s="11"/>
      <c r="AA257" s="15"/>
      <c r="AB257" s="15"/>
      <c r="AC257" s="15"/>
      <c r="AD257" s="16"/>
      <c r="AE257" s="16"/>
      <c r="AF257" s="16"/>
      <c r="AG257" s="16"/>
      <c r="AH257" s="16"/>
      <c r="AI257" s="16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16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</row>
    <row r="258" spans="1:96" ht="12" customHeight="1" x14ac:dyDescent="0.25">
      <c r="A258" s="3"/>
      <c r="B258" s="14"/>
      <c r="C258" s="14"/>
      <c r="D258" s="14"/>
      <c r="E258" s="14"/>
      <c r="F258" s="9"/>
      <c r="G258" s="9"/>
      <c r="H258" s="9"/>
      <c r="I258" s="10"/>
      <c r="J258" s="10"/>
      <c r="K258" s="14"/>
      <c r="L258" s="11"/>
      <c r="M258" s="14"/>
      <c r="N258" s="14"/>
      <c r="O258" s="4"/>
      <c r="P258" s="3"/>
      <c r="Q258" s="4"/>
      <c r="R258" s="3"/>
      <c r="S258" s="3"/>
      <c r="T258" s="3"/>
      <c r="U258" s="4"/>
      <c r="V258" s="4"/>
      <c r="W258" s="4"/>
      <c r="X258" s="4"/>
      <c r="Y258" s="4"/>
      <c r="Z258" s="11"/>
      <c r="AA258" s="15"/>
      <c r="AB258" s="15"/>
      <c r="AC258" s="15"/>
      <c r="AD258" s="16"/>
      <c r="AE258" s="16"/>
      <c r="AF258" s="16"/>
      <c r="AG258" s="16"/>
      <c r="AH258" s="16"/>
      <c r="AI258" s="16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16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</row>
    <row r="259" spans="1:96" ht="12" customHeight="1" x14ac:dyDescent="0.25">
      <c r="A259" s="3"/>
      <c r="B259" s="14"/>
      <c r="C259" s="14"/>
      <c r="D259" s="14"/>
      <c r="E259" s="14"/>
      <c r="F259" s="9"/>
      <c r="G259" s="9"/>
      <c r="H259" s="9"/>
      <c r="I259" s="10"/>
      <c r="J259" s="10"/>
      <c r="K259" s="14"/>
      <c r="L259" s="11"/>
      <c r="M259" s="14"/>
      <c r="N259" s="14"/>
      <c r="O259" s="4"/>
      <c r="P259" s="3"/>
      <c r="Q259" s="4"/>
      <c r="R259" s="3"/>
      <c r="S259" s="3"/>
      <c r="T259" s="3"/>
      <c r="U259" s="4"/>
      <c r="V259" s="4"/>
      <c r="W259" s="4"/>
      <c r="X259" s="4"/>
      <c r="Y259" s="4"/>
      <c r="Z259" s="11"/>
      <c r="AA259" s="15"/>
      <c r="AB259" s="15"/>
      <c r="AC259" s="15"/>
      <c r="AD259" s="16"/>
      <c r="AE259" s="16"/>
      <c r="AF259" s="16"/>
      <c r="AG259" s="16"/>
      <c r="AH259" s="16"/>
      <c r="AI259" s="16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16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</row>
    <row r="260" spans="1:96" ht="12" customHeight="1" x14ac:dyDescent="0.25">
      <c r="A260" s="3"/>
      <c r="B260" s="14"/>
      <c r="C260" s="14"/>
      <c r="D260" s="14"/>
      <c r="E260" s="14"/>
      <c r="F260" s="9"/>
      <c r="G260" s="9"/>
      <c r="H260" s="9"/>
      <c r="I260" s="10"/>
      <c r="J260" s="10"/>
      <c r="K260" s="14"/>
      <c r="L260" s="11"/>
      <c r="M260" s="14"/>
      <c r="N260" s="14"/>
      <c r="O260" s="4"/>
      <c r="P260" s="3"/>
      <c r="Q260" s="4"/>
      <c r="R260" s="3"/>
      <c r="S260" s="3"/>
      <c r="T260" s="3"/>
      <c r="U260" s="4"/>
      <c r="V260" s="4"/>
      <c r="W260" s="4"/>
      <c r="X260" s="4"/>
      <c r="Y260" s="4"/>
      <c r="Z260" s="11"/>
      <c r="AA260" s="15"/>
      <c r="AB260" s="15"/>
      <c r="AC260" s="15"/>
      <c r="AD260" s="16"/>
      <c r="AE260" s="16"/>
      <c r="AF260" s="16"/>
      <c r="AG260" s="16"/>
      <c r="AH260" s="16"/>
      <c r="AI260" s="16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16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</row>
    <row r="261" spans="1:96" ht="12" customHeight="1" x14ac:dyDescent="0.25">
      <c r="A261" s="3"/>
      <c r="B261" s="14"/>
      <c r="C261" s="14"/>
      <c r="D261" s="14"/>
      <c r="E261" s="14"/>
      <c r="F261" s="9"/>
      <c r="G261" s="9"/>
      <c r="H261" s="9"/>
      <c r="I261" s="10"/>
      <c r="J261" s="10"/>
      <c r="K261" s="14"/>
      <c r="L261" s="11"/>
      <c r="M261" s="14"/>
      <c r="N261" s="14"/>
      <c r="O261" s="4"/>
      <c r="P261" s="3"/>
      <c r="Q261" s="4"/>
      <c r="R261" s="3"/>
      <c r="S261" s="3"/>
      <c r="T261" s="3"/>
      <c r="U261" s="4"/>
      <c r="V261" s="4"/>
      <c r="W261" s="4"/>
      <c r="X261" s="4"/>
      <c r="Y261" s="4"/>
      <c r="Z261" s="11"/>
      <c r="AA261" s="15"/>
      <c r="AB261" s="15"/>
      <c r="AC261" s="15"/>
      <c r="AD261" s="16"/>
      <c r="AE261" s="16"/>
      <c r="AF261" s="16"/>
      <c r="AG261" s="16"/>
      <c r="AH261" s="16"/>
      <c r="AI261" s="16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16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</row>
    <row r="262" spans="1:96" ht="12" customHeight="1" x14ac:dyDescent="0.25">
      <c r="A262" s="3"/>
      <c r="B262" s="14"/>
      <c r="C262" s="14"/>
      <c r="D262" s="14"/>
      <c r="E262" s="14"/>
      <c r="F262" s="9"/>
      <c r="G262" s="9"/>
      <c r="H262" s="9"/>
      <c r="I262" s="10"/>
      <c r="J262" s="10"/>
      <c r="K262" s="14"/>
      <c r="L262" s="11"/>
      <c r="M262" s="14"/>
      <c r="N262" s="14"/>
      <c r="O262" s="4"/>
      <c r="P262" s="3"/>
      <c r="Q262" s="4"/>
      <c r="R262" s="3"/>
      <c r="S262" s="3"/>
      <c r="T262" s="3"/>
      <c r="U262" s="4"/>
      <c r="V262" s="4"/>
      <c r="W262" s="4"/>
      <c r="X262" s="4"/>
      <c r="Y262" s="4"/>
      <c r="Z262" s="11"/>
      <c r="AA262" s="15"/>
      <c r="AB262" s="15"/>
      <c r="AC262" s="15"/>
      <c r="AD262" s="16"/>
      <c r="AE262" s="16"/>
      <c r="AF262" s="16"/>
      <c r="AG262" s="16"/>
      <c r="AH262" s="16"/>
      <c r="AI262" s="16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16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</row>
    <row r="263" spans="1:96" ht="12" customHeight="1" x14ac:dyDescent="0.25">
      <c r="A263" s="3"/>
      <c r="B263" s="14"/>
      <c r="C263" s="14"/>
      <c r="D263" s="14"/>
      <c r="E263" s="14"/>
      <c r="F263" s="9"/>
      <c r="G263" s="9"/>
      <c r="H263" s="9"/>
      <c r="I263" s="10"/>
      <c r="J263" s="10"/>
      <c r="K263" s="14"/>
      <c r="L263" s="11"/>
      <c r="M263" s="14"/>
      <c r="N263" s="14"/>
      <c r="O263" s="4"/>
      <c r="P263" s="3"/>
      <c r="Q263" s="4"/>
      <c r="R263" s="3"/>
      <c r="S263" s="3"/>
      <c r="T263" s="3"/>
      <c r="U263" s="4"/>
      <c r="V263" s="4"/>
      <c r="W263" s="4"/>
      <c r="X263" s="4"/>
      <c r="Y263" s="4"/>
      <c r="Z263" s="11"/>
      <c r="AA263" s="15"/>
      <c r="AB263" s="15"/>
      <c r="AC263" s="15"/>
      <c r="AD263" s="16"/>
      <c r="AE263" s="16"/>
      <c r="AF263" s="16"/>
      <c r="AG263" s="16"/>
      <c r="AH263" s="16"/>
      <c r="AI263" s="16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16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</row>
    <row r="264" spans="1:96" ht="12" customHeight="1" x14ac:dyDescent="0.25">
      <c r="A264" s="3"/>
      <c r="B264" s="14"/>
      <c r="C264" s="14"/>
      <c r="D264" s="14"/>
      <c r="E264" s="14"/>
      <c r="F264" s="9"/>
      <c r="G264" s="9"/>
      <c r="H264" s="9"/>
      <c r="I264" s="10"/>
      <c r="J264" s="10"/>
      <c r="K264" s="14"/>
      <c r="L264" s="11"/>
      <c r="M264" s="14"/>
      <c r="N264" s="14"/>
      <c r="O264" s="4"/>
      <c r="P264" s="3"/>
      <c r="Q264" s="4"/>
      <c r="R264" s="3"/>
      <c r="S264" s="3"/>
      <c r="T264" s="3"/>
      <c r="U264" s="4"/>
      <c r="V264" s="4"/>
      <c r="W264" s="4"/>
      <c r="X264" s="4"/>
      <c r="Y264" s="4"/>
      <c r="Z264" s="11"/>
      <c r="AA264" s="15"/>
      <c r="AB264" s="15"/>
      <c r="AC264" s="15"/>
      <c r="AD264" s="16"/>
      <c r="AE264" s="16"/>
      <c r="AF264" s="16"/>
      <c r="AG264" s="16"/>
      <c r="AH264" s="16"/>
      <c r="AI264" s="16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16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</row>
    <row r="265" spans="1:96" ht="12" customHeight="1" x14ac:dyDescent="0.25">
      <c r="A265" s="3"/>
      <c r="B265" s="14"/>
      <c r="C265" s="14"/>
      <c r="D265" s="14"/>
      <c r="E265" s="14"/>
      <c r="F265" s="9"/>
      <c r="G265" s="9"/>
      <c r="H265" s="9"/>
      <c r="I265" s="10"/>
      <c r="J265" s="10"/>
      <c r="K265" s="14"/>
      <c r="L265" s="11"/>
      <c r="M265" s="14"/>
      <c r="N265" s="14"/>
      <c r="O265" s="4"/>
      <c r="P265" s="3"/>
      <c r="Q265" s="4"/>
      <c r="R265" s="3"/>
      <c r="S265" s="3"/>
      <c r="T265" s="3"/>
      <c r="U265" s="4"/>
      <c r="V265" s="4"/>
      <c r="W265" s="4"/>
      <c r="X265" s="4"/>
      <c r="Y265" s="4"/>
      <c r="Z265" s="11"/>
      <c r="AA265" s="15"/>
      <c r="AB265" s="15"/>
      <c r="AC265" s="15"/>
      <c r="AD265" s="16"/>
      <c r="AE265" s="16"/>
      <c r="AF265" s="16"/>
      <c r="AG265" s="16"/>
      <c r="AH265" s="16"/>
      <c r="AI265" s="16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16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</row>
    <row r="266" spans="1:96" ht="12" customHeight="1" x14ac:dyDescent="0.25">
      <c r="A266" s="3"/>
      <c r="B266" s="14"/>
      <c r="C266" s="14"/>
      <c r="D266" s="14"/>
      <c r="E266" s="14"/>
      <c r="F266" s="9"/>
      <c r="G266" s="9"/>
      <c r="H266" s="9"/>
      <c r="I266" s="10"/>
      <c r="J266" s="10"/>
      <c r="K266" s="14"/>
      <c r="L266" s="11"/>
      <c r="M266" s="14"/>
      <c r="N266" s="14"/>
      <c r="O266" s="4"/>
      <c r="P266" s="3"/>
      <c r="Q266" s="4"/>
      <c r="R266" s="3"/>
      <c r="S266" s="3"/>
      <c r="T266" s="3"/>
      <c r="U266" s="4"/>
      <c r="V266" s="4"/>
      <c r="W266" s="4"/>
      <c r="X266" s="4"/>
      <c r="Y266" s="4"/>
      <c r="Z266" s="11"/>
      <c r="AA266" s="15"/>
      <c r="AB266" s="15"/>
      <c r="AC266" s="15"/>
      <c r="AD266" s="16"/>
      <c r="AE266" s="16"/>
      <c r="AF266" s="16"/>
      <c r="AG266" s="16"/>
      <c r="AH266" s="16"/>
      <c r="AI266" s="16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16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</row>
    <row r="267" spans="1:96" ht="12" customHeight="1" x14ac:dyDescent="0.25">
      <c r="A267" s="3"/>
      <c r="B267" s="14"/>
      <c r="C267" s="14"/>
      <c r="D267" s="14"/>
      <c r="E267" s="14"/>
      <c r="F267" s="9"/>
      <c r="G267" s="9"/>
      <c r="H267" s="9"/>
      <c r="I267" s="10"/>
      <c r="J267" s="10"/>
      <c r="K267" s="14"/>
      <c r="L267" s="11"/>
      <c r="M267" s="14"/>
      <c r="N267" s="14"/>
      <c r="O267" s="4"/>
      <c r="P267" s="3"/>
      <c r="Q267" s="4"/>
      <c r="R267" s="3"/>
      <c r="S267" s="3"/>
      <c r="T267" s="3"/>
      <c r="U267" s="4"/>
      <c r="V267" s="4"/>
      <c r="W267" s="4"/>
      <c r="X267" s="4"/>
      <c r="Y267" s="4"/>
      <c r="Z267" s="11"/>
      <c r="AA267" s="15"/>
      <c r="AB267" s="15"/>
      <c r="AC267" s="15"/>
      <c r="AD267" s="16"/>
      <c r="AE267" s="16"/>
      <c r="AF267" s="16"/>
      <c r="AG267" s="16"/>
      <c r="AH267" s="16"/>
      <c r="AI267" s="16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16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</row>
    <row r="268" spans="1:96" ht="12" customHeight="1" x14ac:dyDescent="0.25">
      <c r="A268" s="3"/>
      <c r="B268" s="14"/>
      <c r="C268" s="14"/>
      <c r="D268" s="14"/>
      <c r="E268" s="14"/>
      <c r="F268" s="9"/>
      <c r="G268" s="9"/>
      <c r="H268" s="9"/>
      <c r="I268" s="10"/>
      <c r="J268" s="10"/>
      <c r="K268" s="14"/>
      <c r="L268" s="11"/>
      <c r="M268" s="14"/>
      <c r="N268" s="14"/>
      <c r="O268" s="4"/>
      <c r="P268" s="3"/>
      <c r="Q268" s="4"/>
      <c r="R268" s="3"/>
      <c r="S268" s="3"/>
      <c r="T268" s="3"/>
      <c r="U268" s="4"/>
      <c r="V268" s="4"/>
      <c r="W268" s="4"/>
      <c r="X268" s="4"/>
      <c r="Y268" s="4"/>
      <c r="Z268" s="11"/>
      <c r="AA268" s="15"/>
      <c r="AB268" s="15"/>
      <c r="AC268" s="15"/>
      <c r="AD268" s="16"/>
      <c r="AE268" s="16"/>
      <c r="AF268" s="16"/>
      <c r="AG268" s="16"/>
      <c r="AH268" s="16"/>
      <c r="AI268" s="16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16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</row>
    <row r="269" spans="1:96" ht="12" customHeight="1" x14ac:dyDescent="0.25">
      <c r="A269" s="3"/>
      <c r="B269" s="14"/>
      <c r="C269" s="14"/>
      <c r="D269" s="14"/>
      <c r="E269" s="14"/>
      <c r="F269" s="9"/>
      <c r="G269" s="9"/>
      <c r="H269" s="9"/>
      <c r="I269" s="10"/>
      <c r="J269" s="10"/>
      <c r="K269" s="14"/>
      <c r="L269" s="11"/>
      <c r="M269" s="14"/>
      <c r="N269" s="14"/>
      <c r="O269" s="4"/>
      <c r="P269" s="3"/>
      <c r="Q269" s="4"/>
      <c r="R269" s="3"/>
      <c r="S269" s="3"/>
      <c r="T269" s="3"/>
      <c r="U269" s="4"/>
      <c r="V269" s="4"/>
      <c r="W269" s="4"/>
      <c r="X269" s="4"/>
      <c r="Y269" s="4"/>
      <c r="Z269" s="11"/>
      <c r="AA269" s="15"/>
      <c r="AB269" s="15"/>
      <c r="AC269" s="15"/>
      <c r="AD269" s="16"/>
      <c r="AE269" s="16"/>
      <c r="AF269" s="16"/>
      <c r="AG269" s="16"/>
      <c r="AH269" s="16"/>
      <c r="AI269" s="16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16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</row>
    <row r="270" spans="1:96" ht="12" customHeight="1" x14ac:dyDescent="0.25">
      <c r="A270" s="3"/>
      <c r="B270" s="14"/>
      <c r="C270" s="14"/>
      <c r="D270" s="14"/>
      <c r="E270" s="14"/>
      <c r="F270" s="9"/>
      <c r="G270" s="9"/>
      <c r="H270" s="9"/>
      <c r="I270" s="10"/>
      <c r="J270" s="10"/>
      <c r="K270" s="14"/>
      <c r="L270" s="11"/>
      <c r="M270" s="14"/>
      <c r="N270" s="14"/>
      <c r="O270" s="4"/>
      <c r="P270" s="3"/>
      <c r="Q270" s="4"/>
      <c r="R270" s="3"/>
      <c r="S270" s="3"/>
      <c r="T270" s="3"/>
      <c r="U270" s="4"/>
      <c r="V270" s="4"/>
      <c r="W270" s="4"/>
      <c r="X270" s="4"/>
      <c r="Y270" s="4"/>
      <c r="Z270" s="11"/>
      <c r="AA270" s="15"/>
      <c r="AB270" s="15"/>
      <c r="AC270" s="15"/>
      <c r="AD270" s="16"/>
      <c r="AE270" s="16"/>
      <c r="AF270" s="16"/>
      <c r="AG270" s="16"/>
      <c r="AH270" s="16"/>
      <c r="AI270" s="16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16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</row>
    <row r="271" spans="1:96" ht="12" customHeight="1" x14ac:dyDescent="0.25">
      <c r="A271" s="3"/>
      <c r="B271" s="14"/>
      <c r="C271" s="14"/>
      <c r="D271" s="14"/>
      <c r="E271" s="14"/>
      <c r="F271" s="9"/>
      <c r="G271" s="9"/>
      <c r="H271" s="9"/>
      <c r="I271" s="10"/>
      <c r="J271" s="10"/>
      <c r="K271" s="14"/>
      <c r="M271" s="14"/>
      <c r="N271" s="14"/>
      <c r="O271" s="4"/>
      <c r="P271" s="3"/>
      <c r="Q271" s="4"/>
      <c r="R271" s="3"/>
      <c r="S271" s="3"/>
      <c r="T271" s="3"/>
      <c r="U271" s="4"/>
      <c r="V271" s="4"/>
      <c r="W271" s="4"/>
      <c r="X271" s="4"/>
      <c r="Y271" s="4"/>
      <c r="Z271" s="11"/>
      <c r="AA271" s="15"/>
      <c r="AB271" s="15"/>
      <c r="AC271" s="15"/>
      <c r="AD271" s="16"/>
      <c r="AE271" s="16"/>
      <c r="AF271" s="16"/>
      <c r="AG271" s="16"/>
      <c r="AH271" s="16"/>
      <c r="AI271" s="16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16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</row>
    <row r="272" spans="1:96" ht="12" customHeight="1" x14ac:dyDescent="0.25">
      <c r="A272" s="3"/>
      <c r="B272" s="14"/>
      <c r="C272" s="14"/>
      <c r="D272" s="14"/>
      <c r="E272" s="14"/>
      <c r="K272" s="14"/>
      <c r="M272" s="14"/>
      <c r="N272" s="14"/>
      <c r="P272" s="3"/>
      <c r="Q272" s="4"/>
      <c r="R272" s="3"/>
      <c r="S272" s="3"/>
      <c r="T272" s="3"/>
      <c r="U272" s="4"/>
      <c r="V272" s="4"/>
      <c r="Z272" s="11"/>
      <c r="AA272" s="15"/>
      <c r="AB272" s="15"/>
      <c r="AC272" s="15"/>
      <c r="AD272" s="16"/>
      <c r="AE272" s="16"/>
      <c r="AF272" s="16"/>
      <c r="AG272" s="16"/>
      <c r="AH272" s="16"/>
      <c r="AI272" s="16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16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</row>
    <row r="273" spans="1:96" ht="12" customHeight="1" x14ac:dyDescent="0.25">
      <c r="A273" s="3"/>
      <c r="B273" s="14"/>
      <c r="C273" s="14"/>
      <c r="D273" s="14"/>
      <c r="E273" s="14"/>
      <c r="K273" s="14"/>
      <c r="M273" s="14"/>
      <c r="N273" s="14"/>
      <c r="P273" s="3"/>
      <c r="Q273" s="4"/>
      <c r="R273" s="3"/>
      <c r="S273" s="3"/>
      <c r="T273" s="3"/>
      <c r="U273" s="4"/>
      <c r="V273" s="4"/>
      <c r="Z273" s="11"/>
      <c r="AA273" s="15"/>
      <c r="AB273" s="15"/>
      <c r="AC273" s="15"/>
      <c r="AD273" s="16"/>
      <c r="AE273" s="16"/>
      <c r="AF273" s="16"/>
      <c r="AG273" s="16"/>
      <c r="AH273" s="16"/>
      <c r="AI273" s="16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16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</row>
    <row r="274" spans="1:96" ht="12" customHeight="1" x14ac:dyDescent="0.25">
      <c r="A274" s="3"/>
      <c r="B274" s="14"/>
      <c r="C274" s="14"/>
      <c r="D274" s="14"/>
      <c r="E274" s="14"/>
      <c r="K274" s="14"/>
      <c r="M274" s="14"/>
      <c r="N274" s="14"/>
      <c r="P274" s="3"/>
      <c r="Q274" s="4"/>
      <c r="R274" s="3"/>
      <c r="S274" s="3"/>
      <c r="T274" s="3"/>
      <c r="U274" s="4"/>
      <c r="V274" s="4"/>
      <c r="Z274" s="11"/>
      <c r="AA274" s="15"/>
      <c r="AB274" s="15"/>
      <c r="AC274" s="15"/>
      <c r="AD274" s="16"/>
      <c r="AE274" s="16"/>
      <c r="AF274" s="16"/>
      <c r="AG274" s="16"/>
      <c r="AH274" s="16"/>
      <c r="AI274" s="16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16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</row>
    <row r="275" spans="1:96" ht="12" customHeight="1" x14ac:dyDescent="0.25">
      <c r="A275" s="3"/>
      <c r="B275" s="14"/>
      <c r="C275" s="14"/>
      <c r="D275" s="14"/>
      <c r="E275" s="14"/>
      <c r="K275" s="14"/>
      <c r="M275" s="14"/>
      <c r="N275" s="14"/>
      <c r="P275" s="3"/>
      <c r="Q275" s="4"/>
      <c r="R275" s="3"/>
      <c r="S275" s="3"/>
      <c r="T275" s="3"/>
      <c r="U275" s="4"/>
      <c r="V275" s="4"/>
      <c r="Z275" s="11"/>
      <c r="AA275" s="15"/>
      <c r="AB275" s="15"/>
      <c r="AC275" s="15"/>
      <c r="AD275" s="16"/>
      <c r="AE275" s="16"/>
      <c r="AF275" s="16"/>
      <c r="AG275" s="16"/>
      <c r="AH275" s="16"/>
      <c r="AI275" s="16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16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</row>
    <row r="276" spans="1:96" ht="12" customHeight="1" x14ac:dyDescent="0.25">
      <c r="A276" s="3"/>
      <c r="B276" s="14"/>
      <c r="C276" s="14"/>
      <c r="D276" s="14"/>
      <c r="E276" s="14"/>
      <c r="K276" s="14"/>
      <c r="M276" s="14"/>
      <c r="N276" s="14"/>
      <c r="P276" s="3"/>
      <c r="Q276" s="4"/>
      <c r="R276" s="3"/>
      <c r="S276" s="3"/>
      <c r="T276" s="3"/>
      <c r="U276" s="4"/>
      <c r="V276" s="4"/>
      <c r="Z276" s="11"/>
      <c r="AA276" s="15"/>
      <c r="AB276" s="15"/>
      <c r="AC276" s="15"/>
      <c r="AD276" s="16"/>
      <c r="AE276" s="16"/>
      <c r="AF276" s="16"/>
      <c r="AG276" s="16"/>
      <c r="AH276" s="16"/>
      <c r="AI276" s="16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16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</row>
    <row r="277" spans="1:96" ht="12" customHeight="1" x14ac:dyDescent="0.25">
      <c r="A277" s="3"/>
      <c r="B277" s="14"/>
      <c r="C277" s="14"/>
      <c r="D277" s="14"/>
      <c r="E277" s="14"/>
      <c r="K277" s="14"/>
      <c r="M277" s="14"/>
      <c r="N277" s="14"/>
      <c r="P277" s="3"/>
      <c r="Q277" s="4"/>
      <c r="R277" s="3"/>
      <c r="S277" s="3"/>
      <c r="T277" s="3"/>
      <c r="U277" s="4"/>
      <c r="V277" s="4"/>
      <c r="Z277" s="11"/>
      <c r="AA277" s="15"/>
      <c r="AB277" s="15"/>
      <c r="AC277" s="15"/>
      <c r="AD277" s="16"/>
      <c r="AE277" s="16"/>
      <c r="AF277" s="16"/>
      <c r="AG277" s="16"/>
      <c r="AH277" s="16"/>
      <c r="AI277" s="16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16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</row>
    <row r="278" spans="1:96" ht="12" customHeight="1" x14ac:dyDescent="0.25">
      <c r="A278" s="3"/>
      <c r="B278" s="14"/>
      <c r="C278" s="14"/>
      <c r="D278" s="14"/>
      <c r="E278" s="14"/>
      <c r="K278" s="14"/>
      <c r="M278" s="14"/>
      <c r="N278" s="14"/>
      <c r="P278" s="3"/>
      <c r="Q278" s="4"/>
      <c r="R278" s="3"/>
      <c r="S278" s="3"/>
      <c r="T278" s="3"/>
      <c r="U278" s="4"/>
      <c r="V278" s="4"/>
      <c r="Z278" s="11"/>
      <c r="AA278" s="15"/>
      <c r="AB278" s="15"/>
      <c r="AC278" s="15"/>
      <c r="AD278" s="16"/>
      <c r="AE278" s="16"/>
      <c r="AF278" s="16"/>
      <c r="AG278" s="16"/>
      <c r="AH278" s="16"/>
      <c r="AI278" s="16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16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</row>
    <row r="279" spans="1:96" ht="12" customHeight="1" x14ac:dyDescent="0.25">
      <c r="A279" s="3"/>
      <c r="B279" s="14"/>
      <c r="C279" s="14"/>
      <c r="D279" s="14"/>
      <c r="E279" s="14"/>
      <c r="K279" s="14"/>
      <c r="M279" s="14"/>
      <c r="N279" s="14"/>
      <c r="P279" s="3"/>
      <c r="Q279" s="4"/>
      <c r="R279" s="3"/>
      <c r="S279" s="3"/>
      <c r="T279" s="3"/>
      <c r="U279" s="4"/>
      <c r="V279" s="4"/>
      <c r="Z279" s="11"/>
      <c r="AA279" s="15"/>
      <c r="AB279" s="15"/>
      <c r="AC279" s="15"/>
      <c r="AD279" s="16"/>
      <c r="AE279" s="16"/>
      <c r="AF279" s="16"/>
      <c r="AG279" s="16"/>
      <c r="AH279" s="16"/>
      <c r="AI279" s="16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16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</row>
    <row r="280" spans="1:96" ht="12" customHeight="1" x14ac:dyDescent="0.25">
      <c r="A280" s="3"/>
      <c r="B280" s="14"/>
      <c r="C280" s="14"/>
      <c r="D280" s="14"/>
      <c r="E280" s="14"/>
      <c r="K280" s="14"/>
      <c r="M280" s="14"/>
      <c r="N280" s="14"/>
      <c r="P280" s="3"/>
      <c r="Q280" s="4"/>
      <c r="R280" s="3"/>
      <c r="S280" s="3"/>
      <c r="T280" s="3"/>
      <c r="U280" s="4"/>
      <c r="V280" s="4"/>
      <c r="Z280" s="11"/>
      <c r="AA280" s="15"/>
      <c r="AB280" s="15"/>
      <c r="AC280" s="15"/>
      <c r="AD280" s="16"/>
      <c r="AE280" s="16"/>
      <c r="AF280" s="16"/>
      <c r="AG280" s="16"/>
      <c r="AH280" s="16"/>
      <c r="AI280" s="16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16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</row>
    <row r="281" spans="1:96" ht="12" customHeight="1" x14ac:dyDescent="0.25">
      <c r="A281" s="3"/>
      <c r="B281" s="14"/>
      <c r="C281" s="14"/>
      <c r="D281" s="14"/>
      <c r="E281" s="14"/>
      <c r="K281" s="14"/>
      <c r="M281" s="14"/>
      <c r="N281" s="14"/>
      <c r="P281" s="3"/>
      <c r="Q281" s="4"/>
      <c r="R281" s="3"/>
      <c r="S281" s="3"/>
      <c r="T281" s="3"/>
      <c r="U281" s="4"/>
      <c r="V281" s="4"/>
      <c r="Z281" s="11"/>
      <c r="AA281" s="15"/>
      <c r="AB281" s="15"/>
      <c r="AC281" s="15"/>
      <c r="AD281" s="16"/>
      <c r="AE281" s="16"/>
      <c r="AF281" s="16"/>
      <c r="AG281" s="16"/>
      <c r="AH281" s="16"/>
      <c r="AI281" s="16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16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</row>
    <row r="282" spans="1:96" ht="12" customHeight="1" x14ac:dyDescent="0.25">
      <c r="A282" s="3"/>
      <c r="B282" s="14"/>
      <c r="C282" s="14"/>
      <c r="D282" s="14"/>
      <c r="E282" s="14"/>
      <c r="K282" s="14"/>
      <c r="M282" s="14"/>
      <c r="N282" s="14"/>
      <c r="P282" s="3"/>
      <c r="Q282" s="4"/>
      <c r="R282" s="3"/>
      <c r="S282" s="3"/>
      <c r="T282" s="3"/>
      <c r="U282" s="4"/>
      <c r="V282" s="4"/>
      <c r="Z282" s="11"/>
      <c r="AA282" s="15"/>
      <c r="AB282" s="15"/>
      <c r="AC282" s="15"/>
      <c r="AD282" s="16"/>
      <c r="AE282" s="16"/>
      <c r="AF282" s="16"/>
      <c r="AG282" s="16"/>
      <c r="AH282" s="16"/>
      <c r="AI282" s="16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16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</row>
    <row r="283" spans="1:96" ht="12" customHeight="1" x14ac:dyDescent="0.25">
      <c r="A283" s="3"/>
      <c r="B283" s="14"/>
      <c r="C283" s="14"/>
      <c r="D283" s="14"/>
      <c r="E283" s="14"/>
      <c r="K283" s="14"/>
      <c r="M283" s="14"/>
      <c r="N283" s="14"/>
      <c r="P283" s="3"/>
      <c r="Q283" s="4"/>
      <c r="R283" s="3"/>
      <c r="S283" s="3"/>
      <c r="T283" s="3"/>
      <c r="U283" s="4"/>
      <c r="V283" s="4"/>
      <c r="Z283" s="11"/>
      <c r="AA283" s="15"/>
      <c r="AB283" s="15"/>
      <c r="AC283" s="15"/>
      <c r="AD283" s="16"/>
      <c r="AE283" s="16"/>
      <c r="AF283" s="16"/>
      <c r="AG283" s="16"/>
      <c r="AH283" s="16"/>
      <c r="AI283" s="16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16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</row>
    <row r="284" spans="1:96" ht="12" customHeight="1" x14ac:dyDescent="0.25">
      <c r="A284" s="3"/>
      <c r="B284" s="14"/>
      <c r="C284" s="14"/>
      <c r="D284" s="14"/>
      <c r="E284" s="14"/>
      <c r="K284" s="14"/>
      <c r="M284" s="14"/>
      <c r="N284" s="14"/>
      <c r="P284" s="3"/>
      <c r="Q284" s="4"/>
      <c r="R284" s="3"/>
      <c r="S284" s="3"/>
      <c r="T284" s="3"/>
      <c r="U284" s="4"/>
      <c r="V284" s="4"/>
      <c r="Z284" s="11"/>
      <c r="AA284" s="15"/>
      <c r="AB284" s="15"/>
      <c r="AC284" s="15"/>
      <c r="AD284" s="16"/>
      <c r="AE284" s="16"/>
      <c r="AF284" s="16"/>
      <c r="AG284" s="16"/>
      <c r="AH284" s="16"/>
      <c r="AI284" s="16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16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</row>
    <row r="285" spans="1:96" ht="12" customHeight="1" x14ac:dyDescent="0.25">
      <c r="A285" s="3"/>
      <c r="B285" s="14"/>
      <c r="C285" s="14"/>
      <c r="D285" s="14"/>
      <c r="E285" s="14"/>
      <c r="K285" s="14"/>
      <c r="M285" s="14"/>
      <c r="N285" s="14"/>
      <c r="P285" s="3"/>
      <c r="Q285" s="4"/>
      <c r="R285" s="3"/>
      <c r="S285" s="3"/>
      <c r="T285" s="3"/>
      <c r="U285" s="4"/>
      <c r="V285" s="4"/>
      <c r="Z285" s="11"/>
      <c r="AA285" s="15"/>
      <c r="AB285" s="15"/>
      <c r="AC285" s="15"/>
      <c r="AD285" s="16"/>
      <c r="AE285" s="16"/>
      <c r="AF285" s="16"/>
      <c r="AG285" s="16"/>
      <c r="AH285" s="16"/>
      <c r="AI285" s="16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16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</row>
    <row r="286" spans="1:96" ht="12" customHeight="1" x14ac:dyDescent="0.25">
      <c r="A286" s="3"/>
      <c r="B286" s="14"/>
      <c r="C286" s="14"/>
      <c r="D286" s="14"/>
      <c r="E286" s="14"/>
      <c r="K286" s="14"/>
      <c r="M286" s="14"/>
      <c r="N286" s="14"/>
      <c r="P286" s="3"/>
      <c r="Q286" s="4"/>
      <c r="R286" s="3"/>
      <c r="S286" s="3"/>
      <c r="T286" s="3"/>
      <c r="U286" s="4"/>
      <c r="V286" s="4"/>
      <c r="Z286" s="11"/>
      <c r="AA286" s="15"/>
      <c r="AB286" s="15"/>
      <c r="AC286" s="15"/>
      <c r="AD286" s="16"/>
      <c r="AE286" s="16"/>
      <c r="AF286" s="16"/>
      <c r="AG286" s="16"/>
      <c r="AH286" s="16"/>
      <c r="AI286" s="16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16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</row>
    <row r="287" spans="1:96" ht="12" customHeight="1" x14ac:dyDescent="0.25">
      <c r="A287" s="3"/>
      <c r="B287" s="14"/>
      <c r="C287" s="14"/>
      <c r="D287" s="14"/>
      <c r="E287" s="14"/>
      <c r="K287" s="14"/>
      <c r="M287" s="14"/>
      <c r="N287" s="14"/>
      <c r="P287" s="3"/>
      <c r="Q287" s="4"/>
      <c r="R287" s="3"/>
      <c r="S287" s="3"/>
      <c r="T287" s="3"/>
      <c r="U287" s="4"/>
      <c r="V287" s="4"/>
      <c r="Z287" s="11"/>
      <c r="AA287" s="15"/>
      <c r="AB287" s="15"/>
      <c r="AC287" s="15"/>
      <c r="AD287" s="16"/>
      <c r="AE287" s="16"/>
      <c r="AF287" s="16"/>
      <c r="AG287" s="16"/>
      <c r="AH287" s="16"/>
      <c r="AI287" s="16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16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</row>
    <row r="288" spans="1:96" ht="12" customHeight="1" x14ac:dyDescent="0.25">
      <c r="A288" s="3"/>
      <c r="B288" s="14"/>
      <c r="C288" s="14"/>
      <c r="D288" s="14"/>
      <c r="E288" s="14"/>
      <c r="K288" s="14"/>
      <c r="M288" s="14"/>
      <c r="N288" s="14"/>
      <c r="P288" s="3"/>
      <c r="Q288" s="4"/>
      <c r="R288" s="3"/>
      <c r="S288" s="3"/>
      <c r="T288" s="3"/>
      <c r="U288" s="4"/>
      <c r="V288" s="4"/>
      <c r="Z288" s="11"/>
      <c r="AA288" s="15"/>
      <c r="AB288" s="15"/>
      <c r="AC288" s="15"/>
      <c r="AD288" s="16"/>
      <c r="AE288" s="16"/>
      <c r="AF288" s="16"/>
      <c r="AG288" s="16"/>
      <c r="AH288" s="16"/>
      <c r="AI288" s="16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16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</row>
    <row r="289" spans="1:96" ht="12" customHeight="1" x14ac:dyDescent="0.25">
      <c r="A289" s="3"/>
      <c r="B289" s="14"/>
      <c r="C289" s="14"/>
      <c r="D289" s="14"/>
      <c r="E289" s="14"/>
      <c r="K289" s="14"/>
      <c r="M289" s="14"/>
      <c r="N289" s="14"/>
      <c r="P289" s="3"/>
      <c r="Q289" s="4"/>
      <c r="R289" s="3"/>
      <c r="S289" s="3"/>
      <c r="T289" s="3"/>
      <c r="U289" s="4"/>
      <c r="V289" s="4"/>
      <c r="Z289" s="11"/>
      <c r="AA289" s="15"/>
      <c r="AB289" s="15"/>
      <c r="AC289" s="15"/>
      <c r="AD289" s="16"/>
      <c r="AE289" s="16"/>
      <c r="AF289" s="16"/>
      <c r="AG289" s="16"/>
      <c r="AH289" s="16"/>
      <c r="AI289" s="16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16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</row>
    <row r="290" spans="1:96" ht="12" customHeight="1" x14ac:dyDescent="0.25">
      <c r="A290" s="3"/>
      <c r="B290" s="14"/>
      <c r="C290" s="14"/>
      <c r="D290" s="14"/>
      <c r="E290" s="14"/>
      <c r="K290" s="14"/>
      <c r="M290" s="14"/>
      <c r="N290" s="14"/>
      <c r="P290" s="3"/>
      <c r="Q290" s="4"/>
      <c r="R290" s="3"/>
      <c r="S290" s="3"/>
      <c r="T290" s="3"/>
      <c r="U290" s="4"/>
      <c r="V290" s="4"/>
      <c r="Z290" s="11"/>
      <c r="AA290" s="15"/>
      <c r="AB290" s="15"/>
      <c r="AC290" s="15"/>
      <c r="AD290" s="16"/>
      <c r="AE290" s="16"/>
      <c r="AF290" s="16"/>
      <c r="AG290" s="16"/>
      <c r="AH290" s="16"/>
      <c r="AI290" s="16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16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</row>
    <row r="291" spans="1:96" ht="12" customHeight="1" x14ac:dyDescent="0.25">
      <c r="A291" s="3"/>
      <c r="B291" s="14"/>
      <c r="C291" s="14"/>
      <c r="D291" s="14"/>
      <c r="E291" s="14"/>
      <c r="K291" s="14"/>
      <c r="M291" s="14"/>
      <c r="N291" s="14"/>
      <c r="P291" s="3"/>
      <c r="Q291" s="4"/>
      <c r="R291" s="3"/>
      <c r="S291" s="3"/>
      <c r="T291" s="3"/>
      <c r="U291" s="4"/>
      <c r="V291" s="4"/>
      <c r="Z291" s="11"/>
      <c r="AA291" s="15"/>
      <c r="AB291" s="15"/>
      <c r="AC291" s="15"/>
      <c r="AD291" s="16"/>
      <c r="AE291" s="16"/>
      <c r="AF291" s="16"/>
      <c r="AG291" s="16"/>
      <c r="AH291" s="16"/>
      <c r="AI291" s="16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16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</row>
    <row r="292" spans="1:96" ht="12" customHeight="1" x14ac:dyDescent="0.25">
      <c r="A292" s="3"/>
      <c r="B292" s="14"/>
      <c r="C292" s="14"/>
      <c r="D292" s="14"/>
      <c r="E292" s="14"/>
      <c r="K292" s="14"/>
      <c r="M292" s="14"/>
      <c r="N292" s="14"/>
      <c r="P292" s="3"/>
      <c r="Q292" s="4"/>
      <c r="R292" s="3"/>
      <c r="S292" s="3"/>
      <c r="T292" s="3"/>
      <c r="U292" s="4"/>
      <c r="V292" s="4"/>
      <c r="Z292" s="11"/>
      <c r="AA292" s="15"/>
      <c r="AB292" s="15"/>
      <c r="AC292" s="15"/>
      <c r="AD292" s="16"/>
      <c r="AE292" s="16"/>
      <c r="AF292" s="16"/>
      <c r="AG292" s="16"/>
      <c r="AH292" s="16"/>
      <c r="AI292" s="16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16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</row>
    <row r="293" spans="1:96" ht="12" customHeight="1" x14ac:dyDescent="0.25">
      <c r="A293" s="3"/>
      <c r="B293" s="14"/>
      <c r="C293" s="14"/>
      <c r="D293" s="14"/>
      <c r="E293" s="14"/>
      <c r="K293" s="14"/>
      <c r="M293" s="14"/>
      <c r="N293" s="14"/>
      <c r="P293" s="3"/>
      <c r="Q293" s="4"/>
      <c r="R293" s="3"/>
      <c r="S293" s="3"/>
      <c r="T293" s="3"/>
      <c r="U293" s="4"/>
      <c r="V293" s="4"/>
      <c r="Z293" s="11"/>
      <c r="AA293" s="15"/>
      <c r="AB293" s="15"/>
      <c r="AC293" s="15"/>
      <c r="AD293" s="16"/>
      <c r="AE293" s="16"/>
      <c r="AF293" s="16"/>
      <c r="AG293" s="16"/>
      <c r="AH293" s="16"/>
      <c r="AI293" s="16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16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</row>
    <row r="294" spans="1:96" ht="12" customHeight="1" x14ac:dyDescent="0.25">
      <c r="A294" s="3"/>
      <c r="B294" s="14"/>
      <c r="C294" s="14"/>
      <c r="D294" s="14"/>
      <c r="E294" s="14"/>
      <c r="K294" s="14"/>
      <c r="M294" s="14"/>
      <c r="N294" s="14"/>
      <c r="P294" s="3"/>
      <c r="Q294" s="4"/>
      <c r="R294" s="3"/>
      <c r="S294" s="3"/>
      <c r="T294" s="3"/>
      <c r="U294" s="4"/>
      <c r="V294" s="4"/>
      <c r="Z294" s="11"/>
      <c r="AA294" s="15"/>
      <c r="AB294" s="15"/>
      <c r="AC294" s="15"/>
      <c r="AD294" s="16"/>
      <c r="AE294" s="16"/>
      <c r="AF294" s="16"/>
      <c r="AG294" s="16"/>
      <c r="AH294" s="16"/>
      <c r="AI294" s="16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16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</row>
    <row r="295" spans="1:96" ht="12" customHeight="1" x14ac:dyDescent="0.25">
      <c r="A295" s="3"/>
      <c r="B295" s="14"/>
      <c r="C295" s="14"/>
      <c r="D295" s="14"/>
      <c r="E295" s="14"/>
      <c r="K295" s="14"/>
      <c r="M295" s="14"/>
      <c r="N295" s="14"/>
      <c r="P295" s="3"/>
      <c r="Q295" s="4"/>
      <c r="R295" s="3"/>
      <c r="S295" s="3"/>
      <c r="T295" s="3"/>
      <c r="U295" s="4"/>
      <c r="V295" s="4"/>
      <c r="Z295" s="11"/>
      <c r="AA295" s="15"/>
      <c r="AB295" s="15"/>
      <c r="AC295" s="15"/>
      <c r="AD295" s="16"/>
      <c r="AE295" s="16"/>
      <c r="AF295" s="16"/>
      <c r="AG295" s="16"/>
      <c r="AH295" s="16"/>
      <c r="AI295" s="16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16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</row>
    <row r="296" spans="1:96" ht="12" customHeight="1" x14ac:dyDescent="0.25">
      <c r="A296" s="3"/>
      <c r="B296" s="14"/>
      <c r="C296" s="14"/>
      <c r="D296" s="14"/>
      <c r="E296" s="14"/>
      <c r="K296" s="14"/>
      <c r="M296" s="14"/>
      <c r="N296" s="14"/>
      <c r="P296" s="3"/>
      <c r="Q296" s="4"/>
      <c r="R296" s="3"/>
      <c r="S296" s="3"/>
      <c r="T296" s="3"/>
      <c r="U296" s="4"/>
      <c r="V296" s="4"/>
      <c r="Z296" s="11"/>
      <c r="AA296" s="15"/>
      <c r="AB296" s="15"/>
      <c r="AC296" s="15"/>
      <c r="AD296" s="16"/>
      <c r="AE296" s="16"/>
      <c r="AF296" s="16"/>
      <c r="AG296" s="16"/>
      <c r="AH296" s="16"/>
      <c r="AI296" s="16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16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</row>
    <row r="297" spans="1:96" ht="12" customHeight="1" x14ac:dyDescent="0.25">
      <c r="A297" s="3"/>
      <c r="B297" s="14"/>
      <c r="C297" s="14"/>
      <c r="D297" s="14"/>
      <c r="E297" s="14"/>
      <c r="K297" s="14"/>
      <c r="M297" s="14"/>
      <c r="N297" s="14"/>
      <c r="P297" s="3"/>
      <c r="Q297" s="4"/>
      <c r="R297" s="3"/>
      <c r="S297" s="3"/>
      <c r="T297" s="3"/>
      <c r="U297" s="4"/>
      <c r="V297" s="4"/>
      <c r="Z297" s="11"/>
      <c r="AA297" s="15"/>
      <c r="AB297" s="15"/>
      <c r="AC297" s="15"/>
      <c r="AD297" s="16"/>
      <c r="AE297" s="16"/>
      <c r="AF297" s="16"/>
      <c r="AG297" s="16"/>
      <c r="AH297" s="16"/>
      <c r="AI297" s="16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16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</row>
    <row r="298" spans="1:96" ht="12" customHeight="1" x14ac:dyDescent="0.25">
      <c r="A298" s="3"/>
      <c r="B298" s="14"/>
      <c r="C298" s="14"/>
      <c r="D298" s="14"/>
      <c r="E298" s="14"/>
      <c r="K298" s="14"/>
      <c r="M298" s="14"/>
      <c r="N298" s="14"/>
      <c r="P298" s="3"/>
      <c r="Q298" s="4"/>
      <c r="R298" s="3"/>
      <c r="S298" s="3"/>
      <c r="T298" s="3"/>
      <c r="U298" s="4"/>
      <c r="V298" s="4"/>
      <c r="Z298" s="11"/>
      <c r="AA298" s="15"/>
      <c r="AB298" s="15"/>
      <c r="AC298" s="15"/>
      <c r="AD298" s="16"/>
      <c r="AE298" s="16"/>
      <c r="AF298" s="16"/>
      <c r="AG298" s="16"/>
      <c r="AH298" s="16"/>
      <c r="AI298" s="16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16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</row>
    <row r="299" spans="1:96" ht="12" customHeight="1" x14ac:dyDescent="0.25">
      <c r="A299" s="3"/>
      <c r="B299" s="14"/>
      <c r="C299" s="14"/>
      <c r="D299" s="14"/>
      <c r="E299" s="14"/>
      <c r="K299" s="14"/>
      <c r="M299" s="14"/>
      <c r="N299" s="14"/>
      <c r="P299" s="3"/>
      <c r="Q299" s="4"/>
      <c r="R299" s="3"/>
      <c r="S299" s="3"/>
      <c r="T299" s="3"/>
      <c r="U299" s="4"/>
      <c r="V299" s="4"/>
      <c r="Z299" s="11"/>
      <c r="AA299" s="15"/>
      <c r="AB299" s="15"/>
      <c r="AC299" s="15"/>
      <c r="AD299" s="16"/>
      <c r="AE299" s="16"/>
      <c r="AF299" s="16"/>
      <c r="AG299" s="16"/>
      <c r="AH299" s="16"/>
      <c r="AI299" s="16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16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</row>
    <row r="300" spans="1:96" ht="12" customHeight="1" x14ac:dyDescent="0.25">
      <c r="A300" s="3"/>
      <c r="B300" s="14"/>
      <c r="C300" s="14"/>
      <c r="D300" s="14"/>
      <c r="E300" s="14"/>
      <c r="K300" s="14"/>
      <c r="M300" s="14"/>
      <c r="N300" s="14"/>
      <c r="P300" s="3"/>
      <c r="Q300" s="4"/>
      <c r="R300" s="3"/>
      <c r="S300" s="3"/>
      <c r="T300" s="3"/>
      <c r="U300" s="4"/>
      <c r="V300" s="4"/>
      <c r="Z300" s="11"/>
      <c r="AA300" s="15"/>
      <c r="AB300" s="15"/>
      <c r="AC300" s="15"/>
      <c r="AD300" s="16"/>
      <c r="AE300" s="16"/>
      <c r="AF300" s="16"/>
      <c r="AG300" s="16"/>
      <c r="AH300" s="16"/>
      <c r="AI300" s="16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16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</row>
    <row r="301" spans="1:96" ht="12" customHeight="1" x14ac:dyDescent="0.25">
      <c r="A301" s="3"/>
      <c r="B301" s="14"/>
      <c r="C301" s="14"/>
      <c r="D301" s="14"/>
      <c r="E301" s="14"/>
      <c r="K301" s="14"/>
      <c r="M301" s="14"/>
      <c r="N301" s="14"/>
      <c r="P301" s="3"/>
      <c r="Q301" s="4"/>
      <c r="R301" s="3"/>
      <c r="S301" s="3"/>
      <c r="T301" s="3"/>
      <c r="U301" s="4"/>
      <c r="V301" s="4"/>
      <c r="Z301" s="11"/>
      <c r="AA301" s="15"/>
      <c r="AB301" s="15"/>
      <c r="AC301" s="15"/>
      <c r="AD301" s="16"/>
      <c r="AE301" s="16"/>
      <c r="AF301" s="16"/>
      <c r="AG301" s="16"/>
      <c r="AH301" s="16"/>
      <c r="AI301" s="16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16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</row>
    <row r="302" spans="1:96" ht="12" customHeight="1" x14ac:dyDescent="0.25">
      <c r="A302" s="3"/>
      <c r="B302" s="14"/>
      <c r="C302" s="14"/>
      <c r="D302" s="14"/>
      <c r="E302" s="14"/>
      <c r="K302" s="14"/>
      <c r="M302" s="14"/>
      <c r="N302" s="14"/>
      <c r="P302" s="3"/>
      <c r="Q302" s="4"/>
      <c r="R302" s="3"/>
      <c r="S302" s="3"/>
      <c r="T302" s="3"/>
      <c r="U302" s="4"/>
      <c r="V302" s="4"/>
      <c r="Z302" s="11"/>
      <c r="AA302" s="15"/>
      <c r="AB302" s="15"/>
      <c r="AC302" s="15"/>
      <c r="AD302" s="16"/>
      <c r="AE302" s="16"/>
      <c r="AF302" s="16"/>
      <c r="AG302" s="16"/>
      <c r="AH302" s="16"/>
      <c r="AI302" s="16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16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</row>
    <row r="303" spans="1:96" ht="12" customHeight="1" x14ac:dyDescent="0.25">
      <c r="A303" s="3"/>
      <c r="B303" s="14"/>
      <c r="C303" s="14"/>
      <c r="D303" s="14"/>
      <c r="E303" s="14"/>
      <c r="K303" s="14"/>
      <c r="M303" s="14"/>
      <c r="N303" s="14"/>
      <c r="P303" s="3"/>
      <c r="Q303" s="4"/>
      <c r="R303" s="3"/>
      <c r="S303" s="3"/>
      <c r="T303" s="3"/>
      <c r="U303" s="4"/>
      <c r="V303" s="4"/>
      <c r="Z303" s="11"/>
      <c r="AA303" s="15"/>
      <c r="AB303" s="15"/>
      <c r="AC303" s="15"/>
      <c r="AD303" s="16"/>
      <c r="AE303" s="16"/>
      <c r="AF303" s="16"/>
      <c r="AG303" s="16"/>
      <c r="AH303" s="16"/>
      <c r="AI303" s="16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16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</row>
    <row r="304" spans="1:96" ht="12" customHeight="1" x14ac:dyDescent="0.25">
      <c r="A304" s="3"/>
      <c r="B304" s="14"/>
      <c r="C304" s="14"/>
      <c r="D304" s="14"/>
      <c r="E304" s="14"/>
      <c r="K304" s="14"/>
      <c r="M304" s="14"/>
      <c r="N304" s="14"/>
      <c r="P304" s="3"/>
      <c r="Q304" s="4"/>
      <c r="R304" s="3"/>
      <c r="S304" s="3"/>
      <c r="T304" s="3"/>
      <c r="U304" s="4"/>
      <c r="V304" s="4"/>
      <c r="Z304" s="11"/>
      <c r="AA304" s="15"/>
      <c r="AB304" s="15"/>
      <c r="AC304" s="15"/>
      <c r="AD304" s="16"/>
      <c r="AE304" s="16"/>
      <c r="AF304" s="16"/>
      <c r="AG304" s="16"/>
      <c r="AH304" s="16"/>
      <c r="AI304" s="16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16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</row>
    <row r="305" spans="1:96" ht="12" customHeight="1" x14ac:dyDescent="0.25">
      <c r="A305" s="3"/>
      <c r="B305" s="14"/>
      <c r="C305" s="14"/>
      <c r="D305" s="14"/>
      <c r="E305" s="14"/>
      <c r="K305" s="14"/>
      <c r="M305" s="14"/>
      <c r="N305" s="14"/>
      <c r="P305" s="3"/>
      <c r="Q305" s="4"/>
      <c r="R305" s="3"/>
      <c r="S305" s="3"/>
      <c r="T305" s="3"/>
      <c r="U305" s="4"/>
      <c r="V305" s="4"/>
      <c r="Z305" s="11"/>
      <c r="AA305" s="15"/>
      <c r="AB305" s="15"/>
      <c r="AC305" s="15"/>
      <c r="AD305" s="16"/>
      <c r="AE305" s="16"/>
      <c r="AF305" s="16"/>
      <c r="AG305" s="16"/>
      <c r="AH305" s="16"/>
      <c r="AI305" s="16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16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</row>
    <row r="306" spans="1:96" ht="12" customHeight="1" x14ac:dyDescent="0.25">
      <c r="A306" s="3"/>
      <c r="B306" s="14"/>
      <c r="C306" s="14"/>
      <c r="D306" s="14"/>
      <c r="E306" s="14"/>
      <c r="K306" s="14"/>
      <c r="M306" s="14"/>
      <c r="N306" s="14"/>
      <c r="P306" s="3"/>
      <c r="Q306" s="4"/>
      <c r="R306" s="3"/>
      <c r="S306" s="3"/>
      <c r="T306" s="3"/>
      <c r="U306" s="4"/>
      <c r="V306" s="4"/>
      <c r="Z306" s="11"/>
      <c r="AA306" s="15"/>
      <c r="AB306" s="15"/>
      <c r="AC306" s="15"/>
      <c r="AD306" s="16"/>
      <c r="AE306" s="16"/>
      <c r="AF306" s="16"/>
      <c r="AG306" s="16"/>
      <c r="AH306" s="16"/>
      <c r="AI306" s="16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16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</row>
    <row r="307" spans="1:96" ht="12" customHeight="1" x14ac:dyDescent="0.25">
      <c r="A307" s="3"/>
      <c r="B307" s="14"/>
      <c r="C307" s="14"/>
      <c r="D307" s="14"/>
      <c r="E307" s="14"/>
      <c r="K307" s="14"/>
      <c r="M307" s="14"/>
      <c r="N307" s="14"/>
      <c r="P307" s="3"/>
      <c r="Q307" s="4"/>
      <c r="R307" s="3"/>
      <c r="S307" s="3"/>
      <c r="T307" s="3"/>
      <c r="U307" s="4"/>
      <c r="V307" s="4"/>
      <c r="Z307" s="11"/>
      <c r="AA307" s="15"/>
      <c r="AB307" s="15"/>
      <c r="AC307" s="15"/>
      <c r="AD307" s="16"/>
      <c r="AE307" s="16"/>
      <c r="AF307" s="16"/>
      <c r="AG307" s="16"/>
      <c r="AH307" s="16"/>
      <c r="AI307" s="16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16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</row>
    <row r="308" spans="1:96" ht="12" customHeight="1" x14ac:dyDescent="0.25">
      <c r="A308" s="3"/>
      <c r="B308" s="14"/>
      <c r="C308" s="14"/>
      <c r="D308" s="14"/>
      <c r="E308" s="14"/>
      <c r="K308" s="14"/>
      <c r="M308" s="14"/>
      <c r="N308" s="14"/>
      <c r="P308" s="3"/>
      <c r="Q308" s="4"/>
      <c r="R308" s="3"/>
      <c r="S308" s="3"/>
      <c r="T308" s="3"/>
      <c r="U308" s="4"/>
      <c r="V308" s="4"/>
      <c r="Z308" s="11"/>
      <c r="AA308" s="15"/>
      <c r="AB308" s="15"/>
      <c r="AC308" s="15"/>
      <c r="AD308" s="16"/>
      <c r="AE308" s="16"/>
      <c r="AF308" s="16"/>
      <c r="AG308" s="16"/>
      <c r="AH308" s="16"/>
      <c r="AI308" s="16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16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</row>
    <row r="309" spans="1:96" ht="12" customHeight="1" x14ac:dyDescent="0.25">
      <c r="A309" s="3"/>
      <c r="B309" s="14"/>
      <c r="C309" s="14"/>
      <c r="D309" s="14"/>
      <c r="E309" s="14"/>
      <c r="K309" s="14"/>
      <c r="M309" s="14"/>
      <c r="N309" s="14"/>
      <c r="Z309" s="11"/>
      <c r="AA309" s="15"/>
      <c r="AB309" s="15"/>
      <c r="AC309" s="15"/>
      <c r="AD309" s="16"/>
      <c r="AE309" s="16"/>
      <c r="AF309" s="16"/>
      <c r="AG309" s="16"/>
      <c r="AH309" s="16"/>
      <c r="AI309" s="16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16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</row>
    <row r="310" spans="1:96" ht="12" customHeight="1" x14ac:dyDescent="0.25">
      <c r="A310" s="3"/>
      <c r="B310" s="14"/>
      <c r="C310" s="14"/>
      <c r="D310" s="14"/>
      <c r="E310" s="14"/>
      <c r="K310" s="14"/>
      <c r="M310" s="14"/>
      <c r="N310" s="14"/>
      <c r="Z310" s="11"/>
      <c r="AA310" s="15"/>
      <c r="AB310" s="15"/>
      <c r="AC310" s="15"/>
      <c r="AD310" s="16"/>
      <c r="AE310" s="16"/>
      <c r="AF310" s="16"/>
      <c r="AG310" s="16"/>
      <c r="AH310" s="16"/>
      <c r="AI310" s="16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16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</row>
    <row r="311" spans="1:96" ht="12" customHeight="1" x14ac:dyDescent="0.25">
      <c r="A311" s="3"/>
      <c r="B311" s="14"/>
      <c r="C311" s="14"/>
      <c r="D311" s="14"/>
      <c r="E311" s="14"/>
      <c r="K311" s="14"/>
      <c r="M311" s="14"/>
      <c r="N311" s="14"/>
      <c r="Z311" s="11"/>
      <c r="AA311" s="15"/>
      <c r="AB311" s="15"/>
      <c r="AC311" s="15"/>
      <c r="AD311" s="16"/>
      <c r="AE311" s="16"/>
      <c r="AF311" s="16"/>
      <c r="AG311" s="16"/>
      <c r="AH311" s="16"/>
      <c r="AI311" s="16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16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</row>
    <row r="312" spans="1:96" ht="12" customHeight="1" x14ac:dyDescent="0.25">
      <c r="A312" s="3"/>
      <c r="B312" s="14"/>
      <c r="C312" s="14"/>
      <c r="D312" s="14"/>
      <c r="E312" s="14"/>
      <c r="K312" s="14"/>
      <c r="M312" s="14"/>
      <c r="N312" s="14"/>
      <c r="Z312" s="11"/>
      <c r="AA312" s="15"/>
      <c r="AB312" s="15"/>
      <c r="AC312" s="15"/>
      <c r="AD312" s="16"/>
      <c r="AE312" s="16"/>
      <c r="AF312" s="16"/>
      <c r="AG312" s="16"/>
      <c r="AH312" s="16"/>
      <c r="AI312" s="16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16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</row>
    <row r="313" spans="1:96" ht="12" customHeight="1" x14ac:dyDescent="0.25">
      <c r="A313" s="3"/>
      <c r="B313" s="14"/>
      <c r="C313" s="14"/>
      <c r="D313" s="14"/>
      <c r="E313" s="14"/>
      <c r="K313" s="14"/>
      <c r="M313" s="14"/>
      <c r="N313" s="14"/>
      <c r="Z313" s="11"/>
      <c r="AA313" s="15"/>
      <c r="AB313" s="15"/>
      <c r="AC313" s="15"/>
      <c r="AD313" s="16"/>
      <c r="AE313" s="16"/>
      <c r="AF313" s="16"/>
      <c r="AG313" s="16"/>
      <c r="AH313" s="16"/>
      <c r="AI313" s="16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16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</row>
    <row r="314" spans="1:96" ht="12" customHeight="1" x14ac:dyDescent="0.25">
      <c r="A314" s="3"/>
      <c r="B314" s="14"/>
      <c r="C314" s="14"/>
      <c r="D314" s="14"/>
      <c r="E314" s="14"/>
      <c r="K314" s="14"/>
      <c r="M314" s="14"/>
      <c r="N314" s="14"/>
      <c r="Z314" s="11"/>
      <c r="AA314" s="15"/>
      <c r="AB314" s="15"/>
      <c r="AC314" s="15"/>
      <c r="AD314" s="16"/>
      <c r="AE314" s="16"/>
      <c r="AF314" s="16"/>
      <c r="AG314" s="16"/>
      <c r="AH314" s="16"/>
      <c r="AI314" s="16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16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</row>
    <row r="315" spans="1:96" ht="12" customHeight="1" x14ac:dyDescent="0.25">
      <c r="A315" s="3"/>
      <c r="B315" s="14"/>
      <c r="C315" s="14"/>
      <c r="D315" s="14"/>
      <c r="E315" s="14"/>
      <c r="K315" s="14"/>
      <c r="M315" s="14"/>
      <c r="N315" s="14"/>
      <c r="Z315" s="11"/>
      <c r="AA315" s="15"/>
      <c r="AB315" s="15"/>
      <c r="AC315" s="15"/>
      <c r="AD315" s="16"/>
      <c r="AE315" s="16"/>
      <c r="AF315" s="16"/>
      <c r="AG315" s="16"/>
      <c r="AH315" s="16"/>
      <c r="AI315" s="16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16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</row>
    <row r="316" spans="1:96" ht="12" customHeight="1" x14ac:dyDescent="0.25">
      <c r="A316" s="3"/>
      <c r="B316" s="14"/>
      <c r="C316" s="14"/>
      <c r="D316" s="14"/>
      <c r="E316" s="14"/>
      <c r="K316" s="14"/>
      <c r="M316" s="14"/>
      <c r="N316" s="14"/>
      <c r="Z316" s="11"/>
      <c r="AA316" s="15"/>
      <c r="AB316" s="15"/>
      <c r="AC316" s="15"/>
      <c r="AD316" s="16"/>
      <c r="AE316" s="16"/>
      <c r="AF316" s="16"/>
      <c r="AG316" s="16"/>
      <c r="AH316" s="16"/>
      <c r="AI316" s="16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16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</row>
    <row r="317" spans="1:96" ht="12" customHeight="1" x14ac:dyDescent="0.25">
      <c r="A317" s="3"/>
      <c r="B317" s="14"/>
      <c r="C317" s="14"/>
      <c r="D317" s="14"/>
      <c r="E317" s="14"/>
      <c r="K317" s="14"/>
      <c r="M317" s="14"/>
      <c r="N317" s="14"/>
      <c r="Z317" s="11"/>
      <c r="AA317" s="15"/>
      <c r="AB317" s="15"/>
      <c r="AC317" s="15"/>
      <c r="AD317" s="16"/>
      <c r="AE317" s="16"/>
      <c r="AF317" s="16"/>
      <c r="AG317" s="16"/>
      <c r="AH317" s="16"/>
      <c r="AI317" s="16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16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</row>
    <row r="318" spans="1:96" ht="12" customHeight="1" x14ac:dyDescent="0.25">
      <c r="A318" s="3"/>
      <c r="B318" s="14"/>
      <c r="C318" s="14"/>
      <c r="D318" s="14"/>
      <c r="E318" s="14"/>
      <c r="K318" s="14"/>
      <c r="M318" s="14"/>
      <c r="N318" s="14"/>
      <c r="Z318" s="11"/>
      <c r="AA318" s="15"/>
      <c r="AB318" s="15"/>
      <c r="AC318" s="15"/>
      <c r="AD318" s="16"/>
      <c r="AE318" s="16"/>
      <c r="AF318" s="16"/>
      <c r="AG318" s="16"/>
      <c r="AH318" s="16"/>
      <c r="AI318" s="16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16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</row>
    <row r="319" spans="1:96" ht="12" customHeight="1" x14ac:dyDescent="0.25">
      <c r="A319" s="3"/>
      <c r="B319" s="14"/>
      <c r="C319" s="14"/>
      <c r="D319" s="14"/>
      <c r="E319" s="14"/>
      <c r="K319" s="14"/>
      <c r="M319" s="14"/>
      <c r="N319" s="14"/>
      <c r="Z319" s="11"/>
      <c r="AA319" s="15"/>
      <c r="AB319" s="15"/>
      <c r="AC319" s="15"/>
      <c r="AD319" s="16"/>
      <c r="AE319" s="16"/>
      <c r="AF319" s="16"/>
      <c r="AG319" s="16"/>
      <c r="AH319" s="16"/>
      <c r="AI319" s="16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16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</row>
    <row r="320" spans="1:96" ht="12" customHeight="1" x14ac:dyDescent="0.25">
      <c r="A320" s="3"/>
      <c r="B320" s="14"/>
      <c r="C320" s="14"/>
      <c r="D320" s="14"/>
      <c r="E320" s="14"/>
      <c r="K320" s="14"/>
      <c r="M320" s="14"/>
      <c r="N320" s="14"/>
      <c r="Z320" s="11"/>
      <c r="AA320" s="15"/>
      <c r="AB320" s="15"/>
      <c r="AC320" s="15"/>
      <c r="AD320" s="16"/>
      <c r="AE320" s="16"/>
      <c r="AF320" s="16"/>
      <c r="AG320" s="16"/>
      <c r="AH320" s="16"/>
      <c r="AI320" s="16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16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</row>
    <row r="321" spans="1:96" ht="12" customHeight="1" x14ac:dyDescent="0.25">
      <c r="A321" s="3"/>
      <c r="B321" s="14"/>
      <c r="C321" s="14"/>
      <c r="D321" s="14"/>
      <c r="E321" s="14"/>
      <c r="K321" s="14"/>
      <c r="M321" s="14"/>
      <c r="N321" s="14"/>
      <c r="Z321" s="11"/>
      <c r="AA321" s="15"/>
      <c r="AB321" s="15"/>
      <c r="AC321" s="15"/>
      <c r="AD321" s="16"/>
      <c r="AE321" s="16"/>
      <c r="AF321" s="16"/>
      <c r="AG321" s="16"/>
      <c r="AH321" s="16"/>
      <c r="AI321" s="16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16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</row>
    <row r="322" spans="1:96" ht="12" customHeight="1" x14ac:dyDescent="0.25">
      <c r="A322" s="3"/>
      <c r="B322" s="14"/>
      <c r="C322" s="14"/>
      <c r="D322" s="14"/>
      <c r="E322" s="14"/>
      <c r="K322" s="14"/>
      <c r="M322" s="14"/>
      <c r="N322" s="14"/>
      <c r="Z322" s="11"/>
      <c r="AA322" s="15"/>
      <c r="AB322" s="15"/>
      <c r="AC322" s="15"/>
      <c r="AD322" s="16"/>
      <c r="AE322" s="16"/>
      <c r="AF322" s="16"/>
      <c r="AG322" s="16"/>
      <c r="AH322" s="16"/>
      <c r="AI322" s="16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16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</row>
    <row r="323" spans="1:96" ht="12" customHeight="1" x14ac:dyDescent="0.25">
      <c r="A323" s="3"/>
      <c r="B323" s="14"/>
      <c r="C323" s="14"/>
      <c r="D323" s="14"/>
      <c r="E323" s="14"/>
      <c r="K323" s="14"/>
      <c r="M323" s="14"/>
      <c r="N323" s="14"/>
      <c r="Z323" s="11"/>
      <c r="AA323" s="15"/>
      <c r="AB323" s="15"/>
      <c r="AC323" s="15"/>
      <c r="AD323" s="16"/>
      <c r="AE323" s="16"/>
      <c r="AF323" s="16"/>
      <c r="AG323" s="16"/>
      <c r="AH323" s="16"/>
      <c r="AI323" s="16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16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</row>
    <row r="324" spans="1:96" ht="12" customHeight="1" x14ac:dyDescent="0.25">
      <c r="A324" s="3"/>
      <c r="B324" s="14"/>
      <c r="C324" s="14"/>
      <c r="D324" s="14"/>
      <c r="E324" s="14"/>
      <c r="K324" s="14"/>
      <c r="M324" s="14"/>
      <c r="N324" s="14"/>
      <c r="Z324" s="11"/>
      <c r="AA324" s="15"/>
      <c r="AB324" s="15"/>
      <c r="AC324" s="15"/>
      <c r="AD324" s="16"/>
      <c r="AE324" s="16"/>
      <c r="AF324" s="16"/>
      <c r="AG324" s="16"/>
      <c r="AH324" s="16"/>
      <c r="AI324" s="16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16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</row>
    <row r="325" spans="1:96" ht="12" customHeight="1" x14ac:dyDescent="0.25">
      <c r="A325" s="3"/>
      <c r="B325" s="14"/>
      <c r="C325" s="14"/>
      <c r="D325" s="14"/>
      <c r="E325" s="14"/>
      <c r="K325" s="14"/>
      <c r="M325" s="14"/>
      <c r="N325" s="14"/>
      <c r="Z325" s="11"/>
      <c r="AA325" s="15"/>
      <c r="AB325" s="15"/>
      <c r="AC325" s="15"/>
      <c r="AD325" s="16"/>
      <c r="AE325" s="16"/>
      <c r="AF325" s="16"/>
      <c r="AG325" s="16"/>
      <c r="AH325" s="16"/>
      <c r="AI325" s="16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16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</row>
    <row r="326" spans="1:96" ht="12" customHeight="1" x14ac:dyDescent="0.25">
      <c r="A326" s="3"/>
      <c r="B326" s="14"/>
      <c r="C326" s="14"/>
      <c r="D326" s="14"/>
      <c r="E326" s="14"/>
      <c r="K326" s="14"/>
      <c r="M326" s="14"/>
      <c r="N326" s="14"/>
      <c r="Z326" s="11"/>
      <c r="AA326" s="15"/>
      <c r="AB326" s="15"/>
      <c r="AC326" s="15"/>
      <c r="AD326" s="16"/>
      <c r="AE326" s="16"/>
      <c r="AF326" s="16"/>
      <c r="AG326" s="16"/>
      <c r="AH326" s="16"/>
      <c r="AI326" s="16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16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</row>
    <row r="327" spans="1:96" ht="12" customHeight="1" x14ac:dyDescent="0.25">
      <c r="A327" s="3"/>
      <c r="B327" s="14"/>
      <c r="C327" s="14"/>
      <c r="D327" s="14"/>
      <c r="E327" s="14"/>
      <c r="K327" s="14"/>
      <c r="M327" s="14"/>
      <c r="N327" s="14"/>
      <c r="Z327" s="11"/>
      <c r="AA327" s="15"/>
      <c r="AB327" s="15"/>
      <c r="AC327" s="15"/>
      <c r="AD327" s="16"/>
      <c r="AE327" s="16"/>
      <c r="AF327" s="16"/>
      <c r="AG327" s="16"/>
      <c r="AH327" s="16"/>
      <c r="AI327" s="16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16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</row>
    <row r="328" spans="1:96" ht="12" customHeight="1" x14ac:dyDescent="0.25">
      <c r="A328" s="3"/>
      <c r="B328" s="14"/>
      <c r="C328" s="14"/>
      <c r="D328" s="14"/>
      <c r="E328" s="14"/>
      <c r="K328" s="14"/>
      <c r="M328" s="14"/>
      <c r="N328" s="14"/>
      <c r="Z328" s="11"/>
      <c r="AA328" s="15"/>
      <c r="AB328" s="15"/>
      <c r="AC328" s="15"/>
      <c r="AD328" s="16"/>
      <c r="AE328" s="16"/>
      <c r="AF328" s="16"/>
      <c r="AG328" s="16"/>
      <c r="AH328" s="16"/>
      <c r="AI328" s="16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16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</row>
    <row r="329" spans="1:96" ht="12" customHeight="1" x14ac:dyDescent="0.25">
      <c r="A329" s="3"/>
      <c r="B329" s="14"/>
      <c r="C329" s="14"/>
      <c r="D329" s="14"/>
      <c r="E329" s="14"/>
      <c r="K329" s="14"/>
      <c r="M329" s="14"/>
      <c r="N329" s="14"/>
      <c r="Z329" s="11"/>
      <c r="AA329" s="15"/>
      <c r="AB329" s="15"/>
      <c r="AC329" s="15"/>
      <c r="AD329" s="16"/>
      <c r="AE329" s="16"/>
      <c r="AF329" s="16"/>
      <c r="AG329" s="16"/>
      <c r="AH329" s="16"/>
      <c r="AI329" s="16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16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</row>
    <row r="330" spans="1:96" ht="12" customHeight="1" x14ac:dyDescent="0.25">
      <c r="A330" s="3"/>
      <c r="B330" s="14"/>
      <c r="C330" s="14"/>
      <c r="D330" s="14"/>
      <c r="E330" s="14"/>
      <c r="K330" s="14"/>
      <c r="M330" s="14"/>
      <c r="N330" s="14"/>
      <c r="Z330" s="11"/>
      <c r="AA330" s="15"/>
      <c r="AB330" s="15"/>
      <c r="AC330" s="15"/>
      <c r="AD330" s="16"/>
      <c r="AE330" s="16"/>
      <c r="AF330" s="16"/>
      <c r="AG330" s="16"/>
      <c r="AH330" s="16"/>
      <c r="AI330" s="16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16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</row>
    <row r="331" spans="1:96" ht="12" customHeight="1" x14ac:dyDescent="0.25">
      <c r="A331" s="3"/>
      <c r="B331" s="14"/>
      <c r="C331" s="14"/>
      <c r="D331" s="14"/>
      <c r="E331" s="14"/>
      <c r="K331" s="14"/>
      <c r="M331" s="14"/>
      <c r="N331" s="14"/>
      <c r="Z331" s="11"/>
      <c r="AA331" s="15"/>
      <c r="AB331" s="15"/>
      <c r="AC331" s="15"/>
      <c r="AD331" s="16"/>
      <c r="AE331" s="16"/>
      <c r="AF331" s="16"/>
      <c r="AG331" s="16"/>
      <c r="AH331" s="16"/>
      <c r="AI331" s="16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16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</row>
    <row r="332" spans="1:96" ht="12" customHeight="1" x14ac:dyDescent="0.25">
      <c r="A332" s="3"/>
      <c r="B332" s="14"/>
      <c r="C332" s="14"/>
      <c r="D332" s="14"/>
      <c r="E332" s="14"/>
      <c r="K332" s="14"/>
      <c r="M332" s="14"/>
      <c r="N332" s="14"/>
      <c r="Z332" s="11"/>
      <c r="AA332" s="15"/>
      <c r="AB332" s="15"/>
      <c r="AC332" s="15"/>
      <c r="AD332" s="16"/>
      <c r="AE332" s="16"/>
      <c r="AF332" s="16"/>
      <c r="AG332" s="16"/>
      <c r="AH332" s="16"/>
      <c r="AI332" s="16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16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</row>
    <row r="333" spans="1:96" ht="12" customHeight="1" x14ac:dyDescent="0.25">
      <c r="A333" s="3"/>
      <c r="B333" s="14"/>
      <c r="C333" s="14"/>
      <c r="D333" s="14"/>
      <c r="E333" s="14"/>
      <c r="K333" s="14"/>
      <c r="M333" s="14"/>
      <c r="N333" s="14"/>
      <c r="Z333" s="11"/>
      <c r="AA333" s="15"/>
      <c r="AB333" s="15"/>
      <c r="AC333" s="15"/>
      <c r="AD333" s="16"/>
      <c r="AE333" s="16"/>
      <c r="AF333" s="16"/>
      <c r="AG333" s="16"/>
      <c r="AH333" s="16"/>
      <c r="AI333" s="16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16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</row>
    <row r="334" spans="1:96" ht="12" customHeight="1" x14ac:dyDescent="0.25">
      <c r="A334" s="3"/>
      <c r="B334" s="14"/>
      <c r="C334" s="14"/>
      <c r="D334" s="14"/>
      <c r="E334" s="14"/>
      <c r="K334" s="14"/>
      <c r="M334" s="14"/>
      <c r="N334" s="14"/>
      <c r="Z334" s="11"/>
      <c r="AA334" s="15"/>
      <c r="AB334" s="15"/>
      <c r="AC334" s="15"/>
      <c r="AD334" s="16"/>
      <c r="AE334" s="16"/>
      <c r="AF334" s="16"/>
      <c r="AG334" s="16"/>
      <c r="AH334" s="16"/>
      <c r="AI334" s="16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16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</row>
    <row r="335" spans="1:96" ht="12" customHeight="1" x14ac:dyDescent="0.25">
      <c r="A335" s="3"/>
      <c r="B335" s="14"/>
      <c r="C335" s="14"/>
      <c r="D335" s="14"/>
      <c r="E335" s="14"/>
      <c r="K335" s="14"/>
      <c r="M335" s="14"/>
      <c r="N335" s="14"/>
      <c r="Z335" s="11"/>
      <c r="AA335" s="15"/>
      <c r="AB335" s="15"/>
      <c r="AC335" s="15"/>
      <c r="AD335" s="16"/>
      <c r="AE335" s="16"/>
      <c r="AF335" s="16"/>
      <c r="AG335" s="16"/>
      <c r="AH335" s="16"/>
      <c r="AI335" s="16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16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</row>
    <row r="336" spans="1:96" ht="12" customHeight="1" x14ac:dyDescent="0.25">
      <c r="A336" s="3"/>
      <c r="B336" s="14"/>
      <c r="C336" s="14"/>
      <c r="D336" s="14"/>
      <c r="E336" s="14"/>
      <c r="K336" s="14"/>
      <c r="M336" s="14"/>
      <c r="N336" s="14"/>
      <c r="Z336" s="11"/>
      <c r="AA336" s="15"/>
      <c r="AB336" s="15"/>
      <c r="AC336" s="15"/>
      <c r="AD336" s="16"/>
      <c r="AE336" s="16"/>
      <c r="AF336" s="16"/>
      <c r="AG336" s="16"/>
      <c r="AH336" s="16"/>
      <c r="AI336" s="16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16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</row>
    <row r="337" spans="1:96" ht="12" customHeight="1" x14ac:dyDescent="0.25">
      <c r="A337" s="3"/>
      <c r="B337" s="14"/>
      <c r="C337" s="14"/>
      <c r="D337" s="14"/>
      <c r="E337" s="14"/>
      <c r="K337" s="14"/>
      <c r="M337" s="14"/>
      <c r="N337" s="14"/>
      <c r="Z337" s="11"/>
      <c r="AA337" s="15"/>
      <c r="AB337" s="15"/>
      <c r="AC337" s="15"/>
      <c r="AD337" s="16"/>
      <c r="AE337" s="16"/>
      <c r="AF337" s="16"/>
      <c r="AG337" s="16"/>
      <c r="AH337" s="16"/>
      <c r="AI337" s="16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16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</row>
    <row r="338" spans="1:96" ht="12" customHeight="1" x14ac:dyDescent="0.25">
      <c r="A338" s="3"/>
      <c r="B338" s="14"/>
      <c r="C338" s="14"/>
      <c r="D338" s="14"/>
      <c r="E338" s="14"/>
      <c r="K338" s="14"/>
      <c r="M338" s="14"/>
      <c r="N338" s="14"/>
      <c r="Z338" s="11"/>
      <c r="AA338" s="15"/>
      <c r="AB338" s="15"/>
      <c r="AC338" s="15"/>
      <c r="AD338" s="16"/>
      <c r="AE338" s="16"/>
      <c r="AF338" s="16"/>
      <c r="AG338" s="16"/>
      <c r="AH338" s="16"/>
      <c r="AI338" s="16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16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</row>
    <row r="339" spans="1:96" ht="12" customHeight="1" x14ac:dyDescent="0.25">
      <c r="A339" s="3"/>
      <c r="B339" s="14"/>
      <c r="C339" s="14"/>
      <c r="D339" s="14"/>
      <c r="E339" s="14"/>
      <c r="K339" s="14"/>
      <c r="M339" s="14"/>
      <c r="N339" s="14"/>
      <c r="Z339" s="11"/>
      <c r="AA339" s="15"/>
      <c r="AB339" s="15"/>
      <c r="AC339" s="15"/>
      <c r="AD339" s="16"/>
      <c r="AE339" s="16"/>
      <c r="AF339" s="16"/>
      <c r="AG339" s="16"/>
      <c r="AH339" s="16"/>
      <c r="AI339" s="16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16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</row>
    <row r="340" spans="1:96" ht="12" customHeight="1" x14ac:dyDescent="0.25">
      <c r="A340" s="3"/>
      <c r="B340" s="14"/>
      <c r="C340" s="14"/>
      <c r="D340" s="14"/>
      <c r="E340" s="14"/>
      <c r="K340" s="14"/>
      <c r="M340" s="14"/>
      <c r="N340" s="14"/>
      <c r="Z340" s="11"/>
      <c r="AA340" s="15"/>
      <c r="AB340" s="15"/>
      <c r="AC340" s="15"/>
      <c r="AD340" s="16"/>
      <c r="AE340" s="16"/>
      <c r="AF340" s="16"/>
      <c r="AG340" s="16"/>
      <c r="AH340" s="16"/>
      <c r="AI340" s="16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16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</row>
    <row r="341" spans="1:96" ht="12" customHeight="1" x14ac:dyDescent="0.25">
      <c r="A341" s="3"/>
      <c r="B341" s="14"/>
      <c r="C341" s="14"/>
      <c r="D341" s="14"/>
      <c r="E341" s="14"/>
      <c r="K341" s="14"/>
      <c r="M341" s="14"/>
      <c r="N341" s="14"/>
      <c r="Z341" s="11"/>
      <c r="AA341" s="15"/>
      <c r="AB341" s="15"/>
      <c r="AC341" s="15"/>
      <c r="AD341" s="16"/>
      <c r="AE341" s="16"/>
      <c r="AF341" s="16"/>
      <c r="AG341" s="16"/>
      <c r="AH341" s="16"/>
      <c r="AI341" s="16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16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</row>
    <row r="342" spans="1:96" ht="12" customHeight="1" x14ac:dyDescent="0.25">
      <c r="A342" s="3"/>
      <c r="B342" s="14"/>
      <c r="C342" s="14"/>
      <c r="D342" s="14"/>
      <c r="E342" s="14"/>
      <c r="K342" s="14"/>
      <c r="M342" s="14"/>
      <c r="N342" s="14"/>
      <c r="Z342" s="11"/>
      <c r="AA342" s="15"/>
      <c r="AB342" s="15"/>
      <c r="AC342" s="15"/>
      <c r="AD342" s="16"/>
      <c r="AE342" s="16"/>
      <c r="AF342" s="16"/>
      <c r="AG342" s="16"/>
      <c r="AH342" s="16"/>
      <c r="AI342" s="16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16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</row>
    <row r="343" spans="1:96" ht="12" customHeight="1" x14ac:dyDescent="0.25">
      <c r="A343" s="3"/>
      <c r="B343" s="14"/>
      <c r="C343" s="14"/>
      <c r="D343" s="14"/>
      <c r="E343" s="14"/>
      <c r="K343" s="14"/>
      <c r="M343" s="14"/>
      <c r="N343" s="14"/>
      <c r="Z343" s="11"/>
      <c r="AA343" s="15"/>
      <c r="AB343" s="15"/>
      <c r="AC343" s="15"/>
      <c r="AD343" s="16"/>
      <c r="AE343" s="16"/>
      <c r="AF343" s="16"/>
      <c r="AG343" s="16"/>
      <c r="AH343" s="16"/>
      <c r="AI343" s="16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16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</row>
    <row r="344" spans="1:96" ht="12" customHeight="1" x14ac:dyDescent="0.25">
      <c r="A344" s="3"/>
      <c r="B344" s="14"/>
      <c r="C344" s="14"/>
      <c r="D344" s="14"/>
      <c r="E344" s="14"/>
      <c r="K344" s="14"/>
      <c r="M344" s="14"/>
      <c r="N344" s="14"/>
      <c r="Z344" s="11"/>
      <c r="AA344" s="15"/>
      <c r="AB344" s="15"/>
      <c r="AC344" s="15"/>
      <c r="AD344" s="16"/>
      <c r="AE344" s="16"/>
      <c r="AF344" s="16"/>
      <c r="AG344" s="16"/>
      <c r="AH344" s="16"/>
      <c r="AI344" s="16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16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</row>
    <row r="345" spans="1:96" ht="12" customHeight="1" x14ac:dyDescent="0.25">
      <c r="A345" s="3"/>
      <c r="B345" s="14"/>
      <c r="C345" s="14"/>
      <c r="D345" s="14"/>
      <c r="E345" s="14"/>
      <c r="K345" s="14"/>
      <c r="M345" s="14"/>
      <c r="N345" s="14"/>
      <c r="Z345" s="11"/>
      <c r="AA345" s="15"/>
      <c r="AB345" s="15"/>
      <c r="AC345" s="15"/>
      <c r="AD345" s="16"/>
      <c r="AE345" s="16"/>
      <c r="AF345" s="16"/>
      <c r="AG345" s="16"/>
      <c r="AH345" s="16"/>
      <c r="AI345" s="16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16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</row>
    <row r="346" spans="1:96" ht="12" customHeight="1" x14ac:dyDescent="0.25">
      <c r="A346" s="3"/>
      <c r="B346" s="14"/>
      <c r="C346" s="14"/>
      <c r="D346" s="14"/>
      <c r="E346" s="14"/>
      <c r="K346" s="14"/>
      <c r="M346" s="14"/>
      <c r="N346" s="14"/>
      <c r="Z346" s="11"/>
      <c r="AA346" s="15"/>
      <c r="AB346" s="15"/>
      <c r="AC346" s="15"/>
      <c r="AD346" s="16"/>
      <c r="AE346" s="16"/>
      <c r="AF346" s="16"/>
      <c r="AG346" s="16"/>
      <c r="AH346" s="16"/>
      <c r="AI346" s="16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16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</row>
    <row r="347" spans="1:96" ht="12" customHeight="1" x14ac:dyDescent="0.25">
      <c r="A347" s="3"/>
      <c r="B347" s="14"/>
      <c r="C347" s="14"/>
      <c r="D347" s="14"/>
      <c r="E347" s="14"/>
      <c r="K347" s="14"/>
      <c r="M347" s="14"/>
      <c r="N347" s="14"/>
      <c r="Z347" s="11"/>
      <c r="AA347" s="15"/>
      <c r="AB347" s="15"/>
      <c r="AC347" s="15"/>
      <c r="AD347" s="16"/>
      <c r="AE347" s="16"/>
      <c r="AF347" s="16"/>
      <c r="AG347" s="16"/>
      <c r="AH347" s="16"/>
      <c r="AI347" s="16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16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</row>
    <row r="348" spans="1:96" ht="12" customHeight="1" x14ac:dyDescent="0.25">
      <c r="A348" s="3"/>
      <c r="B348" s="14"/>
      <c r="C348" s="14"/>
      <c r="D348" s="14"/>
      <c r="E348" s="14"/>
      <c r="K348" s="14"/>
      <c r="M348" s="14"/>
      <c r="N348" s="14"/>
      <c r="Z348" s="11"/>
      <c r="AA348" s="15"/>
      <c r="AB348" s="15"/>
      <c r="AC348" s="15"/>
      <c r="AD348" s="16"/>
      <c r="AE348" s="16"/>
      <c r="AF348" s="16"/>
      <c r="AG348" s="16"/>
      <c r="AH348" s="16"/>
      <c r="AI348" s="16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16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</row>
    <row r="349" spans="1:96" ht="12" customHeight="1" x14ac:dyDescent="0.25">
      <c r="A349" s="3"/>
      <c r="B349" s="14"/>
      <c r="C349" s="14"/>
      <c r="D349" s="14"/>
      <c r="E349" s="14"/>
      <c r="K349" s="14"/>
      <c r="M349" s="14"/>
      <c r="N349" s="14"/>
      <c r="Z349" s="11"/>
      <c r="AA349" s="15"/>
      <c r="AB349" s="15"/>
      <c r="AC349" s="15"/>
      <c r="AD349" s="16"/>
      <c r="AE349" s="16"/>
      <c r="AF349" s="16"/>
      <c r="AG349" s="16"/>
      <c r="AH349" s="16"/>
      <c r="AI349" s="16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16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</row>
    <row r="350" spans="1:96" ht="12" customHeight="1" x14ac:dyDescent="0.25">
      <c r="A350" s="3"/>
      <c r="B350" s="14"/>
      <c r="C350" s="14"/>
      <c r="D350" s="14"/>
      <c r="E350" s="14"/>
      <c r="K350" s="14"/>
      <c r="M350" s="14"/>
      <c r="N350" s="14"/>
      <c r="Z350" s="11"/>
      <c r="AA350" s="15"/>
      <c r="AB350" s="15"/>
      <c r="AC350" s="15"/>
      <c r="AD350" s="16"/>
      <c r="AE350" s="16"/>
      <c r="AF350" s="16"/>
      <c r="AG350" s="16"/>
      <c r="AH350" s="16"/>
      <c r="AI350" s="16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16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</row>
    <row r="351" spans="1:96" ht="12" customHeight="1" x14ac:dyDescent="0.25">
      <c r="A351" s="3"/>
      <c r="B351" s="14"/>
      <c r="C351" s="14"/>
      <c r="D351" s="14"/>
      <c r="E351" s="14"/>
      <c r="K351" s="14"/>
      <c r="M351" s="14"/>
      <c r="N351" s="14"/>
      <c r="Z351" s="11"/>
      <c r="AA351" s="15"/>
      <c r="AB351" s="15"/>
      <c r="AC351" s="15"/>
      <c r="AD351" s="16"/>
      <c r="AE351" s="16"/>
      <c r="AF351" s="16"/>
      <c r="AG351" s="16"/>
      <c r="AH351" s="16"/>
      <c r="AI351" s="16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16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</row>
    <row r="352" spans="1:96" ht="12" customHeight="1" x14ac:dyDescent="0.25">
      <c r="A352" s="3"/>
      <c r="B352" s="14"/>
      <c r="C352" s="14"/>
      <c r="D352" s="14"/>
      <c r="E352" s="14"/>
      <c r="K352" s="14"/>
      <c r="M352" s="14"/>
      <c r="N352" s="14"/>
      <c r="Z352" s="11"/>
      <c r="AA352" s="15"/>
      <c r="AB352" s="15"/>
      <c r="AC352" s="15"/>
      <c r="AD352" s="16"/>
      <c r="AE352" s="16"/>
      <c r="AF352" s="16"/>
      <c r="AG352" s="16"/>
      <c r="AH352" s="16"/>
      <c r="AI352" s="16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16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</row>
    <row r="353" spans="1:96" ht="12" customHeight="1" x14ac:dyDescent="0.25">
      <c r="A353" s="3"/>
      <c r="B353" s="14"/>
      <c r="C353" s="14"/>
      <c r="D353" s="14"/>
      <c r="E353" s="14"/>
      <c r="K353" s="14"/>
      <c r="M353" s="14"/>
      <c r="N353" s="14"/>
      <c r="Z353" s="11"/>
      <c r="AA353" s="15"/>
      <c r="AB353" s="15"/>
      <c r="AC353" s="15"/>
      <c r="AD353" s="16"/>
      <c r="AE353" s="16"/>
      <c r="AF353" s="16"/>
      <c r="AG353" s="16"/>
      <c r="AH353" s="16"/>
      <c r="AI353" s="16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16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</row>
    <row r="354" spans="1:96" ht="12" customHeight="1" x14ac:dyDescent="0.25">
      <c r="A354" s="3"/>
      <c r="B354" s="14"/>
      <c r="C354" s="14"/>
      <c r="D354" s="14"/>
      <c r="E354" s="14"/>
      <c r="K354" s="14"/>
      <c r="M354" s="14"/>
      <c r="N354" s="14"/>
      <c r="Z354" s="11"/>
      <c r="AA354" s="15"/>
      <c r="AB354" s="15"/>
      <c r="AC354" s="15"/>
      <c r="AD354" s="16"/>
      <c r="AE354" s="16"/>
      <c r="AF354" s="16"/>
      <c r="AG354" s="16"/>
      <c r="AH354" s="16"/>
      <c r="AI354" s="16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16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</row>
    <row r="355" spans="1:96" ht="12" customHeight="1" x14ac:dyDescent="0.25">
      <c r="A355" s="3"/>
      <c r="B355" s="14"/>
      <c r="C355" s="14"/>
      <c r="D355" s="14"/>
      <c r="E355" s="14"/>
      <c r="K355" s="14"/>
      <c r="M355" s="14"/>
      <c r="N355" s="14"/>
      <c r="Z355" s="11"/>
      <c r="AA355" s="15"/>
      <c r="AB355" s="15"/>
      <c r="AC355" s="15"/>
      <c r="AD355" s="16"/>
      <c r="AE355" s="16"/>
      <c r="AF355" s="16"/>
      <c r="AG355" s="16"/>
      <c r="AH355" s="16"/>
      <c r="AI355" s="16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16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</row>
    <row r="356" spans="1:96" ht="12" customHeight="1" x14ac:dyDescent="0.25">
      <c r="A356" s="3"/>
      <c r="B356" s="14"/>
      <c r="C356" s="14"/>
      <c r="D356" s="14"/>
      <c r="E356" s="14"/>
      <c r="K356" s="14"/>
      <c r="M356" s="14"/>
      <c r="N356" s="14"/>
      <c r="Z356" s="11"/>
      <c r="AA356" s="15"/>
      <c r="AB356" s="15"/>
      <c r="AC356" s="15"/>
      <c r="AD356" s="16"/>
      <c r="AE356" s="16"/>
      <c r="AF356" s="16"/>
      <c r="AG356" s="16"/>
      <c r="AH356" s="16"/>
      <c r="AI356" s="16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16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</row>
    <row r="357" spans="1:96" ht="12" customHeight="1" x14ac:dyDescent="0.25">
      <c r="A357" s="3"/>
      <c r="B357" s="14"/>
      <c r="C357" s="14"/>
      <c r="D357" s="14"/>
      <c r="E357" s="14"/>
      <c r="K357" s="14"/>
      <c r="M357" s="14"/>
      <c r="N357" s="14"/>
      <c r="Z357" s="11"/>
      <c r="AA357" s="15"/>
      <c r="AB357" s="15"/>
      <c r="AC357" s="15"/>
      <c r="AD357" s="16"/>
      <c r="AE357" s="16"/>
      <c r="AF357" s="16"/>
      <c r="AG357" s="16"/>
      <c r="AH357" s="16"/>
      <c r="AI357" s="16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16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</row>
    <row r="358" spans="1:96" ht="12" customHeight="1" x14ac:dyDescent="0.25">
      <c r="A358" s="3"/>
      <c r="B358" s="14"/>
      <c r="C358" s="14"/>
      <c r="D358" s="14"/>
      <c r="E358" s="14"/>
      <c r="K358" s="14"/>
      <c r="M358" s="14"/>
      <c r="N358" s="14"/>
      <c r="Z358" s="11"/>
      <c r="AA358" s="15"/>
      <c r="AB358" s="15"/>
      <c r="AC358" s="15"/>
      <c r="AD358" s="16"/>
      <c r="AE358" s="16"/>
      <c r="AF358" s="16"/>
      <c r="AG358" s="16"/>
      <c r="AH358" s="16"/>
      <c r="AI358" s="16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16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</row>
    <row r="359" spans="1:96" ht="12" customHeight="1" x14ac:dyDescent="0.25">
      <c r="A359" s="3"/>
      <c r="B359" s="14"/>
      <c r="C359" s="14"/>
      <c r="D359" s="14"/>
      <c r="E359" s="14"/>
      <c r="K359" s="14"/>
      <c r="M359" s="14"/>
      <c r="N359" s="14"/>
      <c r="Z359" s="11"/>
      <c r="AA359" s="15"/>
      <c r="AB359" s="15"/>
      <c r="AC359" s="15"/>
      <c r="AD359" s="16"/>
      <c r="AE359" s="16"/>
      <c r="AF359" s="16"/>
      <c r="AG359" s="16"/>
      <c r="AH359" s="16"/>
      <c r="AI359" s="16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16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</row>
    <row r="360" spans="1:96" ht="12" customHeight="1" x14ac:dyDescent="0.25">
      <c r="A360" s="3"/>
      <c r="B360" s="14"/>
      <c r="C360" s="14"/>
      <c r="D360" s="14"/>
      <c r="E360" s="14"/>
      <c r="K360" s="14"/>
      <c r="M360" s="14"/>
      <c r="N360" s="14"/>
      <c r="Z360" s="11"/>
      <c r="AA360" s="15"/>
      <c r="AB360" s="15"/>
      <c r="AC360" s="15"/>
      <c r="AD360" s="16"/>
      <c r="AE360" s="16"/>
      <c r="AF360" s="16"/>
      <c r="AG360" s="16"/>
      <c r="AH360" s="16"/>
      <c r="AI360" s="16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16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</row>
    <row r="361" spans="1:96" ht="12" customHeight="1" x14ac:dyDescent="0.25">
      <c r="A361" s="3"/>
      <c r="B361" s="14"/>
      <c r="C361" s="14"/>
      <c r="D361" s="14"/>
      <c r="E361" s="14"/>
      <c r="K361" s="14"/>
      <c r="M361" s="14"/>
      <c r="N361" s="14"/>
      <c r="Z361" s="11"/>
      <c r="AA361" s="15"/>
      <c r="AB361" s="15"/>
      <c r="AC361" s="15"/>
      <c r="AD361" s="16"/>
      <c r="AE361" s="16"/>
      <c r="AF361" s="16"/>
      <c r="AG361" s="16"/>
      <c r="AH361" s="16"/>
      <c r="AI361" s="16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16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</row>
    <row r="362" spans="1:96" ht="12" customHeight="1" x14ac:dyDescent="0.25">
      <c r="A362" s="3"/>
      <c r="B362" s="14"/>
      <c r="C362" s="14"/>
      <c r="D362" s="14"/>
      <c r="E362" s="14"/>
      <c r="K362" s="14"/>
      <c r="M362" s="14"/>
      <c r="N362" s="14"/>
      <c r="Z362" s="11"/>
      <c r="AA362" s="15"/>
      <c r="AB362" s="15"/>
      <c r="AC362" s="15"/>
      <c r="AD362" s="16"/>
      <c r="AE362" s="16"/>
      <c r="AF362" s="16"/>
      <c r="AG362" s="16"/>
      <c r="AH362" s="16"/>
      <c r="AI362" s="16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16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</row>
    <row r="363" spans="1:96" ht="12" customHeight="1" x14ac:dyDescent="0.25">
      <c r="A363" s="3"/>
      <c r="B363" s="14"/>
      <c r="C363" s="14"/>
      <c r="D363" s="14"/>
      <c r="E363" s="14"/>
      <c r="K363" s="14"/>
      <c r="M363" s="14"/>
      <c r="N363" s="14"/>
      <c r="Z363" s="11"/>
      <c r="AA363" s="15"/>
      <c r="AB363" s="15"/>
      <c r="AC363" s="15"/>
      <c r="AD363" s="16"/>
      <c r="AE363" s="16"/>
      <c r="AF363" s="16"/>
      <c r="AG363" s="16"/>
      <c r="AH363" s="16"/>
      <c r="AI363" s="16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16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</row>
    <row r="364" spans="1:96" ht="12" customHeight="1" x14ac:dyDescent="0.25">
      <c r="A364" s="3"/>
      <c r="B364" s="14"/>
      <c r="C364" s="14"/>
      <c r="D364" s="14"/>
      <c r="E364" s="14"/>
      <c r="K364" s="14"/>
      <c r="M364" s="14"/>
      <c r="N364" s="14"/>
      <c r="Z364" s="11"/>
      <c r="AA364" s="15"/>
      <c r="AB364" s="15"/>
      <c r="AC364" s="15"/>
      <c r="AD364" s="16"/>
      <c r="AE364" s="16"/>
      <c r="AF364" s="16"/>
      <c r="AG364" s="16"/>
      <c r="AH364" s="16"/>
      <c r="AI364" s="16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16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</row>
    <row r="365" spans="1:96" ht="12" customHeight="1" x14ac:dyDescent="0.25">
      <c r="A365" s="3"/>
      <c r="B365" s="14"/>
      <c r="C365" s="14"/>
      <c r="D365" s="14"/>
      <c r="E365" s="14"/>
      <c r="K365" s="14"/>
      <c r="M365" s="14"/>
      <c r="N365" s="14"/>
      <c r="Z365" s="11"/>
      <c r="AA365" s="15"/>
      <c r="AB365" s="15"/>
      <c r="AC365" s="15"/>
      <c r="AD365" s="16"/>
      <c r="AE365" s="16"/>
      <c r="AF365" s="16"/>
      <c r="AG365" s="16"/>
      <c r="AH365" s="16"/>
      <c r="AI365" s="16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16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</row>
    <row r="366" spans="1:96" ht="12" customHeight="1" x14ac:dyDescent="0.25">
      <c r="A366" s="3"/>
      <c r="B366" s="14"/>
      <c r="C366" s="14"/>
      <c r="D366" s="14"/>
      <c r="E366" s="14"/>
      <c r="K366" s="14"/>
      <c r="M366" s="14"/>
      <c r="N366" s="14"/>
      <c r="Z366" s="11"/>
      <c r="AA366" s="15"/>
      <c r="AB366" s="15"/>
      <c r="AC366" s="15"/>
      <c r="AD366" s="16"/>
      <c r="AE366" s="16"/>
      <c r="AF366" s="16"/>
      <c r="AG366" s="16"/>
      <c r="AH366" s="16"/>
      <c r="AI366" s="16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16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</row>
    <row r="367" spans="1:96" ht="12" customHeight="1" x14ac:dyDescent="0.25">
      <c r="A367" s="3"/>
      <c r="B367" s="14"/>
      <c r="C367" s="14"/>
      <c r="D367" s="14"/>
      <c r="E367" s="14"/>
      <c r="K367" s="14"/>
      <c r="M367" s="14"/>
      <c r="N367" s="14"/>
      <c r="Z367" s="11"/>
      <c r="AA367" s="15"/>
      <c r="AB367" s="15"/>
      <c r="AC367" s="15"/>
      <c r="AD367" s="16"/>
      <c r="AE367" s="16"/>
      <c r="AF367" s="16"/>
      <c r="AG367" s="16"/>
      <c r="AH367" s="16"/>
      <c r="AI367" s="16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16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</row>
    <row r="368" spans="1:96" ht="12" customHeight="1" x14ac:dyDescent="0.25">
      <c r="A368" s="3"/>
      <c r="B368" s="14"/>
      <c r="C368" s="14"/>
      <c r="D368" s="14"/>
      <c r="E368" s="14"/>
      <c r="K368" s="14"/>
      <c r="M368" s="14"/>
      <c r="N368" s="14"/>
      <c r="Z368" s="11"/>
      <c r="AA368" s="15"/>
      <c r="AB368" s="15"/>
      <c r="AC368" s="15"/>
      <c r="AD368" s="16"/>
      <c r="AE368" s="16"/>
      <c r="AF368" s="16"/>
      <c r="AG368" s="16"/>
      <c r="AH368" s="16"/>
      <c r="AI368" s="16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16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</row>
    <row r="369" spans="1:96" ht="12" customHeight="1" x14ac:dyDescent="0.25">
      <c r="A369" s="3"/>
      <c r="B369" s="14"/>
      <c r="C369" s="14"/>
      <c r="D369" s="14"/>
      <c r="E369" s="14"/>
      <c r="K369" s="14"/>
      <c r="M369" s="14"/>
      <c r="N369" s="14"/>
      <c r="Z369" s="11"/>
      <c r="AA369" s="15"/>
      <c r="AB369" s="15"/>
      <c r="AC369" s="15"/>
      <c r="AD369" s="16"/>
      <c r="AE369" s="16"/>
      <c r="AF369" s="16"/>
      <c r="AG369" s="16"/>
      <c r="AH369" s="16"/>
      <c r="AI369" s="16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16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</row>
    <row r="370" spans="1:96" ht="12" customHeight="1" x14ac:dyDescent="0.25">
      <c r="A370" s="3"/>
      <c r="B370" s="14"/>
      <c r="C370" s="14"/>
      <c r="D370" s="14"/>
      <c r="E370" s="14"/>
      <c r="K370" s="14"/>
      <c r="M370" s="14"/>
      <c r="N370" s="14"/>
      <c r="Z370" s="11"/>
      <c r="AA370" s="15"/>
      <c r="AB370" s="15"/>
      <c r="AC370" s="15"/>
      <c r="AD370" s="16"/>
      <c r="AE370" s="16"/>
      <c r="AF370" s="16"/>
      <c r="AG370" s="16"/>
      <c r="AH370" s="16"/>
      <c r="AI370" s="16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16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</row>
    <row r="371" spans="1:96" ht="12" customHeight="1" x14ac:dyDescent="0.25">
      <c r="A371" s="3"/>
      <c r="B371" s="14"/>
      <c r="C371" s="14"/>
      <c r="D371" s="14"/>
      <c r="E371" s="14"/>
      <c r="K371" s="14"/>
      <c r="M371" s="14"/>
      <c r="N371" s="14"/>
      <c r="Z371" s="11"/>
      <c r="AA371" s="15"/>
      <c r="AB371" s="15"/>
      <c r="AC371" s="15"/>
      <c r="AD371" s="16"/>
      <c r="AE371" s="16"/>
      <c r="AF371" s="16"/>
      <c r="AG371" s="16"/>
      <c r="AH371" s="16"/>
      <c r="AI371" s="16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16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</row>
    <row r="372" spans="1:96" ht="12" customHeight="1" x14ac:dyDescent="0.25">
      <c r="A372" s="3"/>
      <c r="B372" s="14"/>
      <c r="C372" s="14"/>
      <c r="D372" s="14"/>
      <c r="E372" s="14"/>
      <c r="K372" s="14"/>
      <c r="M372" s="14"/>
      <c r="N372" s="14"/>
      <c r="Z372" s="11"/>
      <c r="AA372" s="15"/>
      <c r="AB372" s="15"/>
      <c r="AC372" s="15"/>
      <c r="AD372" s="16"/>
      <c r="AE372" s="16"/>
      <c r="AF372" s="16"/>
      <c r="AG372" s="16"/>
      <c r="AH372" s="16"/>
      <c r="AI372" s="16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16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</row>
    <row r="373" spans="1:96" ht="12" customHeight="1" x14ac:dyDescent="0.25">
      <c r="A373" s="3"/>
      <c r="B373" s="14"/>
      <c r="C373" s="14"/>
      <c r="D373" s="14"/>
      <c r="E373" s="14"/>
      <c r="K373" s="14"/>
      <c r="M373" s="14"/>
      <c r="N373" s="14"/>
      <c r="Z373" s="11"/>
      <c r="AA373" s="15"/>
      <c r="AB373" s="15"/>
      <c r="AC373" s="15"/>
      <c r="AD373" s="16"/>
      <c r="AE373" s="16"/>
      <c r="AF373" s="16"/>
      <c r="AG373" s="16"/>
      <c r="AH373" s="16"/>
      <c r="AI373" s="16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16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</row>
    <row r="374" spans="1:96" ht="12" customHeight="1" x14ac:dyDescent="0.25">
      <c r="A374" s="3"/>
      <c r="B374" s="14"/>
      <c r="C374" s="14"/>
      <c r="D374" s="14"/>
      <c r="E374" s="14"/>
      <c r="K374" s="14"/>
      <c r="M374" s="14"/>
      <c r="N374" s="14"/>
      <c r="Z374" s="11"/>
      <c r="AA374" s="15"/>
      <c r="AB374" s="15"/>
      <c r="AC374" s="15"/>
      <c r="AD374" s="16"/>
      <c r="AE374" s="16"/>
      <c r="AF374" s="16"/>
      <c r="AG374" s="16"/>
      <c r="AH374" s="16"/>
      <c r="AI374" s="16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16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</row>
    <row r="375" spans="1:96" ht="12" customHeight="1" x14ac:dyDescent="0.25">
      <c r="A375" s="3"/>
      <c r="B375" s="14"/>
      <c r="C375" s="14"/>
      <c r="D375" s="14"/>
      <c r="E375" s="14"/>
      <c r="K375" s="14"/>
      <c r="M375" s="14"/>
      <c r="N375" s="14"/>
      <c r="Z375" s="11"/>
      <c r="AA375" s="15"/>
      <c r="AB375" s="15"/>
      <c r="AC375" s="15"/>
      <c r="AD375" s="16"/>
      <c r="AE375" s="16"/>
      <c r="AF375" s="16"/>
      <c r="AG375" s="16"/>
      <c r="AH375" s="16"/>
      <c r="AI375" s="16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16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</row>
    <row r="376" spans="1:96" ht="12" customHeight="1" x14ac:dyDescent="0.25">
      <c r="A376" s="3"/>
      <c r="B376" s="14"/>
      <c r="C376" s="14"/>
      <c r="D376" s="14"/>
      <c r="E376" s="14"/>
      <c r="K376" s="14"/>
      <c r="M376" s="14"/>
      <c r="N376" s="14"/>
      <c r="Z376" s="11"/>
      <c r="AA376" s="15"/>
      <c r="AB376" s="15"/>
      <c r="AC376" s="15"/>
      <c r="AD376" s="16"/>
      <c r="AE376" s="16"/>
      <c r="AF376" s="16"/>
      <c r="AG376" s="16"/>
      <c r="AH376" s="16"/>
      <c r="AI376" s="16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16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</row>
    <row r="377" spans="1:96" ht="12" customHeight="1" x14ac:dyDescent="0.25">
      <c r="A377" s="3"/>
      <c r="B377" s="14"/>
      <c r="C377" s="14"/>
      <c r="D377" s="14"/>
      <c r="E377" s="14"/>
      <c r="K377" s="14"/>
      <c r="M377" s="14"/>
      <c r="N377" s="14"/>
      <c r="Z377" s="11"/>
      <c r="AA377" s="15"/>
      <c r="AB377" s="15"/>
      <c r="AC377" s="15"/>
      <c r="AD377" s="16"/>
      <c r="AE377" s="16"/>
      <c r="AF377" s="16"/>
      <c r="AG377" s="16"/>
      <c r="AH377" s="16"/>
      <c r="AI377" s="16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16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</row>
    <row r="378" spans="1:96" ht="12" customHeight="1" x14ac:dyDescent="0.25">
      <c r="A378" s="3"/>
      <c r="B378" s="14"/>
      <c r="C378" s="14"/>
      <c r="D378" s="14"/>
      <c r="E378" s="14"/>
      <c r="K378" s="14"/>
      <c r="M378" s="14"/>
      <c r="N378" s="14"/>
      <c r="Z378" s="11"/>
      <c r="AA378" s="15"/>
      <c r="AB378" s="15"/>
      <c r="AC378" s="15"/>
      <c r="AD378" s="16"/>
      <c r="AE378" s="16"/>
      <c r="AF378" s="16"/>
      <c r="AG378" s="16"/>
      <c r="AH378" s="16"/>
      <c r="AI378" s="16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16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</row>
    <row r="379" spans="1:96" ht="12" customHeight="1" x14ac:dyDescent="0.25">
      <c r="A379" s="3"/>
      <c r="B379" s="14"/>
      <c r="C379" s="14"/>
      <c r="D379" s="14"/>
      <c r="E379" s="14"/>
      <c r="K379" s="14"/>
      <c r="M379" s="14"/>
      <c r="N379" s="14"/>
      <c r="Z379" s="11"/>
      <c r="AA379" s="15"/>
      <c r="AB379" s="15"/>
      <c r="AC379" s="15"/>
      <c r="AD379" s="16"/>
      <c r="AE379" s="16"/>
      <c r="AF379" s="16"/>
      <c r="AG379" s="16"/>
      <c r="AH379" s="16"/>
      <c r="AI379" s="16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16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</row>
    <row r="380" spans="1:96" ht="12" customHeight="1" x14ac:dyDescent="0.25">
      <c r="A380" s="3"/>
      <c r="B380" s="14"/>
      <c r="C380" s="14"/>
      <c r="D380" s="14"/>
      <c r="E380" s="14"/>
      <c r="K380" s="14"/>
      <c r="M380" s="14"/>
      <c r="N380" s="14"/>
      <c r="Z380" s="11"/>
      <c r="AA380" s="15"/>
      <c r="AB380" s="15"/>
      <c r="AC380" s="15"/>
      <c r="AD380" s="16"/>
      <c r="AE380" s="16"/>
      <c r="AF380" s="16"/>
      <c r="AG380" s="16"/>
      <c r="AH380" s="16"/>
      <c r="AI380" s="16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16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</row>
    <row r="381" spans="1:96" ht="12" customHeight="1" x14ac:dyDescent="0.25">
      <c r="A381" s="3"/>
      <c r="B381" s="14"/>
      <c r="C381" s="14"/>
      <c r="D381" s="14"/>
      <c r="E381" s="14"/>
      <c r="K381" s="14"/>
      <c r="M381" s="14"/>
      <c r="N381" s="14"/>
      <c r="Z381" s="11"/>
      <c r="AA381" s="15"/>
      <c r="AB381" s="15"/>
      <c r="AC381" s="15"/>
      <c r="AD381" s="16"/>
      <c r="AE381" s="16"/>
      <c r="AF381" s="16"/>
      <c r="AG381" s="16"/>
      <c r="AH381" s="16"/>
      <c r="AI381" s="16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16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</row>
    <row r="382" spans="1:96" ht="12" customHeight="1" x14ac:dyDescent="0.25">
      <c r="A382" s="3"/>
      <c r="B382" s="14"/>
      <c r="C382" s="14"/>
      <c r="D382" s="14"/>
      <c r="E382" s="14"/>
      <c r="K382" s="14"/>
      <c r="M382" s="14"/>
      <c r="N382" s="14"/>
      <c r="Z382" s="11"/>
      <c r="AA382" s="15"/>
      <c r="AB382" s="15"/>
      <c r="AC382" s="15"/>
      <c r="AD382" s="16"/>
      <c r="AE382" s="16"/>
      <c r="AF382" s="16"/>
      <c r="AG382" s="16"/>
      <c r="AH382" s="16"/>
      <c r="AI382" s="16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16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</row>
    <row r="383" spans="1:96" ht="12" customHeight="1" x14ac:dyDescent="0.25">
      <c r="A383" s="3"/>
      <c r="B383" s="14"/>
      <c r="C383" s="14"/>
      <c r="D383" s="14"/>
      <c r="E383" s="14"/>
      <c r="K383" s="14"/>
      <c r="M383" s="14"/>
      <c r="N383" s="14"/>
      <c r="Z383" s="11"/>
      <c r="AA383" s="15"/>
      <c r="AB383" s="15"/>
      <c r="AC383" s="15"/>
      <c r="AD383" s="16"/>
      <c r="AE383" s="16"/>
      <c r="AF383" s="16"/>
      <c r="AG383" s="16"/>
      <c r="AH383" s="16"/>
      <c r="AI383" s="16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16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</row>
    <row r="384" spans="1:96" ht="12" customHeight="1" x14ac:dyDescent="0.25">
      <c r="A384" s="3"/>
      <c r="B384" s="14"/>
      <c r="C384" s="14"/>
      <c r="D384" s="14"/>
      <c r="E384" s="14"/>
      <c r="K384" s="14"/>
      <c r="M384" s="14"/>
      <c r="N384" s="14"/>
      <c r="Z384" s="11"/>
      <c r="AA384" s="15"/>
      <c r="AB384" s="15"/>
      <c r="AC384" s="15"/>
      <c r="AD384" s="16"/>
      <c r="AE384" s="16"/>
      <c r="AF384" s="16"/>
      <c r="AG384" s="16"/>
      <c r="AH384" s="16"/>
      <c r="AI384" s="16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16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</row>
    <row r="385" spans="1:96" ht="12" customHeight="1" x14ac:dyDescent="0.25">
      <c r="A385" s="3"/>
      <c r="B385" s="14"/>
      <c r="C385" s="14"/>
      <c r="D385" s="14"/>
      <c r="E385" s="14"/>
      <c r="K385" s="14"/>
      <c r="M385" s="14"/>
      <c r="N385" s="14"/>
      <c r="Z385" s="11"/>
      <c r="AA385" s="15"/>
      <c r="AB385" s="15"/>
      <c r="AC385" s="15"/>
      <c r="AD385" s="16"/>
      <c r="AE385" s="16"/>
      <c r="AF385" s="16"/>
      <c r="AG385" s="16"/>
      <c r="AH385" s="16"/>
      <c r="AI385" s="16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16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</row>
    <row r="386" spans="1:96" ht="12" customHeight="1" x14ac:dyDescent="0.25">
      <c r="A386" s="3"/>
      <c r="B386" s="14"/>
      <c r="C386" s="14"/>
      <c r="D386" s="14"/>
      <c r="E386" s="14"/>
      <c r="K386" s="14"/>
      <c r="M386" s="14"/>
      <c r="N386" s="14"/>
      <c r="Z386" s="11"/>
      <c r="AA386" s="15"/>
      <c r="AB386" s="15"/>
      <c r="AC386" s="15"/>
      <c r="AD386" s="16"/>
      <c r="AE386" s="16"/>
      <c r="AF386" s="16"/>
      <c r="AG386" s="16"/>
      <c r="AH386" s="16"/>
      <c r="AI386" s="16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16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</row>
    <row r="387" spans="1:96" ht="12" customHeight="1" x14ac:dyDescent="0.25">
      <c r="A387" s="3"/>
      <c r="B387" s="14"/>
      <c r="C387" s="14"/>
      <c r="D387" s="14"/>
      <c r="E387" s="14"/>
      <c r="K387" s="14"/>
      <c r="M387" s="14"/>
      <c r="N387" s="14"/>
      <c r="Z387" s="11"/>
      <c r="AA387" s="15"/>
      <c r="AB387" s="15"/>
      <c r="AC387" s="15"/>
      <c r="AD387" s="16"/>
      <c r="AE387" s="16"/>
      <c r="AF387" s="16"/>
      <c r="AG387" s="16"/>
      <c r="AH387" s="16"/>
      <c r="AI387" s="16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16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</row>
    <row r="388" spans="1:96" ht="12" customHeight="1" x14ac:dyDescent="0.25">
      <c r="A388" s="3"/>
      <c r="B388" s="14"/>
      <c r="C388" s="14"/>
      <c r="D388" s="14"/>
      <c r="E388" s="14"/>
      <c r="K388" s="14"/>
      <c r="M388" s="14"/>
      <c r="N388" s="14"/>
      <c r="Z388" s="11"/>
      <c r="AA388" s="15"/>
      <c r="AB388" s="15"/>
      <c r="AC388" s="15"/>
      <c r="AD388" s="16"/>
      <c r="AE388" s="16"/>
      <c r="AF388" s="16"/>
      <c r="AG388" s="16"/>
      <c r="AH388" s="16"/>
      <c r="AI388" s="16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16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</row>
    <row r="389" spans="1:96" ht="12" customHeight="1" x14ac:dyDescent="0.25">
      <c r="A389" s="3"/>
      <c r="B389" s="14"/>
      <c r="C389" s="14"/>
      <c r="D389" s="14"/>
      <c r="E389" s="14"/>
      <c r="K389" s="14"/>
      <c r="M389" s="14"/>
      <c r="N389" s="14"/>
      <c r="Z389" s="11"/>
      <c r="AA389" s="15"/>
      <c r="AB389" s="15"/>
      <c r="AC389" s="15"/>
      <c r="AD389" s="16"/>
      <c r="AE389" s="16"/>
      <c r="AF389" s="16"/>
      <c r="AG389" s="16"/>
      <c r="AH389" s="16"/>
      <c r="AI389" s="16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16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</row>
    <row r="390" spans="1:96" ht="12" customHeight="1" x14ac:dyDescent="0.25">
      <c r="A390" s="3"/>
      <c r="B390" s="14"/>
      <c r="C390" s="14"/>
      <c r="D390" s="14"/>
      <c r="E390" s="14"/>
      <c r="K390" s="14"/>
      <c r="M390" s="14"/>
      <c r="N390" s="14"/>
      <c r="Z390" s="11"/>
      <c r="AA390" s="15"/>
      <c r="AB390" s="15"/>
      <c r="AC390" s="15"/>
      <c r="AD390" s="16"/>
      <c r="AE390" s="16"/>
      <c r="AF390" s="16"/>
      <c r="AG390" s="16"/>
      <c r="AH390" s="16"/>
      <c r="AI390" s="16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16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</row>
    <row r="391" spans="1:96" ht="12" customHeight="1" x14ac:dyDescent="0.25">
      <c r="A391" s="3"/>
      <c r="B391" s="14"/>
      <c r="C391" s="14"/>
      <c r="D391" s="14"/>
      <c r="E391" s="14"/>
      <c r="K391" s="14"/>
      <c r="M391" s="14"/>
      <c r="N391" s="14"/>
      <c r="Z391" s="11"/>
      <c r="AA391" s="15"/>
      <c r="AB391" s="15"/>
      <c r="AC391" s="15"/>
      <c r="AD391" s="16"/>
      <c r="AE391" s="16"/>
      <c r="AF391" s="16"/>
      <c r="AG391" s="16"/>
      <c r="AH391" s="16"/>
      <c r="AI391" s="16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16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</row>
    <row r="392" spans="1:96" ht="12" customHeight="1" x14ac:dyDescent="0.25">
      <c r="A392" s="3"/>
      <c r="B392" s="14"/>
      <c r="C392" s="14"/>
      <c r="D392" s="14"/>
      <c r="E392" s="14"/>
      <c r="K392" s="14"/>
      <c r="M392" s="14"/>
      <c r="N392" s="14"/>
      <c r="Z392" s="11"/>
      <c r="AA392" s="15"/>
      <c r="AB392" s="15"/>
      <c r="AC392" s="15"/>
      <c r="AD392" s="16"/>
      <c r="AE392" s="16"/>
      <c r="AF392" s="16"/>
      <c r="AG392" s="16"/>
      <c r="AH392" s="16"/>
      <c r="AI392" s="16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16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</row>
    <row r="393" spans="1:96" ht="12" customHeight="1" x14ac:dyDescent="0.25">
      <c r="A393" s="3"/>
      <c r="B393" s="14"/>
      <c r="C393" s="14"/>
      <c r="D393" s="14"/>
      <c r="E393" s="14"/>
      <c r="K393" s="14"/>
      <c r="M393" s="14"/>
      <c r="N393" s="14"/>
      <c r="Z393" s="11"/>
      <c r="AA393" s="15"/>
      <c r="AB393" s="15"/>
      <c r="AC393" s="15"/>
      <c r="AD393" s="16"/>
      <c r="AE393" s="16"/>
      <c r="AF393" s="16"/>
      <c r="AG393" s="16"/>
      <c r="AH393" s="16"/>
      <c r="AI393" s="16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16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</row>
    <row r="394" spans="1:96" ht="12" customHeight="1" x14ac:dyDescent="0.25">
      <c r="A394" s="3"/>
      <c r="B394" s="14"/>
      <c r="C394" s="14"/>
      <c r="D394" s="14"/>
      <c r="E394" s="14"/>
      <c r="K394" s="14"/>
      <c r="M394" s="14"/>
      <c r="N394" s="14"/>
      <c r="Z394" s="11"/>
      <c r="AA394" s="15"/>
      <c r="AB394" s="15"/>
      <c r="AC394" s="15"/>
      <c r="AD394" s="16"/>
      <c r="AE394" s="16"/>
      <c r="AF394" s="16"/>
      <c r="AG394" s="16"/>
      <c r="AH394" s="16"/>
      <c r="AI394" s="16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16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</row>
    <row r="395" spans="1:96" ht="12" customHeight="1" x14ac:dyDescent="0.25">
      <c r="A395" s="3"/>
      <c r="B395" s="14"/>
      <c r="C395" s="14"/>
      <c r="D395" s="14"/>
      <c r="E395" s="14"/>
      <c r="K395" s="14"/>
      <c r="M395" s="14"/>
      <c r="N395" s="14"/>
      <c r="Z395" s="11"/>
      <c r="AA395" s="15"/>
      <c r="AB395" s="15"/>
      <c r="AC395" s="15"/>
      <c r="AD395" s="16"/>
      <c r="AE395" s="16"/>
      <c r="AF395" s="16"/>
      <c r="AG395" s="16"/>
      <c r="AH395" s="16"/>
      <c r="AI395" s="16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16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</row>
    <row r="396" spans="1:96" ht="12" customHeight="1" x14ac:dyDescent="0.25">
      <c r="A396" s="3"/>
      <c r="B396" s="14"/>
      <c r="C396" s="14"/>
      <c r="D396" s="14"/>
      <c r="E396" s="14"/>
      <c r="K396" s="14"/>
      <c r="M396" s="14"/>
      <c r="N396" s="14"/>
      <c r="Z396" s="11"/>
      <c r="AA396" s="15"/>
      <c r="AB396" s="15"/>
      <c r="AC396" s="15"/>
      <c r="AD396" s="16"/>
      <c r="AE396" s="16"/>
      <c r="AF396" s="16"/>
      <c r="AG396" s="16"/>
      <c r="AH396" s="16"/>
      <c r="AI396" s="16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16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spans="1:96" ht="12" customHeight="1" x14ac:dyDescent="0.25">
      <c r="A397" s="3"/>
      <c r="B397" s="14"/>
      <c r="C397" s="14"/>
      <c r="D397" s="14"/>
      <c r="E397" s="14"/>
      <c r="K397" s="14"/>
      <c r="M397" s="14"/>
      <c r="N397" s="14"/>
      <c r="Z397" s="11"/>
      <c r="AA397" s="15"/>
      <c r="AB397" s="15"/>
      <c r="AC397" s="15"/>
      <c r="AD397" s="16"/>
      <c r="AE397" s="16"/>
      <c r="AF397" s="16"/>
      <c r="AG397" s="16"/>
      <c r="AH397" s="16"/>
      <c r="AI397" s="16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16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</row>
    <row r="398" spans="1:96" ht="12" customHeight="1" x14ac:dyDescent="0.25">
      <c r="A398" s="3"/>
      <c r="B398" s="14"/>
      <c r="C398" s="14"/>
      <c r="D398" s="14"/>
      <c r="E398" s="14"/>
      <c r="K398" s="14"/>
      <c r="M398" s="14"/>
      <c r="N398" s="14"/>
      <c r="Z398" s="11"/>
      <c r="AA398" s="15"/>
      <c r="AB398" s="15"/>
      <c r="AC398" s="15"/>
      <c r="AD398" s="16"/>
      <c r="AE398" s="16"/>
      <c r="AF398" s="16"/>
      <c r="AG398" s="16"/>
      <c r="AH398" s="16"/>
      <c r="AI398" s="16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16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</row>
    <row r="399" spans="1:96" ht="12" customHeight="1" x14ac:dyDescent="0.25">
      <c r="A399" s="3"/>
      <c r="B399" s="14"/>
      <c r="C399" s="14"/>
      <c r="D399" s="14"/>
      <c r="E399" s="14"/>
      <c r="K399" s="14"/>
      <c r="M399" s="14"/>
      <c r="N399" s="14"/>
      <c r="Z399" s="11"/>
      <c r="AA399" s="15"/>
      <c r="AB399" s="15"/>
      <c r="AC399" s="15"/>
      <c r="AD399" s="16"/>
      <c r="AE399" s="16"/>
      <c r="AF399" s="16"/>
      <c r="AG399" s="16"/>
      <c r="AH399" s="16"/>
      <c r="AI399" s="16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16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</row>
    <row r="400" spans="1:96" ht="12" customHeight="1" x14ac:dyDescent="0.25">
      <c r="A400" s="3"/>
      <c r="B400" s="14"/>
      <c r="C400" s="14"/>
      <c r="D400" s="14"/>
      <c r="E400" s="14"/>
      <c r="K400" s="14"/>
      <c r="M400" s="14"/>
      <c r="N400" s="14"/>
      <c r="Z400" s="11"/>
      <c r="AA400" s="15"/>
      <c r="AB400" s="15"/>
      <c r="AC400" s="15"/>
      <c r="AD400" s="16"/>
      <c r="AE400" s="16"/>
      <c r="AF400" s="16"/>
      <c r="AG400" s="16"/>
      <c r="AH400" s="16"/>
      <c r="AI400" s="16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16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</row>
    <row r="401" spans="1:96" ht="12" customHeight="1" x14ac:dyDescent="0.25">
      <c r="A401" s="3"/>
      <c r="B401" s="14"/>
      <c r="C401" s="14"/>
      <c r="D401" s="14"/>
      <c r="E401" s="14"/>
      <c r="K401" s="14"/>
      <c r="M401" s="14"/>
      <c r="N401" s="14"/>
      <c r="Z401" s="11"/>
      <c r="AA401" s="15"/>
      <c r="AB401" s="15"/>
      <c r="AC401" s="15"/>
      <c r="AD401" s="16"/>
      <c r="AE401" s="16"/>
      <c r="AF401" s="16"/>
      <c r="AG401" s="16"/>
      <c r="AH401" s="16"/>
      <c r="AI401" s="16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16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</row>
    <row r="402" spans="1:96" ht="12" customHeight="1" x14ac:dyDescent="0.25">
      <c r="A402" s="3"/>
      <c r="B402" s="14"/>
      <c r="C402" s="14"/>
      <c r="D402" s="14"/>
      <c r="E402" s="14"/>
      <c r="K402" s="14"/>
      <c r="M402" s="14"/>
      <c r="N402" s="14"/>
      <c r="Z402" s="11"/>
      <c r="AA402" s="15"/>
      <c r="AB402" s="15"/>
      <c r="AC402" s="15"/>
      <c r="AD402" s="16"/>
      <c r="AE402" s="16"/>
      <c r="AF402" s="16"/>
      <c r="AG402" s="16"/>
      <c r="AH402" s="16"/>
      <c r="AI402" s="16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16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</row>
    <row r="403" spans="1:96" ht="12" customHeight="1" x14ac:dyDescent="0.25">
      <c r="A403" s="3"/>
      <c r="B403" s="14"/>
      <c r="C403" s="14"/>
      <c r="D403" s="14"/>
      <c r="E403" s="14"/>
      <c r="K403" s="14"/>
      <c r="M403" s="14"/>
      <c r="N403" s="14"/>
      <c r="Z403" s="11"/>
      <c r="AA403" s="15"/>
      <c r="AB403" s="15"/>
      <c r="AC403" s="15"/>
      <c r="AD403" s="16"/>
      <c r="AE403" s="16"/>
      <c r="AF403" s="16"/>
      <c r="AG403" s="16"/>
      <c r="AH403" s="16"/>
      <c r="AI403" s="16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16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</row>
    <row r="404" spans="1:96" ht="12" customHeight="1" x14ac:dyDescent="0.25">
      <c r="A404" s="3"/>
      <c r="B404" s="14"/>
      <c r="C404" s="14"/>
      <c r="D404" s="14"/>
      <c r="E404" s="14"/>
      <c r="K404" s="14"/>
      <c r="M404" s="14"/>
      <c r="N404" s="14"/>
      <c r="Z404" s="11"/>
      <c r="AA404" s="15"/>
      <c r="AB404" s="15"/>
      <c r="AC404" s="15"/>
      <c r="AD404" s="16"/>
      <c r="AE404" s="16"/>
      <c r="AF404" s="16"/>
      <c r="AG404" s="16"/>
      <c r="AH404" s="16"/>
      <c r="AI404" s="16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16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</row>
    <row r="405" spans="1:96" ht="12" customHeight="1" x14ac:dyDescent="0.25">
      <c r="A405" s="3"/>
      <c r="B405" s="14"/>
      <c r="C405" s="14"/>
      <c r="D405" s="14"/>
      <c r="E405" s="14"/>
      <c r="K405" s="14"/>
      <c r="M405" s="14"/>
      <c r="N405" s="14"/>
      <c r="Z405" s="11"/>
      <c r="AA405" s="15"/>
      <c r="AB405" s="15"/>
      <c r="AC405" s="15"/>
      <c r="AD405" s="16"/>
      <c r="AE405" s="16"/>
      <c r="AF405" s="16"/>
      <c r="AG405" s="16"/>
      <c r="AH405" s="16"/>
      <c r="AI405" s="16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16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</row>
    <row r="406" spans="1:96" ht="12" customHeight="1" x14ac:dyDescent="0.25">
      <c r="A406" s="3"/>
      <c r="B406" s="14"/>
      <c r="C406" s="14"/>
      <c r="D406" s="14"/>
      <c r="E406" s="14"/>
      <c r="K406" s="14"/>
      <c r="M406" s="14"/>
      <c r="N406" s="14"/>
      <c r="Z406" s="11"/>
      <c r="AA406" s="15"/>
      <c r="AB406" s="15"/>
      <c r="AC406" s="15"/>
      <c r="AD406" s="16"/>
      <c r="AE406" s="16"/>
      <c r="AF406" s="16"/>
      <c r="AG406" s="16"/>
      <c r="AH406" s="16"/>
      <c r="AI406" s="16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16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</row>
    <row r="407" spans="1:96" ht="12" customHeight="1" x14ac:dyDescent="0.25">
      <c r="A407" s="3"/>
      <c r="B407" s="14"/>
      <c r="C407" s="14"/>
      <c r="D407" s="14"/>
      <c r="E407" s="14"/>
      <c r="K407" s="14"/>
      <c r="M407" s="14"/>
      <c r="N407" s="14"/>
      <c r="Z407" s="11"/>
      <c r="AA407" s="15"/>
      <c r="AB407" s="15"/>
      <c r="AC407" s="15"/>
      <c r="AD407" s="16"/>
      <c r="AE407" s="16"/>
      <c r="AF407" s="16"/>
      <c r="AG407" s="16"/>
      <c r="AH407" s="16"/>
      <c r="AI407" s="16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16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</row>
    <row r="408" spans="1:96" ht="12" customHeight="1" x14ac:dyDescent="0.25">
      <c r="A408" s="3"/>
      <c r="B408" s="14"/>
      <c r="C408" s="14"/>
      <c r="D408" s="14"/>
      <c r="E408" s="14"/>
      <c r="K408" s="14"/>
      <c r="M408" s="14"/>
      <c r="N408" s="14"/>
      <c r="Z408" s="11"/>
      <c r="AA408" s="15"/>
      <c r="AB408" s="15"/>
      <c r="AC408" s="15"/>
      <c r="AD408" s="16"/>
      <c r="AE408" s="16"/>
      <c r="AF408" s="16"/>
      <c r="AG408" s="16"/>
      <c r="AH408" s="16"/>
      <c r="AI408" s="16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16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</row>
    <row r="409" spans="1:96" ht="12" customHeight="1" x14ac:dyDescent="0.25">
      <c r="A409" s="3"/>
      <c r="B409" s="14"/>
      <c r="C409" s="14"/>
      <c r="D409" s="14"/>
      <c r="E409" s="14"/>
      <c r="K409" s="14"/>
      <c r="M409" s="14"/>
      <c r="N409" s="14"/>
      <c r="Z409" s="11"/>
      <c r="AA409" s="15"/>
      <c r="AB409" s="15"/>
      <c r="AC409" s="15"/>
      <c r="AD409" s="16"/>
      <c r="AE409" s="16"/>
      <c r="AF409" s="16"/>
      <c r="AG409" s="16"/>
      <c r="AH409" s="16"/>
      <c r="AI409" s="16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16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</row>
    <row r="410" spans="1:96" ht="12" customHeight="1" x14ac:dyDescent="0.25">
      <c r="A410" s="3"/>
      <c r="B410" s="14"/>
      <c r="C410" s="14"/>
      <c r="D410" s="14"/>
      <c r="E410" s="14"/>
      <c r="K410" s="14"/>
      <c r="M410" s="14"/>
      <c r="N410" s="14"/>
      <c r="Z410" s="11"/>
      <c r="AA410" s="15"/>
      <c r="AB410" s="15"/>
      <c r="AC410" s="15"/>
      <c r="AD410" s="16"/>
      <c r="AE410" s="16"/>
      <c r="AF410" s="16"/>
      <c r="AG410" s="16"/>
      <c r="AH410" s="16"/>
      <c r="AI410" s="16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16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</row>
    <row r="411" spans="1:96" ht="12" customHeight="1" x14ac:dyDescent="0.25">
      <c r="A411" s="3"/>
      <c r="B411" s="14"/>
      <c r="C411" s="14"/>
      <c r="D411" s="14"/>
      <c r="E411" s="14"/>
      <c r="K411" s="14"/>
      <c r="M411" s="14"/>
      <c r="N411" s="14"/>
      <c r="Z411" s="11"/>
      <c r="AA411" s="15"/>
      <c r="AB411" s="15"/>
      <c r="AC411" s="15"/>
      <c r="AD411" s="16"/>
      <c r="AE411" s="16"/>
      <c r="AF411" s="16"/>
      <c r="AG411" s="16"/>
      <c r="AH411" s="16"/>
      <c r="AI411" s="16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16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</row>
    <row r="412" spans="1:96" ht="12" customHeight="1" x14ac:dyDescent="0.25">
      <c r="A412" s="3"/>
      <c r="B412" s="14"/>
      <c r="C412" s="14"/>
      <c r="D412" s="14"/>
      <c r="E412" s="14"/>
      <c r="K412" s="14"/>
      <c r="M412" s="14"/>
      <c r="N412" s="14"/>
      <c r="Z412" s="11"/>
      <c r="AA412" s="15"/>
      <c r="AB412" s="15"/>
      <c r="AC412" s="15"/>
      <c r="AD412" s="16"/>
      <c r="AE412" s="16"/>
      <c r="AF412" s="16"/>
      <c r="AG412" s="16"/>
      <c r="AH412" s="16"/>
      <c r="AI412" s="16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16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</row>
    <row r="413" spans="1:96" ht="12" customHeight="1" x14ac:dyDescent="0.25">
      <c r="A413" s="3"/>
      <c r="B413" s="14"/>
      <c r="C413" s="14"/>
      <c r="D413" s="14"/>
      <c r="E413" s="14"/>
      <c r="K413" s="14"/>
      <c r="M413" s="14"/>
      <c r="N413" s="14"/>
      <c r="Z413" s="11"/>
      <c r="AA413" s="15"/>
      <c r="AB413" s="15"/>
      <c r="AC413" s="15"/>
      <c r="AD413" s="16"/>
      <c r="AE413" s="16"/>
      <c r="AF413" s="16"/>
      <c r="AG413" s="16"/>
      <c r="AH413" s="16"/>
      <c r="AI413" s="16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16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</row>
    <row r="414" spans="1:96" ht="12" customHeight="1" x14ac:dyDescent="0.25">
      <c r="A414" s="3"/>
      <c r="B414" s="14"/>
      <c r="C414" s="14"/>
      <c r="D414" s="14"/>
      <c r="E414" s="14"/>
      <c r="K414" s="14"/>
      <c r="M414" s="14"/>
      <c r="N414" s="14"/>
      <c r="Z414" s="11"/>
      <c r="AA414" s="15"/>
      <c r="AB414" s="15"/>
      <c r="AC414" s="15"/>
      <c r="AD414" s="16"/>
      <c r="AE414" s="16"/>
      <c r="AF414" s="16"/>
      <c r="AG414" s="16"/>
      <c r="AH414" s="16"/>
      <c r="AI414" s="16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16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</row>
    <row r="415" spans="1:96" ht="12" customHeight="1" x14ac:dyDescent="0.25">
      <c r="A415" s="3"/>
      <c r="B415" s="14"/>
      <c r="C415" s="14"/>
      <c r="D415" s="14"/>
      <c r="E415" s="14"/>
      <c r="K415" s="14"/>
      <c r="M415" s="14"/>
      <c r="N415" s="14"/>
      <c r="Z415" s="11"/>
      <c r="AA415" s="15"/>
      <c r="AB415" s="15"/>
      <c r="AC415" s="15"/>
      <c r="AD415" s="16"/>
      <c r="AE415" s="16"/>
      <c r="AF415" s="16"/>
      <c r="AG415" s="16"/>
      <c r="AH415" s="16"/>
      <c r="AI415" s="16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16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</row>
    <row r="416" spans="1:96" ht="12" customHeight="1" x14ac:dyDescent="0.25">
      <c r="A416" s="3"/>
      <c r="B416" s="14"/>
      <c r="C416" s="14"/>
      <c r="D416" s="14"/>
      <c r="E416" s="14"/>
      <c r="K416" s="14"/>
      <c r="M416" s="14"/>
      <c r="N416" s="14"/>
      <c r="Z416" s="11"/>
      <c r="AA416" s="15"/>
      <c r="AB416" s="15"/>
      <c r="AC416" s="15"/>
      <c r="AD416" s="16"/>
      <c r="AE416" s="16"/>
      <c r="AF416" s="16"/>
      <c r="AG416" s="16"/>
      <c r="AH416" s="16"/>
      <c r="AI416" s="16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16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</row>
    <row r="417" spans="1:96" ht="12" customHeight="1" x14ac:dyDescent="0.25">
      <c r="A417" s="3"/>
      <c r="B417" s="14"/>
      <c r="C417" s="14"/>
      <c r="D417" s="14"/>
      <c r="E417" s="14"/>
      <c r="K417" s="14"/>
      <c r="M417" s="14"/>
      <c r="N417" s="14"/>
      <c r="Z417" s="11"/>
      <c r="AA417" s="15"/>
      <c r="AB417" s="15"/>
      <c r="AC417" s="15"/>
      <c r="AD417" s="16"/>
      <c r="AE417" s="16"/>
      <c r="AF417" s="16"/>
      <c r="AG417" s="16"/>
      <c r="AH417" s="16"/>
      <c r="AI417" s="16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16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</row>
    <row r="418" spans="1:96" ht="12" customHeight="1" x14ac:dyDescent="0.25">
      <c r="A418" s="3"/>
      <c r="B418" s="14"/>
      <c r="C418" s="14"/>
      <c r="D418" s="14"/>
      <c r="E418" s="14"/>
      <c r="K418" s="14"/>
      <c r="M418" s="14"/>
      <c r="N418" s="14"/>
      <c r="Z418" s="11"/>
      <c r="AA418" s="15"/>
      <c r="AB418" s="15"/>
      <c r="AC418" s="15"/>
      <c r="AD418" s="16"/>
      <c r="AE418" s="16"/>
      <c r="AF418" s="16"/>
      <c r="AG418" s="16"/>
      <c r="AH418" s="16"/>
      <c r="AI418" s="16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16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</row>
    <row r="419" spans="1:96" ht="12" customHeight="1" x14ac:dyDescent="0.25">
      <c r="A419" s="3"/>
      <c r="B419" s="14"/>
      <c r="C419" s="14"/>
      <c r="D419" s="14"/>
      <c r="E419" s="14"/>
      <c r="K419" s="14"/>
      <c r="M419" s="14"/>
      <c r="N419" s="14"/>
      <c r="Z419" s="11"/>
      <c r="AA419" s="15"/>
      <c r="AB419" s="15"/>
      <c r="AC419" s="15"/>
      <c r="AD419" s="16"/>
      <c r="AE419" s="16"/>
      <c r="AF419" s="16"/>
      <c r="AG419" s="16"/>
      <c r="AH419" s="16"/>
      <c r="AI419" s="16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16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</row>
    <row r="420" spans="1:96" ht="12" customHeight="1" x14ac:dyDescent="0.25">
      <c r="A420" s="3"/>
      <c r="B420" s="14"/>
      <c r="C420" s="14"/>
      <c r="D420" s="14"/>
      <c r="E420" s="14"/>
      <c r="K420" s="14"/>
      <c r="M420" s="14"/>
      <c r="N420" s="14"/>
      <c r="Z420" s="11"/>
      <c r="AA420" s="15"/>
      <c r="AB420" s="15"/>
      <c r="AC420" s="15"/>
      <c r="AD420" s="16"/>
      <c r="AE420" s="16"/>
      <c r="AF420" s="16"/>
      <c r="AG420" s="16"/>
      <c r="AH420" s="16"/>
      <c r="AI420" s="16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16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</row>
    <row r="421" spans="1:96" ht="12" customHeight="1" x14ac:dyDescent="0.25">
      <c r="A421" s="3"/>
      <c r="B421" s="14"/>
      <c r="C421" s="14"/>
      <c r="D421" s="14"/>
      <c r="E421" s="14"/>
      <c r="K421" s="14"/>
      <c r="M421" s="14"/>
      <c r="N421" s="14"/>
      <c r="Z421" s="11"/>
      <c r="AA421" s="15"/>
      <c r="AB421" s="15"/>
      <c r="AC421" s="15"/>
      <c r="AD421" s="16"/>
      <c r="AE421" s="16"/>
      <c r="AF421" s="16"/>
      <c r="AG421" s="16"/>
      <c r="AH421" s="16"/>
      <c r="AI421" s="16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16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</row>
    <row r="422" spans="1:96" ht="12" customHeight="1" x14ac:dyDescent="0.25">
      <c r="A422" s="3"/>
      <c r="B422" s="14"/>
      <c r="C422" s="14"/>
      <c r="D422" s="14"/>
      <c r="E422" s="14"/>
      <c r="K422" s="14"/>
      <c r="M422" s="14"/>
      <c r="N422" s="14"/>
      <c r="Z422" s="11"/>
      <c r="AA422" s="15"/>
      <c r="AB422" s="15"/>
      <c r="AC422" s="15"/>
      <c r="AD422" s="16"/>
      <c r="AE422" s="16"/>
      <c r="AF422" s="16"/>
      <c r="AG422" s="16"/>
      <c r="AH422" s="16"/>
      <c r="AI422" s="16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16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</row>
    <row r="423" spans="1:96" ht="12" customHeight="1" x14ac:dyDescent="0.25">
      <c r="A423" s="3"/>
      <c r="B423" s="14"/>
      <c r="C423" s="14"/>
      <c r="D423" s="14"/>
      <c r="E423" s="14"/>
      <c r="K423" s="14"/>
      <c r="M423" s="14"/>
      <c r="N423" s="14"/>
      <c r="Z423" s="11"/>
      <c r="AA423" s="15"/>
      <c r="AB423" s="15"/>
      <c r="AC423" s="15"/>
      <c r="AD423" s="16"/>
      <c r="AE423" s="16"/>
      <c r="AF423" s="16"/>
      <c r="AG423" s="16"/>
      <c r="AH423" s="16"/>
      <c r="AI423" s="16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16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</row>
    <row r="424" spans="1:96" ht="12" customHeight="1" x14ac:dyDescent="0.25">
      <c r="A424" s="3"/>
      <c r="B424" s="14"/>
      <c r="C424" s="14"/>
      <c r="D424" s="14"/>
      <c r="E424" s="14"/>
      <c r="K424" s="14"/>
      <c r="M424" s="14"/>
      <c r="N424" s="14"/>
      <c r="Z424" s="11"/>
      <c r="AA424" s="15"/>
      <c r="AB424" s="15"/>
      <c r="AC424" s="15"/>
      <c r="AD424" s="16"/>
      <c r="AE424" s="16"/>
      <c r="AF424" s="16"/>
      <c r="AG424" s="16"/>
      <c r="AH424" s="16"/>
      <c r="AI424" s="16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16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</row>
    <row r="425" spans="1:96" ht="12" customHeight="1" x14ac:dyDescent="0.25">
      <c r="A425" s="3"/>
      <c r="B425" s="14"/>
      <c r="C425" s="14"/>
      <c r="D425" s="14"/>
      <c r="E425" s="14"/>
      <c r="K425" s="14"/>
      <c r="M425" s="14"/>
      <c r="N425" s="14"/>
      <c r="Z425" s="11"/>
      <c r="AA425" s="15"/>
      <c r="AB425" s="15"/>
      <c r="AC425" s="15"/>
      <c r="AD425" s="16"/>
      <c r="AE425" s="16"/>
      <c r="AF425" s="16"/>
      <c r="AG425" s="16"/>
      <c r="AH425" s="16"/>
      <c r="AI425" s="16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16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</row>
    <row r="426" spans="1:96" ht="12" customHeight="1" x14ac:dyDescent="0.25">
      <c r="A426" s="3"/>
      <c r="B426" s="14"/>
      <c r="C426" s="14"/>
      <c r="D426" s="14"/>
      <c r="E426" s="14"/>
      <c r="K426" s="14"/>
      <c r="M426" s="14"/>
      <c r="N426" s="14"/>
      <c r="Z426" s="11"/>
      <c r="AA426" s="15"/>
      <c r="AB426" s="15"/>
      <c r="AC426" s="15"/>
      <c r="AD426" s="16"/>
      <c r="AE426" s="16"/>
      <c r="AF426" s="16"/>
      <c r="AG426" s="16"/>
      <c r="AH426" s="16"/>
      <c r="AI426" s="16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16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</row>
    <row r="427" spans="1:96" ht="12" customHeight="1" x14ac:dyDescent="0.25">
      <c r="A427" s="3"/>
      <c r="B427" s="14"/>
      <c r="C427" s="14"/>
      <c r="D427" s="14"/>
      <c r="E427" s="14"/>
      <c r="K427" s="14"/>
      <c r="M427" s="14"/>
      <c r="N427" s="14"/>
      <c r="Z427" s="11"/>
      <c r="AA427" s="15"/>
      <c r="AB427" s="15"/>
      <c r="AC427" s="15"/>
      <c r="AD427" s="16"/>
      <c r="AE427" s="16"/>
      <c r="AF427" s="16"/>
      <c r="AG427" s="16"/>
      <c r="AH427" s="16"/>
      <c r="AI427" s="16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16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</row>
    <row r="428" spans="1:96" ht="12" customHeight="1" x14ac:dyDescent="0.25">
      <c r="A428" s="3"/>
      <c r="B428" s="14"/>
      <c r="C428" s="14"/>
      <c r="D428" s="14"/>
      <c r="E428" s="14"/>
      <c r="K428" s="14"/>
      <c r="M428" s="14"/>
      <c r="N428" s="14"/>
      <c r="Z428" s="11"/>
      <c r="AA428" s="15"/>
      <c r="AB428" s="15"/>
      <c r="AC428" s="15"/>
      <c r="AD428" s="16"/>
      <c r="AE428" s="16"/>
      <c r="AF428" s="16"/>
      <c r="AG428" s="16"/>
      <c r="AH428" s="16"/>
      <c r="AI428" s="16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16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</row>
    <row r="429" spans="1:96" ht="12" customHeight="1" x14ac:dyDescent="0.25">
      <c r="A429" s="3"/>
      <c r="B429" s="14"/>
      <c r="C429" s="14"/>
      <c r="D429" s="14"/>
      <c r="E429" s="14"/>
      <c r="K429" s="14"/>
      <c r="M429" s="14"/>
      <c r="N429" s="14"/>
      <c r="Z429" s="11"/>
      <c r="AA429" s="15"/>
      <c r="AB429" s="15"/>
      <c r="AC429" s="15"/>
      <c r="AD429" s="16"/>
      <c r="AE429" s="16"/>
      <c r="AF429" s="16"/>
      <c r="AG429" s="16"/>
      <c r="AH429" s="16"/>
      <c r="AI429" s="16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16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</row>
    <row r="430" spans="1:96" ht="12" customHeight="1" x14ac:dyDescent="0.25">
      <c r="A430" s="3"/>
      <c r="B430" s="14"/>
      <c r="C430" s="14"/>
      <c r="D430" s="14"/>
      <c r="E430" s="14"/>
      <c r="K430" s="14"/>
      <c r="M430" s="14"/>
      <c r="N430" s="14"/>
      <c r="Z430" s="11"/>
      <c r="AA430" s="15"/>
      <c r="AB430" s="15"/>
      <c r="AC430" s="15"/>
      <c r="AD430" s="16"/>
      <c r="AE430" s="16"/>
      <c r="AF430" s="16"/>
      <c r="AG430" s="16"/>
      <c r="AH430" s="16"/>
      <c r="AI430" s="16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16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</row>
    <row r="431" spans="1:96" ht="12" customHeight="1" x14ac:dyDescent="0.25">
      <c r="A431" s="3"/>
      <c r="B431" s="14"/>
      <c r="C431" s="14"/>
      <c r="D431" s="14"/>
      <c r="E431" s="14"/>
      <c r="K431" s="14"/>
      <c r="M431" s="14"/>
      <c r="N431" s="14"/>
      <c r="Z431" s="11"/>
      <c r="AA431" s="15"/>
      <c r="AB431" s="15"/>
      <c r="AC431" s="15"/>
      <c r="AD431" s="16"/>
      <c r="AE431" s="16"/>
      <c r="AF431" s="16"/>
      <c r="AG431" s="16"/>
      <c r="AH431" s="16"/>
      <c r="AI431" s="16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16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</row>
    <row r="432" spans="1:96" ht="12" customHeight="1" x14ac:dyDescent="0.25">
      <c r="A432" s="3"/>
      <c r="B432" s="14"/>
      <c r="C432" s="14"/>
      <c r="D432" s="14"/>
      <c r="E432" s="14"/>
      <c r="K432" s="14"/>
      <c r="M432" s="14"/>
      <c r="N432" s="14"/>
      <c r="Z432" s="11"/>
      <c r="AA432" s="15"/>
      <c r="AB432" s="15"/>
      <c r="AC432" s="15"/>
      <c r="AD432" s="16"/>
      <c r="AE432" s="16"/>
      <c r="AF432" s="16"/>
      <c r="AG432" s="16"/>
      <c r="AH432" s="16"/>
      <c r="AI432" s="16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16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</row>
    <row r="433" spans="1:96" ht="12" customHeight="1" x14ac:dyDescent="0.25">
      <c r="A433" s="3"/>
      <c r="B433" s="14"/>
      <c r="C433" s="14"/>
      <c r="D433" s="14"/>
      <c r="E433" s="14"/>
      <c r="K433" s="14"/>
      <c r="M433" s="14"/>
      <c r="N433" s="14"/>
      <c r="Z433" s="11"/>
      <c r="AA433" s="15"/>
      <c r="AB433" s="15"/>
      <c r="AC433" s="15"/>
      <c r="AD433" s="16"/>
      <c r="AE433" s="16"/>
      <c r="AF433" s="16"/>
      <c r="AG433" s="16"/>
      <c r="AH433" s="16"/>
      <c r="AI433" s="16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16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</row>
    <row r="434" spans="1:96" ht="12" customHeight="1" x14ac:dyDescent="0.25">
      <c r="A434" s="3"/>
      <c r="B434" s="14"/>
      <c r="C434" s="14"/>
      <c r="D434" s="14"/>
      <c r="E434" s="14"/>
      <c r="K434" s="14"/>
      <c r="M434" s="14"/>
      <c r="N434" s="14"/>
      <c r="Z434" s="11"/>
      <c r="AA434" s="15"/>
      <c r="AB434" s="15"/>
      <c r="AC434" s="15"/>
      <c r="AD434" s="16"/>
      <c r="AE434" s="16"/>
      <c r="AF434" s="16"/>
      <c r="AG434" s="16"/>
      <c r="AH434" s="16"/>
      <c r="AI434" s="16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16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</row>
    <row r="435" spans="1:96" ht="12" customHeight="1" x14ac:dyDescent="0.25">
      <c r="A435" s="3"/>
      <c r="B435" s="14"/>
      <c r="C435" s="14"/>
      <c r="D435" s="14"/>
      <c r="E435" s="14"/>
      <c r="K435" s="14"/>
      <c r="M435" s="14"/>
      <c r="N435" s="14"/>
      <c r="Z435" s="11"/>
      <c r="AA435" s="15"/>
      <c r="AB435" s="15"/>
      <c r="AC435" s="15"/>
      <c r="AD435" s="16"/>
      <c r="AE435" s="16"/>
      <c r="AF435" s="16"/>
      <c r="AG435" s="16"/>
      <c r="AH435" s="16"/>
      <c r="AI435" s="16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16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</row>
    <row r="436" spans="1:96" ht="12" customHeight="1" x14ac:dyDescent="0.25">
      <c r="A436" s="3"/>
      <c r="B436" s="14"/>
      <c r="C436" s="14"/>
      <c r="D436" s="14"/>
      <c r="E436" s="14"/>
      <c r="K436" s="14"/>
      <c r="M436" s="14"/>
      <c r="N436" s="14"/>
      <c r="Z436" s="11"/>
      <c r="AA436" s="15"/>
      <c r="AB436" s="15"/>
      <c r="AC436" s="15"/>
      <c r="AD436" s="16"/>
      <c r="AE436" s="16"/>
      <c r="AF436" s="16"/>
      <c r="AG436" s="16"/>
      <c r="AH436" s="16"/>
      <c r="AI436" s="16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16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</row>
    <row r="437" spans="1:96" ht="12" customHeight="1" x14ac:dyDescent="0.25">
      <c r="A437" s="3"/>
      <c r="B437" s="14"/>
      <c r="C437" s="14"/>
      <c r="D437" s="14"/>
      <c r="E437" s="14"/>
      <c r="K437" s="14"/>
      <c r="M437" s="14"/>
      <c r="N437" s="14"/>
      <c r="Z437" s="11"/>
      <c r="AA437" s="15"/>
      <c r="AB437" s="15"/>
      <c r="AC437" s="15"/>
      <c r="AD437" s="16"/>
      <c r="AE437" s="16"/>
      <c r="AF437" s="16"/>
      <c r="AG437" s="16"/>
      <c r="AH437" s="16"/>
      <c r="AI437" s="16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16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</row>
    <row r="438" spans="1:96" ht="12" customHeight="1" x14ac:dyDescent="0.25">
      <c r="A438" s="3"/>
      <c r="B438" s="14"/>
      <c r="C438" s="14"/>
      <c r="D438" s="14"/>
      <c r="E438" s="14"/>
      <c r="K438" s="14"/>
      <c r="M438" s="14"/>
      <c r="N438" s="14"/>
      <c r="Z438" s="11"/>
      <c r="AA438" s="15"/>
      <c r="AB438" s="15"/>
      <c r="AC438" s="15"/>
      <c r="AD438" s="16"/>
      <c r="AE438" s="16"/>
      <c r="AF438" s="16"/>
      <c r="AG438" s="16"/>
      <c r="AH438" s="16"/>
      <c r="AI438" s="16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16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</row>
    <row r="439" spans="1:96" ht="12" customHeight="1" x14ac:dyDescent="0.25">
      <c r="A439" s="3"/>
      <c r="B439" s="14"/>
      <c r="C439" s="14"/>
      <c r="D439" s="14"/>
      <c r="E439" s="14"/>
      <c r="K439" s="14"/>
      <c r="M439" s="14"/>
      <c r="N439" s="14"/>
      <c r="Z439" s="11"/>
      <c r="AA439" s="15"/>
      <c r="AB439" s="15"/>
      <c r="AC439" s="15"/>
      <c r="AD439" s="16"/>
      <c r="AE439" s="16"/>
      <c r="AF439" s="16"/>
      <c r="AG439" s="16"/>
      <c r="AH439" s="16"/>
      <c r="AI439" s="16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16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</row>
    <row r="440" spans="1:96" ht="12" customHeight="1" x14ac:dyDescent="0.25">
      <c r="A440" s="3"/>
      <c r="B440" s="14"/>
      <c r="C440" s="14"/>
      <c r="D440" s="14"/>
      <c r="E440" s="14"/>
      <c r="K440" s="14"/>
      <c r="M440" s="14"/>
      <c r="N440" s="14"/>
      <c r="Z440" s="11"/>
      <c r="AA440" s="15"/>
      <c r="AB440" s="15"/>
      <c r="AC440" s="15"/>
      <c r="AD440" s="16"/>
      <c r="AE440" s="16"/>
      <c r="AF440" s="16"/>
      <c r="AG440" s="16"/>
      <c r="AH440" s="16"/>
      <c r="AI440" s="16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16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</row>
    <row r="441" spans="1:96" ht="12" customHeight="1" x14ac:dyDescent="0.25">
      <c r="A441" s="3"/>
      <c r="B441" s="14"/>
      <c r="C441" s="14"/>
      <c r="D441" s="14"/>
      <c r="E441" s="14"/>
      <c r="K441" s="14"/>
      <c r="M441" s="14"/>
      <c r="N441" s="14"/>
      <c r="Z441" s="11"/>
      <c r="AA441" s="15"/>
      <c r="AB441" s="15"/>
      <c r="AC441" s="15"/>
      <c r="AD441" s="16"/>
      <c r="AE441" s="16"/>
      <c r="AF441" s="16"/>
      <c r="AG441" s="16"/>
      <c r="AH441" s="16"/>
      <c r="AI441" s="16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16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</row>
    <row r="442" spans="1:96" ht="12" customHeight="1" x14ac:dyDescent="0.25">
      <c r="A442" s="3"/>
      <c r="B442" s="14"/>
      <c r="C442" s="14"/>
      <c r="D442" s="14"/>
      <c r="E442" s="14"/>
      <c r="K442" s="14"/>
      <c r="M442" s="14"/>
      <c r="N442" s="14"/>
      <c r="Z442" s="11"/>
      <c r="AA442" s="15"/>
      <c r="AB442" s="15"/>
      <c r="AC442" s="15"/>
      <c r="AD442" s="16"/>
      <c r="AE442" s="16"/>
      <c r="AF442" s="16"/>
      <c r="AG442" s="16"/>
      <c r="AH442" s="16"/>
      <c r="AI442" s="16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16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</row>
    <row r="443" spans="1:96" ht="12" customHeight="1" x14ac:dyDescent="0.25">
      <c r="A443" s="3"/>
      <c r="B443" s="14"/>
      <c r="C443" s="14"/>
      <c r="D443" s="14"/>
      <c r="E443" s="14"/>
      <c r="K443" s="14"/>
      <c r="M443" s="14"/>
      <c r="N443" s="14"/>
      <c r="Z443" s="11"/>
      <c r="AA443" s="15"/>
      <c r="AB443" s="15"/>
      <c r="AC443" s="15"/>
      <c r="AD443" s="16"/>
      <c r="AE443" s="16"/>
      <c r="AF443" s="16"/>
      <c r="AG443" s="16"/>
      <c r="AH443" s="16"/>
      <c r="AI443" s="16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16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</row>
    <row r="444" spans="1:96" ht="12" customHeight="1" x14ac:dyDescent="0.25">
      <c r="A444" s="3"/>
      <c r="B444" s="14"/>
      <c r="C444" s="14"/>
      <c r="D444" s="14"/>
      <c r="E444" s="14"/>
      <c r="K444" s="14"/>
      <c r="M444" s="14"/>
      <c r="N444" s="14"/>
      <c r="Z444" s="11"/>
      <c r="AA444" s="15"/>
      <c r="AB444" s="15"/>
      <c r="AC444" s="15"/>
      <c r="AD444" s="16"/>
      <c r="AE444" s="16"/>
      <c r="AF444" s="16"/>
      <c r="AG444" s="16"/>
      <c r="AH444" s="16"/>
      <c r="AI444" s="16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16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</row>
    <row r="445" spans="1:96" ht="12" customHeight="1" x14ac:dyDescent="0.25">
      <c r="A445" s="3"/>
      <c r="B445" s="14"/>
      <c r="C445" s="14"/>
      <c r="D445" s="14"/>
      <c r="E445" s="14"/>
      <c r="K445" s="14"/>
      <c r="M445" s="14"/>
      <c r="N445" s="14"/>
      <c r="Z445" s="11"/>
      <c r="AA445" s="15"/>
      <c r="AB445" s="15"/>
      <c r="AC445" s="15"/>
      <c r="AD445" s="16"/>
      <c r="AE445" s="16"/>
      <c r="AF445" s="16"/>
      <c r="AG445" s="16"/>
      <c r="AH445" s="16"/>
      <c r="AI445" s="16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16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</row>
    <row r="446" spans="1:96" ht="12" customHeight="1" x14ac:dyDescent="0.25">
      <c r="A446" s="3"/>
      <c r="B446" s="14"/>
      <c r="C446" s="14"/>
      <c r="D446" s="14"/>
      <c r="E446" s="14"/>
      <c r="K446" s="14"/>
      <c r="M446" s="14"/>
      <c r="N446" s="14"/>
      <c r="Z446" s="11"/>
      <c r="AA446" s="15"/>
      <c r="AB446" s="15"/>
      <c r="AC446" s="15"/>
      <c r="AD446" s="16"/>
      <c r="AE446" s="16"/>
      <c r="AF446" s="16"/>
      <c r="AG446" s="16"/>
      <c r="AH446" s="16"/>
      <c r="AI446" s="16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16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</row>
    <row r="447" spans="1:96" ht="12" customHeight="1" x14ac:dyDescent="0.25">
      <c r="A447" s="3"/>
      <c r="B447" s="14"/>
      <c r="C447" s="14"/>
      <c r="D447" s="14"/>
      <c r="E447" s="14"/>
      <c r="K447" s="14"/>
      <c r="M447" s="14"/>
      <c r="N447" s="14"/>
      <c r="Z447" s="11"/>
      <c r="AA447" s="15"/>
      <c r="AB447" s="15"/>
      <c r="AC447" s="15"/>
      <c r="AD447" s="16"/>
      <c r="AE447" s="16"/>
      <c r="AF447" s="16"/>
      <c r="AG447" s="16"/>
      <c r="AH447" s="16"/>
      <c r="AI447" s="16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16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</row>
    <row r="448" spans="1:96" ht="12" customHeight="1" x14ac:dyDescent="0.25">
      <c r="A448" s="3"/>
      <c r="B448" s="14"/>
      <c r="C448" s="14"/>
      <c r="D448" s="14"/>
      <c r="E448" s="14"/>
      <c r="K448" s="14"/>
      <c r="M448" s="14"/>
      <c r="N448" s="14"/>
      <c r="Z448" s="11"/>
      <c r="AA448" s="15"/>
      <c r="AB448" s="15"/>
      <c r="AC448" s="15"/>
      <c r="AD448" s="16"/>
      <c r="AE448" s="16"/>
      <c r="AF448" s="16"/>
      <c r="AG448" s="16"/>
      <c r="AH448" s="16"/>
      <c r="AI448" s="16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16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</row>
    <row r="449" spans="1:96" ht="12" customHeight="1" x14ac:dyDescent="0.25">
      <c r="A449" s="3"/>
      <c r="B449" s="14"/>
      <c r="C449" s="14"/>
      <c r="D449" s="14"/>
      <c r="E449" s="14"/>
      <c r="K449" s="14"/>
      <c r="M449" s="14"/>
      <c r="N449" s="14"/>
      <c r="Z449" s="11"/>
      <c r="AA449" s="15"/>
      <c r="AB449" s="15"/>
      <c r="AC449" s="15"/>
      <c r="AD449" s="16"/>
      <c r="AE449" s="16"/>
      <c r="AF449" s="16"/>
      <c r="AG449" s="16"/>
      <c r="AH449" s="16"/>
      <c r="AI449" s="16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16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</row>
    <row r="450" spans="1:96" ht="12" customHeight="1" x14ac:dyDescent="0.25">
      <c r="A450" s="3"/>
      <c r="B450" s="14"/>
      <c r="C450" s="14"/>
      <c r="D450" s="14"/>
      <c r="E450" s="14"/>
      <c r="K450" s="14"/>
      <c r="M450" s="14"/>
      <c r="N450" s="14"/>
      <c r="Z450" s="11"/>
      <c r="AA450" s="15"/>
      <c r="AB450" s="15"/>
      <c r="AC450" s="15"/>
      <c r="AD450" s="16"/>
      <c r="AE450" s="16"/>
      <c r="AF450" s="16"/>
      <c r="AG450" s="16"/>
      <c r="AH450" s="16"/>
      <c r="AI450" s="16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16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</row>
    <row r="451" spans="1:96" ht="12" customHeight="1" x14ac:dyDescent="0.25">
      <c r="A451" s="3"/>
      <c r="B451" s="14"/>
      <c r="C451" s="14"/>
      <c r="D451" s="14"/>
      <c r="E451" s="14"/>
      <c r="K451" s="14"/>
      <c r="M451" s="14"/>
      <c r="N451" s="14"/>
      <c r="Z451" s="11"/>
      <c r="AA451" s="15"/>
      <c r="AB451" s="15"/>
      <c r="AC451" s="15"/>
      <c r="AD451" s="16"/>
      <c r="AE451" s="16"/>
      <c r="AF451" s="16"/>
      <c r="AG451" s="16"/>
      <c r="AH451" s="16"/>
      <c r="AI451" s="16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16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</row>
    <row r="452" spans="1:96" ht="12" customHeight="1" x14ac:dyDescent="0.25">
      <c r="A452" s="3"/>
      <c r="B452" s="14"/>
      <c r="C452" s="14"/>
      <c r="D452" s="14"/>
      <c r="E452" s="14"/>
      <c r="K452" s="14"/>
      <c r="M452" s="14"/>
      <c r="N452" s="14"/>
      <c r="Z452" s="11"/>
      <c r="AA452" s="15"/>
      <c r="AB452" s="15"/>
      <c r="AC452" s="15"/>
      <c r="AD452" s="16"/>
      <c r="AE452" s="16"/>
      <c r="AF452" s="16"/>
      <c r="AG452" s="16"/>
      <c r="AH452" s="16"/>
      <c r="AI452" s="16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16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</row>
    <row r="453" spans="1:96" ht="12" customHeight="1" x14ac:dyDescent="0.25">
      <c r="A453" s="3"/>
      <c r="B453" s="14"/>
      <c r="C453" s="14"/>
      <c r="D453" s="14"/>
      <c r="E453" s="14"/>
      <c r="K453" s="14"/>
      <c r="M453" s="14"/>
      <c r="N453" s="14"/>
      <c r="Z453" s="11"/>
      <c r="AA453" s="15"/>
      <c r="AB453" s="15"/>
      <c r="AC453" s="15"/>
      <c r="AD453" s="16"/>
      <c r="AE453" s="16"/>
      <c r="AF453" s="16"/>
      <c r="AG453" s="16"/>
      <c r="AH453" s="16"/>
      <c r="AI453" s="16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16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</row>
    <row r="454" spans="1:96" ht="12" customHeight="1" x14ac:dyDescent="0.25">
      <c r="A454" s="3"/>
      <c r="B454" s="14"/>
      <c r="C454" s="14"/>
      <c r="D454" s="14"/>
      <c r="E454" s="14"/>
      <c r="K454" s="14"/>
      <c r="M454" s="14"/>
      <c r="N454" s="14"/>
      <c r="Z454" s="11"/>
      <c r="AA454" s="15"/>
      <c r="AB454" s="15"/>
      <c r="AC454" s="15"/>
      <c r="AD454" s="16"/>
      <c r="AE454" s="16"/>
      <c r="AF454" s="16"/>
      <c r="AG454" s="16"/>
      <c r="AH454" s="16"/>
      <c r="AI454" s="16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16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</row>
    <row r="455" spans="1:96" ht="12" customHeight="1" x14ac:dyDescent="0.25">
      <c r="A455" s="3"/>
      <c r="B455" s="14"/>
      <c r="C455" s="14"/>
      <c r="D455" s="14"/>
      <c r="E455" s="14"/>
      <c r="K455" s="14"/>
      <c r="M455" s="14"/>
      <c r="N455" s="14"/>
      <c r="Z455" s="11"/>
      <c r="AA455" s="15"/>
      <c r="AB455" s="15"/>
      <c r="AC455" s="15"/>
      <c r="AD455" s="16"/>
      <c r="AE455" s="16"/>
      <c r="AF455" s="16"/>
      <c r="AG455" s="16"/>
      <c r="AH455" s="16"/>
      <c r="AI455" s="16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16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</row>
    <row r="456" spans="1:96" ht="12" customHeight="1" x14ac:dyDescent="0.25">
      <c r="A456" s="3"/>
      <c r="B456" s="14"/>
      <c r="C456" s="14"/>
      <c r="D456" s="14"/>
      <c r="E456" s="14"/>
      <c r="K456" s="14"/>
      <c r="M456" s="14"/>
      <c r="N456" s="14"/>
      <c r="Z456" s="11"/>
      <c r="AA456" s="15"/>
      <c r="AB456" s="15"/>
      <c r="AC456" s="15"/>
      <c r="AD456" s="16"/>
      <c r="AE456" s="16"/>
      <c r="AF456" s="16"/>
      <c r="AG456" s="16"/>
      <c r="AH456" s="16"/>
      <c r="AI456" s="16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16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</row>
    <row r="457" spans="1:96" ht="12" customHeight="1" x14ac:dyDescent="0.25">
      <c r="A457" s="3"/>
      <c r="B457" s="14"/>
      <c r="C457" s="14"/>
      <c r="D457" s="14"/>
      <c r="E457" s="14"/>
      <c r="K457" s="14"/>
      <c r="M457" s="14"/>
      <c r="N457" s="14"/>
      <c r="Z457" s="11"/>
      <c r="AA457" s="15"/>
      <c r="AB457" s="15"/>
      <c r="AC457" s="15"/>
      <c r="AD457" s="16"/>
      <c r="AE457" s="16"/>
      <c r="AF457" s="16"/>
      <c r="AG457" s="16"/>
      <c r="AH457" s="16"/>
      <c r="AI457" s="16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16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</row>
    <row r="458" spans="1:96" ht="12" customHeight="1" x14ac:dyDescent="0.25">
      <c r="A458" s="3"/>
      <c r="B458" s="14"/>
      <c r="C458" s="14"/>
      <c r="D458" s="14"/>
      <c r="E458" s="14"/>
      <c r="K458" s="14"/>
      <c r="M458" s="14"/>
      <c r="N458" s="14"/>
      <c r="Z458" s="11"/>
      <c r="AA458" s="15"/>
      <c r="AB458" s="15"/>
      <c r="AC458" s="15"/>
      <c r="AD458" s="16"/>
      <c r="AE458" s="16"/>
      <c r="AF458" s="16"/>
      <c r="AG458" s="16"/>
      <c r="AH458" s="16"/>
      <c r="AI458" s="16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16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</row>
    <row r="459" spans="1:96" ht="12" customHeight="1" x14ac:dyDescent="0.25">
      <c r="A459" s="3"/>
      <c r="B459" s="14"/>
      <c r="C459" s="14"/>
      <c r="D459" s="14"/>
      <c r="E459" s="14"/>
      <c r="K459" s="14"/>
      <c r="M459" s="14"/>
      <c r="N459" s="14"/>
      <c r="Z459" s="11"/>
      <c r="AA459" s="15"/>
      <c r="AB459" s="15"/>
      <c r="AC459" s="15"/>
      <c r="AD459" s="16"/>
      <c r="AE459" s="16"/>
      <c r="AF459" s="16"/>
      <c r="AG459" s="16"/>
      <c r="AH459" s="16"/>
      <c r="AI459" s="16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16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</row>
    <row r="460" spans="1:96" ht="12" customHeight="1" x14ac:dyDescent="0.25">
      <c r="A460" s="3"/>
      <c r="B460" s="14"/>
      <c r="C460" s="14"/>
      <c r="D460" s="14"/>
      <c r="E460" s="14"/>
      <c r="K460" s="14"/>
      <c r="M460" s="14"/>
      <c r="N460" s="14"/>
      <c r="Z460" s="11"/>
      <c r="AA460" s="15"/>
      <c r="AB460" s="15"/>
      <c r="AC460" s="15"/>
      <c r="AD460" s="16"/>
      <c r="AE460" s="16"/>
      <c r="AF460" s="16"/>
      <c r="AG460" s="16"/>
      <c r="AH460" s="16"/>
      <c r="AI460" s="16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16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</row>
    <row r="461" spans="1:96" ht="12" customHeight="1" x14ac:dyDescent="0.25">
      <c r="A461" s="3"/>
      <c r="B461" s="14"/>
      <c r="C461" s="14"/>
      <c r="D461" s="14"/>
      <c r="E461" s="14"/>
      <c r="K461" s="14"/>
      <c r="M461" s="14"/>
      <c r="N461" s="14"/>
      <c r="Z461" s="11"/>
      <c r="AA461" s="15"/>
      <c r="AB461" s="15"/>
      <c r="AC461" s="15"/>
      <c r="AD461" s="16"/>
      <c r="AE461" s="16"/>
      <c r="AF461" s="16"/>
      <c r="AG461" s="16"/>
      <c r="AH461" s="16"/>
      <c r="AI461" s="16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16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</row>
    <row r="462" spans="1:96" ht="12" customHeight="1" x14ac:dyDescent="0.25">
      <c r="A462" s="3"/>
      <c r="B462" s="14"/>
      <c r="C462" s="14"/>
      <c r="D462" s="14"/>
      <c r="E462" s="14"/>
      <c r="K462" s="14"/>
      <c r="M462" s="14"/>
      <c r="N462" s="14"/>
      <c r="Z462" s="11"/>
      <c r="AA462" s="15"/>
      <c r="AB462" s="15"/>
      <c r="AC462" s="15"/>
      <c r="AD462" s="16"/>
      <c r="AE462" s="16"/>
      <c r="AF462" s="16"/>
      <c r="AG462" s="16"/>
      <c r="AH462" s="16"/>
      <c r="AI462" s="16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16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</row>
    <row r="463" spans="1:96" ht="12" customHeight="1" x14ac:dyDescent="0.25">
      <c r="A463" s="3"/>
      <c r="B463" s="14"/>
      <c r="C463" s="14"/>
      <c r="D463" s="14"/>
      <c r="E463" s="14"/>
      <c r="K463" s="14"/>
      <c r="M463" s="14"/>
      <c r="N463" s="14"/>
      <c r="Z463" s="11"/>
      <c r="AA463" s="15"/>
      <c r="AB463" s="15"/>
      <c r="AC463" s="15"/>
      <c r="AD463" s="16"/>
      <c r="AE463" s="16"/>
      <c r="AF463" s="16"/>
      <c r="AG463" s="16"/>
      <c r="AH463" s="16"/>
      <c r="AI463" s="16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16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</row>
    <row r="464" spans="1:96" ht="12" customHeight="1" x14ac:dyDescent="0.25">
      <c r="A464" s="3"/>
      <c r="B464" s="14"/>
      <c r="C464" s="14"/>
      <c r="D464" s="14"/>
      <c r="E464" s="14"/>
      <c r="K464" s="14"/>
      <c r="M464" s="14"/>
      <c r="N464" s="14"/>
      <c r="Z464" s="11"/>
      <c r="AA464" s="15"/>
      <c r="AB464" s="15"/>
      <c r="AC464" s="15"/>
      <c r="AD464" s="16"/>
      <c r="AE464" s="16"/>
      <c r="AF464" s="16"/>
      <c r="AG464" s="16"/>
      <c r="AH464" s="16"/>
      <c r="AI464" s="16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16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</row>
    <row r="465" spans="1:96" ht="12" customHeight="1" x14ac:dyDescent="0.25">
      <c r="A465" s="3"/>
      <c r="B465" s="14"/>
      <c r="C465" s="14"/>
      <c r="D465" s="14"/>
      <c r="E465" s="14"/>
      <c r="K465" s="14"/>
      <c r="M465" s="14"/>
      <c r="N465" s="14"/>
      <c r="Z465" s="11"/>
      <c r="AA465" s="15"/>
      <c r="AB465" s="15"/>
      <c r="AC465" s="15"/>
      <c r="AD465" s="16"/>
      <c r="AE465" s="16"/>
      <c r="AF465" s="16"/>
      <c r="AG465" s="16"/>
      <c r="AH465" s="16"/>
      <c r="AI465" s="16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16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</row>
    <row r="466" spans="1:96" ht="12" customHeight="1" x14ac:dyDescent="0.25">
      <c r="A466" s="3"/>
      <c r="B466" s="14"/>
      <c r="C466" s="14"/>
      <c r="D466" s="14"/>
      <c r="E466" s="14"/>
      <c r="K466" s="14"/>
      <c r="M466" s="14"/>
      <c r="N466" s="14"/>
      <c r="Z466" s="11"/>
      <c r="AA466" s="15"/>
      <c r="AB466" s="15"/>
      <c r="AC466" s="15"/>
      <c r="AD466" s="16"/>
      <c r="AE466" s="16"/>
      <c r="AF466" s="16"/>
      <c r="AG466" s="16"/>
      <c r="AH466" s="16"/>
      <c r="AI466" s="16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16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</row>
    <row r="467" spans="1:96" ht="12" customHeight="1" x14ac:dyDescent="0.25">
      <c r="A467" s="3"/>
      <c r="B467" s="14"/>
      <c r="C467" s="14"/>
      <c r="D467" s="14"/>
      <c r="E467" s="14"/>
      <c r="K467" s="14"/>
      <c r="M467" s="14"/>
      <c r="N467" s="14"/>
      <c r="Z467" s="11"/>
      <c r="AA467" s="15"/>
      <c r="AB467" s="15"/>
      <c r="AC467" s="15"/>
      <c r="AD467" s="16"/>
      <c r="AE467" s="16"/>
      <c r="AF467" s="16"/>
      <c r="AG467" s="16"/>
      <c r="AH467" s="16"/>
      <c r="AI467" s="16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16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</row>
    <row r="468" spans="1:96" ht="12" customHeight="1" x14ac:dyDescent="0.25">
      <c r="A468" s="3"/>
      <c r="B468" s="14"/>
      <c r="C468" s="14"/>
      <c r="D468" s="14"/>
      <c r="E468" s="14"/>
      <c r="K468" s="14"/>
      <c r="M468" s="14"/>
      <c r="N468" s="14"/>
      <c r="Z468" s="11"/>
      <c r="AA468" s="15"/>
      <c r="AB468" s="15"/>
      <c r="AC468" s="15"/>
      <c r="AD468" s="16"/>
      <c r="AE468" s="16"/>
      <c r="AF468" s="16"/>
      <c r="AG468" s="16"/>
      <c r="AH468" s="16"/>
      <c r="AI468" s="16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16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</row>
    <row r="469" spans="1:96" ht="12" customHeight="1" x14ac:dyDescent="0.25">
      <c r="A469" s="3"/>
      <c r="B469" s="14"/>
      <c r="C469" s="14"/>
      <c r="D469" s="14"/>
      <c r="E469" s="14"/>
      <c r="K469" s="14"/>
      <c r="M469" s="14"/>
      <c r="N469" s="14"/>
      <c r="Z469" s="11"/>
      <c r="AA469" s="15"/>
      <c r="AB469" s="15"/>
      <c r="AC469" s="15"/>
      <c r="AD469" s="16"/>
      <c r="AE469" s="16"/>
      <c r="AF469" s="16"/>
      <c r="AG469" s="16"/>
      <c r="AH469" s="16"/>
      <c r="AI469" s="16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16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</row>
    <row r="470" spans="1:96" ht="12" customHeight="1" x14ac:dyDescent="0.25">
      <c r="A470" s="3"/>
      <c r="B470" s="14"/>
      <c r="C470" s="14"/>
      <c r="D470" s="14"/>
      <c r="E470" s="14"/>
      <c r="K470" s="14"/>
      <c r="M470" s="14"/>
      <c r="N470" s="14"/>
      <c r="Z470" s="11"/>
      <c r="AA470" s="15"/>
      <c r="AB470" s="15"/>
      <c r="AC470" s="15"/>
      <c r="AD470" s="16"/>
      <c r="AE470" s="16"/>
      <c r="AF470" s="16"/>
      <c r="AG470" s="16"/>
      <c r="AH470" s="16"/>
      <c r="AI470" s="16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16"/>
      <c r="AU470" s="17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</row>
    <row r="471" spans="1:96" ht="12" customHeight="1" x14ac:dyDescent="0.25">
      <c r="A471" s="3"/>
      <c r="B471" s="14"/>
      <c r="C471" s="14"/>
      <c r="D471" s="14"/>
      <c r="E471" s="14"/>
      <c r="K471" s="14"/>
      <c r="M471" s="14"/>
      <c r="N471" s="14"/>
      <c r="Z471" s="11"/>
      <c r="AA471" s="15"/>
      <c r="AB471" s="15"/>
      <c r="AC471" s="15"/>
      <c r="AD471" s="16"/>
      <c r="AE471" s="16"/>
      <c r="AF471" s="16"/>
      <c r="AG471" s="16"/>
      <c r="AH471" s="16"/>
      <c r="AI471" s="16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16"/>
      <c r="AU471" s="17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</row>
    <row r="472" spans="1:96" ht="12" customHeight="1" x14ac:dyDescent="0.25">
      <c r="A472" s="3"/>
      <c r="B472" s="14"/>
      <c r="C472" s="14"/>
      <c r="D472" s="14"/>
      <c r="E472" s="14"/>
      <c r="K472" s="14"/>
      <c r="M472" s="14"/>
      <c r="N472" s="14"/>
      <c r="Z472" s="11"/>
      <c r="AA472" s="15"/>
      <c r="AB472" s="15"/>
      <c r="AC472" s="15"/>
      <c r="AD472" s="16"/>
      <c r="AE472" s="16"/>
      <c r="AF472" s="16"/>
      <c r="AG472" s="16"/>
      <c r="AH472" s="16"/>
      <c r="AI472" s="16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16"/>
      <c r="AU472" s="17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</row>
    <row r="473" spans="1:96" ht="12" customHeight="1" x14ac:dyDescent="0.25">
      <c r="A473" s="3"/>
      <c r="B473" s="14"/>
      <c r="C473" s="14"/>
      <c r="D473" s="14"/>
      <c r="E473" s="14"/>
      <c r="K473" s="14"/>
      <c r="M473" s="14"/>
      <c r="N473" s="14"/>
      <c r="Z473" s="11"/>
      <c r="AA473" s="15"/>
      <c r="AB473" s="15"/>
      <c r="AC473" s="15"/>
      <c r="AD473" s="16"/>
      <c r="AE473" s="16"/>
      <c r="AF473" s="16"/>
      <c r="AG473" s="16"/>
      <c r="AH473" s="16"/>
      <c r="AI473" s="16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16"/>
      <c r="AU473" s="17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</row>
    <row r="474" spans="1:96" ht="12" customHeight="1" x14ac:dyDescent="0.25">
      <c r="A474" s="3"/>
      <c r="B474" s="14"/>
      <c r="C474" s="14"/>
      <c r="D474" s="14"/>
      <c r="E474" s="14"/>
      <c r="K474" s="14"/>
      <c r="M474" s="14"/>
      <c r="N474" s="14"/>
      <c r="Z474" s="11"/>
      <c r="AA474" s="15"/>
      <c r="AB474" s="15"/>
      <c r="AC474" s="15"/>
      <c r="AD474" s="16"/>
      <c r="AE474" s="16"/>
      <c r="AF474" s="16"/>
      <c r="AG474" s="16"/>
      <c r="AH474" s="16"/>
      <c r="AI474" s="16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16"/>
      <c r="AU474" s="17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</row>
    <row r="475" spans="1:96" ht="12" customHeight="1" x14ac:dyDescent="0.25">
      <c r="A475" s="3"/>
      <c r="B475" s="14"/>
      <c r="C475" s="14"/>
      <c r="D475" s="14"/>
      <c r="E475" s="14"/>
      <c r="K475" s="14"/>
      <c r="M475" s="14"/>
      <c r="N475" s="14"/>
      <c r="Z475" s="11"/>
      <c r="AA475" s="15"/>
      <c r="AB475" s="15"/>
      <c r="AC475" s="15"/>
      <c r="AD475" s="16"/>
      <c r="AE475" s="16"/>
      <c r="AF475" s="16"/>
      <c r="AG475" s="16"/>
      <c r="AH475" s="16"/>
      <c r="AI475" s="16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16"/>
      <c r="AU475" s="17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</row>
    <row r="476" spans="1:96" ht="12" customHeight="1" x14ac:dyDescent="0.25">
      <c r="A476" s="3"/>
      <c r="B476" s="14"/>
      <c r="C476" s="14"/>
      <c r="D476" s="14"/>
      <c r="E476" s="14"/>
      <c r="K476" s="14"/>
      <c r="M476" s="14"/>
      <c r="N476" s="14"/>
      <c r="Z476" s="11"/>
      <c r="AA476" s="15"/>
      <c r="AB476" s="15"/>
      <c r="AC476" s="15"/>
      <c r="AD476" s="16"/>
      <c r="AE476" s="16"/>
      <c r="AF476" s="16"/>
      <c r="AG476" s="16"/>
      <c r="AH476" s="16"/>
      <c r="AI476" s="16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16"/>
      <c r="AU476" s="17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</row>
    <row r="477" spans="1:96" ht="12" customHeight="1" x14ac:dyDescent="0.25">
      <c r="A477" s="3"/>
      <c r="B477" s="14"/>
      <c r="C477" s="14"/>
      <c r="D477" s="14"/>
      <c r="E477" s="14"/>
      <c r="K477" s="14"/>
      <c r="M477" s="14"/>
      <c r="N477" s="14"/>
      <c r="Z477" s="11"/>
      <c r="AA477" s="15"/>
      <c r="AB477" s="15"/>
      <c r="AC477" s="15"/>
      <c r="AD477" s="16"/>
      <c r="AE477" s="16"/>
      <c r="AF477" s="16"/>
      <c r="AG477" s="16"/>
      <c r="AH477" s="16"/>
      <c r="AI477" s="16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16"/>
      <c r="AU477" s="17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</row>
    <row r="478" spans="1:96" ht="12" customHeight="1" x14ac:dyDescent="0.25">
      <c r="A478" s="3"/>
      <c r="B478" s="14"/>
      <c r="C478" s="14"/>
      <c r="D478" s="14"/>
      <c r="E478" s="14"/>
      <c r="K478" s="14"/>
      <c r="M478" s="14"/>
      <c r="N478" s="14"/>
      <c r="Z478" s="11"/>
      <c r="AA478" s="15"/>
      <c r="AB478" s="15"/>
      <c r="AC478" s="15"/>
      <c r="AD478" s="16"/>
      <c r="AE478" s="16"/>
      <c r="AF478" s="16"/>
      <c r="AG478" s="16"/>
      <c r="AH478" s="16"/>
      <c r="AI478" s="16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16"/>
      <c r="AU478" s="17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</row>
    <row r="479" spans="1:96" ht="12" customHeight="1" x14ac:dyDescent="0.25">
      <c r="A479" s="3"/>
      <c r="B479" s="14"/>
      <c r="C479" s="14"/>
      <c r="D479" s="14"/>
      <c r="E479" s="14"/>
      <c r="K479" s="14"/>
      <c r="M479" s="14"/>
      <c r="N479" s="14"/>
      <c r="Z479" s="11"/>
      <c r="AA479" s="15"/>
      <c r="AB479" s="15"/>
      <c r="AC479" s="15"/>
      <c r="AD479" s="16"/>
      <c r="AE479" s="16"/>
      <c r="AF479" s="16"/>
      <c r="AG479" s="16"/>
      <c r="AH479" s="16"/>
      <c r="AI479" s="16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16"/>
      <c r="AU479" s="17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</row>
    <row r="480" spans="1:96" ht="12" customHeight="1" x14ac:dyDescent="0.25">
      <c r="A480" s="3"/>
      <c r="B480" s="14"/>
      <c r="C480" s="14"/>
      <c r="D480" s="14"/>
      <c r="E480" s="14"/>
      <c r="K480" s="14"/>
      <c r="M480" s="14"/>
      <c r="N480" s="14"/>
      <c r="Z480" s="11"/>
      <c r="AA480" s="15"/>
      <c r="AB480" s="15"/>
      <c r="AC480" s="15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U480" s="17"/>
    </row>
    <row r="481" spans="1:47" ht="12" customHeight="1" x14ac:dyDescent="0.25">
      <c r="A481" s="3"/>
      <c r="B481" s="14"/>
      <c r="C481" s="14"/>
      <c r="D481" s="14"/>
      <c r="E481" s="14"/>
      <c r="K481" s="14"/>
      <c r="M481" s="14"/>
      <c r="N481" s="14"/>
      <c r="Z481" s="11"/>
      <c r="AA481" s="15"/>
      <c r="AB481" s="15"/>
      <c r="AC481" s="15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U481" s="17"/>
    </row>
    <row r="482" spans="1:47" ht="12" customHeight="1" x14ac:dyDescent="0.25">
      <c r="A482" s="3"/>
      <c r="B482" s="14"/>
      <c r="C482" s="14"/>
      <c r="D482" s="14"/>
      <c r="E482" s="14"/>
      <c r="K482" s="14"/>
      <c r="M482" s="14"/>
      <c r="N482" s="14"/>
      <c r="Z482" s="11"/>
      <c r="AA482" s="15"/>
      <c r="AB482" s="15"/>
      <c r="AC482" s="15"/>
      <c r="AU482" s="17"/>
    </row>
    <row r="483" spans="1:47" ht="12" customHeight="1" x14ac:dyDescent="0.25">
      <c r="A483" s="3"/>
      <c r="B483" s="14"/>
      <c r="C483" s="14"/>
      <c r="D483" s="14"/>
      <c r="E483" s="14"/>
      <c r="K483" s="14"/>
      <c r="M483" s="14"/>
      <c r="N483" s="14"/>
      <c r="Z483" s="11"/>
      <c r="AA483" s="15"/>
      <c r="AB483" s="15"/>
      <c r="AC483" s="15"/>
      <c r="AU483" s="17"/>
    </row>
    <row r="484" spans="1:47" ht="12" customHeight="1" x14ac:dyDescent="0.25">
      <c r="A484" s="3"/>
      <c r="B484" s="14"/>
      <c r="C484" s="14"/>
      <c r="D484" s="14"/>
      <c r="E484" s="14"/>
      <c r="K484" s="14"/>
      <c r="M484" s="14"/>
      <c r="N484" s="14"/>
      <c r="Z484" s="11"/>
      <c r="AA484" s="15"/>
      <c r="AB484" s="15"/>
      <c r="AC484" s="15"/>
      <c r="AU484" s="17"/>
    </row>
    <row r="485" spans="1:47" ht="12" customHeight="1" x14ac:dyDescent="0.25">
      <c r="A485" s="3"/>
      <c r="B485" s="14"/>
      <c r="C485" s="14"/>
      <c r="D485" s="14"/>
      <c r="E485" s="14"/>
      <c r="K485" s="14"/>
      <c r="M485" s="14"/>
      <c r="N485" s="14"/>
      <c r="Z485" s="11"/>
      <c r="AA485" s="15"/>
      <c r="AB485" s="15"/>
      <c r="AC485" s="15"/>
      <c r="AU485" s="17"/>
    </row>
    <row r="486" spans="1:47" ht="12" customHeight="1" x14ac:dyDescent="0.25">
      <c r="A486" s="3"/>
      <c r="B486" s="14"/>
      <c r="C486" s="14"/>
      <c r="D486" s="14"/>
      <c r="E486" s="14"/>
      <c r="K486" s="14"/>
      <c r="M486" s="14"/>
      <c r="N486" s="14"/>
      <c r="Z486" s="11"/>
      <c r="AA486" s="15"/>
      <c r="AB486" s="15"/>
      <c r="AC486" s="15"/>
      <c r="AU486" s="17"/>
    </row>
    <row r="487" spans="1:47" ht="12" customHeight="1" x14ac:dyDescent="0.25">
      <c r="A487" s="3"/>
      <c r="B487" s="14"/>
      <c r="C487" s="14"/>
      <c r="D487" s="14"/>
      <c r="E487" s="14"/>
      <c r="K487" s="14"/>
      <c r="M487" s="14"/>
      <c r="N487" s="14"/>
      <c r="Z487" s="11"/>
      <c r="AA487" s="15"/>
      <c r="AB487" s="15"/>
      <c r="AC487" s="15"/>
      <c r="AU487" s="17"/>
    </row>
    <row r="488" spans="1:47" ht="12" customHeight="1" x14ac:dyDescent="0.25">
      <c r="A488" s="3"/>
      <c r="B488" s="14"/>
      <c r="C488" s="14"/>
      <c r="D488" s="14"/>
      <c r="E488" s="14"/>
      <c r="K488" s="14"/>
      <c r="M488" s="14"/>
      <c r="N488" s="14"/>
      <c r="Z488" s="11"/>
      <c r="AA488" s="15"/>
      <c r="AB488" s="15"/>
      <c r="AC488" s="15"/>
      <c r="AU488" s="17"/>
    </row>
    <row r="489" spans="1:47" ht="12" customHeight="1" x14ac:dyDescent="0.25">
      <c r="A489" s="3"/>
      <c r="B489" s="14"/>
      <c r="C489" s="14"/>
      <c r="D489" s="14"/>
      <c r="E489" s="14"/>
      <c r="K489" s="14"/>
      <c r="M489" s="14"/>
      <c r="N489" s="14"/>
      <c r="Z489" s="11"/>
      <c r="AA489" s="15"/>
      <c r="AB489" s="15"/>
      <c r="AC489" s="15"/>
      <c r="AU489" s="17"/>
    </row>
    <row r="490" spans="1:47" ht="12" customHeight="1" x14ac:dyDescent="0.25">
      <c r="A490" s="3"/>
      <c r="B490" s="14"/>
      <c r="C490" s="14"/>
      <c r="D490" s="14"/>
      <c r="E490" s="14"/>
      <c r="K490" s="14"/>
      <c r="M490" s="14"/>
      <c r="N490" s="14"/>
      <c r="Z490" s="11"/>
      <c r="AA490" s="15"/>
      <c r="AB490" s="15"/>
      <c r="AC490" s="15"/>
      <c r="AU490" s="17"/>
    </row>
    <row r="491" spans="1:47" ht="12" customHeight="1" x14ac:dyDescent="0.25">
      <c r="A491" s="3"/>
      <c r="B491" s="14"/>
      <c r="C491" s="14"/>
      <c r="D491" s="14"/>
      <c r="E491" s="14"/>
      <c r="K491" s="14"/>
      <c r="M491" s="14"/>
      <c r="N491" s="14"/>
      <c r="Z491" s="11"/>
      <c r="AA491" s="15"/>
      <c r="AB491" s="15"/>
      <c r="AC491" s="15"/>
      <c r="AU491" s="17"/>
    </row>
    <row r="492" spans="1:47" ht="12" customHeight="1" x14ac:dyDescent="0.25">
      <c r="A492" s="3"/>
      <c r="B492" s="14"/>
      <c r="C492" s="14"/>
      <c r="D492" s="14"/>
      <c r="E492" s="14"/>
      <c r="K492" s="14"/>
      <c r="M492" s="14"/>
      <c r="N492" s="14"/>
      <c r="Z492" s="11"/>
      <c r="AA492" s="15"/>
      <c r="AB492" s="15"/>
      <c r="AC492" s="15"/>
      <c r="AU492" s="17"/>
    </row>
    <row r="493" spans="1:47" ht="12" customHeight="1" x14ac:dyDescent="0.25">
      <c r="A493" s="3"/>
      <c r="B493" s="14"/>
      <c r="C493" s="14"/>
      <c r="D493" s="14"/>
      <c r="E493" s="14"/>
      <c r="K493" s="14"/>
      <c r="M493" s="14"/>
      <c r="N493" s="14"/>
      <c r="Z493" s="11"/>
      <c r="AA493" s="15"/>
      <c r="AB493" s="15"/>
      <c r="AC493" s="15"/>
      <c r="AU493" s="17"/>
    </row>
    <row r="494" spans="1:47" ht="12" customHeight="1" x14ac:dyDescent="0.25">
      <c r="A494" s="3"/>
      <c r="B494" s="14"/>
      <c r="C494" s="14"/>
      <c r="D494" s="14"/>
      <c r="E494" s="14"/>
      <c r="K494" s="14"/>
      <c r="M494" s="14"/>
      <c r="N494" s="14"/>
      <c r="Z494" s="11"/>
      <c r="AA494" s="15"/>
      <c r="AB494" s="15"/>
      <c r="AC494" s="15"/>
      <c r="AU494" s="17"/>
    </row>
    <row r="495" spans="1:47" ht="12" customHeight="1" x14ac:dyDescent="0.25">
      <c r="A495" s="3"/>
      <c r="B495" s="14"/>
      <c r="C495" s="14"/>
      <c r="D495" s="14"/>
      <c r="E495" s="14"/>
      <c r="K495" s="14"/>
      <c r="M495" s="14"/>
      <c r="N495" s="14"/>
      <c r="Z495" s="11"/>
      <c r="AA495" s="15"/>
      <c r="AB495" s="15"/>
      <c r="AC495" s="15"/>
      <c r="AU495" s="17"/>
    </row>
    <row r="496" spans="1:47" ht="12" customHeight="1" x14ac:dyDescent="0.25">
      <c r="A496" s="3"/>
      <c r="B496" s="14"/>
      <c r="C496" s="14"/>
      <c r="D496" s="14"/>
      <c r="E496" s="14"/>
      <c r="K496" s="14"/>
      <c r="M496" s="14"/>
      <c r="N496" s="14"/>
      <c r="Z496" s="11"/>
      <c r="AA496" s="15"/>
      <c r="AB496" s="15"/>
      <c r="AC496" s="15"/>
      <c r="AU496" s="17"/>
    </row>
    <row r="497" spans="1:47" ht="12" customHeight="1" x14ac:dyDescent="0.25">
      <c r="A497" s="3"/>
      <c r="B497" s="14"/>
      <c r="C497" s="14"/>
      <c r="D497" s="14"/>
      <c r="E497" s="14"/>
      <c r="K497" s="14"/>
      <c r="M497" s="14"/>
      <c r="N497" s="14"/>
      <c r="Z497" s="11"/>
      <c r="AA497" s="15"/>
      <c r="AB497" s="15"/>
      <c r="AC497" s="15"/>
      <c r="AU497" s="17"/>
    </row>
    <row r="498" spans="1:47" ht="12" customHeight="1" x14ac:dyDescent="0.25">
      <c r="A498" s="3"/>
      <c r="B498" s="14"/>
      <c r="C498" s="14"/>
      <c r="D498" s="14"/>
      <c r="E498" s="14"/>
      <c r="K498" s="14"/>
      <c r="M498" s="14"/>
      <c r="N498" s="14"/>
      <c r="Z498" s="11"/>
      <c r="AA498" s="15"/>
      <c r="AB498" s="15"/>
      <c r="AC498" s="15"/>
      <c r="AU498" s="17"/>
    </row>
    <row r="499" spans="1:47" ht="12" customHeight="1" x14ac:dyDescent="0.25">
      <c r="A499" s="3"/>
      <c r="B499" s="14"/>
      <c r="C499" s="14"/>
      <c r="D499" s="14"/>
      <c r="E499" s="14"/>
      <c r="K499" s="14"/>
      <c r="M499" s="14"/>
      <c r="N499" s="14"/>
      <c r="Z499" s="11"/>
      <c r="AA499" s="15"/>
      <c r="AB499" s="15"/>
      <c r="AC499" s="15"/>
      <c r="AU499" s="17"/>
    </row>
    <row r="500" spans="1:47" ht="12" customHeight="1" x14ac:dyDescent="0.25">
      <c r="A500" s="3"/>
      <c r="B500" s="14"/>
      <c r="C500" s="14"/>
      <c r="D500" s="14"/>
      <c r="E500" s="14"/>
      <c r="K500" s="14"/>
      <c r="M500" s="14"/>
      <c r="N500" s="14"/>
      <c r="Z500" s="11"/>
      <c r="AA500" s="15"/>
      <c r="AB500" s="15"/>
      <c r="AC500" s="15"/>
      <c r="AU500" s="17"/>
    </row>
    <row r="501" spans="1:47" ht="12" customHeight="1" x14ac:dyDescent="0.25">
      <c r="A501" s="3"/>
      <c r="B501" s="14"/>
      <c r="C501" s="14"/>
      <c r="D501" s="14"/>
      <c r="E501" s="14"/>
      <c r="K501" s="14"/>
      <c r="M501" s="14"/>
      <c r="N501" s="14"/>
      <c r="Z501" s="11"/>
      <c r="AA501" s="15"/>
      <c r="AB501" s="15"/>
      <c r="AC501" s="15"/>
      <c r="AU501" s="17"/>
    </row>
    <row r="502" spans="1:47" ht="12" customHeight="1" x14ac:dyDescent="0.25">
      <c r="A502" s="3"/>
      <c r="B502" s="14"/>
      <c r="C502" s="14"/>
      <c r="D502" s="14"/>
      <c r="E502" s="14"/>
      <c r="K502" s="14"/>
      <c r="M502" s="14"/>
      <c r="N502" s="14"/>
      <c r="Z502" s="11"/>
      <c r="AA502" s="15"/>
      <c r="AB502" s="15"/>
      <c r="AC502" s="15"/>
      <c r="AU502" s="17"/>
    </row>
    <row r="503" spans="1:47" ht="12" customHeight="1" x14ac:dyDescent="0.25">
      <c r="A503" s="3"/>
      <c r="B503" s="14"/>
      <c r="C503" s="14"/>
      <c r="D503" s="14"/>
      <c r="E503" s="14"/>
      <c r="K503" s="14"/>
      <c r="M503" s="14"/>
      <c r="N503" s="14"/>
      <c r="Z503" s="11"/>
      <c r="AA503" s="15"/>
      <c r="AB503" s="15"/>
      <c r="AC503" s="15"/>
      <c r="AU503" s="17"/>
    </row>
    <row r="504" spans="1:47" ht="12" customHeight="1" x14ac:dyDescent="0.25">
      <c r="A504" s="3"/>
      <c r="B504" s="14"/>
      <c r="C504" s="14"/>
      <c r="D504" s="14"/>
      <c r="E504" s="14"/>
      <c r="K504" s="14"/>
      <c r="M504" s="14"/>
      <c r="N504" s="14"/>
      <c r="Z504" s="11"/>
      <c r="AA504" s="15"/>
      <c r="AB504" s="15"/>
      <c r="AC504" s="15"/>
      <c r="AU504" s="17"/>
    </row>
    <row r="505" spans="1:47" ht="12" customHeight="1" x14ac:dyDescent="0.25">
      <c r="A505" s="3"/>
      <c r="B505" s="14"/>
      <c r="C505" s="14"/>
      <c r="D505" s="14"/>
      <c r="E505" s="14"/>
      <c r="K505" s="14"/>
      <c r="M505" s="14"/>
      <c r="N505" s="14"/>
      <c r="Z505" s="11"/>
      <c r="AA505" s="15"/>
      <c r="AB505" s="15"/>
      <c r="AC505" s="15"/>
      <c r="AU505" s="17"/>
    </row>
    <row r="506" spans="1:47" ht="12" customHeight="1" x14ac:dyDescent="0.25">
      <c r="A506" s="3"/>
      <c r="B506" s="14"/>
      <c r="C506" s="14"/>
      <c r="D506" s="14"/>
      <c r="E506" s="14"/>
      <c r="K506" s="14"/>
      <c r="M506" s="14"/>
      <c r="N506" s="14"/>
      <c r="Z506" s="11"/>
      <c r="AA506" s="15"/>
      <c r="AB506" s="15"/>
      <c r="AC506" s="15"/>
      <c r="AU506" s="17"/>
    </row>
    <row r="507" spans="1:47" ht="12" customHeight="1" x14ac:dyDescent="0.25">
      <c r="A507" s="3"/>
      <c r="B507" s="14"/>
      <c r="C507" s="14"/>
      <c r="D507" s="14"/>
      <c r="E507" s="14"/>
      <c r="K507" s="14"/>
      <c r="M507" s="14"/>
      <c r="N507" s="14"/>
      <c r="Z507" s="11"/>
      <c r="AA507" s="15"/>
      <c r="AB507" s="15"/>
      <c r="AC507" s="15"/>
      <c r="AU507" s="17"/>
    </row>
    <row r="508" spans="1:47" ht="12" customHeight="1" x14ac:dyDescent="0.25">
      <c r="A508" s="3"/>
      <c r="B508" s="14"/>
      <c r="C508" s="14"/>
      <c r="D508" s="14"/>
      <c r="E508" s="14"/>
      <c r="K508" s="14"/>
      <c r="M508" s="14"/>
      <c r="N508" s="14"/>
      <c r="Z508" s="11"/>
      <c r="AA508" s="15"/>
      <c r="AB508" s="15"/>
      <c r="AC508" s="15"/>
      <c r="AU508" s="17"/>
    </row>
    <row r="509" spans="1:47" ht="12" customHeight="1" x14ac:dyDescent="0.25">
      <c r="A509" s="3"/>
      <c r="B509" s="14"/>
      <c r="C509" s="14"/>
      <c r="D509" s="14"/>
      <c r="E509" s="14"/>
      <c r="K509" s="14"/>
      <c r="M509" s="14"/>
      <c r="N509" s="14"/>
      <c r="Z509" s="11"/>
      <c r="AA509" s="15"/>
      <c r="AB509" s="15"/>
      <c r="AC509" s="15"/>
      <c r="AU509" s="17"/>
    </row>
    <row r="510" spans="1:47" ht="12" customHeight="1" x14ac:dyDescent="0.25">
      <c r="A510" s="3"/>
      <c r="B510" s="14"/>
      <c r="C510" s="14"/>
      <c r="D510" s="14"/>
      <c r="E510" s="14"/>
      <c r="K510" s="14"/>
      <c r="M510" s="14"/>
      <c r="N510" s="14"/>
      <c r="Z510" s="11"/>
      <c r="AA510" s="15"/>
      <c r="AB510" s="15"/>
      <c r="AC510" s="15"/>
      <c r="AU510" s="17"/>
    </row>
    <row r="511" spans="1:47" ht="12" customHeight="1" x14ac:dyDescent="0.25">
      <c r="A511" s="3"/>
      <c r="B511" s="14"/>
      <c r="C511" s="14"/>
      <c r="D511" s="14"/>
      <c r="E511" s="14"/>
      <c r="K511" s="14"/>
      <c r="M511" s="14"/>
      <c r="N511" s="14"/>
      <c r="Z511" s="11"/>
      <c r="AA511" s="15"/>
      <c r="AB511" s="15"/>
      <c r="AC511" s="15"/>
      <c r="AU511" s="17"/>
    </row>
    <row r="512" spans="1:47" ht="12" customHeight="1" x14ac:dyDescent="0.25">
      <c r="A512" s="3"/>
      <c r="B512" s="14"/>
      <c r="C512" s="14"/>
      <c r="D512" s="14"/>
      <c r="E512" s="14"/>
      <c r="K512" s="14"/>
      <c r="M512" s="14"/>
      <c r="N512" s="14"/>
      <c r="Z512" s="11"/>
      <c r="AA512" s="15"/>
      <c r="AB512" s="15"/>
      <c r="AC512" s="15"/>
      <c r="AU512" s="17"/>
    </row>
    <row r="513" spans="1:47" ht="12" customHeight="1" x14ac:dyDescent="0.25">
      <c r="A513" s="3"/>
      <c r="B513" s="14"/>
      <c r="C513" s="14"/>
      <c r="D513" s="14"/>
      <c r="E513" s="14"/>
      <c r="K513" s="14"/>
      <c r="M513" s="14"/>
      <c r="N513" s="14"/>
      <c r="Z513" s="11"/>
      <c r="AA513" s="15"/>
      <c r="AB513" s="15"/>
      <c r="AC513" s="15"/>
      <c r="AU513" s="17"/>
    </row>
    <row r="514" spans="1:47" ht="12" customHeight="1" x14ac:dyDescent="0.25">
      <c r="A514" s="3"/>
      <c r="B514" s="14"/>
      <c r="C514" s="14"/>
      <c r="D514" s="14"/>
      <c r="E514" s="14"/>
      <c r="K514" s="14"/>
      <c r="M514" s="14"/>
      <c r="N514" s="14"/>
      <c r="Z514" s="11"/>
      <c r="AA514" s="15"/>
      <c r="AB514" s="15"/>
      <c r="AC514" s="15"/>
      <c r="AU514" s="17"/>
    </row>
    <row r="515" spans="1:47" ht="12" customHeight="1" x14ac:dyDescent="0.25">
      <c r="A515" s="3"/>
      <c r="B515" s="14"/>
      <c r="C515" s="14"/>
      <c r="D515" s="14"/>
      <c r="E515" s="14"/>
      <c r="K515" s="14"/>
      <c r="M515" s="14"/>
      <c r="N515" s="14"/>
      <c r="Z515" s="11"/>
      <c r="AA515" s="15"/>
      <c r="AB515" s="15"/>
      <c r="AC515" s="15"/>
      <c r="AU515" s="17"/>
    </row>
    <row r="516" spans="1:47" ht="12" customHeight="1" x14ac:dyDescent="0.25">
      <c r="A516" s="3"/>
      <c r="B516" s="14"/>
      <c r="C516" s="14"/>
      <c r="D516" s="14"/>
      <c r="E516" s="14"/>
      <c r="K516" s="14"/>
      <c r="M516" s="14"/>
      <c r="N516" s="14"/>
      <c r="Z516" s="11"/>
      <c r="AA516" s="15"/>
      <c r="AB516" s="15"/>
      <c r="AC516" s="15"/>
      <c r="AU516" s="17"/>
    </row>
    <row r="517" spans="1:47" ht="12" customHeight="1" x14ac:dyDescent="0.25">
      <c r="A517" s="3"/>
      <c r="B517" s="14"/>
      <c r="C517" s="14"/>
      <c r="D517" s="14"/>
      <c r="E517" s="14"/>
      <c r="K517" s="14"/>
      <c r="M517" s="14"/>
      <c r="N517" s="14"/>
      <c r="Z517" s="11"/>
      <c r="AA517" s="15"/>
      <c r="AB517" s="15"/>
      <c r="AC517" s="15"/>
      <c r="AU517" s="17"/>
    </row>
    <row r="518" spans="1:47" ht="12" customHeight="1" x14ac:dyDescent="0.25">
      <c r="A518" s="3"/>
      <c r="B518" s="14"/>
      <c r="C518" s="14"/>
      <c r="D518" s="14"/>
      <c r="E518" s="14"/>
      <c r="K518" s="14"/>
      <c r="M518" s="14"/>
      <c r="N518" s="14"/>
      <c r="Z518" s="11"/>
      <c r="AA518" s="15"/>
      <c r="AB518" s="15"/>
      <c r="AC518" s="15"/>
      <c r="AU518" s="17"/>
    </row>
    <row r="519" spans="1:47" ht="12" customHeight="1" x14ac:dyDescent="0.25">
      <c r="A519" s="3"/>
      <c r="B519" s="14"/>
      <c r="C519" s="14"/>
      <c r="D519" s="14"/>
      <c r="E519" s="14"/>
      <c r="K519" s="14"/>
      <c r="M519" s="14"/>
      <c r="N519" s="14"/>
      <c r="Z519" s="11"/>
      <c r="AA519" s="15"/>
      <c r="AB519" s="15"/>
      <c r="AC519" s="15"/>
      <c r="AU519" s="17"/>
    </row>
    <row r="520" spans="1:47" ht="12" customHeight="1" x14ac:dyDescent="0.25">
      <c r="A520" s="3"/>
      <c r="B520" s="14"/>
      <c r="C520" s="14"/>
      <c r="D520" s="14"/>
      <c r="E520" s="14"/>
      <c r="K520" s="14"/>
      <c r="M520" s="14"/>
      <c r="N520" s="14"/>
      <c r="Z520" s="11"/>
      <c r="AA520" s="15"/>
      <c r="AB520" s="15"/>
      <c r="AC520" s="15"/>
      <c r="AU520" s="17"/>
    </row>
    <row r="521" spans="1:47" ht="12" customHeight="1" x14ac:dyDescent="0.25">
      <c r="A521" s="3"/>
      <c r="B521" s="14"/>
      <c r="C521" s="14"/>
      <c r="D521" s="14"/>
      <c r="E521" s="14"/>
      <c r="K521" s="14"/>
      <c r="M521" s="14"/>
      <c r="N521" s="14"/>
      <c r="Z521" s="11"/>
      <c r="AA521" s="15"/>
      <c r="AB521" s="15"/>
      <c r="AC521" s="15"/>
      <c r="AU521" s="17"/>
    </row>
    <row r="522" spans="1:47" ht="12" customHeight="1" x14ac:dyDescent="0.25">
      <c r="A522" s="3"/>
      <c r="B522" s="14"/>
      <c r="C522" s="14"/>
      <c r="D522" s="14"/>
      <c r="E522" s="14"/>
      <c r="K522" s="14"/>
      <c r="M522" s="14"/>
      <c r="N522" s="14"/>
      <c r="Z522" s="11"/>
      <c r="AA522" s="15"/>
      <c r="AB522" s="15"/>
      <c r="AC522" s="15"/>
      <c r="AU522" s="17"/>
    </row>
    <row r="523" spans="1:47" ht="12" customHeight="1" x14ac:dyDescent="0.25">
      <c r="A523" s="3"/>
      <c r="B523" s="14"/>
      <c r="C523" s="14"/>
      <c r="D523" s="14"/>
      <c r="E523" s="14"/>
      <c r="K523" s="14"/>
      <c r="M523" s="14"/>
      <c r="N523" s="14"/>
      <c r="Z523" s="11"/>
      <c r="AA523" s="15"/>
      <c r="AB523" s="15"/>
      <c r="AC523" s="15"/>
      <c r="AU523" s="17"/>
    </row>
    <row r="524" spans="1:47" ht="12" customHeight="1" x14ac:dyDescent="0.25">
      <c r="A524" s="3"/>
      <c r="B524" s="14"/>
      <c r="C524" s="14"/>
      <c r="D524" s="14"/>
      <c r="E524" s="14"/>
      <c r="K524" s="14"/>
      <c r="M524" s="14"/>
      <c r="N524" s="14"/>
      <c r="Z524" s="11"/>
      <c r="AA524" s="15"/>
      <c r="AB524" s="15"/>
      <c r="AC524" s="15"/>
      <c r="AU524" s="17"/>
    </row>
    <row r="525" spans="1:47" ht="12" customHeight="1" x14ac:dyDescent="0.25">
      <c r="A525" s="3"/>
      <c r="B525" s="14"/>
      <c r="C525" s="14"/>
      <c r="D525" s="14"/>
      <c r="E525" s="14"/>
      <c r="K525" s="14"/>
      <c r="M525" s="14"/>
      <c r="N525" s="14"/>
      <c r="Z525" s="11"/>
      <c r="AA525" s="15"/>
      <c r="AB525" s="15"/>
      <c r="AC525" s="15"/>
      <c r="AU525" s="17"/>
    </row>
    <row r="526" spans="1:47" ht="12" customHeight="1" x14ac:dyDescent="0.25">
      <c r="A526" s="3"/>
      <c r="B526" s="14"/>
      <c r="C526" s="14"/>
      <c r="D526" s="14"/>
      <c r="E526" s="14"/>
      <c r="K526" s="14"/>
      <c r="M526" s="14"/>
      <c r="N526" s="14"/>
      <c r="Z526" s="11"/>
      <c r="AA526" s="15"/>
      <c r="AB526" s="15"/>
      <c r="AC526" s="15"/>
      <c r="AU526" s="17"/>
    </row>
    <row r="527" spans="1:47" ht="12" customHeight="1" x14ac:dyDescent="0.25">
      <c r="A527" s="3"/>
      <c r="B527" s="14"/>
      <c r="C527" s="14"/>
      <c r="D527" s="14"/>
      <c r="E527" s="14"/>
      <c r="K527" s="14"/>
      <c r="M527" s="14"/>
      <c r="N527" s="14"/>
      <c r="Z527" s="11"/>
      <c r="AA527" s="15"/>
      <c r="AB527" s="15"/>
      <c r="AC527" s="15"/>
      <c r="AU527" s="17"/>
    </row>
    <row r="528" spans="1:47" ht="12" customHeight="1" x14ac:dyDescent="0.25">
      <c r="A528" s="3"/>
      <c r="B528" s="14"/>
      <c r="C528" s="14"/>
      <c r="D528" s="14"/>
      <c r="E528" s="14"/>
      <c r="K528" s="14"/>
      <c r="M528" s="14"/>
      <c r="N528" s="14"/>
      <c r="Z528" s="11"/>
      <c r="AA528" s="15"/>
      <c r="AB528" s="15"/>
      <c r="AC528" s="15"/>
      <c r="AU528" s="17"/>
    </row>
    <row r="529" spans="1:47" ht="12" customHeight="1" x14ac:dyDescent="0.25">
      <c r="A529" s="3"/>
      <c r="B529" s="14"/>
      <c r="C529" s="14"/>
      <c r="D529" s="14"/>
      <c r="E529" s="14"/>
      <c r="K529" s="14"/>
      <c r="M529" s="14"/>
      <c r="N529" s="14"/>
      <c r="Z529" s="11"/>
      <c r="AA529" s="15"/>
      <c r="AB529" s="15"/>
      <c r="AC529" s="15"/>
      <c r="AU529" s="17"/>
    </row>
    <row r="530" spans="1:47" ht="12" customHeight="1" x14ac:dyDescent="0.25">
      <c r="A530" s="3"/>
      <c r="B530" s="14"/>
      <c r="C530" s="14"/>
      <c r="D530" s="14"/>
      <c r="E530" s="14"/>
      <c r="K530" s="14"/>
      <c r="M530" s="14"/>
      <c r="N530" s="14"/>
      <c r="Z530" s="11"/>
      <c r="AA530" s="15"/>
      <c r="AB530" s="15"/>
      <c r="AC530" s="15"/>
      <c r="AU530" s="17"/>
    </row>
    <row r="531" spans="1:47" ht="12" customHeight="1" x14ac:dyDescent="0.25">
      <c r="A531" s="3"/>
      <c r="B531" s="14"/>
      <c r="C531" s="14"/>
      <c r="D531" s="14"/>
      <c r="E531" s="14"/>
      <c r="K531" s="14"/>
      <c r="M531" s="14"/>
      <c r="N531" s="14"/>
      <c r="Z531" s="11"/>
      <c r="AA531" s="15"/>
      <c r="AB531" s="15"/>
      <c r="AC531" s="15"/>
      <c r="AU531" s="17"/>
    </row>
    <row r="532" spans="1:47" ht="12" customHeight="1" x14ac:dyDescent="0.25">
      <c r="A532" s="3"/>
      <c r="B532" s="14"/>
      <c r="C532" s="14"/>
      <c r="D532" s="14"/>
      <c r="E532" s="14"/>
      <c r="K532" s="14"/>
      <c r="M532" s="14"/>
      <c r="N532" s="14"/>
      <c r="Z532" s="11"/>
      <c r="AA532" s="15"/>
      <c r="AB532" s="15"/>
      <c r="AC532" s="15"/>
      <c r="AU532" s="17"/>
    </row>
    <row r="533" spans="1:47" ht="12" customHeight="1" x14ac:dyDescent="0.25">
      <c r="A533" s="3"/>
      <c r="B533" s="14"/>
      <c r="C533" s="14"/>
      <c r="D533" s="14"/>
      <c r="E533" s="14"/>
      <c r="K533" s="14"/>
      <c r="M533" s="14"/>
      <c r="N533" s="14"/>
      <c r="Z533" s="11"/>
      <c r="AA533" s="15"/>
      <c r="AB533" s="15"/>
      <c r="AC533" s="15"/>
      <c r="AU533" s="17"/>
    </row>
    <row r="534" spans="1:47" ht="12" customHeight="1" x14ac:dyDescent="0.25">
      <c r="A534" s="3"/>
      <c r="B534" s="14"/>
      <c r="C534" s="14"/>
      <c r="D534" s="14"/>
      <c r="E534" s="14"/>
      <c r="K534" s="14"/>
      <c r="M534" s="14"/>
      <c r="N534" s="14"/>
      <c r="Z534" s="11"/>
      <c r="AA534" s="15"/>
      <c r="AB534" s="15"/>
      <c r="AC534" s="15"/>
      <c r="AU534" s="17"/>
    </row>
    <row r="535" spans="1:47" ht="12" customHeight="1" x14ac:dyDescent="0.25">
      <c r="A535" s="3"/>
      <c r="B535" s="14"/>
      <c r="C535" s="14"/>
      <c r="D535" s="14"/>
      <c r="E535" s="14"/>
      <c r="K535" s="14"/>
      <c r="M535" s="14"/>
      <c r="N535" s="14"/>
      <c r="Z535" s="11"/>
      <c r="AA535" s="15"/>
      <c r="AB535" s="15"/>
      <c r="AC535" s="15"/>
      <c r="AU535" s="17"/>
    </row>
    <row r="536" spans="1:47" ht="12" customHeight="1" x14ac:dyDescent="0.25">
      <c r="A536" s="3"/>
      <c r="B536" s="14"/>
      <c r="C536" s="14"/>
      <c r="D536" s="14"/>
      <c r="E536" s="14"/>
      <c r="K536" s="14"/>
      <c r="M536" s="14"/>
      <c r="N536" s="14"/>
      <c r="Z536" s="11"/>
      <c r="AA536" s="15"/>
      <c r="AB536" s="15"/>
      <c r="AC536" s="15"/>
      <c r="AU536" s="17"/>
    </row>
    <row r="537" spans="1:47" ht="12" customHeight="1" x14ac:dyDescent="0.25">
      <c r="A537" s="3"/>
      <c r="B537" s="14"/>
      <c r="C537" s="14"/>
      <c r="D537" s="14"/>
      <c r="E537" s="14"/>
      <c r="K537" s="14"/>
      <c r="M537" s="14"/>
      <c r="N537" s="14"/>
      <c r="Z537" s="11"/>
      <c r="AA537" s="15"/>
      <c r="AB537" s="15"/>
      <c r="AC537" s="15"/>
      <c r="AU537" s="17"/>
    </row>
    <row r="538" spans="1:47" ht="12" customHeight="1" x14ac:dyDescent="0.25">
      <c r="A538" s="3"/>
      <c r="B538" s="14"/>
      <c r="C538" s="14"/>
      <c r="D538" s="14"/>
      <c r="E538" s="14"/>
      <c r="K538" s="14"/>
      <c r="M538" s="14"/>
      <c r="N538" s="14"/>
      <c r="Z538" s="11"/>
      <c r="AA538" s="15"/>
      <c r="AB538" s="15"/>
      <c r="AC538" s="15"/>
      <c r="AU538" s="17"/>
    </row>
    <row r="539" spans="1:47" ht="12" customHeight="1" x14ac:dyDescent="0.25">
      <c r="A539" s="3"/>
      <c r="B539" s="14"/>
      <c r="C539" s="14"/>
      <c r="D539" s="14"/>
      <c r="E539" s="14"/>
      <c r="K539" s="14"/>
      <c r="M539" s="14"/>
      <c r="N539" s="14"/>
      <c r="Z539" s="11"/>
      <c r="AA539" s="15"/>
      <c r="AB539" s="15"/>
      <c r="AC539" s="15"/>
      <c r="AU539" s="17"/>
    </row>
    <row r="540" spans="1:47" ht="12" customHeight="1" x14ac:dyDescent="0.25">
      <c r="A540" s="3"/>
      <c r="B540" s="14"/>
      <c r="C540" s="14"/>
      <c r="D540" s="14"/>
      <c r="E540" s="14"/>
      <c r="K540" s="14"/>
      <c r="M540" s="14"/>
      <c r="N540" s="14"/>
      <c r="Z540" s="11"/>
      <c r="AA540" s="15"/>
      <c r="AB540" s="15"/>
      <c r="AC540" s="15"/>
      <c r="AU540" s="17"/>
    </row>
    <row r="541" spans="1:47" ht="12" customHeight="1" x14ac:dyDescent="0.25">
      <c r="A541" s="3"/>
      <c r="B541" s="14"/>
      <c r="C541" s="14"/>
      <c r="D541" s="14"/>
      <c r="E541" s="14"/>
      <c r="K541" s="14"/>
      <c r="M541" s="14"/>
      <c r="N541" s="14"/>
      <c r="Z541" s="11"/>
      <c r="AA541" s="15"/>
      <c r="AB541" s="15"/>
      <c r="AC541" s="15"/>
      <c r="AU541" s="17"/>
    </row>
    <row r="542" spans="1:47" ht="12" customHeight="1" x14ac:dyDescent="0.25">
      <c r="A542" s="3"/>
      <c r="B542" s="14"/>
      <c r="C542" s="14"/>
      <c r="D542" s="14"/>
      <c r="E542" s="14"/>
      <c r="K542" s="14"/>
      <c r="M542" s="14"/>
      <c r="N542" s="14"/>
      <c r="Z542" s="11"/>
      <c r="AA542" s="15"/>
      <c r="AB542" s="15"/>
      <c r="AC542" s="15"/>
      <c r="AU542" s="17"/>
    </row>
    <row r="543" spans="1:47" ht="12" customHeight="1" x14ac:dyDescent="0.25">
      <c r="A543" s="3"/>
      <c r="B543" s="14"/>
      <c r="C543" s="14"/>
      <c r="D543" s="14"/>
      <c r="E543" s="14"/>
      <c r="K543" s="14"/>
      <c r="M543" s="14"/>
      <c r="N543" s="14"/>
      <c r="Z543" s="11"/>
      <c r="AA543" s="15"/>
      <c r="AB543" s="15"/>
      <c r="AC543" s="15"/>
      <c r="AU543" s="17"/>
    </row>
    <row r="544" spans="1:47" ht="12" customHeight="1" x14ac:dyDescent="0.25">
      <c r="A544" s="3"/>
      <c r="B544" s="14"/>
      <c r="C544" s="14"/>
      <c r="D544" s="14"/>
      <c r="E544" s="14"/>
      <c r="K544" s="14"/>
      <c r="M544" s="14"/>
      <c r="N544" s="14"/>
      <c r="Z544" s="11"/>
      <c r="AA544" s="15"/>
      <c r="AB544" s="15"/>
      <c r="AC544" s="15"/>
      <c r="AU544" s="17"/>
    </row>
    <row r="545" spans="1:47" ht="12" customHeight="1" x14ac:dyDescent="0.25">
      <c r="A545" s="3"/>
      <c r="B545" s="14"/>
      <c r="C545" s="14"/>
      <c r="D545" s="14"/>
      <c r="E545" s="14"/>
      <c r="K545" s="14"/>
      <c r="M545" s="14"/>
      <c r="N545" s="14"/>
      <c r="Z545" s="11"/>
      <c r="AA545" s="15"/>
      <c r="AB545" s="15"/>
      <c r="AC545" s="15"/>
      <c r="AU545" s="17"/>
    </row>
    <row r="546" spans="1:47" ht="12" customHeight="1" x14ac:dyDescent="0.25">
      <c r="A546" s="3"/>
      <c r="B546" s="14"/>
      <c r="C546" s="14"/>
      <c r="D546" s="14"/>
      <c r="E546" s="14"/>
      <c r="K546" s="14"/>
      <c r="M546" s="14"/>
      <c r="N546" s="14"/>
      <c r="Z546" s="11"/>
      <c r="AA546" s="15"/>
      <c r="AB546" s="15"/>
      <c r="AC546" s="15"/>
      <c r="AU546" s="17"/>
    </row>
    <row r="547" spans="1:47" ht="12" customHeight="1" x14ac:dyDescent="0.25">
      <c r="A547" s="3"/>
      <c r="B547" s="14"/>
      <c r="C547" s="14"/>
      <c r="D547" s="14"/>
      <c r="E547" s="14"/>
      <c r="K547" s="14"/>
      <c r="M547" s="14"/>
      <c r="N547" s="14"/>
      <c r="Z547" s="11"/>
      <c r="AA547" s="15"/>
      <c r="AB547" s="15"/>
      <c r="AC547" s="15"/>
      <c r="AU547" s="17"/>
    </row>
    <row r="548" spans="1:47" ht="12" customHeight="1" x14ac:dyDescent="0.25">
      <c r="A548" s="3"/>
      <c r="B548" s="14"/>
      <c r="C548" s="14"/>
      <c r="D548" s="14"/>
      <c r="E548" s="14"/>
      <c r="K548" s="14"/>
      <c r="M548" s="14"/>
      <c r="N548" s="14"/>
      <c r="Z548" s="11"/>
      <c r="AA548" s="15"/>
      <c r="AB548" s="15"/>
      <c r="AC548" s="15"/>
      <c r="AU548" s="17"/>
    </row>
    <row r="549" spans="1:47" ht="12" customHeight="1" x14ac:dyDescent="0.25">
      <c r="A549" s="3"/>
      <c r="B549" s="14"/>
      <c r="C549" s="14"/>
      <c r="D549" s="14"/>
      <c r="E549" s="14"/>
      <c r="K549" s="14"/>
      <c r="M549" s="14"/>
      <c r="N549" s="14"/>
      <c r="Z549" s="11"/>
      <c r="AA549" s="15"/>
      <c r="AB549" s="15"/>
      <c r="AC549" s="15"/>
      <c r="AU549" s="17"/>
    </row>
    <row r="550" spans="1:47" ht="12" customHeight="1" x14ac:dyDescent="0.25">
      <c r="A550" s="3"/>
      <c r="B550" s="14"/>
      <c r="C550" s="14"/>
      <c r="D550" s="14"/>
      <c r="E550" s="14"/>
      <c r="K550" s="14"/>
      <c r="M550" s="14"/>
      <c r="N550" s="14"/>
      <c r="Z550" s="11"/>
      <c r="AA550" s="15"/>
      <c r="AB550" s="15"/>
      <c r="AC550" s="15"/>
      <c r="AU550" s="17"/>
    </row>
    <row r="551" spans="1:47" ht="12" customHeight="1" x14ac:dyDescent="0.25">
      <c r="A551" s="3"/>
      <c r="B551" s="14"/>
      <c r="C551" s="14"/>
      <c r="D551" s="14"/>
      <c r="E551" s="14"/>
      <c r="K551" s="14"/>
      <c r="M551" s="14"/>
      <c r="N551" s="14"/>
      <c r="Z551" s="11"/>
      <c r="AA551" s="15"/>
      <c r="AB551" s="15"/>
      <c r="AC551" s="15"/>
      <c r="AU551" s="17"/>
    </row>
    <row r="552" spans="1:47" ht="12" customHeight="1" x14ac:dyDescent="0.25">
      <c r="A552" s="3"/>
      <c r="B552" s="14"/>
      <c r="C552" s="14"/>
      <c r="D552" s="14"/>
      <c r="E552" s="14"/>
      <c r="K552" s="14"/>
      <c r="M552" s="14"/>
      <c r="N552" s="14"/>
      <c r="Z552" s="11"/>
      <c r="AA552" s="15"/>
      <c r="AB552" s="15"/>
      <c r="AC552" s="15"/>
      <c r="AU552" s="17"/>
    </row>
    <row r="553" spans="1:47" ht="12" customHeight="1" x14ac:dyDescent="0.25">
      <c r="A553" s="3"/>
      <c r="B553" s="14"/>
      <c r="C553" s="14"/>
      <c r="D553" s="14"/>
      <c r="E553" s="14"/>
      <c r="K553" s="14"/>
      <c r="M553" s="14"/>
      <c r="N553" s="14"/>
      <c r="Z553" s="11"/>
      <c r="AA553" s="15"/>
      <c r="AB553" s="15"/>
      <c r="AC553" s="15"/>
      <c r="AU553" s="17"/>
    </row>
    <row r="554" spans="1:47" ht="12" customHeight="1" x14ac:dyDescent="0.25">
      <c r="A554" s="3"/>
      <c r="B554" s="14"/>
      <c r="C554" s="14"/>
      <c r="D554" s="14"/>
      <c r="E554" s="14"/>
      <c r="K554" s="14"/>
      <c r="M554" s="14"/>
      <c r="N554" s="14"/>
      <c r="Z554" s="11"/>
      <c r="AA554" s="15"/>
      <c r="AB554" s="15"/>
      <c r="AC554" s="15"/>
      <c r="AU554" s="17"/>
    </row>
    <row r="555" spans="1:47" ht="12" customHeight="1" x14ac:dyDescent="0.25">
      <c r="A555" s="3"/>
      <c r="B555" s="14"/>
      <c r="C555" s="14"/>
      <c r="D555" s="14"/>
      <c r="E555" s="14"/>
      <c r="K555" s="14"/>
      <c r="M555" s="14"/>
      <c r="N555" s="14"/>
      <c r="Z555" s="11"/>
      <c r="AA555" s="15"/>
      <c r="AB555" s="15"/>
      <c r="AC555" s="15"/>
      <c r="AU555" s="17"/>
    </row>
    <row r="556" spans="1:47" ht="12" customHeight="1" x14ac:dyDescent="0.25">
      <c r="A556" s="3"/>
      <c r="B556" s="14"/>
      <c r="C556" s="14"/>
      <c r="D556" s="14"/>
      <c r="E556" s="14"/>
      <c r="K556" s="14"/>
      <c r="M556" s="14"/>
      <c r="N556" s="14"/>
      <c r="Z556" s="11"/>
      <c r="AA556" s="15"/>
      <c r="AB556" s="15"/>
      <c r="AC556" s="15"/>
      <c r="AU556" s="17"/>
    </row>
    <row r="557" spans="1:47" ht="12" customHeight="1" x14ac:dyDescent="0.25">
      <c r="A557" s="3"/>
      <c r="B557" s="14"/>
      <c r="C557" s="14"/>
      <c r="D557" s="14"/>
      <c r="E557" s="14"/>
      <c r="K557" s="14"/>
      <c r="M557" s="14"/>
      <c r="N557" s="14"/>
      <c r="Z557" s="11"/>
      <c r="AA557" s="15"/>
      <c r="AB557" s="15"/>
      <c r="AC557" s="15"/>
      <c r="AU557" s="17"/>
    </row>
    <row r="558" spans="1:47" ht="12" customHeight="1" x14ac:dyDescent="0.25">
      <c r="A558" s="3"/>
      <c r="B558" s="14"/>
      <c r="C558" s="14"/>
      <c r="D558" s="14"/>
      <c r="E558" s="14"/>
      <c r="K558" s="14"/>
      <c r="M558" s="14"/>
      <c r="N558" s="14"/>
      <c r="Z558" s="11"/>
      <c r="AA558" s="15"/>
      <c r="AB558" s="15"/>
      <c r="AC558" s="15"/>
      <c r="AU558" s="17"/>
    </row>
    <row r="559" spans="1:47" ht="12" customHeight="1" x14ac:dyDescent="0.25">
      <c r="A559" s="3"/>
      <c r="B559" s="14"/>
      <c r="C559" s="14"/>
      <c r="D559" s="14"/>
      <c r="E559" s="14"/>
      <c r="K559" s="14"/>
      <c r="M559" s="14"/>
      <c r="N559" s="14"/>
      <c r="Z559" s="11"/>
      <c r="AA559" s="15"/>
      <c r="AB559" s="15"/>
      <c r="AC559" s="15"/>
      <c r="AU559" s="17"/>
    </row>
    <row r="560" spans="1:47" ht="12" customHeight="1" x14ac:dyDescent="0.25">
      <c r="A560" s="3"/>
      <c r="B560" s="14"/>
      <c r="C560" s="14"/>
      <c r="D560" s="14"/>
      <c r="E560" s="14"/>
      <c r="K560" s="14"/>
      <c r="M560" s="14"/>
      <c r="N560" s="14"/>
      <c r="Z560" s="11"/>
      <c r="AA560" s="15"/>
      <c r="AB560" s="15"/>
      <c r="AC560" s="15"/>
      <c r="AU560" s="17"/>
    </row>
    <row r="561" spans="1:47" ht="12" customHeight="1" x14ac:dyDescent="0.25">
      <c r="A561" s="3"/>
      <c r="B561" s="14"/>
      <c r="C561" s="14"/>
      <c r="D561" s="14"/>
      <c r="E561" s="14"/>
      <c r="K561" s="14"/>
      <c r="M561" s="14"/>
      <c r="N561" s="14"/>
      <c r="Z561" s="11"/>
      <c r="AA561" s="15"/>
      <c r="AB561" s="15"/>
      <c r="AC561" s="15"/>
      <c r="AU561" s="17"/>
    </row>
    <row r="562" spans="1:47" ht="12" customHeight="1" x14ac:dyDescent="0.25">
      <c r="A562" s="3"/>
      <c r="B562" s="14"/>
      <c r="C562" s="14"/>
      <c r="D562" s="14"/>
      <c r="E562" s="14"/>
      <c r="K562" s="14"/>
      <c r="M562" s="14"/>
      <c r="N562" s="14"/>
      <c r="Z562" s="11"/>
      <c r="AA562" s="15"/>
      <c r="AB562" s="15"/>
      <c r="AC562" s="15"/>
      <c r="AU562" s="17"/>
    </row>
    <row r="563" spans="1:47" ht="12" customHeight="1" x14ac:dyDescent="0.25">
      <c r="A563" s="3"/>
      <c r="B563" s="14"/>
      <c r="C563" s="14"/>
      <c r="D563" s="14"/>
      <c r="E563" s="14"/>
      <c r="K563" s="14"/>
      <c r="M563" s="14"/>
      <c r="N563" s="14"/>
      <c r="Z563" s="11"/>
      <c r="AA563" s="15"/>
      <c r="AB563" s="15"/>
      <c r="AC563" s="15"/>
      <c r="AU563" s="17"/>
    </row>
    <row r="564" spans="1:47" ht="12" customHeight="1" x14ac:dyDescent="0.25">
      <c r="A564" s="3"/>
      <c r="B564" s="14"/>
      <c r="C564" s="14"/>
      <c r="D564" s="14"/>
      <c r="E564" s="14"/>
      <c r="K564" s="14"/>
      <c r="M564" s="14"/>
      <c r="N564" s="14"/>
      <c r="Z564" s="11"/>
      <c r="AA564" s="15"/>
      <c r="AB564" s="15"/>
      <c r="AC564" s="15"/>
      <c r="AU564" s="17"/>
    </row>
    <row r="565" spans="1:47" ht="12" customHeight="1" x14ac:dyDescent="0.25">
      <c r="A565" s="3"/>
      <c r="B565" s="14"/>
      <c r="C565" s="14"/>
      <c r="D565" s="14"/>
      <c r="E565" s="14"/>
      <c r="K565" s="14"/>
      <c r="M565" s="14"/>
      <c r="N565" s="14"/>
      <c r="Z565" s="11"/>
      <c r="AA565" s="15"/>
      <c r="AB565" s="15"/>
      <c r="AC565" s="15"/>
      <c r="AU565" s="17"/>
    </row>
    <row r="566" spans="1:47" ht="12" customHeight="1" x14ac:dyDescent="0.25">
      <c r="A566" s="3"/>
      <c r="B566" s="14"/>
      <c r="C566" s="14"/>
      <c r="D566" s="14"/>
      <c r="E566" s="14"/>
      <c r="K566" s="14"/>
      <c r="M566" s="14"/>
      <c r="N566" s="14"/>
      <c r="Z566" s="11"/>
      <c r="AA566" s="15"/>
      <c r="AB566" s="15"/>
      <c r="AC566" s="15"/>
      <c r="AU566" s="17"/>
    </row>
    <row r="567" spans="1:47" ht="12" customHeight="1" x14ac:dyDescent="0.25">
      <c r="A567" s="3"/>
      <c r="B567" s="14"/>
      <c r="C567" s="14"/>
      <c r="D567" s="14"/>
      <c r="E567" s="14"/>
      <c r="K567" s="14"/>
      <c r="M567" s="14"/>
      <c r="N567" s="14"/>
      <c r="Z567" s="11"/>
      <c r="AA567" s="15"/>
      <c r="AB567" s="15"/>
      <c r="AC567" s="15"/>
      <c r="AU567" s="17"/>
    </row>
    <row r="568" spans="1:47" ht="12" customHeight="1" x14ac:dyDescent="0.25">
      <c r="A568" s="3"/>
      <c r="B568" s="14"/>
      <c r="C568" s="14"/>
      <c r="D568" s="14"/>
      <c r="E568" s="14"/>
      <c r="K568" s="14"/>
      <c r="M568" s="14"/>
      <c r="N568" s="14"/>
      <c r="Z568" s="11"/>
      <c r="AA568" s="15"/>
      <c r="AB568" s="15"/>
      <c r="AC568" s="15"/>
      <c r="AU568" s="17"/>
    </row>
    <row r="569" spans="1:47" ht="12" customHeight="1" x14ac:dyDescent="0.25">
      <c r="A569" s="3"/>
      <c r="B569" s="14"/>
      <c r="C569" s="14"/>
      <c r="D569" s="14"/>
      <c r="E569" s="14"/>
      <c r="K569" s="14"/>
      <c r="M569" s="14"/>
      <c r="N569" s="14"/>
      <c r="Z569" s="11"/>
      <c r="AA569" s="15"/>
      <c r="AB569" s="15"/>
      <c r="AC569" s="15"/>
      <c r="AU569" s="17"/>
    </row>
    <row r="570" spans="1:47" ht="12" customHeight="1" x14ac:dyDescent="0.25">
      <c r="A570" s="3"/>
      <c r="B570" s="14"/>
      <c r="C570" s="14"/>
      <c r="D570" s="14"/>
      <c r="E570" s="14"/>
      <c r="K570" s="14"/>
      <c r="M570" s="14"/>
      <c r="N570" s="14"/>
      <c r="Z570" s="11"/>
      <c r="AA570" s="15"/>
      <c r="AB570" s="15"/>
      <c r="AC570" s="15"/>
      <c r="AU570" s="17"/>
    </row>
    <row r="571" spans="1:47" ht="12" customHeight="1" x14ac:dyDescent="0.25">
      <c r="A571" s="3"/>
      <c r="B571" s="14"/>
      <c r="C571" s="14"/>
      <c r="D571" s="14"/>
      <c r="E571" s="14"/>
      <c r="K571" s="14"/>
      <c r="M571" s="14"/>
      <c r="N571" s="14"/>
      <c r="Z571" s="11"/>
      <c r="AA571" s="15"/>
      <c r="AB571" s="15"/>
      <c r="AC571" s="15"/>
      <c r="AU571" s="17"/>
    </row>
    <row r="572" spans="1:47" ht="12" customHeight="1" x14ac:dyDescent="0.25">
      <c r="A572" s="3"/>
      <c r="B572" s="14"/>
      <c r="C572" s="14"/>
      <c r="D572" s="14"/>
      <c r="E572" s="14"/>
      <c r="K572" s="14"/>
      <c r="M572" s="14"/>
      <c r="N572" s="14"/>
      <c r="Z572" s="11"/>
      <c r="AA572" s="15"/>
      <c r="AB572" s="15"/>
      <c r="AC572" s="15"/>
      <c r="AU572" s="17"/>
    </row>
    <row r="573" spans="1:47" ht="12" customHeight="1" x14ac:dyDescent="0.25">
      <c r="A573" s="3"/>
      <c r="B573" s="14"/>
      <c r="C573" s="14"/>
      <c r="D573" s="14"/>
      <c r="E573" s="14"/>
      <c r="K573" s="14"/>
      <c r="M573" s="14"/>
      <c r="N573" s="14"/>
      <c r="Z573" s="11"/>
      <c r="AA573" s="15"/>
      <c r="AB573" s="15"/>
      <c r="AC573" s="15"/>
      <c r="AU573" s="17"/>
    </row>
    <row r="574" spans="1:47" ht="12" customHeight="1" x14ac:dyDescent="0.25">
      <c r="A574" s="3"/>
      <c r="B574" s="14"/>
      <c r="C574" s="14"/>
      <c r="D574" s="14"/>
      <c r="E574" s="14"/>
      <c r="K574" s="14"/>
      <c r="M574" s="14"/>
      <c r="N574" s="14"/>
      <c r="Z574" s="11"/>
      <c r="AA574" s="15"/>
      <c r="AB574" s="15"/>
      <c r="AC574" s="15"/>
      <c r="AU574" s="17"/>
    </row>
    <row r="575" spans="1:47" ht="12" customHeight="1" x14ac:dyDescent="0.25">
      <c r="A575" s="3"/>
      <c r="B575" s="14"/>
      <c r="C575" s="14"/>
      <c r="D575" s="14"/>
      <c r="E575" s="14"/>
      <c r="K575" s="14"/>
      <c r="M575" s="14"/>
      <c r="N575" s="14"/>
      <c r="Z575" s="11"/>
      <c r="AA575" s="15"/>
      <c r="AB575" s="15"/>
      <c r="AC575" s="15"/>
      <c r="AU575" s="17"/>
    </row>
    <row r="576" spans="1:47" ht="12" customHeight="1" x14ac:dyDescent="0.25">
      <c r="A576" s="3"/>
      <c r="B576" s="14"/>
      <c r="C576" s="14"/>
      <c r="D576" s="14"/>
      <c r="E576" s="14"/>
      <c r="K576" s="14"/>
      <c r="M576" s="14"/>
      <c r="N576" s="14"/>
      <c r="Z576" s="11"/>
      <c r="AA576" s="15"/>
      <c r="AB576" s="15"/>
      <c r="AC576" s="15"/>
      <c r="AU576" s="17"/>
    </row>
    <row r="577" spans="1:47" ht="12" customHeight="1" x14ac:dyDescent="0.25">
      <c r="A577" s="3"/>
      <c r="B577" s="14"/>
      <c r="C577" s="14"/>
      <c r="D577" s="14"/>
      <c r="E577" s="14"/>
      <c r="K577" s="14"/>
      <c r="M577" s="14"/>
      <c r="N577" s="14"/>
      <c r="Z577" s="11"/>
      <c r="AA577" s="15"/>
      <c r="AB577" s="15"/>
      <c r="AC577" s="15"/>
      <c r="AU577" s="17"/>
    </row>
    <row r="578" spans="1:47" ht="12" customHeight="1" x14ac:dyDescent="0.25">
      <c r="A578" s="3"/>
      <c r="B578" s="14"/>
      <c r="C578" s="14"/>
      <c r="D578" s="14"/>
      <c r="E578" s="14"/>
      <c r="K578" s="14"/>
      <c r="M578" s="14"/>
      <c r="N578" s="14"/>
      <c r="Z578" s="11"/>
      <c r="AA578" s="15"/>
      <c r="AB578" s="15"/>
      <c r="AC578" s="15"/>
      <c r="AU578" s="17"/>
    </row>
    <row r="579" spans="1:47" ht="12" customHeight="1" x14ac:dyDescent="0.25">
      <c r="A579" s="3"/>
      <c r="B579" s="14"/>
      <c r="C579" s="14"/>
      <c r="D579" s="14"/>
      <c r="E579" s="14"/>
      <c r="K579" s="14"/>
      <c r="M579" s="14"/>
      <c r="N579" s="14"/>
      <c r="Z579" s="11"/>
      <c r="AA579" s="15"/>
      <c r="AB579" s="15"/>
      <c r="AC579" s="15"/>
      <c r="AU579" s="17"/>
    </row>
    <row r="580" spans="1:47" ht="12" customHeight="1" x14ac:dyDescent="0.25">
      <c r="A580" s="3"/>
      <c r="B580" s="14"/>
      <c r="C580" s="14"/>
      <c r="D580" s="14"/>
      <c r="E580" s="14"/>
      <c r="K580" s="14"/>
      <c r="M580" s="14"/>
      <c r="N580" s="14"/>
      <c r="Z580" s="11"/>
      <c r="AA580" s="15"/>
      <c r="AB580" s="15"/>
      <c r="AC580" s="15"/>
      <c r="AU580" s="17"/>
    </row>
    <row r="581" spans="1:47" ht="12" customHeight="1" x14ac:dyDescent="0.25">
      <c r="A581" s="3"/>
      <c r="B581" s="14"/>
      <c r="C581" s="14"/>
      <c r="D581" s="14"/>
      <c r="E581" s="14"/>
      <c r="K581" s="14"/>
      <c r="M581" s="14"/>
      <c r="N581" s="14"/>
      <c r="Z581" s="11"/>
      <c r="AA581" s="15"/>
      <c r="AB581" s="15"/>
      <c r="AC581" s="15"/>
      <c r="AU581" s="17"/>
    </row>
    <row r="582" spans="1:47" ht="12" customHeight="1" x14ac:dyDescent="0.25">
      <c r="A582" s="3"/>
      <c r="B582" s="14"/>
      <c r="C582" s="14"/>
      <c r="D582" s="14"/>
      <c r="E582" s="14"/>
      <c r="K582" s="14"/>
      <c r="M582" s="14"/>
      <c r="N582" s="14"/>
      <c r="Z582" s="11"/>
      <c r="AA582" s="15"/>
      <c r="AB582" s="15"/>
      <c r="AC582" s="15"/>
      <c r="AU582" s="17"/>
    </row>
    <row r="583" spans="1:47" ht="12" customHeight="1" x14ac:dyDescent="0.25">
      <c r="A583" s="3"/>
      <c r="B583" s="14"/>
      <c r="C583" s="14"/>
      <c r="D583" s="14"/>
      <c r="E583" s="14"/>
      <c r="K583" s="14"/>
      <c r="M583" s="14"/>
      <c r="N583" s="14"/>
      <c r="Z583" s="11"/>
      <c r="AA583" s="15"/>
      <c r="AB583" s="15"/>
      <c r="AC583" s="15"/>
      <c r="AU583" s="17"/>
    </row>
    <row r="584" spans="1:47" ht="12" customHeight="1" x14ac:dyDescent="0.25">
      <c r="A584" s="3"/>
      <c r="B584" s="14"/>
      <c r="C584" s="14"/>
      <c r="D584" s="14"/>
      <c r="E584" s="14"/>
      <c r="K584" s="14"/>
      <c r="M584" s="14"/>
      <c r="N584" s="14"/>
      <c r="Z584" s="11"/>
      <c r="AA584" s="15"/>
      <c r="AB584" s="15"/>
      <c r="AC584" s="15"/>
      <c r="AU584" s="17"/>
    </row>
    <row r="585" spans="1:47" ht="12" customHeight="1" x14ac:dyDescent="0.25">
      <c r="A585" s="3"/>
      <c r="B585" s="14"/>
      <c r="C585" s="14"/>
      <c r="D585" s="14"/>
      <c r="E585" s="14"/>
      <c r="K585" s="14"/>
      <c r="M585" s="14"/>
      <c r="N585" s="14"/>
      <c r="Z585" s="11"/>
      <c r="AA585" s="15"/>
      <c r="AB585" s="15"/>
      <c r="AC585" s="15"/>
      <c r="AU585" s="17"/>
    </row>
    <row r="586" spans="1:47" ht="12" customHeight="1" x14ac:dyDescent="0.25">
      <c r="A586" s="3"/>
      <c r="B586" s="14"/>
      <c r="C586" s="14"/>
      <c r="D586" s="14"/>
      <c r="E586" s="14"/>
      <c r="K586" s="14"/>
      <c r="M586" s="14"/>
      <c r="N586" s="14"/>
      <c r="Z586" s="11"/>
      <c r="AA586" s="15"/>
      <c r="AB586" s="15"/>
      <c r="AC586" s="15"/>
      <c r="AU586" s="17"/>
    </row>
    <row r="587" spans="1:47" ht="12" customHeight="1" x14ac:dyDescent="0.25">
      <c r="A587" s="3"/>
      <c r="B587" s="14"/>
      <c r="C587" s="14"/>
      <c r="D587" s="14"/>
      <c r="E587" s="14"/>
      <c r="K587" s="14"/>
      <c r="M587" s="14"/>
      <c r="N587" s="14"/>
      <c r="Z587" s="11"/>
      <c r="AA587" s="15"/>
      <c r="AB587" s="15"/>
      <c r="AC587" s="15"/>
      <c r="AU587" s="17"/>
    </row>
    <row r="588" spans="1:47" ht="12" customHeight="1" x14ac:dyDescent="0.25">
      <c r="A588" s="3"/>
      <c r="B588" s="14"/>
      <c r="C588" s="14"/>
      <c r="D588" s="14"/>
      <c r="E588" s="14"/>
      <c r="K588" s="14"/>
      <c r="M588" s="14"/>
      <c r="N588" s="14"/>
      <c r="Z588" s="11"/>
      <c r="AA588" s="15"/>
      <c r="AB588" s="15"/>
      <c r="AC588" s="15"/>
      <c r="AU588" s="17"/>
    </row>
    <row r="589" spans="1:47" ht="12" customHeight="1" x14ac:dyDescent="0.25">
      <c r="A589" s="3"/>
      <c r="B589" s="14"/>
      <c r="C589" s="14"/>
      <c r="D589" s="14"/>
      <c r="E589" s="14"/>
      <c r="K589" s="14"/>
      <c r="M589" s="14"/>
      <c r="N589" s="14"/>
      <c r="Z589" s="11"/>
      <c r="AA589" s="15"/>
      <c r="AB589" s="15"/>
      <c r="AC589" s="15"/>
      <c r="AU589" s="17"/>
    </row>
    <row r="590" spans="1:47" ht="12" customHeight="1" x14ac:dyDescent="0.25">
      <c r="A590" s="3"/>
      <c r="B590" s="14"/>
      <c r="C590" s="14"/>
      <c r="D590" s="14"/>
      <c r="E590" s="14"/>
      <c r="K590" s="14"/>
      <c r="M590" s="14"/>
      <c r="N590" s="14"/>
      <c r="Z590" s="11"/>
      <c r="AA590" s="15"/>
      <c r="AB590" s="15"/>
      <c r="AC590" s="15"/>
      <c r="AU590" s="17"/>
    </row>
    <row r="591" spans="1:47" ht="12" customHeight="1" x14ac:dyDescent="0.25">
      <c r="A591" s="3"/>
      <c r="B591" s="14"/>
      <c r="C591" s="14"/>
      <c r="D591" s="14"/>
      <c r="E591" s="14"/>
      <c r="K591" s="14"/>
      <c r="M591" s="14"/>
      <c r="N591" s="14"/>
      <c r="Z591" s="11"/>
      <c r="AA591" s="15"/>
      <c r="AB591" s="15"/>
      <c r="AC591" s="15"/>
      <c r="AU591" s="17"/>
    </row>
    <row r="592" spans="1:47" ht="12" customHeight="1" x14ac:dyDescent="0.25">
      <c r="A592" s="3"/>
      <c r="B592" s="14"/>
      <c r="C592" s="14"/>
      <c r="D592" s="14"/>
      <c r="E592" s="14"/>
      <c r="K592" s="14"/>
      <c r="M592" s="14"/>
      <c r="N592" s="14"/>
      <c r="Z592" s="11"/>
      <c r="AA592" s="15"/>
      <c r="AB592" s="15"/>
      <c r="AC592" s="15"/>
      <c r="AU592" s="17"/>
    </row>
    <row r="593" spans="1:47" ht="12" customHeight="1" x14ac:dyDescent="0.25">
      <c r="A593" s="3"/>
      <c r="B593" s="14"/>
      <c r="C593" s="14"/>
      <c r="D593" s="14"/>
      <c r="E593" s="14"/>
      <c r="K593" s="14"/>
      <c r="M593" s="14"/>
      <c r="N593" s="14"/>
      <c r="Z593" s="11"/>
      <c r="AA593" s="15"/>
      <c r="AB593" s="15"/>
      <c r="AC593" s="15"/>
      <c r="AU593" s="17"/>
    </row>
    <row r="594" spans="1:47" ht="12" customHeight="1" x14ac:dyDescent="0.25">
      <c r="A594" s="3"/>
      <c r="B594" s="14"/>
      <c r="C594" s="14"/>
      <c r="D594" s="14"/>
      <c r="E594" s="14"/>
      <c r="K594" s="14"/>
      <c r="M594" s="14"/>
      <c r="N594" s="14"/>
      <c r="Z594" s="11"/>
      <c r="AA594" s="15"/>
      <c r="AB594" s="15"/>
      <c r="AC594" s="15"/>
      <c r="AU594" s="17"/>
    </row>
    <row r="595" spans="1:47" ht="12" customHeight="1" x14ac:dyDescent="0.25">
      <c r="A595" s="3"/>
      <c r="B595" s="14"/>
      <c r="C595" s="14"/>
      <c r="D595" s="14"/>
      <c r="E595" s="14"/>
      <c r="K595" s="14"/>
      <c r="M595" s="14"/>
      <c r="N595" s="14"/>
      <c r="Z595" s="11"/>
      <c r="AA595" s="15"/>
      <c r="AB595" s="15"/>
      <c r="AC595" s="15"/>
      <c r="AU595" s="17"/>
    </row>
    <row r="596" spans="1:47" ht="12" customHeight="1" x14ac:dyDescent="0.25">
      <c r="A596" s="3"/>
      <c r="B596" s="14"/>
      <c r="C596" s="14"/>
      <c r="D596" s="14"/>
      <c r="E596" s="14"/>
      <c r="K596" s="14"/>
      <c r="M596" s="14"/>
      <c r="N596" s="14"/>
      <c r="Z596" s="11"/>
      <c r="AA596" s="15"/>
      <c r="AB596" s="15"/>
      <c r="AC596" s="15"/>
      <c r="AU596" s="17"/>
    </row>
    <row r="597" spans="1:47" ht="12" customHeight="1" x14ac:dyDescent="0.25">
      <c r="A597" s="3"/>
      <c r="B597" s="14"/>
      <c r="C597" s="14"/>
      <c r="D597" s="14"/>
      <c r="E597" s="14"/>
      <c r="K597" s="14"/>
      <c r="M597" s="14"/>
      <c r="N597" s="14"/>
      <c r="Z597" s="11"/>
      <c r="AA597" s="15"/>
      <c r="AB597" s="15"/>
      <c r="AC597" s="15"/>
      <c r="AU597" s="17"/>
    </row>
    <row r="598" spans="1:47" ht="12" customHeight="1" x14ac:dyDescent="0.25">
      <c r="A598" s="3"/>
      <c r="B598" s="14"/>
      <c r="C598" s="14"/>
      <c r="D598" s="14"/>
      <c r="E598" s="14"/>
      <c r="K598" s="14"/>
      <c r="M598" s="14"/>
      <c r="N598" s="14"/>
      <c r="Z598" s="11"/>
      <c r="AA598" s="15"/>
      <c r="AB598" s="15"/>
      <c r="AC598" s="15"/>
      <c r="AU598" s="17"/>
    </row>
    <row r="599" spans="1:47" ht="12" customHeight="1" x14ac:dyDescent="0.25">
      <c r="A599" s="3"/>
      <c r="B599" s="14"/>
      <c r="C599" s="14"/>
      <c r="D599" s="14"/>
      <c r="E599" s="14"/>
      <c r="K599" s="14"/>
      <c r="M599" s="14"/>
      <c r="N599" s="14"/>
      <c r="Z599" s="11"/>
      <c r="AA599" s="15"/>
      <c r="AB599" s="15"/>
      <c r="AC599" s="15"/>
      <c r="AU599" s="17"/>
    </row>
    <row r="600" spans="1:47" ht="12" customHeight="1" x14ac:dyDescent="0.25">
      <c r="A600" s="3"/>
      <c r="B600" s="14"/>
      <c r="C600" s="14"/>
      <c r="D600" s="14"/>
      <c r="E600" s="14"/>
      <c r="K600" s="14"/>
      <c r="M600" s="14"/>
      <c r="N600" s="14"/>
      <c r="Z600" s="11"/>
      <c r="AA600" s="15"/>
      <c r="AB600" s="15"/>
      <c r="AC600" s="15"/>
      <c r="AU600" s="17"/>
    </row>
    <row r="601" spans="1:47" ht="12" customHeight="1" x14ac:dyDescent="0.25">
      <c r="A601" s="3"/>
      <c r="B601" s="14"/>
      <c r="C601" s="14"/>
      <c r="D601" s="14"/>
      <c r="E601" s="14"/>
      <c r="K601" s="14"/>
      <c r="M601" s="14"/>
      <c r="N601" s="14"/>
      <c r="Z601" s="11"/>
      <c r="AA601" s="15"/>
      <c r="AB601" s="15"/>
      <c r="AC601" s="15"/>
      <c r="AU601" s="17"/>
    </row>
    <row r="602" spans="1:47" ht="12" customHeight="1" x14ac:dyDescent="0.25">
      <c r="A602" s="3"/>
      <c r="B602" s="14"/>
      <c r="C602" s="14"/>
      <c r="D602" s="14"/>
      <c r="E602" s="14"/>
      <c r="K602" s="14"/>
      <c r="M602" s="14"/>
      <c r="N602" s="14"/>
      <c r="Z602" s="11"/>
      <c r="AA602" s="15"/>
      <c r="AB602" s="15"/>
      <c r="AC602" s="15"/>
      <c r="AU602" s="17"/>
    </row>
    <row r="603" spans="1:47" ht="12" customHeight="1" x14ac:dyDescent="0.25">
      <c r="A603" s="3"/>
      <c r="B603" s="14"/>
      <c r="C603" s="14"/>
      <c r="D603" s="14"/>
      <c r="E603" s="14"/>
      <c r="K603" s="14"/>
      <c r="M603" s="14"/>
      <c r="N603" s="14"/>
      <c r="Z603" s="11"/>
      <c r="AA603" s="15"/>
      <c r="AB603" s="15"/>
      <c r="AC603" s="15"/>
      <c r="AU603" s="17"/>
    </row>
    <row r="604" spans="1:47" ht="12" customHeight="1" x14ac:dyDescent="0.25">
      <c r="A604" s="3"/>
      <c r="B604" s="14"/>
      <c r="C604" s="14"/>
      <c r="D604" s="14"/>
      <c r="E604" s="14"/>
      <c r="K604" s="14"/>
      <c r="M604" s="14"/>
      <c r="N604" s="14"/>
      <c r="Z604" s="11"/>
      <c r="AA604" s="15"/>
      <c r="AB604" s="15"/>
      <c r="AC604" s="15"/>
      <c r="AU604" s="17"/>
    </row>
    <row r="605" spans="1:47" ht="12" customHeight="1" x14ac:dyDescent="0.25">
      <c r="A605" s="3"/>
      <c r="B605" s="14"/>
      <c r="C605" s="14"/>
      <c r="D605" s="14"/>
      <c r="E605" s="14"/>
      <c r="K605" s="14"/>
      <c r="M605" s="14"/>
      <c r="N605" s="14"/>
      <c r="Z605" s="11"/>
      <c r="AA605" s="15"/>
      <c r="AB605" s="15"/>
      <c r="AC605" s="15"/>
      <c r="AU605" s="17"/>
    </row>
    <row r="606" spans="1:47" ht="12" customHeight="1" x14ac:dyDescent="0.25">
      <c r="A606" s="3"/>
      <c r="B606" s="14"/>
      <c r="C606" s="14"/>
      <c r="D606" s="14"/>
      <c r="E606" s="14"/>
      <c r="K606" s="14"/>
      <c r="M606" s="14"/>
      <c r="N606" s="14"/>
      <c r="Z606" s="11"/>
      <c r="AA606" s="15"/>
      <c r="AB606" s="15"/>
      <c r="AC606" s="15"/>
      <c r="AU606" s="17"/>
    </row>
    <row r="607" spans="1:47" ht="12" customHeight="1" x14ac:dyDescent="0.25">
      <c r="A607" s="3"/>
      <c r="B607" s="14"/>
      <c r="C607" s="14"/>
      <c r="D607" s="14"/>
      <c r="E607" s="14"/>
      <c r="K607" s="14"/>
      <c r="M607" s="14"/>
      <c r="N607" s="14"/>
      <c r="Z607" s="11"/>
      <c r="AA607" s="15"/>
      <c r="AB607" s="15"/>
      <c r="AC607" s="15"/>
      <c r="AU607" s="17"/>
    </row>
    <row r="608" spans="1:47" ht="12" customHeight="1" x14ac:dyDescent="0.25">
      <c r="A608" s="3"/>
      <c r="B608" s="14"/>
      <c r="C608" s="14"/>
      <c r="D608" s="14"/>
      <c r="E608" s="14"/>
      <c r="K608" s="14"/>
      <c r="M608" s="14"/>
      <c r="N608" s="14"/>
      <c r="Z608" s="11"/>
      <c r="AA608" s="15"/>
      <c r="AB608" s="15"/>
      <c r="AC608" s="15"/>
      <c r="AU608" s="17"/>
    </row>
    <row r="609" spans="1:47" ht="12" customHeight="1" x14ac:dyDescent="0.25">
      <c r="A609" s="3"/>
      <c r="B609" s="14"/>
      <c r="C609" s="14"/>
      <c r="D609" s="14"/>
      <c r="E609" s="14"/>
      <c r="K609" s="14"/>
      <c r="M609" s="14"/>
      <c r="N609" s="14"/>
      <c r="Z609" s="11"/>
      <c r="AA609" s="15"/>
      <c r="AB609" s="15"/>
      <c r="AC609" s="15"/>
      <c r="AU609" s="17"/>
    </row>
    <row r="610" spans="1:47" ht="12" customHeight="1" x14ac:dyDescent="0.25">
      <c r="A610" s="3"/>
      <c r="B610" s="14"/>
      <c r="C610" s="14"/>
      <c r="D610" s="14"/>
      <c r="E610" s="14"/>
      <c r="K610" s="14"/>
      <c r="M610" s="14"/>
      <c r="N610" s="14"/>
      <c r="Z610" s="11"/>
      <c r="AA610" s="15"/>
      <c r="AB610" s="15"/>
      <c r="AC610" s="15"/>
      <c r="AU610" s="17"/>
    </row>
    <row r="611" spans="1:47" ht="12" customHeight="1" x14ac:dyDescent="0.25">
      <c r="A611" s="3"/>
      <c r="B611" s="14"/>
      <c r="C611" s="14"/>
      <c r="D611" s="14"/>
      <c r="E611" s="14"/>
      <c r="K611" s="14"/>
      <c r="M611" s="14"/>
      <c r="N611" s="14"/>
      <c r="Z611" s="11"/>
      <c r="AA611" s="15"/>
      <c r="AB611" s="15"/>
      <c r="AC611" s="15"/>
      <c r="AU611" s="17"/>
    </row>
    <row r="612" spans="1:47" ht="12" customHeight="1" x14ac:dyDescent="0.25">
      <c r="A612" s="3"/>
      <c r="B612" s="14"/>
      <c r="C612" s="14"/>
      <c r="D612" s="14"/>
      <c r="E612" s="14"/>
      <c r="K612" s="14"/>
      <c r="M612" s="14"/>
      <c r="N612" s="14"/>
      <c r="Z612" s="11"/>
      <c r="AA612" s="15"/>
      <c r="AB612" s="15"/>
      <c r="AC612" s="15"/>
      <c r="AU612" s="17"/>
    </row>
    <row r="613" spans="1:47" ht="12" customHeight="1" x14ac:dyDescent="0.25">
      <c r="A613" s="3"/>
      <c r="B613" s="14"/>
      <c r="C613" s="14"/>
      <c r="D613" s="14"/>
      <c r="E613" s="14"/>
      <c r="K613" s="14"/>
      <c r="M613" s="14"/>
      <c r="N613" s="14"/>
      <c r="Z613" s="11"/>
      <c r="AA613" s="15"/>
      <c r="AB613" s="15"/>
      <c r="AC613" s="15"/>
      <c r="AU613" s="17"/>
    </row>
    <row r="614" spans="1:47" ht="12" customHeight="1" x14ac:dyDescent="0.25">
      <c r="A614" s="3"/>
      <c r="B614" s="14"/>
      <c r="C614" s="14"/>
      <c r="D614" s="14"/>
      <c r="E614" s="14"/>
      <c r="K614" s="14"/>
      <c r="M614" s="14"/>
      <c r="N614" s="14"/>
      <c r="Z614" s="11"/>
      <c r="AA614" s="15"/>
      <c r="AB614" s="15"/>
      <c r="AC614" s="15"/>
      <c r="AU614" s="17"/>
    </row>
    <row r="615" spans="1:47" ht="12" customHeight="1" x14ac:dyDescent="0.25">
      <c r="A615" s="3"/>
      <c r="B615" s="14"/>
      <c r="C615" s="14"/>
      <c r="D615" s="14"/>
      <c r="E615" s="14"/>
      <c r="K615" s="14"/>
      <c r="M615" s="14"/>
      <c r="N615" s="14"/>
      <c r="Z615" s="11"/>
      <c r="AA615" s="15"/>
      <c r="AB615" s="15"/>
      <c r="AC615" s="15"/>
      <c r="AU615" s="17"/>
    </row>
    <row r="616" spans="1:47" ht="12" customHeight="1" x14ac:dyDescent="0.25">
      <c r="A616" s="3"/>
      <c r="B616" s="14"/>
      <c r="C616" s="14"/>
      <c r="D616" s="14"/>
      <c r="E616" s="14"/>
      <c r="K616" s="14"/>
      <c r="M616" s="14"/>
      <c r="N616" s="14"/>
      <c r="Z616" s="11"/>
      <c r="AA616" s="15"/>
      <c r="AB616" s="15"/>
      <c r="AC616" s="15"/>
      <c r="AU616" s="17"/>
    </row>
    <row r="617" spans="1:47" ht="12" customHeight="1" x14ac:dyDescent="0.25">
      <c r="A617" s="3"/>
      <c r="B617" s="14"/>
      <c r="C617" s="14"/>
      <c r="D617" s="14"/>
      <c r="E617" s="14"/>
      <c r="K617" s="14"/>
      <c r="M617" s="14"/>
      <c r="N617" s="14"/>
      <c r="Z617" s="11"/>
      <c r="AA617" s="15"/>
      <c r="AB617" s="15"/>
      <c r="AC617" s="15"/>
      <c r="AU617" s="17"/>
    </row>
    <row r="618" spans="1:47" ht="12" customHeight="1" x14ac:dyDescent="0.25">
      <c r="A618" s="3"/>
      <c r="B618" s="14"/>
      <c r="C618" s="14"/>
      <c r="D618" s="14"/>
      <c r="E618" s="14"/>
      <c r="K618" s="14"/>
      <c r="M618" s="14"/>
      <c r="N618" s="14"/>
      <c r="Z618" s="11"/>
      <c r="AA618" s="15"/>
      <c r="AB618" s="15"/>
      <c r="AC618" s="15"/>
      <c r="AU618" s="17"/>
    </row>
    <row r="619" spans="1:47" ht="12" customHeight="1" x14ac:dyDescent="0.25">
      <c r="A619" s="3"/>
      <c r="B619" s="14"/>
      <c r="C619" s="14"/>
      <c r="D619" s="14"/>
      <c r="E619" s="14"/>
      <c r="K619" s="14"/>
      <c r="M619" s="14"/>
      <c r="N619" s="14"/>
      <c r="Z619" s="11"/>
      <c r="AA619" s="15"/>
      <c r="AB619" s="15"/>
      <c r="AC619" s="15"/>
      <c r="AU619" s="17"/>
    </row>
    <row r="620" spans="1:47" ht="12" customHeight="1" x14ac:dyDescent="0.25">
      <c r="A620" s="3"/>
      <c r="B620" s="14"/>
      <c r="C620" s="14"/>
      <c r="D620" s="14"/>
      <c r="E620" s="14"/>
      <c r="K620" s="14"/>
      <c r="M620" s="14"/>
      <c r="N620" s="14"/>
      <c r="Z620" s="11"/>
      <c r="AA620" s="15"/>
      <c r="AB620" s="15"/>
      <c r="AC620" s="15"/>
      <c r="AU620" s="17"/>
    </row>
    <row r="621" spans="1:47" ht="12" customHeight="1" x14ac:dyDescent="0.25">
      <c r="A621" s="3"/>
      <c r="B621" s="14"/>
      <c r="C621" s="14"/>
      <c r="D621" s="14"/>
      <c r="E621" s="14"/>
      <c r="K621" s="14"/>
      <c r="M621" s="14"/>
      <c r="N621" s="14"/>
      <c r="Z621" s="11"/>
      <c r="AA621" s="15"/>
      <c r="AB621" s="15"/>
      <c r="AC621" s="15"/>
      <c r="AU621" s="17"/>
    </row>
    <row r="622" spans="1:47" ht="12" customHeight="1" x14ac:dyDescent="0.25">
      <c r="A622" s="3"/>
      <c r="B622" s="14"/>
      <c r="C622" s="14"/>
      <c r="D622" s="14"/>
      <c r="E622" s="14"/>
      <c r="K622" s="14"/>
      <c r="M622" s="14"/>
      <c r="N622" s="14"/>
      <c r="Z622" s="11"/>
      <c r="AA622" s="15"/>
      <c r="AB622" s="15"/>
      <c r="AC622" s="15"/>
      <c r="AU622" s="17"/>
    </row>
    <row r="623" spans="1:47" ht="12" customHeight="1" x14ac:dyDescent="0.25">
      <c r="A623" s="3"/>
      <c r="B623" s="14"/>
      <c r="C623" s="14"/>
      <c r="D623" s="14"/>
      <c r="E623" s="14"/>
      <c r="K623" s="14"/>
      <c r="M623" s="14"/>
      <c r="N623" s="14"/>
      <c r="Z623" s="11"/>
      <c r="AA623" s="15"/>
      <c r="AB623" s="15"/>
      <c r="AC623" s="15"/>
      <c r="AU623" s="17"/>
    </row>
    <row r="624" spans="1:47" ht="12" customHeight="1" x14ac:dyDescent="0.25">
      <c r="A624" s="3"/>
      <c r="B624" s="14"/>
      <c r="C624" s="14"/>
      <c r="D624" s="14"/>
      <c r="E624" s="14"/>
      <c r="K624" s="14"/>
      <c r="M624" s="14"/>
      <c r="N624" s="14"/>
      <c r="Z624" s="11"/>
      <c r="AA624" s="15"/>
      <c r="AB624" s="15"/>
      <c r="AC624" s="15"/>
      <c r="AU624" s="17"/>
    </row>
    <row r="625" spans="1:47" ht="12" customHeight="1" x14ac:dyDescent="0.25">
      <c r="A625" s="3"/>
      <c r="B625" s="14"/>
      <c r="C625" s="14"/>
      <c r="D625" s="14"/>
      <c r="E625" s="14"/>
      <c r="K625" s="14"/>
      <c r="M625" s="14"/>
      <c r="N625" s="14"/>
      <c r="Z625" s="11"/>
      <c r="AA625" s="15"/>
      <c r="AB625" s="15"/>
      <c r="AC625" s="15"/>
      <c r="AU625" s="17"/>
    </row>
    <row r="626" spans="1:47" ht="12" customHeight="1" x14ac:dyDescent="0.25">
      <c r="A626" s="3"/>
      <c r="B626" s="14"/>
      <c r="C626" s="14"/>
      <c r="D626" s="14"/>
      <c r="E626" s="14"/>
      <c r="K626" s="14"/>
      <c r="M626" s="14"/>
      <c r="N626" s="14"/>
      <c r="Z626" s="11"/>
      <c r="AA626" s="15"/>
      <c r="AB626" s="15"/>
      <c r="AC626" s="15"/>
      <c r="AU626" s="17"/>
    </row>
    <row r="627" spans="1:47" ht="12" customHeight="1" x14ac:dyDescent="0.25">
      <c r="A627" s="3"/>
      <c r="B627" s="14"/>
      <c r="C627" s="14"/>
      <c r="D627" s="14"/>
      <c r="E627" s="14"/>
      <c r="K627" s="14"/>
      <c r="M627" s="14"/>
      <c r="N627" s="14"/>
      <c r="Z627" s="11"/>
      <c r="AA627" s="15"/>
      <c r="AB627" s="15"/>
      <c r="AC627" s="15"/>
      <c r="AU627" s="17"/>
    </row>
    <row r="628" spans="1:47" ht="12" customHeight="1" x14ac:dyDescent="0.25">
      <c r="A628" s="3"/>
      <c r="B628" s="14"/>
      <c r="C628" s="14"/>
      <c r="D628" s="14"/>
      <c r="E628" s="14"/>
      <c r="K628" s="14"/>
      <c r="M628" s="14"/>
      <c r="N628" s="14"/>
      <c r="Z628" s="11"/>
      <c r="AA628" s="15"/>
      <c r="AB628" s="15"/>
      <c r="AC628" s="15"/>
      <c r="AU628" s="17"/>
    </row>
    <row r="629" spans="1:47" ht="12" customHeight="1" x14ac:dyDescent="0.25">
      <c r="A629" s="3"/>
      <c r="B629" s="14"/>
      <c r="C629" s="14"/>
      <c r="D629" s="14"/>
      <c r="E629" s="14"/>
      <c r="K629" s="14"/>
      <c r="M629" s="14"/>
      <c r="N629" s="14"/>
      <c r="Z629" s="11"/>
      <c r="AA629" s="15"/>
      <c r="AB629" s="15"/>
      <c r="AC629" s="15"/>
      <c r="AU629" s="17"/>
    </row>
    <row r="630" spans="1:47" ht="12" customHeight="1" x14ac:dyDescent="0.25">
      <c r="A630" s="3"/>
      <c r="B630" s="14"/>
      <c r="C630" s="14"/>
      <c r="D630" s="14"/>
      <c r="E630" s="14"/>
      <c r="K630" s="14"/>
      <c r="M630" s="14"/>
      <c r="N630" s="14"/>
      <c r="Z630" s="11"/>
      <c r="AA630" s="15"/>
      <c r="AB630" s="15"/>
      <c r="AC630" s="15"/>
      <c r="AU630" s="17"/>
    </row>
    <row r="631" spans="1:47" ht="12" customHeight="1" x14ac:dyDescent="0.25">
      <c r="A631" s="3"/>
      <c r="B631" s="14"/>
      <c r="C631" s="14"/>
      <c r="D631" s="14"/>
      <c r="E631" s="14"/>
      <c r="K631" s="14"/>
      <c r="M631" s="14"/>
      <c r="N631" s="14"/>
      <c r="Z631" s="11"/>
      <c r="AA631" s="15"/>
      <c r="AB631" s="15"/>
      <c r="AC631" s="15"/>
      <c r="AU631" s="17"/>
    </row>
    <row r="632" spans="1:47" ht="12" customHeight="1" x14ac:dyDescent="0.25">
      <c r="A632" s="3"/>
      <c r="B632" s="14"/>
      <c r="C632" s="14"/>
      <c r="D632" s="14"/>
      <c r="E632" s="14"/>
      <c r="K632" s="14"/>
      <c r="M632" s="14"/>
      <c r="N632" s="14"/>
      <c r="Z632" s="11"/>
      <c r="AA632" s="15"/>
      <c r="AB632" s="15"/>
      <c r="AC632" s="15"/>
      <c r="AU632" s="17"/>
    </row>
    <row r="633" spans="1:47" ht="12" customHeight="1" x14ac:dyDescent="0.25">
      <c r="A633" s="3"/>
      <c r="B633" s="14"/>
      <c r="C633" s="14"/>
      <c r="D633" s="14"/>
      <c r="E633" s="14"/>
      <c r="K633" s="14"/>
      <c r="M633" s="14"/>
      <c r="N633" s="14"/>
      <c r="Z633" s="11"/>
      <c r="AA633" s="15"/>
      <c r="AB633" s="15"/>
      <c r="AC633" s="15"/>
      <c r="AU633" s="17"/>
    </row>
    <row r="634" spans="1:47" ht="12" customHeight="1" x14ac:dyDescent="0.25">
      <c r="A634" s="3"/>
      <c r="B634" s="14"/>
      <c r="C634" s="14"/>
      <c r="D634" s="14"/>
      <c r="E634" s="14"/>
      <c r="K634" s="14"/>
      <c r="M634" s="14"/>
      <c r="N634" s="14"/>
      <c r="Z634" s="11"/>
      <c r="AA634" s="15"/>
      <c r="AB634" s="15"/>
      <c r="AC634" s="15"/>
      <c r="AU634" s="17"/>
    </row>
    <row r="635" spans="1:47" ht="12" customHeight="1" x14ac:dyDescent="0.25">
      <c r="A635" s="3"/>
      <c r="B635" s="14"/>
      <c r="C635" s="14"/>
      <c r="D635" s="14"/>
      <c r="E635" s="14"/>
      <c r="K635" s="14"/>
      <c r="M635" s="14"/>
      <c r="N635" s="14"/>
      <c r="Z635" s="11"/>
      <c r="AA635" s="15"/>
      <c r="AB635" s="15"/>
      <c r="AC635" s="15"/>
      <c r="AU635" s="17"/>
    </row>
    <row r="636" spans="1:47" ht="12" customHeight="1" x14ac:dyDescent="0.25">
      <c r="A636" s="3"/>
      <c r="B636" s="14"/>
      <c r="C636" s="14"/>
      <c r="D636" s="14"/>
      <c r="E636" s="14"/>
      <c r="K636" s="14"/>
      <c r="M636" s="14"/>
      <c r="N636" s="14"/>
      <c r="Z636" s="11"/>
      <c r="AA636" s="15"/>
      <c r="AB636" s="15"/>
      <c r="AC636" s="15"/>
      <c r="AU636" s="17"/>
    </row>
    <row r="637" spans="1:47" ht="12" customHeight="1" x14ac:dyDescent="0.25">
      <c r="A637" s="3"/>
      <c r="B637" s="14"/>
      <c r="C637" s="14"/>
      <c r="D637" s="14"/>
      <c r="E637" s="14"/>
      <c r="K637" s="14"/>
      <c r="M637" s="14"/>
      <c r="N637" s="14"/>
      <c r="Z637" s="11"/>
      <c r="AA637" s="15"/>
      <c r="AB637" s="15"/>
      <c r="AC637" s="15"/>
      <c r="AU637" s="17"/>
    </row>
    <row r="638" spans="1:47" ht="12" customHeight="1" x14ac:dyDescent="0.25">
      <c r="A638" s="3"/>
      <c r="B638" s="14"/>
      <c r="C638" s="14"/>
      <c r="D638" s="14"/>
      <c r="E638" s="14"/>
      <c r="K638" s="14"/>
      <c r="M638" s="14"/>
      <c r="N638" s="14"/>
      <c r="Z638" s="11"/>
      <c r="AA638" s="15"/>
      <c r="AB638" s="15"/>
      <c r="AC638" s="15"/>
      <c r="AU638" s="17"/>
    </row>
    <row r="639" spans="1:47" ht="12" customHeight="1" x14ac:dyDescent="0.25">
      <c r="A639" s="3"/>
      <c r="B639" s="14"/>
      <c r="C639" s="14"/>
      <c r="D639" s="14"/>
      <c r="E639" s="14"/>
      <c r="K639" s="14"/>
      <c r="M639" s="14"/>
      <c r="N639" s="14"/>
      <c r="Z639" s="11"/>
      <c r="AA639" s="15"/>
      <c r="AB639" s="15"/>
      <c r="AC639" s="15"/>
      <c r="AU639" s="17"/>
    </row>
    <row r="640" spans="1:47" ht="12" customHeight="1" x14ac:dyDescent="0.25">
      <c r="A640" s="3"/>
      <c r="B640" s="14"/>
      <c r="C640" s="14"/>
      <c r="D640" s="14"/>
      <c r="E640" s="14"/>
      <c r="K640" s="14"/>
      <c r="M640" s="14"/>
      <c r="N640" s="14"/>
      <c r="Z640" s="11"/>
      <c r="AA640" s="15"/>
      <c r="AB640" s="15"/>
      <c r="AC640" s="15"/>
      <c r="AU640" s="17"/>
    </row>
    <row r="641" spans="1:47" ht="12" customHeight="1" x14ac:dyDescent="0.25">
      <c r="A641" s="3"/>
      <c r="B641" s="14"/>
      <c r="C641" s="14"/>
      <c r="D641" s="14"/>
      <c r="E641" s="14"/>
      <c r="K641" s="14"/>
      <c r="M641" s="14"/>
      <c r="N641" s="14"/>
      <c r="Z641" s="11"/>
      <c r="AA641" s="15"/>
      <c r="AB641" s="15"/>
      <c r="AC641" s="15"/>
      <c r="AU641" s="17"/>
    </row>
    <row r="642" spans="1:47" ht="12" customHeight="1" x14ac:dyDescent="0.25">
      <c r="A642" s="3"/>
      <c r="B642" s="14"/>
      <c r="C642" s="14"/>
      <c r="D642" s="14"/>
      <c r="E642" s="14"/>
      <c r="K642" s="14"/>
      <c r="M642" s="14"/>
      <c r="N642" s="14"/>
      <c r="Z642" s="11"/>
      <c r="AA642" s="15"/>
      <c r="AB642" s="15"/>
      <c r="AC642" s="15"/>
      <c r="AU642" s="17"/>
    </row>
    <row r="643" spans="1:47" ht="12" customHeight="1" x14ac:dyDescent="0.25">
      <c r="A643" s="3"/>
      <c r="B643" s="14"/>
      <c r="C643" s="14"/>
      <c r="D643" s="14"/>
      <c r="E643" s="14"/>
      <c r="K643" s="14"/>
      <c r="M643" s="14"/>
      <c r="N643" s="14"/>
      <c r="Z643" s="11"/>
      <c r="AA643" s="15"/>
      <c r="AB643" s="15"/>
      <c r="AC643" s="15"/>
      <c r="AU643" s="17"/>
    </row>
    <row r="644" spans="1:47" ht="12" customHeight="1" x14ac:dyDescent="0.25">
      <c r="A644" s="3"/>
      <c r="B644" s="14"/>
      <c r="C644" s="14"/>
      <c r="D644" s="14"/>
      <c r="E644" s="14"/>
      <c r="K644" s="14"/>
      <c r="M644" s="14"/>
      <c r="N644" s="14"/>
      <c r="Z644" s="11"/>
      <c r="AA644" s="15"/>
      <c r="AB644" s="15"/>
      <c r="AC644" s="15"/>
      <c r="AU644" s="17"/>
    </row>
    <row r="645" spans="1:47" ht="12" customHeight="1" x14ac:dyDescent="0.25">
      <c r="A645" s="3"/>
      <c r="B645" s="14"/>
      <c r="C645" s="14"/>
      <c r="D645" s="14"/>
      <c r="E645" s="14"/>
      <c r="K645" s="14"/>
      <c r="M645" s="14"/>
      <c r="N645" s="14"/>
      <c r="Z645" s="11"/>
      <c r="AA645" s="15"/>
      <c r="AB645" s="15"/>
      <c r="AC645" s="15"/>
      <c r="AU645" s="17"/>
    </row>
    <row r="646" spans="1:47" ht="12" customHeight="1" x14ac:dyDescent="0.25">
      <c r="A646" s="3"/>
      <c r="B646" s="14"/>
      <c r="C646" s="14"/>
      <c r="D646" s="14"/>
      <c r="E646" s="14"/>
      <c r="K646" s="14"/>
      <c r="M646" s="14"/>
      <c r="N646" s="14"/>
      <c r="Z646" s="11"/>
      <c r="AA646" s="15"/>
      <c r="AB646" s="15"/>
      <c r="AC646" s="15"/>
      <c r="AU646" s="17"/>
    </row>
    <row r="647" spans="1:47" ht="12" customHeight="1" x14ac:dyDescent="0.25">
      <c r="A647" s="3"/>
      <c r="B647" s="14"/>
      <c r="C647" s="14"/>
      <c r="D647" s="14"/>
      <c r="E647" s="14"/>
      <c r="K647" s="14"/>
      <c r="M647" s="14"/>
      <c r="N647" s="14"/>
      <c r="Z647" s="11"/>
      <c r="AA647" s="15"/>
      <c r="AB647" s="15"/>
      <c r="AC647" s="15"/>
      <c r="AU647" s="17"/>
    </row>
    <row r="648" spans="1:47" ht="12" customHeight="1" x14ac:dyDescent="0.25">
      <c r="A648" s="3"/>
      <c r="B648" s="14"/>
      <c r="C648" s="14"/>
      <c r="D648" s="14"/>
      <c r="E648" s="14"/>
      <c r="K648" s="14"/>
      <c r="M648" s="14"/>
      <c r="N648" s="14"/>
      <c r="Z648" s="11"/>
      <c r="AA648" s="15"/>
      <c r="AB648" s="15"/>
      <c r="AC648" s="15"/>
      <c r="AU648" s="17"/>
    </row>
    <row r="649" spans="1:47" ht="12" customHeight="1" x14ac:dyDescent="0.25">
      <c r="A649" s="3"/>
      <c r="B649" s="14"/>
      <c r="C649" s="14"/>
      <c r="D649" s="14"/>
      <c r="E649" s="14"/>
      <c r="K649" s="14"/>
      <c r="M649" s="14"/>
      <c r="N649" s="14"/>
      <c r="Z649" s="11"/>
      <c r="AA649" s="15"/>
      <c r="AB649" s="15"/>
      <c r="AC649" s="15"/>
      <c r="AU649" s="17"/>
    </row>
    <row r="650" spans="1:47" ht="12" customHeight="1" x14ac:dyDescent="0.25">
      <c r="A650" s="3"/>
      <c r="B650" s="14"/>
      <c r="C650" s="14"/>
      <c r="D650" s="14"/>
      <c r="E650" s="14"/>
      <c r="K650" s="14"/>
      <c r="M650" s="14"/>
      <c r="N650" s="14"/>
      <c r="Z650" s="11"/>
      <c r="AA650" s="15"/>
      <c r="AB650" s="15"/>
      <c r="AC650" s="15"/>
      <c r="AU650" s="17"/>
    </row>
    <row r="651" spans="1:47" ht="12" customHeight="1" x14ac:dyDescent="0.25">
      <c r="A651" s="3"/>
      <c r="B651" s="14"/>
      <c r="C651" s="14"/>
      <c r="D651" s="14"/>
      <c r="E651" s="14"/>
      <c r="K651" s="14"/>
      <c r="M651" s="14"/>
      <c r="N651" s="14"/>
      <c r="Z651" s="11"/>
      <c r="AA651" s="15"/>
      <c r="AB651" s="15"/>
      <c r="AC651" s="15"/>
      <c r="AU651" s="17"/>
    </row>
    <row r="652" spans="1:47" ht="12" customHeight="1" x14ac:dyDescent="0.25">
      <c r="A652" s="3"/>
      <c r="B652" s="14"/>
      <c r="C652" s="14"/>
      <c r="D652" s="14"/>
      <c r="E652" s="14"/>
      <c r="K652" s="14"/>
      <c r="M652" s="14"/>
      <c r="N652" s="14"/>
      <c r="Z652" s="11"/>
      <c r="AA652" s="15"/>
      <c r="AB652" s="15"/>
      <c r="AC652" s="15"/>
      <c r="AU652" s="17"/>
    </row>
    <row r="653" spans="1:47" ht="12" customHeight="1" x14ac:dyDescent="0.25">
      <c r="A653" s="3"/>
      <c r="B653" s="14"/>
      <c r="C653" s="14"/>
      <c r="D653" s="14"/>
      <c r="E653" s="14"/>
      <c r="K653" s="14"/>
      <c r="M653" s="14"/>
      <c r="N653" s="14"/>
      <c r="Z653" s="11"/>
      <c r="AA653" s="15"/>
      <c r="AB653" s="15"/>
      <c r="AC653" s="15"/>
      <c r="AU653" s="17"/>
    </row>
    <row r="654" spans="1:47" ht="12" customHeight="1" x14ac:dyDescent="0.25">
      <c r="A654" s="3"/>
      <c r="B654" s="14"/>
      <c r="C654" s="14"/>
      <c r="D654" s="14"/>
      <c r="E654" s="14"/>
      <c r="K654" s="14"/>
      <c r="M654" s="14"/>
      <c r="N654" s="14"/>
      <c r="Z654" s="11"/>
      <c r="AA654" s="15"/>
      <c r="AB654" s="15"/>
      <c r="AC654" s="15"/>
      <c r="AU654" s="17"/>
    </row>
    <row r="655" spans="1:47" ht="12" customHeight="1" x14ac:dyDescent="0.25">
      <c r="A655" s="3"/>
      <c r="B655" s="14"/>
      <c r="C655" s="14"/>
      <c r="D655" s="14"/>
      <c r="E655" s="14"/>
      <c r="K655" s="14"/>
      <c r="M655" s="14"/>
      <c r="N655" s="14"/>
      <c r="Z655" s="11"/>
      <c r="AA655" s="15"/>
      <c r="AB655" s="15"/>
      <c r="AC655" s="15"/>
      <c r="AU655" s="17"/>
    </row>
    <row r="656" spans="1:47" ht="12" customHeight="1" x14ac:dyDescent="0.25">
      <c r="A656" s="3"/>
      <c r="B656" s="14"/>
      <c r="C656" s="14"/>
      <c r="D656" s="14"/>
      <c r="E656" s="14"/>
      <c r="K656" s="14"/>
      <c r="M656" s="14"/>
      <c r="N656" s="14"/>
      <c r="Z656" s="11"/>
      <c r="AA656" s="15"/>
      <c r="AB656" s="15"/>
      <c r="AC656" s="15"/>
      <c r="AU656" s="17"/>
    </row>
    <row r="657" spans="1:47" ht="12" customHeight="1" x14ac:dyDescent="0.25">
      <c r="A657" s="3"/>
      <c r="B657" s="14"/>
      <c r="C657" s="14"/>
      <c r="D657" s="14"/>
      <c r="E657" s="14"/>
      <c r="K657" s="14"/>
      <c r="M657" s="14"/>
      <c r="N657" s="14"/>
      <c r="Z657" s="11"/>
      <c r="AA657" s="15"/>
      <c r="AB657" s="15"/>
      <c r="AC657" s="15"/>
      <c r="AU657" s="17"/>
    </row>
    <row r="658" spans="1:47" ht="12" customHeight="1" x14ac:dyDescent="0.25">
      <c r="A658" s="3"/>
      <c r="B658" s="14"/>
      <c r="C658" s="14"/>
      <c r="D658" s="14"/>
      <c r="E658" s="14"/>
      <c r="K658" s="14"/>
      <c r="M658" s="14"/>
      <c r="N658" s="14"/>
      <c r="Z658" s="11"/>
      <c r="AA658" s="15"/>
      <c r="AB658" s="15"/>
      <c r="AC658" s="15"/>
      <c r="AU658" s="17"/>
    </row>
    <row r="659" spans="1:47" ht="12" customHeight="1" x14ac:dyDescent="0.25">
      <c r="A659" s="3"/>
      <c r="B659" s="14"/>
      <c r="C659" s="14"/>
      <c r="D659" s="14"/>
      <c r="E659" s="14"/>
      <c r="K659" s="14"/>
      <c r="M659" s="14"/>
      <c r="N659" s="14"/>
      <c r="Z659" s="11"/>
      <c r="AA659" s="15"/>
      <c r="AB659" s="15"/>
      <c r="AC659" s="15"/>
      <c r="AU659" s="17"/>
    </row>
    <row r="660" spans="1:47" ht="12" customHeight="1" x14ac:dyDescent="0.25">
      <c r="A660" s="3"/>
      <c r="B660" s="14"/>
      <c r="C660" s="14"/>
      <c r="D660" s="14"/>
      <c r="E660" s="14"/>
      <c r="K660" s="14"/>
      <c r="M660" s="14"/>
      <c r="N660" s="14"/>
      <c r="Z660" s="11"/>
      <c r="AA660" s="15"/>
      <c r="AB660" s="15"/>
      <c r="AC660" s="15"/>
      <c r="AU660" s="17"/>
    </row>
    <row r="661" spans="1:47" ht="12" customHeight="1" x14ac:dyDescent="0.25">
      <c r="A661" s="3"/>
      <c r="B661" s="14"/>
      <c r="C661" s="14"/>
      <c r="D661" s="14"/>
      <c r="E661" s="14"/>
      <c r="K661" s="14"/>
      <c r="M661" s="14"/>
      <c r="N661" s="14"/>
      <c r="Z661" s="11"/>
      <c r="AA661" s="15"/>
      <c r="AB661" s="15"/>
      <c r="AC661" s="15"/>
      <c r="AU661" s="17"/>
    </row>
    <row r="662" spans="1:47" ht="12" customHeight="1" x14ac:dyDescent="0.25">
      <c r="A662" s="3"/>
      <c r="B662" s="14"/>
      <c r="C662" s="14"/>
      <c r="D662" s="14"/>
      <c r="E662" s="14"/>
      <c r="K662" s="14"/>
      <c r="M662" s="14"/>
      <c r="N662" s="14"/>
      <c r="Z662" s="11"/>
      <c r="AA662" s="15"/>
      <c r="AB662" s="15"/>
      <c r="AC662" s="15"/>
      <c r="AU662" s="17"/>
    </row>
    <row r="663" spans="1:47" ht="12" customHeight="1" x14ac:dyDescent="0.25">
      <c r="A663" s="3"/>
      <c r="B663" s="14"/>
      <c r="C663" s="14"/>
      <c r="D663" s="14"/>
      <c r="E663" s="14"/>
      <c r="K663" s="14"/>
      <c r="M663" s="14"/>
      <c r="N663" s="14"/>
      <c r="Z663" s="11"/>
      <c r="AA663" s="15"/>
      <c r="AB663" s="15"/>
      <c r="AC663" s="15"/>
      <c r="AU663" s="17"/>
    </row>
    <row r="664" spans="1:47" ht="12" customHeight="1" x14ac:dyDescent="0.25">
      <c r="A664" s="3"/>
      <c r="B664" s="14"/>
      <c r="C664" s="14"/>
      <c r="D664" s="14"/>
      <c r="E664" s="14"/>
      <c r="K664" s="14"/>
      <c r="M664" s="14"/>
      <c r="N664" s="14"/>
      <c r="Z664" s="11"/>
      <c r="AA664" s="15"/>
      <c r="AB664" s="15"/>
      <c r="AC664" s="15"/>
      <c r="AU664" s="17"/>
    </row>
    <row r="665" spans="1:47" ht="12" customHeight="1" x14ac:dyDescent="0.25">
      <c r="A665" s="3"/>
      <c r="B665" s="14"/>
      <c r="C665" s="14"/>
      <c r="D665" s="14"/>
      <c r="E665" s="14"/>
      <c r="K665" s="14"/>
      <c r="M665" s="14"/>
      <c r="N665" s="14"/>
      <c r="Z665" s="11"/>
      <c r="AA665" s="15"/>
      <c r="AB665" s="15"/>
      <c r="AC665" s="15"/>
      <c r="AU665" s="17"/>
    </row>
    <row r="666" spans="1:47" ht="12" customHeight="1" x14ac:dyDescent="0.25">
      <c r="A666" s="3"/>
      <c r="B666" s="14"/>
      <c r="C666" s="14"/>
      <c r="D666" s="14"/>
      <c r="E666" s="14"/>
      <c r="K666" s="14"/>
      <c r="M666" s="14"/>
      <c r="N666" s="14"/>
      <c r="Z666" s="11"/>
      <c r="AA666" s="15"/>
      <c r="AB666" s="15"/>
      <c r="AC666" s="15"/>
      <c r="AU666" s="17"/>
    </row>
    <row r="667" spans="1:47" ht="12" customHeight="1" x14ac:dyDescent="0.25">
      <c r="A667" s="3"/>
      <c r="B667" s="14"/>
      <c r="C667" s="14"/>
      <c r="D667" s="14"/>
      <c r="E667" s="14"/>
      <c r="K667" s="14"/>
      <c r="M667" s="14"/>
      <c r="N667" s="14"/>
      <c r="Z667" s="11"/>
      <c r="AA667" s="15"/>
      <c r="AB667" s="15"/>
      <c r="AC667" s="15"/>
      <c r="AU667" s="17"/>
    </row>
    <row r="668" spans="1:47" ht="12" customHeight="1" x14ac:dyDescent="0.25">
      <c r="A668" s="3"/>
      <c r="B668" s="14"/>
      <c r="C668" s="14"/>
      <c r="D668" s="14"/>
      <c r="E668" s="14"/>
      <c r="K668" s="14"/>
      <c r="M668" s="14"/>
      <c r="N668" s="14"/>
      <c r="Z668" s="11"/>
      <c r="AA668" s="15"/>
      <c r="AB668" s="15"/>
      <c r="AC668" s="15"/>
      <c r="AU668" s="17"/>
    </row>
    <row r="669" spans="1:47" ht="12" customHeight="1" x14ac:dyDescent="0.25">
      <c r="A669" s="3"/>
      <c r="B669" s="14"/>
      <c r="C669" s="14"/>
      <c r="D669" s="14"/>
      <c r="E669" s="14"/>
      <c r="K669" s="14"/>
      <c r="M669" s="14"/>
      <c r="N669" s="14"/>
      <c r="Z669" s="11"/>
      <c r="AA669" s="15"/>
      <c r="AB669" s="15"/>
      <c r="AC669" s="15"/>
      <c r="AU669" s="17"/>
    </row>
    <row r="670" spans="1:47" ht="12" customHeight="1" x14ac:dyDescent="0.25">
      <c r="A670" s="3"/>
      <c r="B670" s="14"/>
      <c r="C670" s="14"/>
      <c r="D670" s="14"/>
      <c r="E670" s="14"/>
      <c r="K670" s="14"/>
      <c r="M670" s="14"/>
      <c r="N670" s="14"/>
      <c r="Z670" s="11"/>
      <c r="AA670" s="15"/>
      <c r="AB670" s="15"/>
      <c r="AC670" s="15"/>
      <c r="AU670" s="17"/>
    </row>
    <row r="671" spans="1:47" ht="12" customHeight="1" x14ac:dyDescent="0.25">
      <c r="A671" s="3"/>
      <c r="B671" s="14"/>
      <c r="C671" s="14"/>
      <c r="D671" s="14"/>
      <c r="E671" s="14"/>
      <c r="K671" s="14"/>
      <c r="M671" s="14"/>
      <c r="N671" s="14"/>
      <c r="Z671" s="11"/>
      <c r="AA671" s="15"/>
      <c r="AB671" s="15"/>
      <c r="AC671" s="15"/>
      <c r="AU671" s="17"/>
    </row>
    <row r="672" spans="1:47" ht="12" customHeight="1" x14ac:dyDescent="0.25">
      <c r="A672" s="3"/>
      <c r="B672" s="14"/>
      <c r="C672" s="14"/>
      <c r="D672" s="14"/>
      <c r="E672" s="14"/>
      <c r="K672" s="14"/>
      <c r="M672" s="14"/>
      <c r="N672" s="14"/>
      <c r="Z672" s="11"/>
      <c r="AA672" s="15"/>
      <c r="AB672" s="15"/>
      <c r="AC672" s="15"/>
      <c r="AU672" s="17"/>
    </row>
    <row r="673" spans="1:47" ht="12" customHeight="1" x14ac:dyDescent="0.25">
      <c r="A673" s="3"/>
      <c r="B673" s="14"/>
      <c r="C673" s="14"/>
      <c r="D673" s="14"/>
      <c r="E673" s="14"/>
      <c r="K673" s="14"/>
      <c r="M673" s="14"/>
      <c r="N673" s="14"/>
      <c r="Z673" s="11"/>
      <c r="AA673" s="15"/>
      <c r="AB673" s="15"/>
      <c r="AC673" s="15"/>
      <c r="AU673" s="17"/>
    </row>
    <row r="674" spans="1:47" ht="12" customHeight="1" x14ac:dyDescent="0.25">
      <c r="A674" s="3"/>
      <c r="B674" s="14"/>
      <c r="C674" s="14"/>
      <c r="D674" s="14"/>
      <c r="E674" s="14"/>
      <c r="K674" s="14"/>
      <c r="M674" s="14"/>
      <c r="N674" s="14"/>
      <c r="Z674" s="11"/>
      <c r="AA674" s="15"/>
      <c r="AB674" s="15"/>
      <c r="AC674" s="15"/>
      <c r="AU674" s="17"/>
    </row>
    <row r="675" spans="1:47" ht="12" customHeight="1" x14ac:dyDescent="0.25">
      <c r="A675" s="3"/>
      <c r="B675" s="14"/>
      <c r="C675" s="14"/>
      <c r="D675" s="14"/>
      <c r="E675" s="14"/>
      <c r="K675" s="14"/>
      <c r="M675" s="14"/>
      <c r="N675" s="14"/>
      <c r="Z675" s="11"/>
      <c r="AA675" s="15"/>
      <c r="AB675" s="15"/>
      <c r="AC675" s="15"/>
      <c r="AU675" s="17"/>
    </row>
    <row r="676" spans="1:47" ht="12" customHeight="1" x14ac:dyDescent="0.25">
      <c r="A676" s="3"/>
      <c r="B676" s="14"/>
      <c r="C676" s="14"/>
      <c r="D676" s="14"/>
      <c r="E676" s="14"/>
      <c r="K676" s="14"/>
      <c r="M676" s="14"/>
      <c r="N676" s="14"/>
      <c r="Z676" s="11"/>
      <c r="AA676" s="15"/>
      <c r="AB676" s="15"/>
      <c r="AC676" s="15"/>
      <c r="AU676" s="17"/>
    </row>
    <row r="677" spans="1:47" ht="12" customHeight="1" x14ac:dyDescent="0.25">
      <c r="A677" s="3"/>
      <c r="B677" s="14"/>
      <c r="C677" s="14"/>
      <c r="D677" s="14"/>
      <c r="E677" s="14"/>
      <c r="K677" s="14"/>
      <c r="M677" s="14"/>
      <c r="N677" s="14"/>
      <c r="Z677" s="11"/>
      <c r="AA677" s="15"/>
      <c r="AB677" s="15"/>
      <c r="AC677" s="15"/>
      <c r="AU677" s="17"/>
    </row>
    <row r="678" spans="1:47" ht="12" customHeight="1" x14ac:dyDescent="0.25">
      <c r="A678" s="3"/>
      <c r="B678" s="14"/>
      <c r="C678" s="14"/>
      <c r="D678" s="14"/>
      <c r="E678" s="14"/>
      <c r="K678" s="14"/>
      <c r="M678" s="14"/>
      <c r="N678" s="14"/>
      <c r="Z678" s="11"/>
      <c r="AA678" s="15"/>
      <c r="AB678" s="15"/>
      <c r="AC678" s="15"/>
      <c r="AU678" s="17"/>
    </row>
    <row r="679" spans="1:47" ht="12" customHeight="1" x14ac:dyDescent="0.25">
      <c r="A679" s="3"/>
      <c r="B679" s="14"/>
      <c r="C679" s="14"/>
      <c r="D679" s="14"/>
      <c r="E679" s="14"/>
      <c r="K679" s="14"/>
      <c r="M679" s="14"/>
      <c r="N679" s="14"/>
      <c r="Z679" s="11"/>
      <c r="AA679" s="15"/>
      <c r="AB679" s="15"/>
      <c r="AC679" s="15"/>
      <c r="AU679" s="17"/>
    </row>
    <row r="680" spans="1:47" ht="12" customHeight="1" x14ac:dyDescent="0.25">
      <c r="A680" s="3"/>
      <c r="B680" s="14"/>
      <c r="C680" s="14"/>
      <c r="D680" s="14"/>
      <c r="E680" s="14"/>
      <c r="K680" s="14"/>
      <c r="M680" s="14"/>
      <c r="N680" s="14"/>
      <c r="Z680" s="11"/>
      <c r="AA680" s="15"/>
      <c r="AB680" s="15"/>
      <c r="AC680" s="15"/>
      <c r="AU680" s="17"/>
    </row>
    <row r="681" spans="1:47" ht="12" customHeight="1" x14ac:dyDescent="0.25">
      <c r="A681" s="3"/>
      <c r="B681" s="14"/>
      <c r="C681" s="14"/>
      <c r="D681" s="14"/>
      <c r="E681" s="14"/>
      <c r="K681" s="14"/>
      <c r="M681" s="14"/>
      <c r="N681" s="14"/>
      <c r="Z681" s="11"/>
      <c r="AA681" s="15"/>
      <c r="AB681" s="15"/>
      <c r="AC681" s="15"/>
      <c r="AU681" s="17"/>
    </row>
    <row r="682" spans="1:47" ht="12" customHeight="1" x14ac:dyDescent="0.25">
      <c r="A682" s="3"/>
      <c r="B682" s="14"/>
      <c r="C682" s="14"/>
      <c r="D682" s="14"/>
      <c r="E682" s="14"/>
      <c r="K682" s="14"/>
      <c r="M682" s="14"/>
      <c r="N682" s="14"/>
      <c r="Z682" s="11"/>
      <c r="AA682" s="15"/>
      <c r="AB682" s="15"/>
      <c r="AC682" s="15"/>
      <c r="AU682" s="17"/>
    </row>
    <row r="683" spans="1:47" ht="12" customHeight="1" x14ac:dyDescent="0.25">
      <c r="A683" s="3"/>
      <c r="B683" s="14"/>
      <c r="C683" s="14"/>
      <c r="D683" s="14"/>
      <c r="E683" s="14"/>
      <c r="K683" s="14"/>
      <c r="M683" s="14"/>
      <c r="N683" s="14"/>
      <c r="Z683" s="11"/>
      <c r="AA683" s="15"/>
      <c r="AB683" s="15"/>
      <c r="AC683" s="15"/>
      <c r="AU683" s="17"/>
    </row>
    <row r="684" spans="1:47" ht="12" customHeight="1" x14ac:dyDescent="0.25">
      <c r="A684" s="3"/>
      <c r="B684" s="14"/>
      <c r="C684" s="14"/>
      <c r="D684" s="14"/>
      <c r="E684" s="14"/>
      <c r="K684" s="14"/>
      <c r="M684" s="14"/>
      <c r="N684" s="14"/>
      <c r="Z684" s="11"/>
      <c r="AA684" s="15"/>
      <c r="AB684" s="15"/>
      <c r="AC684" s="15"/>
      <c r="AU684" s="17"/>
    </row>
    <row r="685" spans="1:47" ht="12" customHeight="1" x14ac:dyDescent="0.25">
      <c r="A685" s="3"/>
      <c r="B685" s="14"/>
      <c r="C685" s="14"/>
      <c r="D685" s="14"/>
      <c r="E685" s="14"/>
      <c r="K685" s="14"/>
      <c r="M685" s="14"/>
      <c r="N685" s="14"/>
      <c r="Z685" s="11"/>
      <c r="AA685" s="15"/>
      <c r="AB685" s="15"/>
      <c r="AC685" s="15"/>
      <c r="AU685" s="17"/>
    </row>
    <row r="686" spans="1:47" ht="12" customHeight="1" x14ac:dyDescent="0.25">
      <c r="A686" s="3"/>
      <c r="B686" s="14"/>
      <c r="C686" s="14"/>
      <c r="D686" s="14"/>
      <c r="E686" s="14"/>
      <c r="K686" s="14"/>
      <c r="M686" s="14"/>
      <c r="N686" s="14"/>
      <c r="Z686" s="11"/>
      <c r="AA686" s="15"/>
      <c r="AB686" s="15"/>
      <c r="AC686" s="15"/>
      <c r="AU686" s="17"/>
    </row>
    <row r="687" spans="1:47" ht="12" customHeight="1" x14ac:dyDescent="0.25">
      <c r="A687" s="3"/>
      <c r="B687" s="14"/>
      <c r="C687" s="14"/>
      <c r="D687" s="14"/>
      <c r="E687" s="14"/>
      <c r="K687" s="14"/>
      <c r="M687" s="14"/>
      <c r="N687" s="14"/>
      <c r="Z687" s="11"/>
      <c r="AA687" s="15"/>
      <c r="AB687" s="15"/>
      <c r="AC687" s="15"/>
      <c r="AU687" s="17"/>
    </row>
    <row r="688" spans="1:47" ht="12" customHeight="1" x14ac:dyDescent="0.25">
      <c r="A688" s="3"/>
      <c r="B688" s="14"/>
      <c r="C688" s="14"/>
      <c r="D688" s="14"/>
      <c r="E688" s="14"/>
      <c r="K688" s="14"/>
      <c r="M688" s="14"/>
      <c r="N688" s="14"/>
      <c r="Z688" s="11"/>
      <c r="AA688" s="15"/>
      <c r="AB688" s="15"/>
      <c r="AC688" s="15"/>
      <c r="AU688" s="17"/>
    </row>
    <row r="689" spans="1:47" ht="12" customHeight="1" x14ac:dyDescent="0.25">
      <c r="A689" s="3"/>
      <c r="B689" s="14"/>
      <c r="C689" s="14"/>
      <c r="D689" s="14"/>
      <c r="E689" s="14"/>
      <c r="K689" s="14"/>
      <c r="M689" s="14"/>
      <c r="N689" s="14"/>
      <c r="Z689" s="11"/>
      <c r="AA689" s="15"/>
      <c r="AB689" s="15"/>
      <c r="AC689" s="15"/>
      <c r="AU689" s="17"/>
    </row>
    <row r="690" spans="1:47" ht="12" customHeight="1" x14ac:dyDescent="0.25">
      <c r="A690" s="3"/>
      <c r="B690" s="14"/>
      <c r="C690" s="14"/>
      <c r="D690" s="14"/>
      <c r="E690" s="14"/>
      <c r="K690" s="14"/>
      <c r="M690" s="14"/>
      <c r="N690" s="14"/>
      <c r="Z690" s="11"/>
      <c r="AA690" s="15"/>
      <c r="AB690" s="15"/>
      <c r="AC690" s="15"/>
      <c r="AU690" s="17"/>
    </row>
    <row r="691" spans="1:47" ht="12" customHeight="1" x14ac:dyDescent="0.25">
      <c r="A691" s="3"/>
      <c r="B691" s="14"/>
      <c r="C691" s="14"/>
      <c r="D691" s="14"/>
      <c r="E691" s="14"/>
      <c r="K691" s="14"/>
      <c r="M691" s="14"/>
      <c r="N691" s="14"/>
      <c r="Z691" s="11"/>
      <c r="AA691" s="15"/>
      <c r="AB691" s="15"/>
      <c r="AC691" s="15"/>
      <c r="AU691" s="17"/>
    </row>
    <row r="692" spans="1:47" ht="12" customHeight="1" x14ac:dyDescent="0.25">
      <c r="A692" s="3"/>
      <c r="B692" s="14"/>
      <c r="C692" s="14"/>
      <c r="D692" s="14"/>
      <c r="E692" s="14"/>
      <c r="K692" s="14"/>
      <c r="M692" s="14"/>
      <c r="N692" s="14"/>
      <c r="Z692" s="11"/>
      <c r="AA692" s="15"/>
      <c r="AB692" s="15"/>
      <c r="AC692" s="15"/>
      <c r="AU692" s="17"/>
    </row>
    <row r="693" spans="1:47" ht="12" customHeight="1" x14ac:dyDescent="0.25">
      <c r="A693" s="3"/>
      <c r="B693" s="14"/>
      <c r="C693" s="14"/>
      <c r="D693" s="14"/>
      <c r="E693" s="14"/>
      <c r="K693" s="14"/>
      <c r="M693" s="14"/>
      <c r="N693" s="14"/>
      <c r="Z693" s="11"/>
      <c r="AA693" s="15"/>
      <c r="AB693" s="15"/>
      <c r="AC693" s="15"/>
      <c r="AU693" s="17"/>
    </row>
    <row r="694" spans="1:47" ht="12" customHeight="1" x14ac:dyDescent="0.25">
      <c r="A694" s="3"/>
      <c r="B694" s="14"/>
      <c r="C694" s="14"/>
      <c r="D694" s="14"/>
      <c r="E694" s="14"/>
      <c r="K694" s="14"/>
      <c r="M694" s="14"/>
      <c r="N694" s="14"/>
      <c r="Z694" s="11"/>
      <c r="AA694" s="15"/>
      <c r="AB694" s="15"/>
      <c r="AC694" s="15"/>
      <c r="AU694" s="17"/>
    </row>
    <row r="695" spans="1:47" ht="12" customHeight="1" x14ac:dyDescent="0.25">
      <c r="A695" s="3"/>
      <c r="B695" s="14"/>
      <c r="C695" s="14"/>
      <c r="D695" s="14"/>
      <c r="E695" s="14"/>
      <c r="K695" s="14"/>
      <c r="M695" s="14"/>
      <c r="N695" s="14"/>
      <c r="Z695" s="11"/>
      <c r="AA695" s="15"/>
      <c r="AB695" s="15"/>
      <c r="AC695" s="15"/>
      <c r="AU695" s="17"/>
    </row>
    <row r="696" spans="1:47" ht="12" customHeight="1" x14ac:dyDescent="0.25">
      <c r="A696" s="3"/>
      <c r="B696" s="14"/>
      <c r="C696" s="14"/>
      <c r="D696" s="14"/>
      <c r="E696" s="14"/>
      <c r="K696" s="14"/>
      <c r="M696" s="14"/>
      <c r="N696" s="14"/>
      <c r="Z696" s="11"/>
      <c r="AA696" s="15"/>
      <c r="AB696" s="15"/>
      <c r="AC696" s="15"/>
      <c r="AU696" s="17"/>
    </row>
    <row r="697" spans="1:47" ht="12" customHeight="1" x14ac:dyDescent="0.25">
      <c r="A697" s="3"/>
      <c r="B697" s="14"/>
      <c r="C697" s="14"/>
      <c r="D697" s="14"/>
      <c r="E697" s="14"/>
      <c r="K697" s="14"/>
      <c r="M697" s="14"/>
      <c r="N697" s="14"/>
      <c r="Z697" s="11"/>
      <c r="AA697" s="15"/>
      <c r="AB697" s="15"/>
      <c r="AC697" s="15"/>
      <c r="AU697" s="17"/>
    </row>
    <row r="698" spans="1:47" ht="12" customHeight="1" x14ac:dyDescent="0.25">
      <c r="A698" s="3"/>
      <c r="B698" s="14"/>
      <c r="C698" s="14"/>
      <c r="D698" s="14"/>
      <c r="E698" s="14"/>
      <c r="K698" s="14"/>
      <c r="M698" s="14"/>
      <c r="N698" s="14"/>
      <c r="Z698" s="11"/>
      <c r="AA698" s="15"/>
      <c r="AB698" s="15"/>
      <c r="AC698" s="15"/>
      <c r="AU698" s="17"/>
    </row>
    <row r="699" spans="1:47" ht="12" customHeight="1" x14ac:dyDescent="0.25">
      <c r="A699" s="3"/>
      <c r="B699" s="14"/>
      <c r="C699" s="14"/>
      <c r="D699" s="14"/>
      <c r="E699" s="14"/>
      <c r="K699" s="14"/>
      <c r="M699" s="14"/>
      <c r="N699" s="14"/>
      <c r="Z699" s="11"/>
      <c r="AA699" s="15"/>
      <c r="AB699" s="15"/>
      <c r="AC699" s="15"/>
      <c r="AU699" s="17"/>
    </row>
    <row r="700" spans="1:47" ht="12" customHeight="1" x14ac:dyDescent="0.25">
      <c r="A700" s="3"/>
      <c r="B700" s="14"/>
      <c r="C700" s="14"/>
      <c r="D700" s="14"/>
      <c r="E700" s="14"/>
      <c r="K700" s="14"/>
      <c r="M700" s="14"/>
      <c r="N700" s="14"/>
      <c r="Z700" s="11"/>
      <c r="AA700" s="15"/>
      <c r="AB700" s="15"/>
      <c r="AC700" s="15"/>
      <c r="AU700" s="17"/>
    </row>
    <row r="701" spans="1:47" ht="12" customHeight="1" x14ac:dyDescent="0.25">
      <c r="A701" s="3"/>
      <c r="B701" s="14"/>
      <c r="C701" s="14"/>
      <c r="D701" s="14"/>
      <c r="E701" s="14"/>
      <c r="K701" s="14"/>
      <c r="M701" s="14"/>
      <c r="N701" s="14"/>
      <c r="Z701" s="11"/>
      <c r="AA701" s="15"/>
      <c r="AB701" s="15"/>
      <c r="AC701" s="15"/>
      <c r="AU701" s="17"/>
    </row>
    <row r="702" spans="1:47" ht="12" customHeight="1" x14ac:dyDescent="0.25">
      <c r="A702" s="3"/>
      <c r="B702" s="14"/>
      <c r="C702" s="14"/>
      <c r="D702" s="14"/>
      <c r="E702" s="14"/>
      <c r="K702" s="14"/>
      <c r="M702" s="14"/>
      <c r="N702" s="14"/>
      <c r="Z702" s="11"/>
      <c r="AA702" s="15"/>
      <c r="AB702" s="15"/>
      <c r="AC702" s="15"/>
      <c r="AU702" s="17"/>
    </row>
    <row r="703" spans="1:47" ht="12" customHeight="1" x14ac:dyDescent="0.25">
      <c r="A703" s="3"/>
      <c r="B703" s="14"/>
      <c r="C703" s="14"/>
      <c r="D703" s="14"/>
      <c r="E703" s="14"/>
      <c r="K703" s="14"/>
      <c r="M703" s="14"/>
      <c r="N703" s="14"/>
      <c r="Z703" s="11"/>
      <c r="AA703" s="15"/>
      <c r="AB703" s="15"/>
      <c r="AC703" s="15"/>
      <c r="AU703" s="17"/>
    </row>
    <row r="704" spans="1:47" ht="12" customHeight="1" x14ac:dyDescent="0.25">
      <c r="A704" s="3"/>
      <c r="B704" s="14"/>
      <c r="C704" s="14"/>
      <c r="D704" s="14"/>
      <c r="E704" s="14"/>
      <c r="K704" s="14"/>
      <c r="M704" s="14"/>
      <c r="N704" s="14"/>
      <c r="Z704" s="11"/>
      <c r="AA704" s="15"/>
      <c r="AB704" s="15"/>
      <c r="AC704" s="15"/>
      <c r="AU704" s="17"/>
    </row>
    <row r="705" spans="1:47" ht="12" customHeight="1" x14ac:dyDescent="0.25">
      <c r="A705" s="3"/>
      <c r="B705" s="14"/>
      <c r="C705" s="14"/>
      <c r="D705" s="14"/>
      <c r="E705" s="14"/>
      <c r="K705" s="14"/>
      <c r="M705" s="14"/>
      <c r="N705" s="14"/>
      <c r="Z705" s="11"/>
      <c r="AA705" s="15"/>
      <c r="AB705" s="15"/>
      <c r="AC705" s="15"/>
      <c r="AU705" s="17"/>
    </row>
    <row r="706" spans="1:47" ht="12" customHeight="1" x14ac:dyDescent="0.25">
      <c r="A706" s="3"/>
      <c r="B706" s="14"/>
      <c r="C706" s="14"/>
      <c r="D706" s="14"/>
      <c r="E706" s="14"/>
      <c r="K706" s="14"/>
      <c r="M706" s="14"/>
      <c r="N706" s="14"/>
      <c r="Z706" s="11"/>
      <c r="AA706" s="15"/>
      <c r="AB706" s="15"/>
      <c r="AC706" s="15"/>
      <c r="AU706" s="17"/>
    </row>
    <row r="707" spans="1:47" ht="12" customHeight="1" x14ac:dyDescent="0.25">
      <c r="A707" s="3"/>
      <c r="B707" s="14"/>
      <c r="C707" s="14"/>
      <c r="D707" s="14"/>
      <c r="E707" s="14"/>
      <c r="K707" s="14"/>
      <c r="M707" s="14"/>
      <c r="N707" s="14"/>
      <c r="Z707" s="11"/>
      <c r="AA707" s="15"/>
      <c r="AB707" s="15"/>
      <c r="AC707" s="15"/>
      <c r="AU707" s="17"/>
    </row>
    <row r="708" spans="1:47" ht="12" customHeight="1" x14ac:dyDescent="0.25">
      <c r="A708" s="3"/>
      <c r="B708" s="14"/>
      <c r="C708" s="14"/>
      <c r="D708" s="14"/>
      <c r="E708" s="14"/>
      <c r="K708" s="14"/>
      <c r="M708" s="14"/>
      <c r="N708" s="14"/>
      <c r="Z708" s="11"/>
      <c r="AA708" s="15"/>
      <c r="AB708" s="15"/>
      <c r="AC708" s="15"/>
      <c r="AU708" s="17"/>
    </row>
    <row r="709" spans="1:47" ht="12" customHeight="1" x14ac:dyDescent="0.25">
      <c r="A709" s="3"/>
      <c r="B709" s="14"/>
      <c r="C709" s="14"/>
      <c r="D709" s="14"/>
      <c r="E709" s="14"/>
      <c r="K709" s="14"/>
      <c r="M709" s="14"/>
      <c r="N709" s="14"/>
      <c r="Z709" s="11"/>
      <c r="AA709" s="15"/>
      <c r="AB709" s="15"/>
      <c r="AC709" s="15"/>
      <c r="AU709" s="17"/>
    </row>
    <row r="710" spans="1:47" ht="12" customHeight="1" x14ac:dyDescent="0.25">
      <c r="A710" s="3"/>
      <c r="B710" s="14"/>
      <c r="C710" s="14"/>
      <c r="D710" s="14"/>
      <c r="E710" s="14"/>
      <c r="K710" s="14"/>
      <c r="M710" s="14"/>
      <c r="N710" s="14"/>
      <c r="Z710" s="11"/>
      <c r="AA710" s="15"/>
      <c r="AB710" s="15"/>
      <c r="AC710" s="15"/>
      <c r="AU710" s="17"/>
    </row>
    <row r="711" spans="1:47" ht="12" customHeight="1" x14ac:dyDescent="0.25">
      <c r="A711" s="3"/>
      <c r="B711" s="14"/>
      <c r="C711" s="14"/>
      <c r="D711" s="14"/>
      <c r="E711" s="14"/>
      <c r="K711" s="14"/>
      <c r="M711" s="14"/>
      <c r="N711" s="14"/>
      <c r="Z711" s="11"/>
      <c r="AA711" s="15"/>
      <c r="AB711" s="15"/>
      <c r="AC711" s="15"/>
      <c r="AU711" s="17"/>
    </row>
    <row r="712" spans="1:47" ht="12" customHeight="1" x14ac:dyDescent="0.25">
      <c r="A712" s="3"/>
      <c r="B712" s="14"/>
      <c r="C712" s="14"/>
      <c r="D712" s="14"/>
      <c r="E712" s="14"/>
      <c r="K712" s="14"/>
      <c r="M712" s="14"/>
      <c r="N712" s="14"/>
      <c r="Z712" s="11"/>
      <c r="AA712" s="15"/>
      <c r="AB712" s="15"/>
      <c r="AC712" s="15"/>
      <c r="AU712" s="17"/>
    </row>
    <row r="713" spans="1:47" ht="12" customHeight="1" x14ac:dyDescent="0.25">
      <c r="A713" s="3"/>
      <c r="B713" s="14"/>
      <c r="C713" s="14"/>
      <c r="D713" s="14"/>
      <c r="E713" s="14"/>
      <c r="K713" s="14"/>
      <c r="M713" s="14"/>
      <c r="N713" s="14"/>
      <c r="Z713" s="11"/>
      <c r="AA713" s="15"/>
      <c r="AB713" s="15"/>
      <c r="AC713" s="15"/>
      <c r="AU713" s="17"/>
    </row>
    <row r="714" spans="1:47" ht="12" customHeight="1" x14ac:dyDescent="0.25">
      <c r="A714" s="3"/>
      <c r="B714" s="14"/>
      <c r="C714" s="14"/>
      <c r="D714" s="14"/>
      <c r="E714" s="14"/>
      <c r="K714" s="14"/>
      <c r="M714" s="14"/>
      <c r="N714" s="14"/>
      <c r="Z714" s="11"/>
      <c r="AA714" s="15"/>
      <c r="AB714" s="15"/>
      <c r="AC714" s="15"/>
      <c r="AU714" s="17"/>
    </row>
    <row r="715" spans="1:47" ht="12" customHeight="1" x14ac:dyDescent="0.25">
      <c r="A715" s="3"/>
      <c r="B715" s="14"/>
      <c r="C715" s="14"/>
      <c r="D715" s="14"/>
      <c r="E715" s="14"/>
      <c r="K715" s="14"/>
      <c r="M715" s="14"/>
      <c r="N715" s="14"/>
      <c r="Z715" s="11"/>
      <c r="AA715" s="15"/>
      <c r="AB715" s="15"/>
      <c r="AC715" s="15"/>
      <c r="AU715" s="17"/>
    </row>
    <row r="716" spans="1:47" ht="12" customHeight="1" x14ac:dyDescent="0.25">
      <c r="A716" s="3"/>
      <c r="B716" s="14"/>
      <c r="C716" s="14"/>
      <c r="D716" s="14"/>
      <c r="E716" s="14"/>
      <c r="K716" s="14"/>
      <c r="M716" s="14"/>
      <c r="N716" s="14"/>
      <c r="Z716" s="11"/>
      <c r="AA716" s="15"/>
      <c r="AB716" s="15"/>
      <c r="AC716" s="15"/>
      <c r="AU716" s="17"/>
    </row>
    <row r="717" spans="1:47" ht="12" customHeight="1" x14ac:dyDescent="0.25">
      <c r="A717" s="3"/>
      <c r="B717" s="14"/>
      <c r="C717" s="14"/>
      <c r="D717" s="14"/>
      <c r="E717" s="14"/>
      <c r="K717" s="14"/>
      <c r="M717" s="14"/>
      <c r="N717" s="14"/>
      <c r="Z717" s="11"/>
      <c r="AA717" s="15"/>
      <c r="AB717" s="15"/>
      <c r="AC717" s="15"/>
      <c r="AU717" s="17"/>
    </row>
    <row r="718" spans="1:47" ht="12" customHeight="1" x14ac:dyDescent="0.25">
      <c r="A718" s="3"/>
      <c r="B718" s="14"/>
      <c r="C718" s="14"/>
      <c r="D718" s="14"/>
      <c r="E718" s="14"/>
      <c r="K718" s="14"/>
      <c r="M718" s="14"/>
      <c r="N718" s="14"/>
      <c r="Z718" s="11"/>
      <c r="AA718" s="15"/>
      <c r="AB718" s="15"/>
      <c r="AC718" s="15"/>
      <c r="AU718" s="17"/>
    </row>
    <row r="719" spans="1:47" ht="12" customHeight="1" x14ac:dyDescent="0.25">
      <c r="A719" s="3"/>
      <c r="B719" s="14"/>
      <c r="C719" s="14"/>
      <c r="D719" s="14"/>
      <c r="E719" s="14"/>
      <c r="K719" s="14"/>
      <c r="M719" s="14"/>
      <c r="N719" s="14"/>
      <c r="Z719" s="11"/>
      <c r="AA719" s="15"/>
      <c r="AB719" s="15"/>
      <c r="AC719" s="15"/>
      <c r="AU719" s="17"/>
    </row>
    <row r="720" spans="1:47" ht="12" customHeight="1" x14ac:dyDescent="0.25">
      <c r="A720" s="3"/>
      <c r="B720" s="14"/>
      <c r="C720" s="14"/>
      <c r="D720" s="14"/>
      <c r="E720" s="14"/>
      <c r="K720" s="14"/>
      <c r="M720" s="14"/>
      <c r="N720" s="14"/>
      <c r="Z720" s="11"/>
      <c r="AA720" s="15"/>
      <c r="AB720" s="15"/>
      <c r="AC720" s="15"/>
      <c r="AU720" s="17"/>
    </row>
    <row r="721" spans="1:47" ht="12" customHeight="1" x14ac:dyDescent="0.25">
      <c r="A721" s="3"/>
      <c r="B721" s="14"/>
      <c r="C721" s="14"/>
      <c r="D721" s="14"/>
      <c r="E721" s="14"/>
      <c r="K721" s="14"/>
      <c r="M721" s="14"/>
      <c r="N721" s="14"/>
      <c r="Z721" s="11"/>
      <c r="AA721" s="15"/>
      <c r="AB721" s="15"/>
      <c r="AC721" s="15"/>
      <c r="AU721" s="17"/>
    </row>
    <row r="722" spans="1:47" ht="12" customHeight="1" x14ac:dyDescent="0.25">
      <c r="A722" s="3"/>
      <c r="B722" s="14"/>
      <c r="C722" s="14"/>
      <c r="D722" s="14"/>
      <c r="E722" s="14"/>
      <c r="K722" s="14"/>
      <c r="M722" s="14"/>
      <c r="N722" s="14"/>
      <c r="Z722" s="11"/>
      <c r="AA722" s="15"/>
      <c r="AB722" s="15"/>
      <c r="AC722" s="15"/>
      <c r="AU722" s="17"/>
    </row>
    <row r="723" spans="1:47" ht="12" customHeight="1" x14ac:dyDescent="0.25">
      <c r="A723" s="3"/>
      <c r="B723" s="14"/>
      <c r="C723" s="14"/>
      <c r="D723" s="14"/>
      <c r="E723" s="14"/>
      <c r="K723" s="14"/>
      <c r="M723" s="14"/>
      <c r="N723" s="14"/>
      <c r="Z723" s="11"/>
      <c r="AA723" s="15"/>
      <c r="AB723" s="15"/>
      <c r="AC723" s="15"/>
      <c r="AU723" s="17"/>
    </row>
    <row r="724" spans="1:47" ht="12" customHeight="1" x14ac:dyDescent="0.25">
      <c r="A724" s="3"/>
      <c r="B724" s="14"/>
      <c r="C724" s="14"/>
      <c r="D724" s="14"/>
      <c r="E724" s="14"/>
      <c r="K724" s="14"/>
      <c r="M724" s="14"/>
      <c r="N724" s="14"/>
      <c r="Z724" s="11"/>
      <c r="AA724" s="15"/>
      <c r="AB724" s="15"/>
      <c r="AC724" s="15"/>
      <c r="AU724" s="17"/>
    </row>
    <row r="725" spans="1:47" ht="12" customHeight="1" x14ac:dyDescent="0.25">
      <c r="A725" s="3"/>
      <c r="B725" s="14"/>
      <c r="C725" s="14"/>
      <c r="D725" s="14"/>
      <c r="E725" s="14"/>
      <c r="K725" s="14"/>
      <c r="M725" s="14"/>
      <c r="N725" s="14"/>
      <c r="Z725" s="11"/>
      <c r="AA725" s="15"/>
      <c r="AB725" s="15"/>
      <c r="AC725" s="15"/>
      <c r="AU725" s="17"/>
    </row>
    <row r="726" spans="1:47" ht="12" customHeight="1" x14ac:dyDescent="0.25">
      <c r="A726" s="3"/>
      <c r="B726" s="14"/>
      <c r="C726" s="14"/>
      <c r="D726" s="14"/>
      <c r="E726" s="14"/>
      <c r="K726" s="14"/>
      <c r="M726" s="14"/>
      <c r="N726" s="14"/>
      <c r="Z726" s="11"/>
      <c r="AA726" s="15"/>
      <c r="AB726" s="15"/>
      <c r="AC726" s="15"/>
      <c r="AU726" s="17"/>
    </row>
    <row r="727" spans="1:47" ht="12" customHeight="1" x14ac:dyDescent="0.25">
      <c r="A727" s="3"/>
      <c r="B727" s="14"/>
      <c r="C727" s="14"/>
      <c r="D727" s="14"/>
      <c r="E727" s="14"/>
      <c r="K727" s="14"/>
      <c r="M727" s="14"/>
      <c r="N727" s="14"/>
      <c r="Z727" s="11"/>
      <c r="AA727" s="15"/>
      <c r="AB727" s="15"/>
      <c r="AC727" s="15"/>
      <c r="AU727" s="17"/>
    </row>
    <row r="728" spans="1:47" ht="12" customHeight="1" x14ac:dyDescent="0.25">
      <c r="A728" s="3"/>
      <c r="B728" s="14"/>
      <c r="C728" s="14"/>
      <c r="D728" s="14"/>
      <c r="E728" s="14"/>
      <c r="K728" s="14"/>
      <c r="M728" s="14"/>
      <c r="N728" s="14"/>
      <c r="Z728" s="11"/>
      <c r="AA728" s="15"/>
      <c r="AB728" s="15"/>
      <c r="AC728" s="15"/>
      <c r="AU728" s="17"/>
    </row>
    <row r="729" spans="1:47" ht="12" customHeight="1" x14ac:dyDescent="0.25">
      <c r="A729" s="3"/>
      <c r="B729" s="14"/>
      <c r="C729" s="14"/>
      <c r="D729" s="14"/>
      <c r="E729" s="14"/>
      <c r="K729" s="14"/>
      <c r="M729" s="14"/>
      <c r="N729" s="14"/>
      <c r="Z729" s="11"/>
      <c r="AA729" s="15"/>
      <c r="AB729" s="15"/>
      <c r="AC729" s="15"/>
      <c r="AU729" s="17"/>
    </row>
    <row r="730" spans="1:47" ht="12" customHeight="1" x14ac:dyDescent="0.25">
      <c r="A730" s="3"/>
      <c r="B730" s="14"/>
      <c r="C730" s="14"/>
      <c r="D730" s="14"/>
      <c r="E730" s="14"/>
      <c r="K730" s="14"/>
      <c r="M730" s="14"/>
      <c r="N730" s="14"/>
      <c r="Z730" s="11"/>
      <c r="AA730" s="15"/>
      <c r="AB730" s="15"/>
      <c r="AC730" s="15"/>
      <c r="AU730" s="17"/>
    </row>
    <row r="731" spans="1:47" ht="12" customHeight="1" x14ac:dyDescent="0.25">
      <c r="A731" s="3"/>
      <c r="B731" s="14"/>
      <c r="C731" s="14"/>
      <c r="D731" s="14"/>
      <c r="E731" s="14"/>
      <c r="K731" s="14"/>
      <c r="M731" s="14"/>
      <c r="N731" s="14"/>
      <c r="Z731" s="11"/>
      <c r="AA731" s="15"/>
      <c r="AB731" s="15"/>
      <c r="AC731" s="15"/>
      <c r="AU731" s="17"/>
    </row>
    <row r="732" spans="1:47" ht="12" customHeight="1" x14ac:dyDescent="0.25">
      <c r="A732" s="3"/>
      <c r="B732" s="14"/>
      <c r="C732" s="14"/>
      <c r="D732" s="14"/>
      <c r="E732" s="14"/>
      <c r="K732" s="14"/>
      <c r="M732" s="14"/>
      <c r="N732" s="14"/>
      <c r="Z732" s="11"/>
      <c r="AA732" s="15"/>
      <c r="AB732" s="15"/>
      <c r="AC732" s="15"/>
      <c r="AU732" s="17"/>
    </row>
    <row r="733" spans="1:47" ht="12" customHeight="1" x14ac:dyDescent="0.25">
      <c r="A733" s="3"/>
      <c r="B733" s="14"/>
      <c r="C733" s="14"/>
      <c r="D733" s="14"/>
      <c r="E733" s="14"/>
      <c r="K733" s="14"/>
      <c r="M733" s="14"/>
      <c r="N733" s="14"/>
      <c r="Z733" s="11"/>
      <c r="AA733" s="15"/>
      <c r="AB733" s="15"/>
      <c r="AC733" s="15"/>
      <c r="AU733" s="17"/>
    </row>
    <row r="734" spans="1:47" ht="12" customHeight="1" x14ac:dyDescent="0.25">
      <c r="A734" s="3"/>
      <c r="B734" s="14"/>
      <c r="C734" s="14"/>
      <c r="D734" s="14"/>
      <c r="E734" s="14"/>
      <c r="K734" s="14"/>
      <c r="M734" s="14"/>
      <c r="N734" s="14"/>
      <c r="Z734" s="11"/>
      <c r="AA734" s="15"/>
      <c r="AB734" s="15"/>
      <c r="AC734" s="15"/>
      <c r="AU734" s="17"/>
    </row>
    <row r="735" spans="1:47" ht="12" customHeight="1" x14ac:dyDescent="0.25">
      <c r="A735" s="3"/>
      <c r="B735" s="14"/>
      <c r="C735" s="14"/>
      <c r="D735" s="14"/>
      <c r="E735" s="14"/>
      <c r="K735" s="14"/>
      <c r="M735" s="14"/>
      <c r="N735" s="14"/>
      <c r="Z735" s="11"/>
      <c r="AA735" s="15"/>
      <c r="AB735" s="15"/>
      <c r="AC735" s="15"/>
      <c r="AU735" s="17"/>
    </row>
    <row r="736" spans="1:47" ht="12" customHeight="1" x14ac:dyDescent="0.25">
      <c r="A736" s="3"/>
      <c r="B736" s="14"/>
      <c r="C736" s="14"/>
      <c r="D736" s="14"/>
      <c r="E736" s="14"/>
      <c r="K736" s="14"/>
      <c r="M736" s="14"/>
      <c r="N736" s="14"/>
      <c r="Z736" s="11"/>
      <c r="AA736" s="15"/>
      <c r="AB736" s="15"/>
      <c r="AC736" s="15"/>
      <c r="AU736" s="17"/>
    </row>
    <row r="737" spans="1:47" ht="12" customHeight="1" x14ac:dyDescent="0.25">
      <c r="A737" s="3"/>
      <c r="B737" s="14"/>
      <c r="C737" s="14"/>
      <c r="D737" s="14"/>
      <c r="E737" s="14"/>
      <c r="K737" s="14"/>
      <c r="M737" s="14"/>
      <c r="N737" s="14"/>
      <c r="Z737" s="11"/>
      <c r="AA737" s="15"/>
      <c r="AB737" s="15"/>
      <c r="AC737" s="15"/>
      <c r="AU737" s="17"/>
    </row>
    <row r="738" spans="1:47" ht="12" customHeight="1" x14ac:dyDescent="0.25">
      <c r="A738" s="3"/>
      <c r="B738" s="14"/>
      <c r="C738" s="14"/>
      <c r="D738" s="14"/>
      <c r="E738" s="14"/>
      <c r="K738" s="14"/>
      <c r="M738" s="14"/>
      <c r="N738" s="14"/>
      <c r="Z738" s="11"/>
      <c r="AA738" s="15"/>
      <c r="AB738" s="15"/>
      <c r="AC738" s="15"/>
      <c r="AU738" s="17"/>
    </row>
    <row r="739" spans="1:47" ht="12" customHeight="1" x14ac:dyDescent="0.25">
      <c r="A739" s="3"/>
      <c r="B739" s="14"/>
      <c r="C739" s="14"/>
      <c r="D739" s="14"/>
      <c r="E739" s="14"/>
      <c r="K739" s="14"/>
      <c r="M739" s="14"/>
      <c r="N739" s="14"/>
      <c r="Z739" s="11"/>
      <c r="AA739" s="15"/>
      <c r="AB739" s="15"/>
      <c r="AC739" s="15"/>
      <c r="AU739" s="17"/>
    </row>
    <row r="740" spans="1:47" ht="12" customHeight="1" x14ac:dyDescent="0.25">
      <c r="A740" s="3"/>
      <c r="B740" s="14"/>
      <c r="C740" s="14"/>
      <c r="D740" s="14"/>
      <c r="E740" s="14"/>
      <c r="K740" s="14"/>
      <c r="M740" s="14"/>
      <c r="N740" s="14"/>
      <c r="Z740" s="11"/>
      <c r="AA740" s="15"/>
      <c r="AB740" s="15"/>
      <c r="AC740" s="15"/>
      <c r="AU740" s="17"/>
    </row>
    <row r="741" spans="1:47" ht="12" customHeight="1" x14ac:dyDescent="0.25">
      <c r="A741" s="3"/>
      <c r="B741" s="14"/>
      <c r="C741" s="14"/>
      <c r="D741" s="14"/>
      <c r="E741" s="14"/>
      <c r="K741" s="14"/>
      <c r="M741" s="14"/>
      <c r="N741" s="14"/>
      <c r="Z741" s="11"/>
      <c r="AA741" s="15"/>
      <c r="AB741" s="15"/>
      <c r="AC741" s="15"/>
      <c r="AU741" s="17"/>
    </row>
    <row r="742" spans="1:47" ht="12" customHeight="1" x14ac:dyDescent="0.25">
      <c r="A742" s="3"/>
      <c r="B742" s="14"/>
      <c r="C742" s="14"/>
      <c r="D742" s="14"/>
      <c r="E742" s="14"/>
      <c r="K742" s="14"/>
      <c r="M742" s="14"/>
      <c r="N742" s="14"/>
      <c r="Z742" s="11"/>
      <c r="AA742" s="15"/>
      <c r="AB742" s="15"/>
      <c r="AC742" s="15"/>
      <c r="AU742" s="17"/>
    </row>
    <row r="743" spans="1:47" ht="12" customHeight="1" x14ac:dyDescent="0.25">
      <c r="A743" s="3"/>
      <c r="B743" s="14"/>
      <c r="C743" s="14"/>
      <c r="D743" s="14"/>
      <c r="E743" s="14"/>
      <c r="K743" s="14"/>
      <c r="M743" s="14"/>
      <c r="N743" s="14"/>
      <c r="Z743" s="11"/>
      <c r="AA743" s="15"/>
      <c r="AB743" s="15"/>
      <c r="AC743" s="15"/>
      <c r="AU743" s="17"/>
    </row>
    <row r="744" spans="1:47" ht="12" customHeight="1" x14ac:dyDescent="0.25">
      <c r="A744" s="3"/>
      <c r="B744" s="14"/>
      <c r="C744" s="14"/>
      <c r="D744" s="14"/>
      <c r="E744" s="14"/>
      <c r="K744" s="14"/>
      <c r="M744" s="14"/>
      <c r="N744" s="14"/>
      <c r="Z744" s="11"/>
      <c r="AA744" s="15"/>
      <c r="AB744" s="15"/>
      <c r="AC744" s="15"/>
      <c r="AU744" s="17"/>
    </row>
    <row r="745" spans="1:47" ht="12" customHeight="1" x14ac:dyDescent="0.25">
      <c r="A745" s="3"/>
      <c r="B745" s="14"/>
      <c r="C745" s="14"/>
      <c r="D745" s="14"/>
      <c r="E745" s="14"/>
      <c r="K745" s="14"/>
      <c r="M745" s="14"/>
      <c r="N745" s="14"/>
      <c r="Z745" s="11"/>
      <c r="AA745" s="15"/>
      <c r="AB745" s="15"/>
      <c r="AC745" s="15"/>
      <c r="AU745" s="17"/>
    </row>
    <row r="746" spans="1:47" ht="12" customHeight="1" x14ac:dyDescent="0.25">
      <c r="A746" s="3"/>
      <c r="B746" s="14"/>
      <c r="C746" s="14"/>
      <c r="D746" s="14"/>
      <c r="E746" s="14"/>
      <c r="K746" s="14"/>
      <c r="M746" s="14"/>
      <c r="N746" s="14"/>
      <c r="Z746" s="11"/>
      <c r="AA746" s="15"/>
      <c r="AB746" s="15"/>
      <c r="AC746" s="15"/>
      <c r="AU746" s="17"/>
    </row>
    <row r="747" spans="1:47" ht="12" customHeight="1" x14ac:dyDescent="0.25">
      <c r="A747" s="3"/>
      <c r="B747" s="14"/>
      <c r="C747" s="14"/>
      <c r="D747" s="14"/>
      <c r="E747" s="14"/>
      <c r="K747" s="14"/>
      <c r="M747" s="14"/>
      <c r="N747" s="14"/>
      <c r="Z747" s="11"/>
      <c r="AA747" s="15"/>
      <c r="AB747" s="15"/>
      <c r="AC747" s="15"/>
      <c r="AU747" s="17"/>
    </row>
    <row r="748" spans="1:47" ht="12" customHeight="1" x14ac:dyDescent="0.25">
      <c r="A748" s="3"/>
      <c r="B748" s="14"/>
      <c r="C748" s="14"/>
      <c r="D748" s="14"/>
      <c r="E748" s="14"/>
      <c r="K748" s="14"/>
      <c r="M748" s="14"/>
      <c r="N748" s="14"/>
      <c r="Z748" s="11"/>
      <c r="AA748" s="15"/>
      <c r="AB748" s="15"/>
      <c r="AC748" s="15"/>
      <c r="AU748" s="17"/>
    </row>
    <row r="749" spans="1:47" ht="12" customHeight="1" x14ac:dyDescent="0.25">
      <c r="A749" s="3"/>
      <c r="B749" s="14"/>
      <c r="C749" s="14"/>
      <c r="D749" s="14"/>
      <c r="E749" s="14"/>
      <c r="K749" s="14"/>
      <c r="M749" s="14"/>
      <c r="N749" s="14"/>
      <c r="Z749" s="11"/>
      <c r="AA749" s="15"/>
      <c r="AB749" s="15"/>
      <c r="AC749" s="15"/>
      <c r="AU749" s="17"/>
    </row>
    <row r="750" spans="1:47" ht="12" customHeight="1" x14ac:dyDescent="0.25">
      <c r="A750" s="3"/>
      <c r="B750" s="14"/>
      <c r="C750" s="14"/>
      <c r="D750" s="14"/>
      <c r="E750" s="14"/>
      <c r="K750" s="14"/>
      <c r="M750" s="14"/>
      <c r="N750" s="14"/>
      <c r="Z750" s="11"/>
      <c r="AA750" s="15"/>
      <c r="AB750" s="15"/>
      <c r="AC750" s="15"/>
      <c r="AU750" s="17"/>
    </row>
    <row r="751" spans="1:47" ht="12" customHeight="1" x14ac:dyDescent="0.25">
      <c r="A751" s="3"/>
      <c r="B751" s="14"/>
      <c r="C751" s="14"/>
      <c r="D751" s="14"/>
      <c r="E751" s="14"/>
      <c r="K751" s="14"/>
      <c r="M751" s="14"/>
      <c r="N751" s="14"/>
      <c r="Z751" s="11"/>
      <c r="AA751" s="15"/>
      <c r="AB751" s="15"/>
      <c r="AC751" s="15"/>
      <c r="AU751" s="17"/>
    </row>
    <row r="752" spans="1:47" ht="12" customHeight="1" x14ac:dyDescent="0.25">
      <c r="A752" s="3"/>
      <c r="B752" s="14"/>
      <c r="C752" s="14"/>
      <c r="D752" s="14"/>
      <c r="E752" s="14"/>
      <c r="K752" s="14"/>
      <c r="M752" s="14"/>
      <c r="N752" s="14"/>
      <c r="Z752" s="11"/>
      <c r="AA752" s="15"/>
      <c r="AB752" s="15"/>
      <c r="AC752" s="15"/>
      <c r="AU752" s="17"/>
    </row>
    <row r="753" spans="1:47" ht="12" customHeight="1" x14ac:dyDescent="0.25">
      <c r="A753" s="3"/>
      <c r="B753" s="14"/>
      <c r="C753" s="14"/>
      <c r="D753" s="14"/>
      <c r="E753" s="14"/>
      <c r="K753" s="14"/>
      <c r="M753" s="14"/>
      <c r="N753" s="14"/>
      <c r="Z753" s="11"/>
      <c r="AA753" s="15"/>
      <c r="AB753" s="15"/>
      <c r="AC753" s="15"/>
      <c r="AU753" s="17"/>
    </row>
    <row r="754" spans="1:47" ht="12" customHeight="1" x14ac:dyDescent="0.25">
      <c r="A754" s="3"/>
      <c r="B754" s="14"/>
      <c r="C754" s="14"/>
      <c r="D754" s="14"/>
      <c r="E754" s="14"/>
      <c r="K754" s="14"/>
      <c r="M754" s="14"/>
      <c r="N754" s="14"/>
      <c r="Z754" s="11"/>
      <c r="AA754" s="15"/>
      <c r="AB754" s="15"/>
      <c r="AC754" s="15"/>
      <c r="AU754" s="17"/>
    </row>
    <row r="755" spans="1:47" ht="12" customHeight="1" x14ac:dyDescent="0.25">
      <c r="A755" s="3"/>
      <c r="B755" s="14"/>
      <c r="C755" s="14"/>
      <c r="D755" s="14"/>
      <c r="E755" s="14"/>
      <c r="K755" s="14"/>
      <c r="M755" s="14"/>
      <c r="N755" s="14"/>
      <c r="Z755" s="11"/>
      <c r="AA755" s="15"/>
      <c r="AB755" s="15"/>
      <c r="AC755" s="15"/>
      <c r="AU755" s="17"/>
    </row>
    <row r="756" spans="1:47" ht="12" customHeight="1" x14ac:dyDescent="0.25">
      <c r="A756" s="3"/>
      <c r="B756" s="14"/>
      <c r="C756" s="14"/>
      <c r="D756" s="14"/>
      <c r="E756" s="14"/>
      <c r="K756" s="14"/>
      <c r="M756" s="14"/>
      <c r="N756" s="14"/>
      <c r="Z756" s="11"/>
      <c r="AA756" s="15"/>
      <c r="AB756" s="15"/>
      <c r="AC756" s="15"/>
      <c r="AU756" s="17"/>
    </row>
    <row r="757" spans="1:47" ht="12" customHeight="1" x14ac:dyDescent="0.25">
      <c r="A757" s="3"/>
      <c r="B757" s="14"/>
      <c r="C757" s="14"/>
      <c r="D757" s="14"/>
      <c r="E757" s="14"/>
      <c r="K757" s="14"/>
      <c r="M757" s="14"/>
      <c r="N757" s="14"/>
      <c r="Z757" s="11"/>
      <c r="AA757" s="15"/>
      <c r="AB757" s="15"/>
      <c r="AC757" s="15"/>
      <c r="AU757" s="17"/>
    </row>
    <row r="758" spans="1:47" ht="12" customHeight="1" x14ac:dyDescent="0.25">
      <c r="A758" s="3"/>
      <c r="B758" s="14"/>
      <c r="C758" s="14"/>
      <c r="D758" s="14"/>
      <c r="E758" s="14"/>
      <c r="K758" s="14"/>
      <c r="M758" s="14"/>
      <c r="N758" s="14"/>
      <c r="Z758" s="11"/>
      <c r="AA758" s="15"/>
      <c r="AB758" s="15"/>
      <c r="AC758" s="15"/>
      <c r="AU758" s="17"/>
    </row>
    <row r="759" spans="1:47" ht="12" customHeight="1" x14ac:dyDescent="0.25">
      <c r="A759" s="3"/>
      <c r="B759" s="14"/>
      <c r="C759" s="14"/>
      <c r="D759" s="14"/>
      <c r="E759" s="14"/>
      <c r="K759" s="14"/>
      <c r="M759" s="14"/>
      <c r="N759" s="14"/>
      <c r="Z759" s="11"/>
      <c r="AA759" s="15"/>
      <c r="AB759" s="15"/>
      <c r="AC759" s="15"/>
      <c r="AU759" s="17"/>
    </row>
    <row r="760" spans="1:47" ht="12" customHeight="1" x14ac:dyDescent="0.25">
      <c r="A760" s="3"/>
      <c r="B760" s="14"/>
      <c r="C760" s="14"/>
      <c r="D760" s="14"/>
      <c r="E760" s="14"/>
      <c r="K760" s="14"/>
      <c r="M760" s="14"/>
      <c r="N760" s="14"/>
      <c r="Z760" s="11"/>
      <c r="AA760" s="15"/>
      <c r="AB760" s="15"/>
      <c r="AC760" s="15"/>
      <c r="AU760" s="17"/>
    </row>
    <row r="761" spans="1:47" ht="12" customHeight="1" x14ac:dyDescent="0.25">
      <c r="A761" s="3"/>
      <c r="B761" s="14"/>
      <c r="C761" s="14"/>
      <c r="D761" s="14"/>
      <c r="E761" s="14"/>
      <c r="K761" s="14"/>
      <c r="M761" s="14"/>
      <c r="N761" s="14"/>
      <c r="Z761" s="11"/>
      <c r="AA761" s="15"/>
      <c r="AB761" s="15"/>
      <c r="AC761" s="15"/>
      <c r="AU761" s="17"/>
    </row>
    <row r="762" spans="1:47" ht="12" customHeight="1" x14ac:dyDescent="0.25">
      <c r="A762" s="3"/>
      <c r="B762" s="14"/>
      <c r="C762" s="14"/>
      <c r="D762" s="14"/>
      <c r="E762" s="14"/>
      <c r="K762" s="14"/>
      <c r="M762" s="14"/>
      <c r="N762" s="14"/>
      <c r="Z762" s="11"/>
      <c r="AA762" s="15"/>
      <c r="AB762" s="15"/>
      <c r="AC762" s="15"/>
      <c r="AU762" s="17"/>
    </row>
    <row r="763" spans="1:47" ht="12" customHeight="1" x14ac:dyDescent="0.25">
      <c r="A763" s="3"/>
      <c r="B763" s="14"/>
      <c r="C763" s="14"/>
      <c r="D763" s="14"/>
      <c r="E763" s="14"/>
      <c r="K763" s="14"/>
      <c r="M763" s="14"/>
      <c r="N763" s="14"/>
      <c r="Z763" s="11"/>
      <c r="AA763" s="15"/>
      <c r="AB763" s="15"/>
      <c r="AC763" s="15"/>
      <c r="AU763" s="17"/>
    </row>
    <row r="764" spans="1:47" ht="12" customHeight="1" x14ac:dyDescent="0.25">
      <c r="A764" s="3"/>
      <c r="B764" s="14"/>
      <c r="C764" s="14"/>
      <c r="D764" s="14"/>
      <c r="E764" s="14"/>
      <c r="K764" s="14"/>
      <c r="M764" s="14"/>
      <c r="N764" s="14"/>
      <c r="Z764" s="11"/>
      <c r="AA764" s="15"/>
      <c r="AB764" s="15"/>
      <c r="AC764" s="15"/>
      <c r="AU764" s="17"/>
    </row>
    <row r="765" spans="1:47" ht="12" customHeight="1" x14ac:dyDescent="0.25">
      <c r="A765" s="3"/>
      <c r="B765" s="14"/>
      <c r="C765" s="14"/>
      <c r="D765" s="14"/>
      <c r="E765" s="14"/>
      <c r="K765" s="14"/>
      <c r="M765" s="14"/>
      <c r="N765" s="14"/>
      <c r="Z765" s="11"/>
      <c r="AA765" s="15"/>
      <c r="AB765" s="15"/>
      <c r="AC765" s="15"/>
      <c r="AU765" s="17"/>
    </row>
    <row r="766" spans="1:47" ht="12" customHeight="1" x14ac:dyDescent="0.25">
      <c r="A766" s="3"/>
      <c r="B766" s="14"/>
      <c r="C766" s="14"/>
      <c r="D766" s="14"/>
      <c r="E766" s="14"/>
      <c r="K766" s="14"/>
      <c r="M766" s="14"/>
      <c r="N766" s="14"/>
      <c r="Z766" s="11"/>
      <c r="AA766" s="15"/>
      <c r="AB766" s="15"/>
      <c r="AC766" s="15"/>
      <c r="AU766" s="17"/>
    </row>
    <row r="767" spans="1:47" ht="12" customHeight="1" x14ac:dyDescent="0.25">
      <c r="A767" s="3"/>
      <c r="B767" s="14"/>
      <c r="C767" s="14"/>
      <c r="D767" s="14"/>
      <c r="E767" s="14"/>
      <c r="K767" s="14"/>
      <c r="M767" s="14"/>
      <c r="N767" s="14"/>
      <c r="Z767" s="11"/>
      <c r="AA767" s="15"/>
      <c r="AB767" s="15"/>
      <c r="AC767" s="15"/>
      <c r="AU767" s="17"/>
    </row>
    <row r="768" spans="1:47" ht="12" customHeight="1" x14ac:dyDescent="0.25">
      <c r="A768" s="3"/>
      <c r="B768" s="14"/>
      <c r="C768" s="14"/>
      <c r="D768" s="14"/>
      <c r="E768" s="14"/>
      <c r="K768" s="14"/>
      <c r="M768" s="14"/>
      <c r="N768" s="14"/>
      <c r="Z768" s="11"/>
      <c r="AA768" s="15"/>
      <c r="AB768" s="15"/>
      <c r="AC768" s="15"/>
      <c r="AU768" s="17"/>
    </row>
    <row r="769" spans="1:47" ht="12" customHeight="1" x14ac:dyDescent="0.25">
      <c r="A769" s="3"/>
      <c r="B769" s="14"/>
      <c r="C769" s="14"/>
      <c r="D769" s="14"/>
      <c r="E769" s="14"/>
      <c r="K769" s="14"/>
      <c r="M769" s="14"/>
      <c r="N769" s="14"/>
      <c r="Z769" s="11"/>
      <c r="AA769" s="15"/>
      <c r="AB769" s="15"/>
      <c r="AC769" s="15"/>
      <c r="AU769" s="17"/>
    </row>
    <row r="770" spans="1:47" ht="12" customHeight="1" x14ac:dyDescent="0.25">
      <c r="A770" s="3"/>
      <c r="B770" s="14"/>
      <c r="C770" s="14"/>
      <c r="D770" s="14"/>
      <c r="E770" s="14"/>
      <c r="K770" s="14"/>
      <c r="M770" s="14"/>
      <c r="N770" s="14"/>
      <c r="Z770" s="11"/>
      <c r="AA770" s="15"/>
      <c r="AB770" s="15"/>
      <c r="AC770" s="15"/>
      <c r="AU770" s="17"/>
    </row>
    <row r="771" spans="1:47" ht="12" customHeight="1" x14ac:dyDescent="0.25">
      <c r="A771" s="3"/>
      <c r="B771" s="14"/>
      <c r="C771" s="14"/>
      <c r="D771" s="14"/>
      <c r="E771" s="14"/>
      <c r="K771" s="14"/>
      <c r="M771" s="14"/>
      <c r="N771" s="14"/>
      <c r="Z771" s="11"/>
      <c r="AA771" s="15"/>
      <c r="AB771" s="15"/>
      <c r="AC771" s="15"/>
      <c r="AU771" s="17"/>
    </row>
    <row r="772" spans="1:47" ht="12" customHeight="1" x14ac:dyDescent="0.25">
      <c r="A772" s="3"/>
      <c r="B772" s="14"/>
      <c r="C772" s="14"/>
      <c r="D772" s="14"/>
      <c r="E772" s="14"/>
      <c r="K772" s="14"/>
      <c r="M772" s="14"/>
      <c r="N772" s="14"/>
      <c r="Z772" s="11"/>
      <c r="AA772" s="15"/>
      <c r="AB772" s="15"/>
      <c r="AC772" s="15"/>
      <c r="AU772" s="17"/>
    </row>
    <row r="773" spans="1:47" ht="12" customHeight="1" x14ac:dyDescent="0.25">
      <c r="A773" s="3"/>
      <c r="B773" s="14"/>
      <c r="C773" s="14"/>
      <c r="D773" s="14"/>
      <c r="E773" s="14"/>
      <c r="K773" s="14"/>
      <c r="M773" s="14"/>
      <c r="N773" s="14"/>
      <c r="Z773" s="11"/>
      <c r="AA773" s="15"/>
      <c r="AB773" s="15"/>
      <c r="AC773" s="15"/>
      <c r="AU773" s="17"/>
    </row>
    <row r="774" spans="1:47" ht="12" customHeight="1" x14ac:dyDescent="0.25">
      <c r="A774" s="3"/>
      <c r="B774" s="14"/>
      <c r="C774" s="14"/>
      <c r="D774" s="14"/>
      <c r="E774" s="14"/>
      <c r="K774" s="14"/>
      <c r="M774" s="14"/>
      <c r="N774" s="14"/>
      <c r="Z774" s="11"/>
      <c r="AA774" s="15"/>
      <c r="AB774" s="15"/>
      <c r="AC774" s="15"/>
      <c r="AU774" s="17"/>
    </row>
    <row r="775" spans="1:47" ht="12" customHeight="1" x14ac:dyDescent="0.25">
      <c r="A775" s="3"/>
      <c r="B775" s="14"/>
      <c r="C775" s="14"/>
      <c r="D775" s="14"/>
      <c r="E775" s="14"/>
      <c r="K775" s="14"/>
      <c r="M775" s="14"/>
      <c r="N775" s="14"/>
      <c r="Z775" s="11"/>
      <c r="AA775" s="15"/>
      <c r="AB775" s="15"/>
      <c r="AC775" s="15"/>
      <c r="AU775" s="17"/>
    </row>
    <row r="776" spans="1:47" ht="12" customHeight="1" x14ac:dyDescent="0.25">
      <c r="A776" s="3"/>
      <c r="B776" s="14"/>
      <c r="C776" s="14"/>
      <c r="D776" s="14"/>
      <c r="E776" s="14"/>
      <c r="K776" s="14"/>
      <c r="M776" s="14"/>
      <c r="N776" s="14"/>
      <c r="Z776" s="11"/>
      <c r="AA776" s="15"/>
      <c r="AB776" s="15"/>
      <c r="AC776" s="15"/>
      <c r="AU776" s="17"/>
    </row>
    <row r="777" spans="1:47" ht="12" customHeight="1" x14ac:dyDescent="0.25">
      <c r="A777" s="3"/>
      <c r="B777" s="14"/>
      <c r="C777" s="14"/>
      <c r="D777" s="14"/>
      <c r="E777" s="14"/>
      <c r="K777" s="14"/>
      <c r="M777" s="14"/>
      <c r="N777" s="14"/>
      <c r="Z777" s="11"/>
      <c r="AA777" s="15"/>
      <c r="AB777" s="15"/>
      <c r="AC777" s="15"/>
      <c r="AU777" s="17"/>
    </row>
    <row r="778" spans="1:47" ht="12" customHeight="1" x14ac:dyDescent="0.25">
      <c r="A778" s="3"/>
      <c r="B778" s="14"/>
      <c r="C778" s="14"/>
      <c r="D778" s="14"/>
      <c r="E778" s="14"/>
      <c r="K778" s="14"/>
      <c r="M778" s="14"/>
      <c r="N778" s="14"/>
      <c r="Z778" s="11"/>
      <c r="AA778" s="15"/>
      <c r="AB778" s="15"/>
      <c r="AC778" s="15"/>
      <c r="AU778" s="17"/>
    </row>
    <row r="779" spans="1:47" ht="12" customHeight="1" x14ac:dyDescent="0.25">
      <c r="A779" s="3"/>
      <c r="B779" s="14"/>
      <c r="C779" s="14"/>
      <c r="D779" s="14"/>
      <c r="E779" s="14"/>
      <c r="K779" s="14"/>
      <c r="M779" s="14"/>
      <c r="N779" s="14"/>
      <c r="Z779" s="11"/>
      <c r="AA779" s="15"/>
      <c r="AB779" s="15"/>
      <c r="AC779" s="15"/>
      <c r="AU779" s="17"/>
    </row>
    <row r="780" spans="1:47" ht="12" customHeight="1" x14ac:dyDescent="0.25">
      <c r="A780" s="3"/>
      <c r="B780" s="14"/>
      <c r="C780" s="14"/>
      <c r="D780" s="14"/>
      <c r="E780" s="14"/>
      <c r="K780" s="14"/>
      <c r="M780" s="14"/>
      <c r="N780" s="14"/>
      <c r="Z780" s="11"/>
      <c r="AA780" s="15"/>
      <c r="AB780" s="15"/>
      <c r="AC780" s="15"/>
      <c r="AU780" s="17"/>
    </row>
    <row r="781" spans="1:47" ht="12" customHeight="1" x14ac:dyDescent="0.25">
      <c r="A781" s="3"/>
      <c r="B781" s="14"/>
      <c r="C781" s="14"/>
      <c r="D781" s="14"/>
      <c r="E781" s="14"/>
      <c r="K781" s="14"/>
      <c r="M781" s="14"/>
      <c r="N781" s="14"/>
      <c r="Z781" s="11"/>
      <c r="AA781" s="15"/>
      <c r="AB781" s="15"/>
      <c r="AC781" s="15"/>
      <c r="AU781" s="17"/>
    </row>
    <row r="782" spans="1:47" ht="12" customHeight="1" x14ac:dyDescent="0.25">
      <c r="A782" s="3"/>
      <c r="B782" s="14"/>
      <c r="C782" s="14"/>
      <c r="D782" s="14"/>
      <c r="E782" s="14"/>
      <c r="K782" s="14"/>
      <c r="M782" s="14"/>
      <c r="N782" s="14"/>
      <c r="Z782" s="11"/>
      <c r="AA782" s="15"/>
      <c r="AB782" s="15"/>
      <c r="AC782" s="15"/>
      <c r="AU782" s="17"/>
    </row>
    <row r="783" spans="1:47" ht="12" customHeight="1" x14ac:dyDescent="0.25">
      <c r="A783" s="3"/>
      <c r="B783" s="14"/>
      <c r="C783" s="14"/>
      <c r="D783" s="14"/>
      <c r="E783" s="14"/>
      <c r="K783" s="14"/>
      <c r="M783" s="14"/>
      <c r="N783" s="14"/>
      <c r="Z783" s="11"/>
      <c r="AA783" s="15"/>
      <c r="AB783" s="15"/>
      <c r="AC783" s="15"/>
      <c r="AU783" s="17"/>
    </row>
    <row r="784" spans="1:47" ht="12" customHeight="1" x14ac:dyDescent="0.25">
      <c r="A784" s="3"/>
      <c r="B784" s="14"/>
      <c r="C784" s="14"/>
      <c r="D784" s="14"/>
      <c r="E784" s="14"/>
      <c r="K784" s="14"/>
      <c r="M784" s="14"/>
      <c r="N784" s="14"/>
      <c r="Z784" s="11"/>
      <c r="AA784" s="15"/>
      <c r="AB784" s="15"/>
      <c r="AC784" s="15"/>
      <c r="AU784" s="17"/>
    </row>
    <row r="785" spans="1:47" ht="12" customHeight="1" x14ac:dyDescent="0.25">
      <c r="A785" s="3"/>
      <c r="B785" s="14"/>
      <c r="C785" s="14"/>
      <c r="D785" s="14"/>
      <c r="E785" s="14"/>
      <c r="K785" s="14"/>
      <c r="M785" s="14"/>
      <c r="N785" s="14"/>
      <c r="Z785" s="11"/>
      <c r="AA785" s="15"/>
      <c r="AB785" s="15"/>
      <c r="AC785" s="15"/>
      <c r="AU785" s="17"/>
    </row>
    <row r="786" spans="1:47" ht="12" customHeight="1" x14ac:dyDescent="0.25">
      <c r="A786" s="3"/>
      <c r="B786" s="14"/>
      <c r="C786" s="14"/>
      <c r="D786" s="14"/>
      <c r="E786" s="14"/>
      <c r="K786" s="14"/>
      <c r="M786" s="14"/>
      <c r="N786" s="14"/>
      <c r="Z786" s="11"/>
      <c r="AA786" s="15"/>
      <c r="AB786" s="15"/>
      <c r="AC786" s="15"/>
      <c r="AU786" s="17"/>
    </row>
    <row r="787" spans="1:47" ht="12" customHeight="1" x14ac:dyDescent="0.25">
      <c r="A787" s="3"/>
      <c r="B787" s="14"/>
      <c r="C787" s="14"/>
      <c r="D787" s="14"/>
      <c r="E787" s="14"/>
      <c r="K787" s="14"/>
      <c r="M787" s="14"/>
      <c r="N787" s="14"/>
      <c r="Z787" s="11"/>
      <c r="AA787" s="15"/>
      <c r="AB787" s="15"/>
      <c r="AC787" s="15"/>
      <c r="AU787" s="17"/>
    </row>
    <row r="788" spans="1:47" ht="12" customHeight="1" x14ac:dyDescent="0.25">
      <c r="A788" s="3"/>
      <c r="B788" s="14"/>
      <c r="C788" s="14"/>
      <c r="D788" s="14"/>
      <c r="E788" s="14"/>
      <c r="K788" s="14"/>
      <c r="M788" s="14"/>
      <c r="N788" s="14"/>
      <c r="Z788" s="11"/>
      <c r="AA788" s="15"/>
      <c r="AB788" s="15"/>
      <c r="AC788" s="15"/>
      <c r="AU788" s="17"/>
    </row>
    <row r="789" spans="1:47" ht="12" customHeight="1" x14ac:dyDescent="0.25">
      <c r="A789" s="3"/>
      <c r="B789" s="14"/>
      <c r="C789" s="14"/>
      <c r="D789" s="14"/>
      <c r="E789" s="14"/>
      <c r="K789" s="14"/>
      <c r="M789" s="14"/>
      <c r="N789" s="14"/>
      <c r="Z789" s="11"/>
      <c r="AA789" s="15"/>
      <c r="AB789" s="15"/>
      <c r="AC789" s="15"/>
      <c r="AU789" s="17"/>
    </row>
    <row r="790" spans="1:47" ht="12" customHeight="1" x14ac:dyDescent="0.25">
      <c r="A790" s="3"/>
      <c r="B790" s="14"/>
      <c r="C790" s="14"/>
      <c r="D790" s="14"/>
      <c r="E790" s="14"/>
      <c r="K790" s="14"/>
      <c r="M790" s="14"/>
      <c r="N790" s="14"/>
      <c r="Z790" s="11"/>
      <c r="AA790" s="15"/>
      <c r="AB790" s="15"/>
      <c r="AC790" s="15"/>
      <c r="AU790" s="17"/>
    </row>
    <row r="791" spans="1:47" ht="12" customHeight="1" x14ac:dyDescent="0.25">
      <c r="A791" s="3"/>
      <c r="B791" s="14"/>
      <c r="C791" s="14"/>
      <c r="D791" s="14"/>
      <c r="E791" s="14"/>
      <c r="K791" s="14"/>
      <c r="M791" s="14"/>
      <c r="N791" s="14"/>
      <c r="Z791" s="11"/>
      <c r="AA791" s="15"/>
      <c r="AB791" s="15"/>
      <c r="AC791" s="15"/>
      <c r="AU791" s="17"/>
    </row>
    <row r="792" spans="1:47" ht="12" customHeight="1" x14ac:dyDescent="0.25">
      <c r="A792" s="3"/>
      <c r="B792" s="14"/>
      <c r="C792" s="14"/>
      <c r="D792" s="14"/>
      <c r="E792" s="14"/>
      <c r="K792" s="14"/>
      <c r="M792" s="14"/>
      <c r="N792" s="14"/>
      <c r="Z792" s="11"/>
      <c r="AA792" s="15"/>
      <c r="AB792" s="15"/>
      <c r="AC792" s="15"/>
      <c r="AU792" s="17"/>
    </row>
    <row r="793" spans="1:47" ht="12" customHeight="1" x14ac:dyDescent="0.25">
      <c r="A793" s="3"/>
      <c r="B793" s="14"/>
      <c r="C793" s="14"/>
      <c r="D793" s="14"/>
      <c r="E793" s="14"/>
      <c r="K793" s="14"/>
      <c r="M793" s="14"/>
      <c r="N793" s="14"/>
      <c r="Z793" s="11"/>
      <c r="AA793" s="15"/>
      <c r="AB793" s="15"/>
      <c r="AC793" s="15"/>
      <c r="AU793" s="17"/>
    </row>
    <row r="794" spans="1:47" ht="12" customHeight="1" x14ac:dyDescent="0.25">
      <c r="A794" s="3"/>
      <c r="B794" s="14"/>
      <c r="C794" s="14"/>
      <c r="D794" s="14"/>
      <c r="E794" s="14"/>
      <c r="K794" s="14"/>
      <c r="M794" s="14"/>
      <c r="N794" s="14"/>
      <c r="Z794" s="11"/>
      <c r="AA794" s="15"/>
      <c r="AB794" s="15"/>
      <c r="AC794" s="15"/>
      <c r="AU794" s="17"/>
    </row>
    <row r="795" spans="1:47" ht="12" customHeight="1" x14ac:dyDescent="0.25">
      <c r="A795" s="3"/>
      <c r="B795" s="14"/>
      <c r="C795" s="14"/>
      <c r="D795" s="14"/>
      <c r="E795" s="14"/>
      <c r="K795" s="14"/>
      <c r="M795" s="14"/>
      <c r="N795" s="14"/>
      <c r="Z795" s="11"/>
      <c r="AA795" s="15"/>
      <c r="AB795" s="15"/>
      <c r="AC795" s="15"/>
      <c r="AU795" s="17"/>
    </row>
    <row r="796" spans="1:47" ht="12" customHeight="1" x14ac:dyDescent="0.25">
      <c r="A796" s="3"/>
      <c r="B796" s="14"/>
      <c r="C796" s="14"/>
      <c r="D796" s="14"/>
      <c r="E796" s="14"/>
      <c r="K796" s="14"/>
      <c r="M796" s="14"/>
      <c r="N796" s="14"/>
      <c r="Z796" s="11"/>
      <c r="AA796" s="15"/>
      <c r="AB796" s="15"/>
      <c r="AC796" s="15"/>
      <c r="AU796" s="17"/>
    </row>
    <row r="797" spans="1:47" ht="12" customHeight="1" x14ac:dyDescent="0.25">
      <c r="A797" s="3"/>
      <c r="B797" s="14"/>
      <c r="C797" s="14"/>
      <c r="D797" s="14"/>
      <c r="E797" s="14"/>
      <c r="K797" s="14"/>
      <c r="M797" s="14"/>
      <c r="N797" s="14"/>
      <c r="Z797" s="11"/>
      <c r="AA797" s="15"/>
      <c r="AB797" s="15"/>
      <c r="AC797" s="15"/>
      <c r="AU797" s="17"/>
    </row>
    <row r="798" spans="1:47" ht="12" customHeight="1" x14ac:dyDescent="0.25">
      <c r="A798" s="3"/>
      <c r="B798" s="14"/>
      <c r="C798" s="14"/>
      <c r="D798" s="14"/>
      <c r="E798" s="14"/>
      <c r="K798" s="14"/>
      <c r="M798" s="14"/>
      <c r="N798" s="14"/>
      <c r="Z798" s="11"/>
      <c r="AA798" s="15"/>
      <c r="AB798" s="15"/>
      <c r="AC798" s="15"/>
      <c r="AU798" s="17"/>
    </row>
    <row r="799" spans="1:47" ht="12" customHeight="1" x14ac:dyDescent="0.25">
      <c r="A799" s="3"/>
      <c r="B799" s="14"/>
      <c r="C799" s="14"/>
      <c r="D799" s="14"/>
      <c r="E799" s="14"/>
      <c r="K799" s="14"/>
      <c r="M799" s="14"/>
      <c r="N799" s="14"/>
      <c r="Z799" s="11"/>
      <c r="AA799" s="15"/>
      <c r="AB799" s="15"/>
      <c r="AC799" s="15"/>
      <c r="AU799" s="17"/>
    </row>
    <row r="800" spans="1:47" ht="12" customHeight="1" x14ac:dyDescent="0.25">
      <c r="A800" s="3"/>
      <c r="B800" s="14"/>
      <c r="C800" s="14"/>
      <c r="D800" s="14"/>
      <c r="E800" s="14"/>
      <c r="K800" s="14"/>
      <c r="M800" s="14"/>
      <c r="N800" s="14"/>
      <c r="Z800" s="11"/>
      <c r="AA800" s="15"/>
      <c r="AB800" s="15"/>
      <c r="AC800" s="15"/>
      <c r="AU800" s="17"/>
    </row>
    <row r="801" spans="1:47" ht="12" customHeight="1" x14ac:dyDescent="0.25">
      <c r="A801" s="3"/>
      <c r="B801" s="14"/>
      <c r="C801" s="14"/>
      <c r="D801" s="14"/>
      <c r="E801" s="14"/>
      <c r="K801" s="14"/>
      <c r="M801" s="14"/>
      <c r="N801" s="14"/>
      <c r="Z801" s="11"/>
      <c r="AA801" s="15"/>
      <c r="AB801" s="15"/>
      <c r="AC801" s="15"/>
      <c r="AU801" s="17"/>
    </row>
    <row r="802" spans="1:47" ht="12" customHeight="1" x14ac:dyDescent="0.25">
      <c r="A802" s="3"/>
      <c r="B802" s="14"/>
      <c r="C802" s="14"/>
      <c r="D802" s="14"/>
      <c r="E802" s="14"/>
      <c r="K802" s="14"/>
      <c r="M802" s="14"/>
      <c r="N802" s="14"/>
      <c r="Z802" s="11"/>
      <c r="AA802" s="15"/>
      <c r="AB802" s="15"/>
      <c r="AC802" s="15"/>
      <c r="AU802" s="17"/>
    </row>
    <row r="803" spans="1:47" ht="12" customHeight="1" x14ac:dyDescent="0.25">
      <c r="A803" s="3"/>
      <c r="B803" s="14"/>
      <c r="C803" s="14"/>
      <c r="D803" s="14"/>
      <c r="E803" s="14"/>
      <c r="K803" s="14"/>
      <c r="M803" s="14"/>
      <c r="N803" s="14"/>
      <c r="Z803" s="11"/>
      <c r="AA803" s="15"/>
      <c r="AB803" s="15"/>
      <c r="AC803" s="15"/>
      <c r="AU803" s="17"/>
    </row>
    <row r="804" spans="1:47" ht="12" customHeight="1" x14ac:dyDescent="0.25">
      <c r="A804" s="3"/>
      <c r="B804" s="14"/>
      <c r="C804" s="14"/>
      <c r="D804" s="14"/>
      <c r="E804" s="14"/>
      <c r="K804" s="14"/>
      <c r="M804" s="14"/>
      <c r="N804" s="14"/>
      <c r="Z804" s="11"/>
      <c r="AA804" s="15"/>
      <c r="AB804" s="15"/>
      <c r="AC804" s="15"/>
      <c r="AU804" s="17"/>
    </row>
    <row r="805" spans="1:47" ht="12" customHeight="1" x14ac:dyDescent="0.25">
      <c r="A805" s="3"/>
      <c r="B805" s="14"/>
      <c r="C805" s="14"/>
      <c r="D805" s="14"/>
      <c r="E805" s="14"/>
      <c r="K805" s="14"/>
      <c r="M805" s="14"/>
      <c r="N805" s="14"/>
      <c r="Z805" s="11"/>
      <c r="AA805" s="15"/>
      <c r="AB805" s="15"/>
      <c r="AC805" s="15"/>
      <c r="AU805" s="17"/>
    </row>
    <row r="806" spans="1:47" ht="12" customHeight="1" x14ac:dyDescent="0.25">
      <c r="A806" s="3"/>
      <c r="B806" s="14"/>
      <c r="C806" s="14"/>
      <c r="D806" s="14"/>
      <c r="E806" s="14"/>
      <c r="K806" s="14"/>
      <c r="M806" s="14"/>
      <c r="N806" s="14"/>
      <c r="Z806" s="11"/>
      <c r="AA806" s="15"/>
      <c r="AB806" s="15"/>
      <c r="AC806" s="15"/>
      <c r="AU806" s="17"/>
    </row>
    <row r="807" spans="1:47" ht="12" customHeight="1" x14ac:dyDescent="0.25">
      <c r="A807" s="3"/>
      <c r="B807" s="14"/>
      <c r="C807" s="14"/>
      <c r="D807" s="14"/>
      <c r="E807" s="14"/>
      <c r="K807" s="14"/>
      <c r="M807" s="14"/>
      <c r="N807" s="14"/>
      <c r="Z807" s="11"/>
      <c r="AA807" s="15"/>
      <c r="AB807" s="15"/>
      <c r="AC807" s="15"/>
      <c r="AU807" s="17"/>
    </row>
    <row r="808" spans="1:47" ht="12" customHeight="1" x14ac:dyDescent="0.25">
      <c r="A808" s="3"/>
      <c r="B808" s="14"/>
      <c r="C808" s="14"/>
      <c r="D808" s="14"/>
      <c r="E808" s="14"/>
      <c r="K808" s="14"/>
      <c r="M808" s="14"/>
      <c r="N808" s="14"/>
      <c r="Z808" s="11"/>
      <c r="AA808" s="15"/>
      <c r="AB808" s="15"/>
      <c r="AC808" s="15"/>
      <c r="AU808" s="17"/>
    </row>
    <row r="809" spans="1:47" ht="12" customHeight="1" x14ac:dyDescent="0.25">
      <c r="A809" s="3"/>
      <c r="B809" s="14"/>
      <c r="C809" s="14"/>
      <c r="D809" s="14"/>
      <c r="E809" s="14"/>
      <c r="K809" s="14"/>
      <c r="M809" s="14"/>
      <c r="N809" s="14"/>
      <c r="Z809" s="11"/>
      <c r="AA809" s="15"/>
      <c r="AB809" s="15"/>
      <c r="AC809" s="15"/>
      <c r="AU809" s="17"/>
    </row>
    <row r="810" spans="1:47" ht="12" customHeight="1" x14ac:dyDescent="0.25">
      <c r="A810" s="3"/>
      <c r="B810" s="14"/>
      <c r="C810" s="14"/>
      <c r="D810" s="14"/>
      <c r="E810" s="14"/>
      <c r="K810" s="14"/>
      <c r="M810" s="14"/>
      <c r="N810" s="14"/>
      <c r="Z810" s="11"/>
      <c r="AA810" s="15"/>
      <c r="AB810" s="15"/>
      <c r="AC810" s="15"/>
      <c r="AU810" s="17"/>
    </row>
    <row r="811" spans="1:47" ht="12" customHeight="1" x14ac:dyDescent="0.25">
      <c r="A811" s="3"/>
      <c r="B811" s="14"/>
      <c r="C811" s="14"/>
      <c r="D811" s="14"/>
      <c r="E811" s="14"/>
      <c r="K811" s="14"/>
      <c r="M811" s="14"/>
      <c r="N811" s="14"/>
      <c r="Z811" s="11"/>
      <c r="AA811" s="15"/>
      <c r="AB811" s="15"/>
      <c r="AC811" s="15"/>
      <c r="AU811" s="17"/>
    </row>
    <row r="812" spans="1:47" ht="12" customHeight="1" x14ac:dyDescent="0.25">
      <c r="A812" s="3"/>
      <c r="B812" s="14"/>
      <c r="C812" s="14"/>
      <c r="D812" s="14"/>
      <c r="E812" s="14"/>
      <c r="K812" s="14"/>
      <c r="M812" s="14"/>
      <c r="N812" s="14"/>
      <c r="Z812" s="11"/>
      <c r="AA812" s="15"/>
      <c r="AB812" s="15"/>
      <c r="AC812" s="15"/>
      <c r="AU812" s="17"/>
    </row>
    <row r="813" spans="1:47" ht="12" customHeight="1" x14ac:dyDescent="0.25">
      <c r="A813" s="3"/>
      <c r="B813" s="14"/>
      <c r="C813" s="14"/>
      <c r="D813" s="14"/>
      <c r="E813" s="14"/>
      <c r="K813" s="14"/>
      <c r="M813" s="14"/>
      <c r="N813" s="14"/>
      <c r="Z813" s="11"/>
      <c r="AA813" s="15"/>
      <c r="AB813" s="15"/>
      <c r="AC813" s="15"/>
      <c r="AU813" s="17"/>
    </row>
    <row r="814" spans="1:47" ht="12" customHeight="1" x14ac:dyDescent="0.25">
      <c r="A814" s="3"/>
      <c r="B814" s="14"/>
      <c r="C814" s="14"/>
      <c r="D814" s="14"/>
      <c r="E814" s="14"/>
      <c r="K814" s="14"/>
      <c r="M814" s="14"/>
      <c r="N814" s="14"/>
      <c r="Z814" s="11"/>
      <c r="AA814" s="15"/>
      <c r="AB814" s="15"/>
      <c r="AC814" s="15"/>
      <c r="AU814" s="17"/>
    </row>
    <row r="815" spans="1:47" ht="12" customHeight="1" x14ac:dyDescent="0.25">
      <c r="A815" s="3"/>
      <c r="B815" s="14"/>
      <c r="C815" s="14"/>
      <c r="D815" s="14"/>
      <c r="E815" s="14"/>
      <c r="K815" s="14"/>
      <c r="M815" s="14"/>
      <c r="N815" s="14"/>
      <c r="Z815" s="11"/>
      <c r="AA815" s="15"/>
      <c r="AB815" s="15"/>
      <c r="AC815" s="15"/>
      <c r="AU815" s="17"/>
    </row>
    <row r="816" spans="1:47" ht="12" customHeight="1" x14ac:dyDescent="0.25">
      <c r="A816" s="3"/>
      <c r="B816" s="14"/>
      <c r="C816" s="14"/>
      <c r="D816" s="14"/>
      <c r="E816" s="14"/>
      <c r="K816" s="14"/>
      <c r="M816" s="14"/>
      <c r="N816" s="14"/>
      <c r="Z816" s="11"/>
      <c r="AA816" s="15"/>
      <c r="AB816" s="15"/>
      <c r="AC816" s="15"/>
      <c r="AU816" s="17"/>
    </row>
    <row r="817" spans="1:47" ht="12" customHeight="1" x14ac:dyDescent="0.25">
      <c r="A817" s="3"/>
      <c r="B817" s="14"/>
      <c r="C817" s="14"/>
      <c r="D817" s="14"/>
      <c r="E817" s="14"/>
      <c r="K817" s="14"/>
      <c r="M817" s="14"/>
      <c r="N817" s="14"/>
      <c r="Z817" s="11"/>
      <c r="AA817" s="15"/>
      <c r="AB817" s="15"/>
      <c r="AC817" s="15"/>
      <c r="AU817" s="17"/>
    </row>
    <row r="818" spans="1:47" ht="12" customHeight="1" x14ac:dyDescent="0.25">
      <c r="A818" s="3"/>
      <c r="B818" s="14"/>
      <c r="C818" s="14"/>
      <c r="D818" s="14"/>
      <c r="E818" s="14"/>
      <c r="K818" s="14"/>
      <c r="M818" s="14"/>
      <c r="N818" s="14"/>
      <c r="Z818" s="11"/>
      <c r="AA818" s="15"/>
      <c r="AB818" s="15"/>
      <c r="AC818" s="15"/>
      <c r="AU818" s="17"/>
    </row>
    <row r="819" spans="1:47" ht="12" customHeight="1" x14ac:dyDescent="0.25">
      <c r="A819" s="3"/>
      <c r="B819" s="14"/>
      <c r="C819" s="14"/>
      <c r="D819" s="14"/>
      <c r="E819" s="14"/>
      <c r="K819" s="14"/>
      <c r="M819" s="14"/>
      <c r="N819" s="14"/>
      <c r="Z819" s="11"/>
      <c r="AA819" s="15"/>
      <c r="AB819" s="15"/>
      <c r="AC819" s="15"/>
      <c r="AU819" s="17"/>
    </row>
    <row r="820" spans="1:47" ht="12" customHeight="1" x14ac:dyDescent="0.25">
      <c r="A820" s="3"/>
      <c r="B820" s="14"/>
      <c r="C820" s="14"/>
      <c r="D820" s="14"/>
      <c r="E820" s="14"/>
      <c r="K820" s="14"/>
      <c r="M820" s="14"/>
      <c r="N820" s="14"/>
      <c r="Z820" s="11"/>
      <c r="AA820" s="15"/>
      <c r="AB820" s="15"/>
      <c r="AC820" s="15"/>
      <c r="AU820" s="17"/>
    </row>
    <row r="821" spans="1:47" ht="12" customHeight="1" x14ac:dyDescent="0.25">
      <c r="A821" s="3"/>
      <c r="B821" s="14"/>
      <c r="C821" s="14"/>
      <c r="D821" s="14"/>
      <c r="E821" s="14"/>
      <c r="K821" s="14"/>
      <c r="M821" s="14"/>
      <c r="N821" s="14"/>
      <c r="Z821" s="11"/>
      <c r="AA821" s="15"/>
      <c r="AB821" s="15"/>
      <c r="AC821" s="15"/>
      <c r="AU821" s="17"/>
    </row>
    <row r="822" spans="1:47" ht="12" customHeight="1" x14ac:dyDescent="0.25">
      <c r="A822" s="3"/>
      <c r="B822" s="14"/>
      <c r="C822" s="14"/>
      <c r="D822" s="14"/>
      <c r="E822" s="14"/>
      <c r="K822" s="14"/>
      <c r="M822" s="14"/>
      <c r="N822" s="14"/>
      <c r="Z822" s="11"/>
      <c r="AA822" s="15"/>
      <c r="AB822" s="15"/>
      <c r="AC822" s="15"/>
      <c r="AU822" s="17"/>
    </row>
    <row r="823" spans="1:47" ht="12" customHeight="1" x14ac:dyDescent="0.25">
      <c r="A823" s="3"/>
      <c r="B823" s="14"/>
      <c r="C823" s="14"/>
      <c r="D823" s="14"/>
      <c r="E823" s="14"/>
      <c r="K823" s="14"/>
      <c r="M823" s="14"/>
      <c r="N823" s="14"/>
      <c r="Z823" s="11"/>
      <c r="AA823" s="15"/>
      <c r="AB823" s="15"/>
      <c r="AC823" s="15"/>
      <c r="AU823" s="17"/>
    </row>
    <row r="824" spans="1:47" ht="12" customHeight="1" x14ac:dyDescent="0.25">
      <c r="A824" s="3"/>
      <c r="B824" s="14"/>
      <c r="C824" s="14"/>
      <c r="D824" s="14"/>
      <c r="E824" s="14"/>
      <c r="K824" s="14"/>
      <c r="M824" s="14"/>
      <c r="N824" s="14"/>
      <c r="Z824" s="11"/>
      <c r="AA824" s="15"/>
      <c r="AB824" s="15"/>
      <c r="AC824" s="15"/>
      <c r="AU824" s="17"/>
    </row>
    <row r="825" spans="1:47" ht="12" customHeight="1" x14ac:dyDescent="0.25">
      <c r="A825" s="3"/>
      <c r="B825" s="14"/>
      <c r="C825" s="14"/>
      <c r="D825" s="14"/>
      <c r="E825" s="14"/>
      <c r="K825" s="14"/>
      <c r="M825" s="14"/>
      <c r="N825" s="14"/>
      <c r="Z825" s="11"/>
      <c r="AA825" s="15"/>
      <c r="AB825" s="15"/>
      <c r="AC825" s="15"/>
      <c r="AU825" s="17"/>
    </row>
    <row r="826" spans="1:47" ht="12" customHeight="1" x14ac:dyDescent="0.25">
      <c r="A826" s="3"/>
      <c r="B826" s="14"/>
      <c r="C826" s="14"/>
      <c r="D826" s="14"/>
      <c r="E826" s="14"/>
      <c r="K826" s="14"/>
      <c r="M826" s="14"/>
      <c r="N826" s="14"/>
      <c r="Z826" s="11"/>
      <c r="AA826" s="15"/>
      <c r="AB826" s="15"/>
      <c r="AC826" s="15"/>
      <c r="AU826" s="17"/>
    </row>
    <row r="827" spans="1:47" ht="12" customHeight="1" x14ac:dyDescent="0.25">
      <c r="A827" s="3"/>
      <c r="B827" s="14"/>
      <c r="C827" s="14"/>
      <c r="D827" s="14"/>
      <c r="E827" s="14"/>
      <c r="K827" s="14"/>
      <c r="M827" s="14"/>
      <c r="N827" s="14"/>
      <c r="Z827" s="11"/>
      <c r="AA827" s="15"/>
      <c r="AB827" s="15"/>
      <c r="AC827" s="15"/>
      <c r="AU827" s="17"/>
    </row>
    <row r="828" spans="1:47" ht="12" customHeight="1" x14ac:dyDescent="0.25">
      <c r="A828" s="3"/>
      <c r="B828" s="14"/>
      <c r="C828" s="14"/>
      <c r="D828" s="14"/>
      <c r="E828" s="14"/>
      <c r="K828" s="14"/>
      <c r="M828" s="14"/>
      <c r="N828" s="14"/>
      <c r="Z828" s="11"/>
      <c r="AA828" s="15"/>
      <c r="AB828" s="15"/>
      <c r="AC828" s="15"/>
      <c r="AU828" s="17"/>
    </row>
    <row r="829" spans="1:47" ht="12" customHeight="1" x14ac:dyDescent="0.25">
      <c r="A829" s="3"/>
      <c r="B829" s="14"/>
      <c r="C829" s="14"/>
      <c r="D829" s="14"/>
      <c r="E829" s="14"/>
      <c r="K829" s="14"/>
      <c r="M829" s="14"/>
      <c r="N829" s="14"/>
      <c r="Z829" s="11"/>
      <c r="AA829" s="15"/>
      <c r="AB829" s="15"/>
      <c r="AC829" s="15"/>
      <c r="AU829" s="17"/>
    </row>
    <row r="830" spans="1:47" ht="12" customHeight="1" x14ac:dyDescent="0.25">
      <c r="A830" s="3"/>
      <c r="B830" s="14"/>
      <c r="C830" s="14"/>
      <c r="D830" s="14"/>
      <c r="E830" s="14"/>
      <c r="K830" s="14"/>
      <c r="M830" s="14"/>
      <c r="N830" s="14"/>
      <c r="Z830" s="11"/>
      <c r="AA830" s="15"/>
      <c r="AB830" s="15"/>
      <c r="AC830" s="15"/>
      <c r="AU830" s="17"/>
    </row>
    <row r="831" spans="1:47" ht="12" customHeight="1" x14ac:dyDescent="0.25">
      <c r="A831" s="3"/>
      <c r="B831" s="14"/>
      <c r="C831" s="14"/>
      <c r="D831" s="14"/>
      <c r="E831" s="14"/>
      <c r="K831" s="14"/>
      <c r="M831" s="14"/>
      <c r="N831" s="14"/>
      <c r="Z831" s="11"/>
      <c r="AA831" s="15"/>
      <c r="AB831" s="15"/>
      <c r="AC831" s="15"/>
      <c r="AU831" s="17"/>
    </row>
    <row r="832" spans="1:47" ht="12" customHeight="1" x14ac:dyDescent="0.25">
      <c r="A832" s="3"/>
      <c r="B832" s="14"/>
      <c r="C832" s="14"/>
      <c r="D832" s="14"/>
      <c r="E832" s="14"/>
      <c r="K832" s="14"/>
      <c r="M832" s="14"/>
      <c r="N832" s="14"/>
      <c r="Z832" s="11"/>
      <c r="AA832" s="15"/>
      <c r="AB832" s="15"/>
      <c r="AC832" s="15"/>
      <c r="AU832" s="17"/>
    </row>
    <row r="833" spans="1:47" ht="12" customHeight="1" x14ac:dyDescent="0.25">
      <c r="A833" s="3"/>
      <c r="B833" s="14"/>
      <c r="C833" s="14"/>
      <c r="D833" s="14"/>
      <c r="E833" s="14"/>
      <c r="K833" s="14"/>
      <c r="M833" s="14"/>
      <c r="N833" s="14"/>
      <c r="Z833" s="11"/>
      <c r="AA833" s="15"/>
      <c r="AB833" s="15"/>
      <c r="AC833" s="15"/>
      <c r="AU833" s="17"/>
    </row>
    <row r="834" spans="1:47" ht="12" customHeight="1" x14ac:dyDescent="0.25">
      <c r="A834" s="3"/>
      <c r="B834" s="14"/>
      <c r="C834" s="14"/>
      <c r="D834" s="14"/>
      <c r="E834" s="14"/>
      <c r="K834" s="14"/>
      <c r="M834" s="14"/>
      <c r="N834" s="14"/>
      <c r="Z834" s="11"/>
      <c r="AA834" s="15"/>
      <c r="AB834" s="15"/>
      <c r="AC834" s="15"/>
      <c r="AU834" s="17"/>
    </row>
    <row r="835" spans="1:47" ht="12" customHeight="1" x14ac:dyDescent="0.25">
      <c r="A835" s="3"/>
      <c r="B835" s="14"/>
      <c r="C835" s="14"/>
      <c r="D835" s="14"/>
      <c r="E835" s="14"/>
      <c r="K835" s="14"/>
      <c r="M835" s="14"/>
      <c r="N835" s="14"/>
      <c r="Z835" s="11"/>
      <c r="AA835" s="15"/>
      <c r="AB835" s="15"/>
      <c r="AC835" s="15"/>
      <c r="AU835" s="17"/>
    </row>
    <row r="836" spans="1:47" ht="12" customHeight="1" x14ac:dyDescent="0.25">
      <c r="A836" s="3"/>
      <c r="B836" s="14"/>
      <c r="C836" s="14"/>
      <c r="D836" s="14"/>
      <c r="E836" s="14"/>
      <c r="K836" s="14"/>
      <c r="M836" s="14"/>
      <c r="N836" s="14"/>
      <c r="Z836" s="11"/>
      <c r="AA836" s="15"/>
      <c r="AB836" s="15"/>
      <c r="AC836" s="15"/>
      <c r="AU836" s="17"/>
    </row>
    <row r="837" spans="1:47" ht="12" customHeight="1" x14ac:dyDescent="0.25">
      <c r="A837" s="3"/>
      <c r="B837" s="14"/>
      <c r="C837" s="14"/>
      <c r="D837" s="14"/>
      <c r="E837" s="14"/>
      <c r="K837" s="14"/>
      <c r="M837" s="14"/>
      <c r="N837" s="14"/>
      <c r="Z837" s="11"/>
      <c r="AA837" s="15"/>
      <c r="AB837" s="15"/>
      <c r="AC837" s="15"/>
      <c r="AU837" s="17"/>
    </row>
    <row r="838" spans="1:47" ht="12" customHeight="1" x14ac:dyDescent="0.25">
      <c r="A838" s="3"/>
      <c r="B838" s="14"/>
      <c r="C838" s="14"/>
      <c r="D838" s="14"/>
      <c r="E838" s="14"/>
      <c r="K838" s="14"/>
      <c r="M838" s="14"/>
      <c r="N838" s="14"/>
      <c r="Z838" s="11"/>
      <c r="AA838" s="15"/>
      <c r="AB838" s="15"/>
      <c r="AC838" s="15"/>
      <c r="AU838" s="17"/>
    </row>
    <row r="839" spans="1:47" ht="12" customHeight="1" x14ac:dyDescent="0.25">
      <c r="A839" s="3"/>
      <c r="B839" s="14"/>
      <c r="C839" s="14"/>
      <c r="D839" s="14"/>
      <c r="E839" s="14"/>
      <c r="K839" s="14"/>
      <c r="M839" s="14"/>
      <c r="N839" s="14"/>
      <c r="Z839" s="11"/>
      <c r="AA839" s="15"/>
      <c r="AB839" s="15"/>
      <c r="AC839" s="15"/>
      <c r="AU839" s="17"/>
    </row>
    <row r="840" spans="1:47" ht="12" customHeight="1" x14ac:dyDescent="0.25">
      <c r="A840" s="3"/>
      <c r="B840" s="14"/>
      <c r="C840" s="14"/>
      <c r="D840" s="14"/>
      <c r="E840" s="14"/>
      <c r="K840" s="14"/>
      <c r="M840" s="14"/>
      <c r="N840" s="14"/>
      <c r="Z840" s="11"/>
      <c r="AA840" s="15"/>
      <c r="AB840" s="15"/>
      <c r="AC840" s="15"/>
      <c r="AU840" s="17"/>
    </row>
    <row r="841" spans="1:47" ht="12" customHeight="1" x14ac:dyDescent="0.25">
      <c r="A841" s="3"/>
      <c r="B841" s="14"/>
      <c r="C841" s="14"/>
      <c r="D841" s="14"/>
      <c r="E841" s="14"/>
      <c r="K841" s="14"/>
      <c r="M841" s="14"/>
      <c r="N841" s="14"/>
      <c r="Z841" s="11"/>
      <c r="AA841" s="15"/>
      <c r="AB841" s="15"/>
      <c r="AC841" s="15"/>
      <c r="AU841" s="17"/>
    </row>
    <row r="842" spans="1:47" ht="12" customHeight="1" x14ac:dyDescent="0.25">
      <c r="A842" s="3"/>
      <c r="B842" s="14"/>
      <c r="C842" s="14"/>
      <c r="D842" s="14"/>
      <c r="E842" s="14"/>
      <c r="K842" s="14"/>
      <c r="M842" s="14"/>
      <c r="N842" s="14"/>
      <c r="Z842" s="11"/>
      <c r="AA842" s="15"/>
      <c r="AB842" s="15"/>
      <c r="AC842" s="15"/>
      <c r="AU842" s="17"/>
    </row>
    <row r="843" spans="1:47" ht="12" customHeight="1" x14ac:dyDescent="0.25">
      <c r="A843" s="3"/>
      <c r="B843" s="14"/>
      <c r="C843" s="14"/>
      <c r="D843" s="14"/>
      <c r="E843" s="14"/>
      <c r="K843" s="14"/>
      <c r="M843" s="14"/>
      <c r="N843" s="14"/>
      <c r="Z843" s="11"/>
      <c r="AA843" s="15"/>
      <c r="AB843" s="15"/>
      <c r="AC843" s="15"/>
      <c r="AU843" s="17"/>
    </row>
    <row r="844" spans="1:47" ht="12" customHeight="1" x14ac:dyDescent="0.25">
      <c r="A844" s="3"/>
      <c r="B844" s="14"/>
      <c r="C844" s="14"/>
      <c r="D844" s="14"/>
      <c r="E844" s="14"/>
      <c r="K844" s="14"/>
      <c r="M844" s="14"/>
      <c r="N844" s="14"/>
      <c r="Z844" s="11"/>
      <c r="AA844" s="15"/>
      <c r="AB844" s="15"/>
      <c r="AC844" s="15"/>
      <c r="AU844" s="17"/>
    </row>
    <row r="845" spans="1:47" ht="12" customHeight="1" x14ac:dyDescent="0.25">
      <c r="A845" s="3"/>
      <c r="B845" s="14"/>
      <c r="C845" s="14"/>
      <c r="D845" s="14"/>
      <c r="E845" s="14"/>
      <c r="K845" s="14"/>
      <c r="M845" s="14"/>
      <c r="N845" s="14"/>
      <c r="Z845" s="11"/>
      <c r="AA845" s="15"/>
      <c r="AB845" s="15"/>
      <c r="AC845" s="15"/>
      <c r="AU845" s="17"/>
    </row>
    <row r="846" spans="1:47" ht="12" customHeight="1" x14ac:dyDescent="0.25">
      <c r="A846" s="3"/>
      <c r="B846" s="14"/>
      <c r="C846" s="14"/>
      <c r="D846" s="14"/>
      <c r="E846" s="14"/>
      <c r="K846" s="14"/>
      <c r="M846" s="14"/>
      <c r="N846" s="14"/>
      <c r="Z846" s="11"/>
      <c r="AA846" s="15"/>
      <c r="AB846" s="15"/>
      <c r="AC846" s="15"/>
      <c r="AU846" s="17"/>
    </row>
    <row r="847" spans="1:47" ht="12" customHeight="1" x14ac:dyDescent="0.25">
      <c r="A847" s="3"/>
      <c r="B847" s="14"/>
      <c r="C847" s="14"/>
      <c r="D847" s="14"/>
      <c r="E847" s="14"/>
      <c r="K847" s="14"/>
      <c r="M847" s="14"/>
      <c r="N847" s="14"/>
      <c r="Z847" s="11"/>
      <c r="AA847" s="15"/>
      <c r="AB847" s="15"/>
      <c r="AC847" s="15"/>
      <c r="AU847" s="17"/>
    </row>
    <row r="848" spans="1:47" ht="12" customHeight="1" x14ac:dyDescent="0.25">
      <c r="A848" s="3"/>
      <c r="B848" s="14"/>
      <c r="C848" s="14"/>
      <c r="D848" s="14"/>
      <c r="E848" s="14"/>
      <c r="K848" s="14"/>
      <c r="M848" s="14"/>
      <c r="N848" s="14"/>
      <c r="Z848" s="11"/>
      <c r="AA848" s="15"/>
      <c r="AB848" s="15"/>
      <c r="AC848" s="15"/>
      <c r="AU848" s="17"/>
    </row>
    <row r="849" spans="1:47" ht="12" customHeight="1" x14ac:dyDescent="0.25">
      <c r="A849" s="3"/>
      <c r="B849" s="14"/>
      <c r="C849" s="14"/>
      <c r="D849" s="14"/>
      <c r="E849" s="14"/>
      <c r="K849" s="14"/>
      <c r="M849" s="14"/>
      <c r="N849" s="14"/>
      <c r="Z849" s="11"/>
      <c r="AA849" s="15"/>
      <c r="AB849" s="15"/>
      <c r="AC849" s="15"/>
      <c r="AU849" s="17"/>
    </row>
    <row r="850" spans="1:47" ht="12" customHeight="1" x14ac:dyDescent="0.25">
      <c r="A850" s="3"/>
      <c r="B850" s="14"/>
      <c r="C850" s="14"/>
      <c r="D850" s="14"/>
      <c r="E850" s="14"/>
      <c r="K850" s="14"/>
      <c r="M850" s="14"/>
      <c r="N850" s="14"/>
      <c r="Z850" s="11"/>
      <c r="AA850" s="15"/>
      <c r="AB850" s="15"/>
      <c r="AC850" s="15"/>
      <c r="AU850" s="17"/>
    </row>
    <row r="851" spans="1:47" ht="12" customHeight="1" x14ac:dyDescent="0.25">
      <c r="A851" s="3"/>
      <c r="B851" s="14"/>
      <c r="C851" s="14"/>
      <c r="D851" s="14"/>
      <c r="E851" s="14"/>
      <c r="K851" s="14"/>
      <c r="M851" s="14"/>
      <c r="N851" s="14"/>
      <c r="Z851" s="11"/>
      <c r="AA851" s="15"/>
      <c r="AB851" s="15"/>
      <c r="AC851" s="15"/>
      <c r="AU851" s="17"/>
    </row>
    <row r="852" spans="1:47" ht="12" customHeight="1" x14ac:dyDescent="0.25">
      <c r="A852" s="3"/>
      <c r="B852" s="14"/>
      <c r="C852" s="14"/>
      <c r="D852" s="14"/>
      <c r="E852" s="14"/>
      <c r="K852" s="14"/>
      <c r="M852" s="14"/>
      <c r="N852" s="14"/>
      <c r="Z852" s="11"/>
      <c r="AA852" s="15"/>
      <c r="AB852" s="15"/>
      <c r="AC852" s="15"/>
      <c r="AU852" s="17"/>
    </row>
    <row r="853" spans="1:47" ht="12" customHeight="1" x14ac:dyDescent="0.25">
      <c r="A853" s="3"/>
      <c r="B853" s="14"/>
      <c r="C853" s="14"/>
      <c r="D853" s="14"/>
      <c r="E853" s="14"/>
      <c r="K853" s="14"/>
      <c r="M853" s="14"/>
      <c r="N853" s="14"/>
      <c r="Z853" s="11"/>
      <c r="AA853" s="15"/>
      <c r="AB853" s="15"/>
      <c r="AC853" s="15"/>
      <c r="AU853" s="17"/>
    </row>
    <row r="854" spans="1:47" ht="12" customHeight="1" x14ac:dyDescent="0.25">
      <c r="A854" s="3"/>
      <c r="B854" s="14"/>
      <c r="C854" s="14"/>
      <c r="D854" s="14"/>
      <c r="E854" s="14"/>
      <c r="K854" s="14"/>
      <c r="M854" s="14"/>
      <c r="N854" s="14"/>
      <c r="Z854" s="11"/>
      <c r="AA854" s="15"/>
      <c r="AB854" s="15"/>
      <c r="AC854" s="15"/>
      <c r="AU854" s="17"/>
    </row>
    <row r="855" spans="1:47" ht="12" customHeight="1" x14ac:dyDescent="0.25">
      <c r="A855" s="3"/>
      <c r="B855" s="14"/>
      <c r="C855" s="14"/>
      <c r="D855" s="14"/>
      <c r="E855" s="14"/>
      <c r="K855" s="14"/>
      <c r="M855" s="14"/>
      <c r="N855" s="14"/>
      <c r="Z855" s="11"/>
      <c r="AA855" s="15"/>
      <c r="AB855" s="15"/>
      <c r="AC855" s="15"/>
      <c r="AU855" s="17"/>
    </row>
    <row r="856" spans="1:47" ht="12" customHeight="1" x14ac:dyDescent="0.25">
      <c r="A856" s="3"/>
      <c r="B856" s="14"/>
      <c r="C856" s="14"/>
      <c r="D856" s="14"/>
      <c r="E856" s="14"/>
      <c r="K856" s="14"/>
      <c r="M856" s="14"/>
      <c r="N856" s="14"/>
      <c r="Z856" s="11"/>
      <c r="AA856" s="15"/>
      <c r="AB856" s="15"/>
      <c r="AC856" s="15"/>
      <c r="AU856" s="17"/>
    </row>
    <row r="857" spans="1:47" ht="12" customHeight="1" x14ac:dyDescent="0.25">
      <c r="A857" s="3"/>
      <c r="B857" s="14"/>
      <c r="C857" s="14"/>
      <c r="D857" s="14"/>
      <c r="E857" s="14"/>
      <c r="K857" s="14"/>
      <c r="M857" s="14"/>
      <c r="N857" s="14"/>
      <c r="Z857" s="11"/>
      <c r="AA857" s="15"/>
      <c r="AB857" s="15"/>
      <c r="AC857" s="15"/>
      <c r="AU857" s="17"/>
    </row>
    <row r="858" spans="1:47" ht="12" customHeight="1" x14ac:dyDescent="0.25">
      <c r="A858" s="3"/>
      <c r="B858" s="14"/>
      <c r="C858" s="14"/>
      <c r="D858" s="14"/>
      <c r="E858" s="14"/>
      <c r="K858" s="14"/>
      <c r="M858" s="14"/>
      <c r="N858" s="14"/>
      <c r="Z858" s="11"/>
      <c r="AA858" s="15"/>
      <c r="AB858" s="15"/>
      <c r="AC858" s="15"/>
      <c r="AU858" s="17"/>
    </row>
    <row r="859" spans="1:47" ht="12" customHeight="1" x14ac:dyDescent="0.25">
      <c r="A859" s="3"/>
      <c r="B859" s="14"/>
      <c r="C859" s="14"/>
      <c r="D859" s="14"/>
      <c r="E859" s="14"/>
      <c r="K859" s="14"/>
      <c r="M859" s="14"/>
      <c r="N859" s="14"/>
      <c r="Z859" s="11"/>
      <c r="AA859" s="15"/>
      <c r="AB859" s="15"/>
      <c r="AC859" s="15"/>
      <c r="AU859" s="17"/>
    </row>
    <row r="860" spans="1:47" ht="12" customHeight="1" x14ac:dyDescent="0.25">
      <c r="A860" s="3"/>
      <c r="B860" s="14"/>
      <c r="C860" s="14"/>
      <c r="D860" s="14"/>
      <c r="E860" s="14"/>
      <c r="K860" s="14"/>
      <c r="M860" s="14"/>
      <c r="N860" s="14"/>
      <c r="Z860" s="11"/>
      <c r="AA860" s="15"/>
      <c r="AB860" s="15"/>
      <c r="AC860" s="15"/>
      <c r="AU860" s="17"/>
    </row>
    <row r="861" spans="1:47" ht="12" customHeight="1" x14ac:dyDescent="0.25">
      <c r="A861" s="3"/>
      <c r="B861" s="14"/>
      <c r="C861" s="14"/>
      <c r="D861" s="14"/>
      <c r="E861" s="14"/>
      <c r="K861" s="14"/>
      <c r="M861" s="14"/>
      <c r="N861" s="14"/>
      <c r="Z861" s="11"/>
      <c r="AA861" s="15"/>
      <c r="AB861" s="15"/>
      <c r="AC861" s="15"/>
      <c r="AU861" s="17"/>
    </row>
    <row r="862" spans="1:47" ht="12" customHeight="1" x14ac:dyDescent="0.25">
      <c r="A862" s="3"/>
      <c r="B862" s="14"/>
      <c r="C862" s="14"/>
      <c r="D862" s="14"/>
      <c r="E862" s="14"/>
      <c r="K862" s="14"/>
      <c r="M862" s="14"/>
      <c r="N862" s="14"/>
      <c r="Z862" s="11"/>
      <c r="AA862" s="15"/>
      <c r="AB862" s="15"/>
      <c r="AC862" s="15"/>
      <c r="AU862" s="17"/>
    </row>
    <row r="863" spans="1:47" ht="12" customHeight="1" x14ac:dyDescent="0.25">
      <c r="A863" s="3"/>
      <c r="B863" s="14"/>
      <c r="C863" s="14"/>
      <c r="D863" s="14"/>
      <c r="E863" s="14"/>
      <c r="K863" s="14"/>
      <c r="M863" s="14"/>
      <c r="N863" s="14"/>
      <c r="Z863" s="11"/>
      <c r="AA863" s="15"/>
      <c r="AB863" s="15"/>
      <c r="AC863" s="15"/>
      <c r="AU863" s="17"/>
    </row>
    <row r="864" spans="1:47" ht="12" customHeight="1" x14ac:dyDescent="0.25">
      <c r="A864" s="3"/>
      <c r="B864" s="14"/>
      <c r="C864" s="14"/>
      <c r="D864" s="14"/>
      <c r="E864" s="14"/>
      <c r="K864" s="14"/>
      <c r="M864" s="14"/>
      <c r="N864" s="14"/>
      <c r="Z864" s="11"/>
      <c r="AA864" s="15"/>
      <c r="AB864" s="15"/>
      <c r="AC864" s="15"/>
      <c r="AU864" s="17"/>
    </row>
    <row r="865" spans="1:47" ht="12" customHeight="1" x14ac:dyDescent="0.25">
      <c r="A865" s="3"/>
      <c r="B865" s="14"/>
      <c r="C865" s="14"/>
      <c r="D865" s="14"/>
      <c r="E865" s="14"/>
      <c r="K865" s="14"/>
      <c r="M865" s="14"/>
      <c r="N865" s="14"/>
      <c r="Z865" s="11"/>
      <c r="AA865" s="15"/>
      <c r="AB865" s="15"/>
      <c r="AC865" s="15"/>
      <c r="AU865" s="17"/>
    </row>
    <row r="866" spans="1:47" ht="12" customHeight="1" x14ac:dyDescent="0.25">
      <c r="A866" s="3"/>
      <c r="B866" s="14"/>
      <c r="C866" s="14"/>
      <c r="D866" s="14"/>
      <c r="E866" s="14"/>
      <c r="K866" s="14"/>
      <c r="M866" s="14"/>
      <c r="N866" s="14"/>
      <c r="Z866" s="11"/>
      <c r="AA866" s="15"/>
      <c r="AB866" s="15"/>
      <c r="AC866" s="15"/>
      <c r="AU866" s="17"/>
    </row>
    <row r="867" spans="1:47" ht="12" customHeight="1" x14ac:dyDescent="0.25">
      <c r="A867" s="3"/>
      <c r="B867" s="14"/>
      <c r="C867" s="14"/>
      <c r="D867" s="14"/>
      <c r="E867" s="14"/>
      <c r="K867" s="14"/>
      <c r="M867" s="14"/>
      <c r="N867" s="14"/>
      <c r="Z867" s="11"/>
      <c r="AA867" s="15"/>
      <c r="AB867" s="15"/>
      <c r="AC867" s="15"/>
      <c r="AU867" s="17"/>
    </row>
    <row r="868" spans="1:47" ht="12" customHeight="1" x14ac:dyDescent="0.25">
      <c r="A868" s="3"/>
      <c r="B868" s="14"/>
      <c r="C868" s="14"/>
      <c r="D868" s="14"/>
      <c r="E868" s="14"/>
      <c r="K868" s="14"/>
      <c r="M868" s="14"/>
      <c r="N868" s="14"/>
      <c r="Z868" s="11"/>
      <c r="AA868" s="15"/>
      <c r="AB868" s="15"/>
      <c r="AC868" s="15"/>
      <c r="AU868" s="17"/>
    </row>
    <row r="869" spans="1:47" ht="12" customHeight="1" x14ac:dyDescent="0.25">
      <c r="A869" s="3"/>
      <c r="B869" s="14"/>
      <c r="C869" s="14"/>
      <c r="D869" s="14"/>
      <c r="E869" s="14"/>
      <c r="K869" s="14"/>
      <c r="M869" s="14"/>
      <c r="N869" s="14"/>
      <c r="Z869" s="11"/>
      <c r="AA869" s="15"/>
      <c r="AB869" s="15"/>
      <c r="AC869" s="15"/>
      <c r="AU869" s="17"/>
    </row>
    <row r="870" spans="1:47" ht="12" customHeight="1" x14ac:dyDescent="0.25">
      <c r="A870" s="3"/>
      <c r="B870" s="14"/>
      <c r="C870" s="14"/>
      <c r="D870" s="14"/>
      <c r="E870" s="14"/>
      <c r="K870" s="14"/>
      <c r="M870" s="14"/>
      <c r="N870" s="14"/>
      <c r="Z870" s="11"/>
      <c r="AA870" s="15"/>
      <c r="AB870" s="15"/>
      <c r="AC870" s="15"/>
      <c r="AU870" s="17"/>
    </row>
    <row r="871" spans="1:47" ht="12" customHeight="1" x14ac:dyDescent="0.25">
      <c r="A871" s="3"/>
      <c r="B871" s="14"/>
      <c r="C871" s="14"/>
      <c r="D871" s="14"/>
      <c r="E871" s="14"/>
      <c r="K871" s="14"/>
      <c r="M871" s="14"/>
      <c r="N871" s="14"/>
      <c r="Z871" s="11"/>
      <c r="AA871" s="15"/>
      <c r="AB871" s="15"/>
      <c r="AC871" s="15"/>
      <c r="AU871" s="17"/>
    </row>
    <row r="872" spans="1:47" ht="12" customHeight="1" x14ac:dyDescent="0.25">
      <c r="A872" s="3"/>
      <c r="B872" s="14"/>
      <c r="C872" s="14"/>
      <c r="D872" s="14"/>
      <c r="E872" s="14"/>
      <c r="K872" s="14"/>
      <c r="M872" s="14"/>
      <c r="N872" s="14"/>
      <c r="Z872" s="11"/>
      <c r="AA872" s="15"/>
      <c r="AB872" s="15"/>
      <c r="AC872" s="15"/>
      <c r="AU872" s="17"/>
    </row>
    <row r="873" spans="1:47" ht="12" customHeight="1" x14ac:dyDescent="0.25">
      <c r="A873" s="3"/>
      <c r="B873" s="14"/>
      <c r="C873" s="14"/>
      <c r="D873" s="14"/>
      <c r="E873" s="14"/>
      <c r="K873" s="14"/>
      <c r="M873" s="14"/>
      <c r="N873" s="14"/>
      <c r="Z873" s="11"/>
      <c r="AA873" s="15"/>
      <c r="AB873" s="15"/>
      <c r="AC873" s="15"/>
      <c r="AU873" s="17"/>
    </row>
    <row r="874" spans="1:47" ht="12" customHeight="1" x14ac:dyDescent="0.25">
      <c r="A874" s="3"/>
      <c r="B874" s="14"/>
      <c r="C874" s="14"/>
      <c r="D874" s="14"/>
      <c r="E874" s="14"/>
      <c r="K874" s="14"/>
      <c r="M874" s="14"/>
      <c r="N874" s="14"/>
      <c r="Z874" s="11"/>
      <c r="AA874" s="15"/>
      <c r="AB874" s="15"/>
      <c r="AC874" s="15"/>
      <c r="AU874" s="17"/>
    </row>
    <row r="875" spans="1:47" ht="12" customHeight="1" x14ac:dyDescent="0.25">
      <c r="A875" s="3"/>
      <c r="B875" s="14"/>
      <c r="C875" s="14"/>
      <c r="D875" s="14"/>
      <c r="E875" s="14"/>
      <c r="K875" s="14"/>
      <c r="M875" s="14"/>
      <c r="N875" s="14"/>
      <c r="Z875" s="11"/>
      <c r="AA875" s="15"/>
      <c r="AB875" s="15"/>
      <c r="AC875" s="15"/>
      <c r="AU875" s="17"/>
    </row>
    <row r="876" spans="1:47" ht="12" customHeight="1" x14ac:dyDescent="0.25">
      <c r="A876" s="3"/>
      <c r="B876" s="14"/>
      <c r="C876" s="14"/>
      <c r="D876" s="14"/>
      <c r="E876" s="14"/>
      <c r="K876" s="14"/>
      <c r="M876" s="14"/>
      <c r="N876" s="14"/>
      <c r="Z876" s="11"/>
      <c r="AA876" s="15"/>
      <c r="AB876" s="15"/>
      <c r="AC876" s="15"/>
      <c r="AU876" s="17"/>
    </row>
    <row r="877" spans="1:47" ht="12" customHeight="1" x14ac:dyDescent="0.25">
      <c r="A877" s="3"/>
      <c r="B877" s="14"/>
      <c r="C877" s="14"/>
      <c r="D877" s="14"/>
      <c r="E877" s="14"/>
      <c r="K877" s="14"/>
      <c r="M877" s="14"/>
      <c r="N877" s="14"/>
      <c r="Z877" s="11"/>
      <c r="AA877" s="15"/>
      <c r="AB877" s="15"/>
      <c r="AC877" s="15"/>
      <c r="AU877" s="17"/>
    </row>
    <row r="878" spans="1:47" ht="12" customHeight="1" x14ac:dyDescent="0.25">
      <c r="A878" s="3"/>
      <c r="B878" s="14"/>
      <c r="C878" s="14"/>
      <c r="D878" s="14"/>
      <c r="E878" s="14"/>
      <c r="K878" s="14"/>
      <c r="M878" s="14"/>
      <c r="N878" s="14"/>
      <c r="Z878" s="11"/>
      <c r="AA878" s="15"/>
      <c r="AB878" s="15"/>
      <c r="AC878" s="15"/>
      <c r="AU878" s="17"/>
    </row>
    <row r="879" spans="1:47" ht="12" customHeight="1" x14ac:dyDescent="0.25">
      <c r="A879" s="3"/>
      <c r="B879" s="14"/>
      <c r="C879" s="14"/>
      <c r="D879" s="14"/>
      <c r="E879" s="14"/>
      <c r="K879" s="14"/>
      <c r="M879" s="14"/>
      <c r="N879" s="14"/>
      <c r="Z879" s="11"/>
      <c r="AA879" s="15"/>
      <c r="AB879" s="15"/>
      <c r="AC879" s="15"/>
      <c r="AU879" s="17"/>
    </row>
    <row r="880" spans="1:47" ht="12" customHeight="1" x14ac:dyDescent="0.25">
      <c r="A880" s="3"/>
      <c r="B880" s="14"/>
      <c r="C880" s="14"/>
      <c r="D880" s="14"/>
      <c r="E880" s="14"/>
      <c r="K880" s="14"/>
      <c r="M880" s="14"/>
      <c r="N880" s="14"/>
      <c r="Z880" s="11"/>
      <c r="AA880" s="15"/>
      <c r="AB880" s="15"/>
      <c r="AC880" s="15"/>
      <c r="AU880" s="17"/>
    </row>
    <row r="881" spans="1:47" ht="12" customHeight="1" x14ac:dyDescent="0.25">
      <c r="A881" s="3"/>
      <c r="B881" s="14"/>
      <c r="C881" s="14"/>
      <c r="D881" s="14"/>
      <c r="E881" s="14"/>
      <c r="K881" s="14"/>
      <c r="M881" s="14"/>
      <c r="N881" s="14"/>
      <c r="Z881" s="11"/>
      <c r="AA881" s="15"/>
      <c r="AB881" s="15"/>
      <c r="AC881" s="15"/>
      <c r="AU881" s="17"/>
    </row>
    <row r="882" spans="1:47" ht="12" customHeight="1" x14ac:dyDescent="0.25">
      <c r="A882" s="3"/>
      <c r="B882" s="14"/>
      <c r="C882" s="14"/>
      <c r="D882" s="14"/>
      <c r="E882" s="14"/>
      <c r="K882" s="14"/>
      <c r="M882" s="14"/>
      <c r="N882" s="14"/>
      <c r="Z882" s="11"/>
      <c r="AA882" s="15"/>
      <c r="AB882" s="15"/>
      <c r="AC882" s="15"/>
      <c r="AU882" s="17"/>
    </row>
    <row r="883" spans="1:47" ht="12" customHeight="1" x14ac:dyDescent="0.25">
      <c r="A883" s="3"/>
      <c r="B883" s="14"/>
      <c r="C883" s="14"/>
      <c r="D883" s="14"/>
      <c r="E883" s="14"/>
      <c r="K883" s="14"/>
      <c r="M883" s="14"/>
      <c r="N883" s="14"/>
      <c r="Z883" s="11"/>
      <c r="AA883" s="15"/>
      <c r="AB883" s="15"/>
      <c r="AC883" s="15"/>
      <c r="AU883" s="17"/>
    </row>
    <row r="884" spans="1:47" ht="12" customHeight="1" x14ac:dyDescent="0.25">
      <c r="A884" s="3"/>
      <c r="B884" s="14"/>
      <c r="C884" s="14"/>
      <c r="D884" s="14"/>
      <c r="E884" s="14"/>
      <c r="K884" s="14"/>
      <c r="M884" s="14"/>
      <c r="N884" s="14"/>
      <c r="Z884" s="11"/>
      <c r="AA884" s="15"/>
      <c r="AB884" s="15"/>
      <c r="AC884" s="15"/>
      <c r="AU884" s="17"/>
    </row>
    <row r="885" spans="1:47" ht="12" customHeight="1" x14ac:dyDescent="0.25">
      <c r="A885" s="3"/>
      <c r="B885" s="14"/>
      <c r="C885" s="14"/>
      <c r="D885" s="14"/>
      <c r="E885" s="14"/>
      <c r="K885" s="14"/>
      <c r="M885" s="14"/>
      <c r="N885" s="14"/>
      <c r="Z885" s="11"/>
      <c r="AA885" s="15"/>
      <c r="AB885" s="15"/>
      <c r="AC885" s="15"/>
      <c r="AU885" s="17"/>
    </row>
    <row r="886" spans="1:47" ht="12" customHeight="1" x14ac:dyDescent="0.25">
      <c r="A886" s="3"/>
      <c r="B886" s="14"/>
      <c r="C886" s="14"/>
      <c r="D886" s="14"/>
      <c r="E886" s="14"/>
      <c r="K886" s="14"/>
      <c r="M886" s="14"/>
      <c r="N886" s="14"/>
      <c r="Z886" s="11"/>
      <c r="AA886" s="15"/>
      <c r="AB886" s="15"/>
      <c r="AC886" s="15"/>
      <c r="AU886" s="17"/>
    </row>
    <row r="887" spans="1:47" ht="12" customHeight="1" x14ac:dyDescent="0.25">
      <c r="A887" s="3"/>
      <c r="B887" s="14"/>
      <c r="C887" s="14"/>
      <c r="D887" s="14"/>
      <c r="E887" s="14"/>
      <c r="K887" s="14"/>
      <c r="M887" s="14"/>
      <c r="N887" s="14"/>
      <c r="Z887" s="11"/>
      <c r="AA887" s="15"/>
      <c r="AB887" s="15"/>
      <c r="AC887" s="15"/>
      <c r="AU887" s="17"/>
    </row>
    <row r="888" spans="1:47" ht="12" customHeight="1" x14ac:dyDescent="0.25">
      <c r="A888" s="3"/>
      <c r="B888" s="14"/>
      <c r="C888" s="14"/>
      <c r="D888" s="14"/>
      <c r="E888" s="14"/>
      <c r="K888" s="14"/>
      <c r="M888" s="14"/>
      <c r="N888" s="14"/>
      <c r="Z888" s="11"/>
      <c r="AA888" s="15"/>
      <c r="AB888" s="15"/>
      <c r="AC888" s="15"/>
      <c r="AU888" s="17"/>
    </row>
    <row r="889" spans="1:47" ht="12" customHeight="1" x14ac:dyDescent="0.25">
      <c r="A889" s="3"/>
      <c r="B889" s="14"/>
      <c r="C889" s="14"/>
      <c r="D889" s="14"/>
      <c r="E889" s="14"/>
      <c r="K889" s="14"/>
      <c r="M889" s="14"/>
      <c r="N889" s="14"/>
      <c r="Z889" s="11"/>
      <c r="AA889" s="15"/>
      <c r="AB889" s="15"/>
      <c r="AC889" s="15"/>
      <c r="AU889" s="17"/>
    </row>
    <row r="890" spans="1:47" ht="12" customHeight="1" x14ac:dyDescent="0.25">
      <c r="A890" s="3"/>
      <c r="B890" s="14"/>
      <c r="C890" s="14"/>
      <c r="D890" s="14"/>
      <c r="E890" s="14"/>
      <c r="K890" s="14"/>
      <c r="M890" s="14"/>
      <c r="N890" s="14"/>
      <c r="Z890" s="11"/>
      <c r="AA890" s="15"/>
      <c r="AB890" s="15"/>
      <c r="AC890" s="15"/>
      <c r="AU890" s="17"/>
    </row>
    <row r="891" spans="1:47" ht="12" customHeight="1" x14ac:dyDescent="0.25">
      <c r="A891" s="3"/>
      <c r="B891" s="14"/>
      <c r="C891" s="14"/>
      <c r="D891" s="14"/>
      <c r="E891" s="14"/>
      <c r="K891" s="14"/>
      <c r="M891" s="14"/>
      <c r="N891" s="14"/>
      <c r="Z891" s="11"/>
      <c r="AA891" s="15"/>
      <c r="AB891" s="15"/>
      <c r="AC891" s="15"/>
      <c r="AU891" s="17"/>
    </row>
    <row r="892" spans="1:47" ht="12" customHeight="1" x14ac:dyDescent="0.25">
      <c r="A892" s="3"/>
      <c r="B892" s="14"/>
      <c r="C892" s="14"/>
      <c r="D892" s="14"/>
      <c r="E892" s="14"/>
      <c r="K892" s="14"/>
      <c r="M892" s="14"/>
      <c r="N892" s="14"/>
      <c r="Z892" s="11"/>
      <c r="AA892" s="15"/>
      <c r="AB892" s="15"/>
      <c r="AC892" s="15"/>
      <c r="AU892" s="17"/>
    </row>
    <row r="893" spans="1:47" ht="12" customHeight="1" x14ac:dyDescent="0.25">
      <c r="A893" s="3"/>
      <c r="B893" s="14"/>
      <c r="C893" s="14"/>
      <c r="D893" s="14"/>
      <c r="E893" s="14"/>
      <c r="K893" s="14"/>
      <c r="M893" s="14"/>
      <c r="N893" s="14"/>
      <c r="Z893" s="11"/>
      <c r="AA893" s="15"/>
      <c r="AB893" s="15"/>
      <c r="AC893" s="15"/>
      <c r="AU893" s="17"/>
    </row>
    <row r="894" spans="1:47" ht="12" customHeight="1" x14ac:dyDescent="0.25">
      <c r="A894" s="3"/>
      <c r="B894" s="14"/>
      <c r="C894" s="14"/>
      <c r="D894" s="14"/>
      <c r="E894" s="14"/>
      <c r="K894" s="14"/>
      <c r="M894" s="14"/>
      <c r="N894" s="14"/>
      <c r="Z894" s="11"/>
      <c r="AA894" s="15"/>
      <c r="AB894" s="15"/>
      <c r="AC894" s="15"/>
      <c r="AU894" s="17"/>
    </row>
    <row r="895" spans="1:47" ht="12" customHeight="1" x14ac:dyDescent="0.25">
      <c r="A895" s="3"/>
      <c r="B895" s="14"/>
      <c r="C895" s="14"/>
      <c r="D895" s="14"/>
      <c r="E895" s="14"/>
      <c r="K895" s="14"/>
      <c r="M895" s="14"/>
      <c r="N895" s="14"/>
      <c r="Z895" s="11"/>
      <c r="AA895" s="15"/>
      <c r="AB895" s="15"/>
      <c r="AC895" s="15"/>
      <c r="AU895" s="17"/>
    </row>
    <row r="896" spans="1:47" ht="12" customHeight="1" x14ac:dyDescent="0.25">
      <c r="A896" s="3"/>
      <c r="B896" s="14"/>
      <c r="C896" s="14"/>
      <c r="D896" s="14"/>
      <c r="E896" s="14"/>
      <c r="K896" s="14"/>
      <c r="M896" s="14"/>
      <c r="N896" s="14"/>
      <c r="Z896" s="11"/>
      <c r="AA896" s="15"/>
      <c r="AB896" s="15"/>
      <c r="AC896" s="15"/>
      <c r="AU896" s="17"/>
    </row>
    <row r="897" spans="1:47" ht="12" customHeight="1" x14ac:dyDescent="0.25">
      <c r="A897" s="3"/>
      <c r="B897" s="14"/>
      <c r="C897" s="14"/>
      <c r="D897" s="14"/>
      <c r="E897" s="14"/>
      <c r="K897" s="14"/>
      <c r="M897" s="14"/>
      <c r="N897" s="14"/>
      <c r="Z897" s="11"/>
      <c r="AA897" s="15"/>
      <c r="AB897" s="15"/>
      <c r="AC897" s="15"/>
      <c r="AU897" s="17"/>
    </row>
    <row r="898" spans="1:47" ht="12" customHeight="1" x14ac:dyDescent="0.25">
      <c r="A898" s="3"/>
      <c r="B898" s="14"/>
      <c r="C898" s="14"/>
      <c r="D898" s="14"/>
      <c r="E898" s="14"/>
      <c r="K898" s="14"/>
      <c r="M898" s="14"/>
      <c r="N898" s="14"/>
      <c r="Z898" s="11"/>
      <c r="AA898" s="15"/>
      <c r="AB898" s="15"/>
      <c r="AC898" s="15"/>
      <c r="AU898" s="17"/>
    </row>
    <row r="899" spans="1:47" ht="12" customHeight="1" x14ac:dyDescent="0.25">
      <c r="A899" s="3"/>
      <c r="B899" s="14"/>
      <c r="C899" s="14"/>
      <c r="D899" s="14"/>
      <c r="E899" s="14"/>
      <c r="K899" s="14"/>
      <c r="M899" s="14"/>
      <c r="N899" s="14"/>
      <c r="Z899" s="11"/>
      <c r="AA899" s="15"/>
      <c r="AB899" s="15"/>
      <c r="AC899" s="15"/>
      <c r="AU899" s="17"/>
    </row>
    <row r="900" spans="1:47" ht="12" customHeight="1" x14ac:dyDescent="0.25">
      <c r="A900" s="3"/>
      <c r="B900" s="14"/>
      <c r="C900" s="14"/>
      <c r="D900" s="14"/>
      <c r="E900" s="14"/>
      <c r="K900" s="14"/>
      <c r="M900" s="14"/>
      <c r="N900" s="14"/>
      <c r="Z900" s="11"/>
      <c r="AA900" s="15"/>
      <c r="AB900" s="15"/>
      <c r="AC900" s="15"/>
      <c r="AU900" s="17"/>
    </row>
    <row r="901" spans="1:47" ht="12" customHeight="1" x14ac:dyDescent="0.25">
      <c r="A901" s="3"/>
      <c r="B901" s="14"/>
      <c r="C901" s="14"/>
      <c r="D901" s="14"/>
      <c r="E901" s="14"/>
      <c r="K901" s="14"/>
      <c r="M901" s="14"/>
      <c r="N901" s="14"/>
      <c r="Z901" s="11"/>
      <c r="AA901" s="15"/>
      <c r="AB901" s="15"/>
      <c r="AC901" s="15"/>
      <c r="AU901" s="17"/>
    </row>
    <row r="902" spans="1:47" ht="12" customHeight="1" x14ac:dyDescent="0.25">
      <c r="A902" s="3"/>
      <c r="B902" s="14"/>
      <c r="C902" s="14"/>
      <c r="D902" s="14"/>
      <c r="E902" s="14"/>
      <c r="K902" s="14"/>
      <c r="M902" s="14"/>
      <c r="N902" s="14"/>
      <c r="Z902" s="11"/>
      <c r="AA902" s="15"/>
      <c r="AB902" s="15"/>
      <c r="AC902" s="15"/>
      <c r="AU902" s="17"/>
    </row>
    <row r="903" spans="1:47" ht="12" customHeight="1" x14ac:dyDescent="0.25">
      <c r="A903" s="3"/>
      <c r="B903" s="14"/>
      <c r="C903" s="14"/>
      <c r="D903" s="14"/>
      <c r="E903" s="14"/>
      <c r="K903" s="14"/>
      <c r="M903" s="14"/>
      <c r="N903" s="14"/>
      <c r="Z903" s="11"/>
      <c r="AA903" s="15"/>
      <c r="AB903" s="15"/>
      <c r="AC903" s="15"/>
      <c r="AU903" s="17"/>
    </row>
    <row r="904" spans="1:47" ht="12" customHeight="1" x14ac:dyDescent="0.25">
      <c r="A904" s="3"/>
      <c r="B904" s="14"/>
      <c r="C904" s="14"/>
      <c r="D904" s="14"/>
      <c r="E904" s="14"/>
      <c r="K904" s="14"/>
      <c r="M904" s="14"/>
      <c r="N904" s="14"/>
      <c r="Z904" s="11"/>
      <c r="AA904" s="15"/>
      <c r="AB904" s="15"/>
      <c r="AC904" s="15"/>
      <c r="AU904" s="17"/>
    </row>
    <row r="905" spans="1:47" ht="12" customHeight="1" x14ac:dyDescent="0.25">
      <c r="A905" s="3"/>
      <c r="B905" s="14"/>
      <c r="C905" s="14"/>
      <c r="D905" s="14"/>
      <c r="E905" s="14"/>
      <c r="K905" s="14"/>
      <c r="M905" s="14"/>
      <c r="N905" s="14"/>
      <c r="Z905" s="11"/>
      <c r="AA905" s="15"/>
      <c r="AB905" s="15"/>
      <c r="AC905" s="15"/>
      <c r="AU905" s="17"/>
    </row>
    <row r="906" spans="1:47" ht="12" customHeight="1" x14ac:dyDescent="0.25">
      <c r="A906" s="3"/>
      <c r="B906" s="14"/>
      <c r="C906" s="14"/>
      <c r="D906" s="14"/>
      <c r="E906" s="14"/>
      <c r="K906" s="14"/>
      <c r="M906" s="14"/>
      <c r="N906" s="14"/>
      <c r="Z906" s="11"/>
      <c r="AA906" s="15"/>
      <c r="AB906" s="15"/>
      <c r="AC906" s="15"/>
      <c r="AU906" s="17"/>
    </row>
    <row r="907" spans="1:47" ht="12" customHeight="1" x14ac:dyDescent="0.25">
      <c r="A907" s="3"/>
      <c r="B907" s="14"/>
      <c r="C907" s="14"/>
      <c r="D907" s="14"/>
      <c r="E907" s="14"/>
      <c r="K907" s="14"/>
      <c r="M907" s="14"/>
      <c r="N907" s="14"/>
      <c r="Z907" s="11"/>
      <c r="AA907" s="15"/>
      <c r="AB907" s="15"/>
      <c r="AC907" s="15"/>
      <c r="AU907" s="17"/>
    </row>
    <row r="908" spans="1:47" ht="12" customHeight="1" x14ac:dyDescent="0.25">
      <c r="A908" s="3"/>
      <c r="B908" s="14"/>
      <c r="C908" s="14"/>
      <c r="D908" s="14"/>
      <c r="E908" s="14"/>
      <c r="K908" s="14"/>
      <c r="M908" s="14"/>
      <c r="N908" s="14"/>
      <c r="Z908" s="11"/>
      <c r="AA908" s="15"/>
      <c r="AB908" s="15"/>
      <c r="AC908" s="15"/>
      <c r="AU908" s="17"/>
    </row>
    <row r="909" spans="1:47" ht="12" customHeight="1" x14ac:dyDescent="0.25">
      <c r="A909" s="3"/>
      <c r="B909" s="14"/>
      <c r="C909" s="14"/>
      <c r="D909" s="14"/>
      <c r="E909" s="14"/>
      <c r="K909" s="14"/>
      <c r="M909" s="14"/>
      <c r="N909" s="14"/>
      <c r="Z909" s="11"/>
      <c r="AA909" s="15"/>
      <c r="AB909" s="15"/>
      <c r="AC909" s="15"/>
      <c r="AU909" s="17"/>
    </row>
    <row r="910" spans="1:47" ht="12" customHeight="1" x14ac:dyDescent="0.25">
      <c r="A910" s="3"/>
      <c r="B910" s="14"/>
      <c r="C910" s="14"/>
      <c r="D910" s="14"/>
      <c r="E910" s="14"/>
      <c r="K910" s="14"/>
      <c r="M910" s="14"/>
      <c r="N910" s="14"/>
      <c r="Z910" s="11"/>
      <c r="AA910" s="15"/>
      <c r="AB910" s="15"/>
      <c r="AC910" s="15"/>
      <c r="AU910" s="17"/>
    </row>
    <row r="911" spans="1:47" ht="12" customHeight="1" x14ac:dyDescent="0.25">
      <c r="A911" s="3"/>
      <c r="B911" s="14"/>
      <c r="C911" s="14"/>
      <c r="D911" s="14"/>
      <c r="E911" s="14"/>
      <c r="K911" s="14"/>
      <c r="M911" s="14"/>
      <c r="N911" s="14"/>
      <c r="Z911" s="11"/>
      <c r="AA911" s="15"/>
      <c r="AB911" s="15"/>
      <c r="AC911" s="15"/>
      <c r="AU911" s="17"/>
    </row>
    <row r="912" spans="1:47" ht="12" customHeight="1" x14ac:dyDescent="0.25">
      <c r="A912" s="3"/>
      <c r="B912" s="14"/>
      <c r="C912" s="14"/>
      <c r="D912" s="14"/>
      <c r="E912" s="14"/>
      <c r="K912" s="14"/>
      <c r="M912" s="14"/>
      <c r="N912" s="14"/>
      <c r="Z912" s="11"/>
      <c r="AA912" s="15"/>
      <c r="AB912" s="15"/>
      <c r="AC912" s="15"/>
      <c r="AU912" s="17"/>
    </row>
    <row r="913" spans="1:47" ht="12" customHeight="1" x14ac:dyDescent="0.25">
      <c r="A913" s="3"/>
      <c r="B913" s="14"/>
      <c r="C913" s="14"/>
      <c r="D913" s="14"/>
      <c r="E913" s="14"/>
      <c r="K913" s="14"/>
      <c r="M913" s="14"/>
      <c r="N913" s="14"/>
      <c r="Z913" s="11"/>
      <c r="AA913" s="15"/>
      <c r="AB913" s="15"/>
      <c r="AC913" s="15"/>
      <c r="AU913" s="17"/>
    </row>
    <row r="914" spans="1:47" ht="12" customHeight="1" x14ac:dyDescent="0.25">
      <c r="A914" s="3"/>
      <c r="B914" s="14"/>
      <c r="C914" s="14"/>
      <c r="D914" s="14"/>
      <c r="E914" s="14"/>
      <c r="K914" s="14"/>
      <c r="M914" s="14"/>
      <c r="N914" s="14"/>
      <c r="Z914" s="11"/>
      <c r="AA914" s="15"/>
      <c r="AB914" s="15"/>
      <c r="AC914" s="15"/>
      <c r="AU914" s="17"/>
    </row>
    <row r="915" spans="1:47" ht="12" customHeight="1" x14ac:dyDescent="0.25">
      <c r="A915" s="3"/>
      <c r="B915" s="14"/>
      <c r="C915" s="14"/>
      <c r="D915" s="14"/>
      <c r="E915" s="14"/>
      <c r="K915" s="14"/>
      <c r="M915" s="14"/>
      <c r="N915" s="14"/>
      <c r="Z915" s="11"/>
      <c r="AA915" s="15"/>
      <c r="AB915" s="15"/>
      <c r="AC915" s="15"/>
      <c r="AU915" s="17"/>
    </row>
    <row r="916" spans="1:47" ht="12" customHeight="1" x14ac:dyDescent="0.25">
      <c r="A916" s="3"/>
      <c r="B916" s="14"/>
      <c r="C916" s="14"/>
      <c r="D916" s="14"/>
      <c r="E916" s="14"/>
      <c r="K916" s="14"/>
      <c r="M916" s="14"/>
      <c r="N916" s="14"/>
      <c r="Z916" s="11"/>
      <c r="AA916" s="15"/>
      <c r="AB916" s="15"/>
      <c r="AC916" s="15"/>
      <c r="AU916" s="17"/>
    </row>
    <row r="917" spans="1:47" ht="12" customHeight="1" x14ac:dyDescent="0.25">
      <c r="A917" s="3"/>
      <c r="B917" s="14"/>
      <c r="C917" s="14"/>
      <c r="D917" s="14"/>
      <c r="E917" s="14"/>
      <c r="K917" s="14"/>
      <c r="M917" s="14"/>
      <c r="N917" s="14"/>
      <c r="Z917" s="11"/>
      <c r="AA917" s="15"/>
      <c r="AB917" s="15"/>
      <c r="AC917" s="15"/>
      <c r="AU917" s="17"/>
    </row>
    <row r="918" spans="1:47" ht="12" customHeight="1" x14ac:dyDescent="0.25">
      <c r="A918" s="3"/>
      <c r="B918" s="14"/>
      <c r="C918" s="14"/>
      <c r="D918" s="14"/>
      <c r="E918" s="14"/>
      <c r="K918" s="14"/>
      <c r="M918" s="14"/>
      <c r="N918" s="14"/>
      <c r="Z918" s="11"/>
      <c r="AA918" s="15"/>
      <c r="AB918" s="15"/>
      <c r="AC918" s="15"/>
      <c r="AU918" s="17"/>
    </row>
    <row r="919" spans="1:47" ht="12" customHeight="1" x14ac:dyDescent="0.25">
      <c r="A919" s="3"/>
      <c r="B919" s="14"/>
      <c r="C919" s="14"/>
      <c r="D919" s="14"/>
      <c r="E919" s="14"/>
      <c r="K919" s="14"/>
      <c r="M919" s="14"/>
      <c r="N919" s="14"/>
      <c r="Z919" s="11"/>
      <c r="AA919" s="15"/>
      <c r="AB919" s="15"/>
      <c r="AC919" s="15"/>
      <c r="AU919" s="17"/>
    </row>
    <row r="920" spans="1:47" ht="12" customHeight="1" x14ac:dyDescent="0.25">
      <c r="A920" s="3"/>
      <c r="B920" s="14"/>
      <c r="C920" s="14"/>
      <c r="D920" s="14"/>
      <c r="E920" s="14"/>
      <c r="K920" s="14"/>
      <c r="M920" s="14"/>
      <c r="N920" s="14"/>
      <c r="Z920" s="11"/>
      <c r="AA920" s="15"/>
      <c r="AB920" s="15"/>
      <c r="AC920" s="15"/>
      <c r="AU920" s="17"/>
    </row>
    <row r="921" spans="1:47" ht="12" customHeight="1" x14ac:dyDescent="0.25">
      <c r="A921" s="3"/>
      <c r="B921" s="14"/>
      <c r="C921" s="14"/>
      <c r="D921" s="14"/>
      <c r="E921" s="14"/>
      <c r="K921" s="14"/>
      <c r="M921" s="14"/>
      <c r="N921" s="14"/>
      <c r="Z921" s="11"/>
      <c r="AA921" s="15"/>
      <c r="AB921" s="15"/>
      <c r="AC921" s="15"/>
      <c r="AU921" s="17"/>
    </row>
    <row r="922" spans="1:47" ht="12" customHeight="1" x14ac:dyDescent="0.25">
      <c r="A922" s="3"/>
      <c r="B922" s="14"/>
      <c r="C922" s="14"/>
      <c r="D922" s="14"/>
      <c r="E922" s="14"/>
      <c r="K922" s="14"/>
      <c r="M922" s="14"/>
      <c r="N922" s="14"/>
      <c r="Z922" s="11"/>
      <c r="AA922" s="15"/>
      <c r="AB922" s="15"/>
      <c r="AC922" s="15"/>
      <c r="AU922" s="17"/>
    </row>
    <row r="923" spans="1:47" ht="12" customHeight="1" x14ac:dyDescent="0.25">
      <c r="A923" s="3"/>
      <c r="B923" s="14"/>
      <c r="C923" s="14"/>
      <c r="D923" s="14"/>
      <c r="E923" s="14"/>
      <c r="K923" s="14"/>
      <c r="M923" s="14"/>
      <c r="N923" s="14"/>
      <c r="Z923" s="11"/>
      <c r="AA923" s="15"/>
      <c r="AB923" s="15"/>
      <c r="AC923" s="15"/>
      <c r="AU923" s="17"/>
    </row>
    <row r="924" spans="1:47" ht="12" customHeight="1" x14ac:dyDescent="0.25">
      <c r="A924" s="3"/>
      <c r="B924" s="14"/>
      <c r="C924" s="14"/>
      <c r="D924" s="14"/>
      <c r="E924" s="14"/>
      <c r="K924" s="14"/>
      <c r="M924" s="14"/>
      <c r="N924" s="14"/>
      <c r="Z924" s="11"/>
      <c r="AA924" s="15"/>
      <c r="AB924" s="15"/>
      <c r="AC924" s="15"/>
      <c r="AU924" s="17"/>
    </row>
    <row r="925" spans="1:47" ht="12" customHeight="1" x14ac:dyDescent="0.25">
      <c r="A925" s="3"/>
      <c r="B925" s="14"/>
      <c r="C925" s="14"/>
      <c r="D925" s="14"/>
      <c r="E925" s="14"/>
      <c r="K925" s="14"/>
      <c r="M925" s="14"/>
      <c r="N925" s="14"/>
      <c r="Z925" s="11"/>
      <c r="AA925" s="15"/>
      <c r="AB925" s="15"/>
      <c r="AC925" s="15"/>
      <c r="AU925" s="17"/>
    </row>
    <row r="926" spans="1:47" ht="12" customHeight="1" x14ac:dyDescent="0.25">
      <c r="A926" s="3"/>
      <c r="B926" s="14"/>
      <c r="C926" s="14"/>
      <c r="D926" s="14"/>
      <c r="E926" s="14"/>
      <c r="K926" s="14"/>
      <c r="M926" s="14"/>
      <c r="N926" s="14"/>
      <c r="Z926" s="11"/>
      <c r="AA926" s="15"/>
      <c r="AB926" s="15"/>
      <c r="AC926" s="15"/>
      <c r="AU926" s="17"/>
    </row>
    <row r="927" spans="1:47" ht="12" customHeight="1" x14ac:dyDescent="0.25">
      <c r="A927" s="3"/>
      <c r="B927" s="14"/>
      <c r="C927" s="14"/>
      <c r="D927" s="14"/>
      <c r="E927" s="14"/>
      <c r="K927" s="14"/>
      <c r="M927" s="14"/>
      <c r="N927" s="14"/>
      <c r="Z927" s="11"/>
      <c r="AA927" s="15"/>
      <c r="AB927" s="15"/>
      <c r="AC927" s="15"/>
      <c r="AU927" s="17"/>
    </row>
    <row r="928" spans="1:47" ht="12" customHeight="1" x14ac:dyDescent="0.25">
      <c r="A928" s="3"/>
      <c r="B928" s="14"/>
      <c r="C928" s="14"/>
      <c r="D928" s="14"/>
      <c r="E928" s="14"/>
      <c r="K928" s="14"/>
      <c r="M928" s="14"/>
      <c r="N928" s="14"/>
      <c r="Z928" s="11"/>
      <c r="AA928" s="15"/>
      <c r="AB928" s="15"/>
      <c r="AC928" s="15"/>
      <c r="AU928" s="17"/>
    </row>
    <row r="929" spans="1:47" ht="12" customHeight="1" x14ac:dyDescent="0.25">
      <c r="A929" s="3"/>
      <c r="B929" s="14"/>
      <c r="C929" s="14"/>
      <c r="D929" s="14"/>
      <c r="E929" s="14"/>
      <c r="K929" s="14"/>
      <c r="M929" s="14"/>
      <c r="N929" s="14"/>
      <c r="Z929" s="11"/>
      <c r="AA929" s="15"/>
      <c r="AB929" s="15"/>
      <c r="AC929" s="15"/>
      <c r="AU929" s="17"/>
    </row>
    <row r="930" spans="1:47" ht="12" customHeight="1" x14ac:dyDescent="0.25">
      <c r="A930" s="3"/>
      <c r="B930" s="14"/>
      <c r="C930" s="14"/>
      <c r="D930" s="14"/>
      <c r="E930" s="14"/>
      <c r="K930" s="14"/>
      <c r="M930" s="14"/>
      <c r="N930" s="14"/>
      <c r="Z930" s="11"/>
      <c r="AA930" s="15"/>
      <c r="AB930" s="15"/>
      <c r="AC930" s="15"/>
      <c r="AU930" s="17"/>
    </row>
    <row r="931" spans="1:47" ht="12" customHeight="1" x14ac:dyDescent="0.25">
      <c r="A931" s="3"/>
      <c r="B931" s="14"/>
      <c r="C931" s="14"/>
      <c r="D931" s="14"/>
      <c r="E931" s="14"/>
      <c r="K931" s="14"/>
      <c r="M931" s="14"/>
      <c r="N931" s="14"/>
      <c r="Z931" s="11"/>
      <c r="AA931" s="15"/>
      <c r="AB931" s="15"/>
      <c r="AC931" s="15"/>
      <c r="AU931" s="17"/>
    </row>
    <row r="932" spans="1:47" ht="12" customHeight="1" x14ac:dyDescent="0.25">
      <c r="A932" s="3"/>
      <c r="B932" s="14"/>
      <c r="C932" s="14"/>
      <c r="D932" s="14"/>
      <c r="E932" s="14"/>
      <c r="K932" s="14"/>
      <c r="M932" s="14"/>
      <c r="N932" s="14"/>
      <c r="Z932" s="11"/>
      <c r="AA932" s="15"/>
      <c r="AB932" s="15"/>
      <c r="AC932" s="15"/>
      <c r="AU932" s="17"/>
    </row>
    <row r="933" spans="1:47" ht="12" customHeight="1" x14ac:dyDescent="0.25">
      <c r="A933" s="3"/>
      <c r="B933" s="14"/>
      <c r="C933" s="14"/>
      <c r="D933" s="14"/>
      <c r="E933" s="14"/>
      <c r="K933" s="14"/>
      <c r="M933" s="14"/>
      <c r="N933" s="14"/>
      <c r="Z933" s="11"/>
      <c r="AA933" s="15"/>
      <c r="AB933" s="15"/>
      <c r="AC933" s="15"/>
      <c r="AU933" s="17"/>
    </row>
    <row r="934" spans="1:47" ht="12" customHeight="1" x14ac:dyDescent="0.25">
      <c r="A934" s="3"/>
      <c r="B934" s="14"/>
      <c r="C934" s="14"/>
      <c r="D934" s="14"/>
      <c r="E934" s="14"/>
      <c r="K934" s="14"/>
      <c r="M934" s="14"/>
      <c r="N934" s="14"/>
      <c r="Z934" s="11"/>
      <c r="AA934" s="15"/>
      <c r="AB934" s="15"/>
      <c r="AC934" s="15"/>
      <c r="AU934" s="17"/>
    </row>
    <row r="935" spans="1:47" ht="12" customHeight="1" x14ac:dyDescent="0.25">
      <c r="A935" s="3"/>
      <c r="B935" s="14"/>
      <c r="C935" s="14"/>
      <c r="D935" s="14"/>
      <c r="E935" s="14"/>
      <c r="K935" s="14"/>
      <c r="M935" s="14"/>
      <c r="N935" s="14"/>
      <c r="Z935" s="11"/>
      <c r="AA935" s="15"/>
      <c r="AB935" s="15"/>
      <c r="AC935" s="15"/>
      <c r="AU935" s="17"/>
    </row>
    <row r="936" spans="1:47" ht="12" customHeight="1" x14ac:dyDescent="0.25">
      <c r="A936" s="3"/>
      <c r="B936" s="14"/>
      <c r="C936" s="14"/>
      <c r="D936" s="14"/>
      <c r="E936" s="14"/>
      <c r="K936" s="14"/>
      <c r="M936" s="14"/>
      <c r="N936" s="14"/>
      <c r="Z936" s="11"/>
      <c r="AA936" s="15"/>
      <c r="AB936" s="15"/>
      <c r="AC936" s="15"/>
      <c r="AU936" s="17"/>
    </row>
    <row r="937" spans="1:47" ht="12" customHeight="1" x14ac:dyDescent="0.25">
      <c r="A937" s="3"/>
      <c r="B937" s="14"/>
      <c r="C937" s="14"/>
      <c r="D937" s="14"/>
      <c r="E937" s="14"/>
      <c r="K937" s="14"/>
      <c r="M937" s="14"/>
      <c r="N937" s="14"/>
      <c r="Z937" s="11"/>
      <c r="AA937" s="15"/>
      <c r="AB937" s="15"/>
      <c r="AC937" s="15"/>
      <c r="AU937" s="17"/>
    </row>
    <row r="938" spans="1:47" ht="12" customHeight="1" x14ac:dyDescent="0.25">
      <c r="A938" s="3"/>
      <c r="B938" s="14"/>
      <c r="C938" s="14"/>
      <c r="D938" s="14"/>
      <c r="E938" s="14"/>
      <c r="K938" s="14"/>
      <c r="M938" s="14"/>
      <c r="N938" s="14"/>
      <c r="Z938" s="11"/>
      <c r="AA938" s="15"/>
      <c r="AB938" s="15"/>
      <c r="AC938" s="15"/>
      <c r="AU938" s="17"/>
    </row>
    <row r="939" spans="1:47" ht="12" customHeight="1" x14ac:dyDescent="0.25">
      <c r="A939" s="3"/>
      <c r="B939" s="14"/>
      <c r="C939" s="14"/>
      <c r="D939" s="14"/>
      <c r="E939" s="14"/>
      <c r="K939" s="14"/>
      <c r="M939" s="14"/>
      <c r="N939" s="14"/>
      <c r="Z939" s="11"/>
      <c r="AA939" s="15"/>
      <c r="AB939" s="15"/>
      <c r="AC939" s="15"/>
      <c r="AU939" s="17"/>
    </row>
    <row r="940" spans="1:47" ht="12" customHeight="1" x14ac:dyDescent="0.25">
      <c r="A940" s="3"/>
      <c r="B940" s="14"/>
      <c r="C940" s="14"/>
      <c r="D940" s="14"/>
      <c r="E940" s="14"/>
      <c r="K940" s="14"/>
      <c r="M940" s="14"/>
      <c r="N940" s="14"/>
      <c r="Z940" s="11"/>
      <c r="AA940" s="15"/>
      <c r="AB940" s="15"/>
      <c r="AC940" s="15"/>
      <c r="AU940" s="17"/>
    </row>
    <row r="941" spans="1:47" ht="12" customHeight="1" x14ac:dyDescent="0.25">
      <c r="A941" s="3"/>
      <c r="B941" s="14"/>
      <c r="C941" s="14"/>
      <c r="D941" s="14"/>
      <c r="E941" s="14"/>
      <c r="K941" s="14"/>
      <c r="M941" s="14"/>
      <c r="N941" s="14"/>
      <c r="Z941" s="11"/>
      <c r="AA941" s="15"/>
      <c r="AB941" s="15"/>
      <c r="AC941" s="15"/>
      <c r="AU941" s="17"/>
    </row>
    <row r="942" spans="1:47" ht="12" customHeight="1" x14ac:dyDescent="0.25">
      <c r="A942" s="3"/>
      <c r="B942" s="14"/>
      <c r="C942" s="14"/>
      <c r="D942" s="14"/>
      <c r="E942" s="14"/>
      <c r="K942" s="14"/>
      <c r="M942" s="14"/>
      <c r="N942" s="14"/>
      <c r="Z942" s="11"/>
      <c r="AA942" s="15"/>
      <c r="AB942" s="15"/>
      <c r="AC942" s="15"/>
      <c r="AU942" s="17"/>
    </row>
    <row r="943" spans="1:47" ht="12" customHeight="1" x14ac:dyDescent="0.25">
      <c r="A943" s="3"/>
      <c r="B943" s="14"/>
      <c r="C943" s="14"/>
      <c r="D943" s="14"/>
      <c r="E943" s="14"/>
      <c r="K943" s="14"/>
      <c r="M943" s="14"/>
      <c r="N943" s="14"/>
      <c r="Z943" s="11"/>
      <c r="AA943" s="15"/>
      <c r="AB943" s="15"/>
      <c r="AC943" s="15"/>
      <c r="AU943" s="17"/>
    </row>
    <row r="944" spans="1:47" ht="12" customHeight="1" x14ac:dyDescent="0.25">
      <c r="A944" s="3"/>
      <c r="B944" s="14"/>
      <c r="C944" s="14"/>
      <c r="D944" s="14"/>
      <c r="E944" s="14"/>
      <c r="K944" s="14"/>
      <c r="M944" s="14"/>
      <c r="N944" s="14"/>
      <c r="Z944" s="11"/>
      <c r="AA944" s="15"/>
      <c r="AB944" s="15"/>
      <c r="AC944" s="15"/>
      <c r="AU944" s="17"/>
    </row>
    <row r="945" spans="1:47" ht="12" customHeight="1" x14ac:dyDescent="0.25">
      <c r="A945" s="3"/>
      <c r="B945" s="14"/>
      <c r="C945" s="14"/>
      <c r="D945" s="14"/>
      <c r="E945" s="14"/>
      <c r="K945" s="14"/>
      <c r="M945" s="14"/>
      <c r="N945" s="14"/>
      <c r="Z945" s="11"/>
      <c r="AA945" s="15"/>
      <c r="AB945" s="15"/>
      <c r="AC945" s="15"/>
      <c r="AU945" s="17"/>
    </row>
    <row r="946" spans="1:47" ht="12" customHeight="1" x14ac:dyDescent="0.25">
      <c r="A946" s="3"/>
      <c r="B946" s="14"/>
      <c r="C946" s="14"/>
      <c r="D946" s="14"/>
      <c r="E946" s="14"/>
      <c r="K946" s="14"/>
      <c r="M946" s="14"/>
      <c r="N946" s="14"/>
      <c r="Z946" s="11"/>
      <c r="AA946" s="15"/>
      <c r="AB946" s="15"/>
      <c r="AC946" s="15"/>
      <c r="AU946" s="17"/>
    </row>
    <row r="947" spans="1:47" ht="12" customHeight="1" x14ac:dyDescent="0.25">
      <c r="A947" s="3"/>
      <c r="B947" s="14"/>
      <c r="C947" s="14"/>
      <c r="D947" s="14"/>
      <c r="E947" s="14"/>
      <c r="K947" s="14"/>
      <c r="M947" s="14"/>
      <c r="N947" s="14"/>
      <c r="Z947" s="11"/>
      <c r="AA947" s="15"/>
      <c r="AB947" s="15"/>
      <c r="AC947" s="15"/>
      <c r="AU947" s="17"/>
    </row>
    <row r="948" spans="1:47" ht="12" customHeight="1" x14ac:dyDescent="0.25">
      <c r="A948" s="3"/>
      <c r="B948" s="14"/>
      <c r="C948" s="14"/>
      <c r="D948" s="14"/>
      <c r="E948" s="14"/>
      <c r="K948" s="14"/>
      <c r="M948" s="14"/>
      <c r="N948" s="14"/>
      <c r="Z948" s="11"/>
      <c r="AA948" s="15"/>
      <c r="AB948" s="15"/>
      <c r="AC948" s="15"/>
      <c r="AU948" s="17"/>
    </row>
    <row r="949" spans="1:47" ht="12" customHeight="1" x14ac:dyDescent="0.25">
      <c r="A949" s="3"/>
      <c r="B949" s="14"/>
      <c r="C949" s="14"/>
      <c r="D949" s="14"/>
      <c r="E949" s="14"/>
      <c r="K949" s="14"/>
      <c r="M949" s="14"/>
      <c r="N949" s="14"/>
      <c r="Z949" s="11"/>
      <c r="AA949" s="15"/>
      <c r="AB949" s="15"/>
      <c r="AC949" s="15"/>
      <c r="AU949" s="17"/>
    </row>
    <row r="950" spans="1:47" ht="12" customHeight="1" x14ac:dyDescent="0.25">
      <c r="A950" s="3"/>
      <c r="B950" s="14"/>
      <c r="C950" s="14"/>
      <c r="D950" s="14"/>
      <c r="E950" s="14"/>
      <c r="K950" s="14"/>
      <c r="M950" s="14"/>
      <c r="N950" s="14"/>
      <c r="Z950" s="11"/>
      <c r="AA950" s="15"/>
      <c r="AB950" s="15"/>
      <c r="AC950" s="15"/>
      <c r="AU950" s="17"/>
    </row>
    <row r="951" spans="1:47" ht="12" customHeight="1" x14ac:dyDescent="0.25">
      <c r="A951" s="3"/>
      <c r="B951" s="14"/>
      <c r="C951" s="14"/>
      <c r="D951" s="14"/>
      <c r="E951" s="14"/>
      <c r="K951" s="14"/>
      <c r="M951" s="14"/>
      <c r="N951" s="14"/>
      <c r="Z951" s="11"/>
      <c r="AA951" s="15"/>
      <c r="AB951" s="15"/>
      <c r="AC951" s="15"/>
      <c r="AU951" s="17"/>
    </row>
    <row r="952" spans="1:47" ht="12" customHeight="1" x14ac:dyDescent="0.25">
      <c r="A952" s="3"/>
      <c r="B952" s="14"/>
      <c r="C952" s="14"/>
      <c r="D952" s="14"/>
      <c r="E952" s="14"/>
      <c r="K952" s="14"/>
      <c r="M952" s="14"/>
      <c r="N952" s="14"/>
      <c r="Z952" s="11"/>
      <c r="AA952" s="15"/>
      <c r="AB952" s="15"/>
      <c r="AC952" s="15"/>
      <c r="AU952" s="17"/>
    </row>
    <row r="953" spans="1:47" ht="12" customHeight="1" x14ac:dyDescent="0.25">
      <c r="A953" s="3"/>
      <c r="B953" s="14"/>
      <c r="C953" s="14"/>
      <c r="D953" s="14"/>
      <c r="E953" s="14"/>
      <c r="K953" s="14"/>
      <c r="M953" s="14"/>
      <c r="N953" s="14"/>
      <c r="Z953" s="11"/>
      <c r="AA953" s="15"/>
      <c r="AB953" s="15"/>
      <c r="AC953" s="15"/>
      <c r="AU953" s="17"/>
    </row>
    <row r="954" spans="1:47" ht="12" customHeight="1" x14ac:dyDescent="0.25">
      <c r="A954" s="3"/>
      <c r="B954" s="14"/>
      <c r="C954" s="14"/>
      <c r="D954" s="14"/>
      <c r="E954" s="14"/>
      <c r="K954" s="14"/>
      <c r="M954" s="14"/>
      <c r="N954" s="14"/>
      <c r="Z954" s="11"/>
      <c r="AA954" s="15"/>
      <c r="AB954" s="15"/>
      <c r="AC954" s="15"/>
      <c r="AU954" s="17"/>
    </row>
    <row r="955" spans="1:47" ht="12" customHeight="1" x14ac:dyDescent="0.25">
      <c r="A955" s="3"/>
      <c r="B955" s="14"/>
      <c r="C955" s="14"/>
      <c r="D955" s="14"/>
      <c r="E955" s="14"/>
      <c r="K955" s="14"/>
      <c r="M955" s="14"/>
      <c r="N955" s="14"/>
      <c r="Z955" s="11"/>
      <c r="AA955" s="15"/>
      <c r="AB955" s="15"/>
      <c r="AC955" s="15"/>
      <c r="AU955" s="17"/>
    </row>
    <row r="956" spans="1:47" ht="12" customHeight="1" x14ac:dyDescent="0.25">
      <c r="A956" s="3"/>
      <c r="B956" s="14"/>
      <c r="C956" s="14"/>
      <c r="D956" s="14"/>
      <c r="E956" s="14"/>
      <c r="K956" s="14"/>
      <c r="M956" s="14"/>
      <c r="N956" s="14"/>
      <c r="Z956" s="11"/>
      <c r="AA956" s="15"/>
      <c r="AB956" s="15"/>
      <c r="AC956" s="15"/>
      <c r="AU956" s="17"/>
    </row>
    <row r="957" spans="1:47" ht="12" customHeight="1" x14ac:dyDescent="0.25">
      <c r="A957" s="3"/>
      <c r="B957" s="14"/>
      <c r="C957" s="14"/>
      <c r="D957" s="14"/>
      <c r="E957" s="14"/>
      <c r="K957" s="14"/>
      <c r="M957" s="14"/>
      <c r="N957" s="14"/>
      <c r="Z957" s="11"/>
      <c r="AA957" s="15"/>
      <c r="AB957" s="15"/>
      <c r="AC957" s="15"/>
      <c r="AU957" s="17"/>
    </row>
    <row r="958" spans="1:47" ht="12" customHeight="1" x14ac:dyDescent="0.25">
      <c r="A958" s="3"/>
      <c r="B958" s="14"/>
      <c r="C958" s="14"/>
      <c r="D958" s="14"/>
      <c r="E958" s="14"/>
      <c r="K958" s="14"/>
      <c r="M958" s="14"/>
      <c r="N958" s="14"/>
      <c r="Z958" s="11"/>
      <c r="AA958" s="15"/>
      <c r="AB958" s="15"/>
      <c r="AC958" s="15"/>
      <c r="AU958" s="17"/>
    </row>
    <row r="959" spans="1:47" ht="12" customHeight="1" x14ac:dyDescent="0.25">
      <c r="A959" s="3"/>
      <c r="B959" s="14"/>
      <c r="C959" s="14"/>
      <c r="D959" s="14"/>
      <c r="E959" s="14"/>
      <c r="K959" s="14"/>
      <c r="M959" s="14"/>
      <c r="N959" s="14"/>
      <c r="Z959" s="11"/>
      <c r="AA959" s="15"/>
      <c r="AB959" s="15"/>
      <c r="AC959" s="15"/>
      <c r="AU959" s="17"/>
    </row>
    <row r="960" spans="1:47" ht="12" customHeight="1" x14ac:dyDescent="0.25">
      <c r="A960" s="3"/>
      <c r="B960" s="14"/>
      <c r="C960" s="14"/>
      <c r="D960" s="14"/>
      <c r="E960" s="14"/>
      <c r="K960" s="14"/>
      <c r="M960" s="14"/>
      <c r="N960" s="14"/>
      <c r="Z960" s="11"/>
      <c r="AA960" s="15"/>
      <c r="AB960" s="15"/>
      <c r="AC960" s="15"/>
      <c r="AU960" s="17"/>
    </row>
    <row r="961" spans="1:47" ht="12" customHeight="1" x14ac:dyDescent="0.25">
      <c r="A961" s="3"/>
      <c r="B961" s="14"/>
      <c r="C961" s="14"/>
      <c r="D961" s="14"/>
      <c r="E961" s="14"/>
      <c r="K961" s="14"/>
      <c r="M961" s="14"/>
      <c r="N961" s="14"/>
      <c r="Z961" s="11"/>
      <c r="AA961" s="15"/>
      <c r="AB961" s="15"/>
      <c r="AC961" s="15"/>
      <c r="AU961" s="17"/>
    </row>
    <row r="962" spans="1:47" ht="12" customHeight="1" x14ac:dyDescent="0.25">
      <c r="A962" s="3"/>
      <c r="B962" s="14"/>
      <c r="C962" s="14"/>
      <c r="D962" s="14"/>
      <c r="E962" s="14"/>
      <c r="K962" s="14"/>
      <c r="M962" s="14"/>
      <c r="N962" s="14"/>
      <c r="Z962" s="11"/>
      <c r="AA962" s="15"/>
      <c r="AB962" s="15"/>
      <c r="AC962" s="15"/>
      <c r="AU962" s="17"/>
    </row>
    <row r="963" spans="1:47" ht="12" customHeight="1" x14ac:dyDescent="0.25">
      <c r="A963" s="3"/>
      <c r="B963" s="14"/>
      <c r="C963" s="14"/>
      <c r="D963" s="14"/>
      <c r="E963" s="14"/>
      <c r="K963" s="14"/>
      <c r="M963" s="14"/>
      <c r="N963" s="14"/>
      <c r="Z963" s="11"/>
      <c r="AA963" s="15"/>
      <c r="AB963" s="15"/>
      <c r="AC963" s="15"/>
      <c r="AU963" s="17"/>
    </row>
    <row r="964" spans="1:47" ht="12" customHeight="1" x14ac:dyDescent="0.25">
      <c r="A964" s="3"/>
      <c r="B964" s="14"/>
      <c r="C964" s="14"/>
      <c r="D964" s="14"/>
      <c r="E964" s="14"/>
      <c r="K964" s="14"/>
      <c r="M964" s="14"/>
      <c r="N964" s="14"/>
      <c r="Z964" s="11"/>
      <c r="AA964" s="15"/>
      <c r="AB964" s="15"/>
      <c r="AC964" s="15"/>
      <c r="AU964" s="17"/>
    </row>
    <row r="965" spans="1:47" ht="12" customHeight="1" x14ac:dyDescent="0.25">
      <c r="A965" s="3"/>
      <c r="B965" s="14"/>
      <c r="C965" s="14"/>
      <c r="D965" s="14"/>
      <c r="E965" s="14"/>
      <c r="K965" s="14"/>
      <c r="M965" s="14"/>
      <c r="N965" s="14"/>
      <c r="Z965" s="11"/>
      <c r="AA965" s="15"/>
      <c r="AB965" s="15"/>
      <c r="AC965" s="15"/>
      <c r="AU965" s="17"/>
    </row>
    <row r="966" spans="1:47" ht="12" customHeight="1" x14ac:dyDescent="0.25">
      <c r="A966" s="3"/>
      <c r="B966" s="14"/>
      <c r="C966" s="14"/>
      <c r="D966" s="14"/>
      <c r="E966" s="14"/>
      <c r="K966" s="14"/>
      <c r="M966" s="14"/>
      <c r="N966" s="14"/>
      <c r="Z966" s="11"/>
      <c r="AA966" s="15"/>
      <c r="AB966" s="15"/>
      <c r="AC966" s="15"/>
      <c r="AU966" s="17"/>
    </row>
    <row r="967" spans="1:47" ht="12" customHeight="1" x14ac:dyDescent="0.25">
      <c r="A967" s="3"/>
      <c r="B967" s="14"/>
      <c r="C967" s="14"/>
      <c r="D967" s="14"/>
      <c r="E967" s="14"/>
      <c r="K967" s="14"/>
      <c r="M967" s="14"/>
      <c r="N967" s="14"/>
      <c r="Z967" s="11"/>
      <c r="AA967" s="15"/>
      <c r="AB967" s="15"/>
      <c r="AC967" s="15"/>
      <c r="AU967" s="17"/>
    </row>
    <row r="968" spans="1:47" ht="12" customHeight="1" x14ac:dyDescent="0.25">
      <c r="A968" s="3"/>
      <c r="B968" s="14"/>
      <c r="C968" s="14"/>
      <c r="D968" s="14"/>
      <c r="E968" s="14"/>
      <c r="K968" s="14"/>
      <c r="M968" s="14"/>
      <c r="N968" s="14"/>
      <c r="Z968" s="11"/>
      <c r="AA968" s="15"/>
      <c r="AB968" s="15"/>
      <c r="AC968" s="15"/>
      <c r="AU968" s="17"/>
    </row>
    <row r="969" spans="1:47" ht="12" customHeight="1" x14ac:dyDescent="0.25">
      <c r="A969" s="3"/>
      <c r="B969" s="14"/>
      <c r="C969" s="14"/>
      <c r="D969" s="14"/>
      <c r="E969" s="14"/>
      <c r="K969" s="14"/>
      <c r="M969" s="14"/>
      <c r="N969" s="14"/>
      <c r="Z969" s="11"/>
      <c r="AA969" s="15"/>
      <c r="AB969" s="15"/>
      <c r="AC969" s="15"/>
      <c r="AU969" s="17"/>
    </row>
    <row r="970" spans="1:47" ht="12" customHeight="1" x14ac:dyDescent="0.25">
      <c r="A970" s="3"/>
      <c r="B970" s="14"/>
      <c r="C970" s="14"/>
      <c r="D970" s="14"/>
      <c r="E970" s="14"/>
      <c r="K970" s="14"/>
      <c r="M970" s="14"/>
      <c r="N970" s="14"/>
      <c r="Z970" s="11"/>
      <c r="AA970" s="15"/>
      <c r="AB970" s="15"/>
      <c r="AC970" s="15"/>
      <c r="AU970" s="17"/>
    </row>
    <row r="971" spans="1:47" ht="12" customHeight="1" x14ac:dyDescent="0.25">
      <c r="A971" s="3"/>
      <c r="B971" s="14"/>
      <c r="C971" s="14"/>
      <c r="D971" s="14"/>
      <c r="E971" s="14"/>
      <c r="K971" s="14"/>
      <c r="M971" s="14"/>
      <c r="N971" s="14"/>
      <c r="Z971" s="11"/>
      <c r="AA971" s="15"/>
      <c r="AB971" s="15"/>
      <c r="AC971" s="15"/>
      <c r="AU971" s="17"/>
    </row>
    <row r="972" spans="1:47" ht="12" customHeight="1" x14ac:dyDescent="0.25">
      <c r="A972" s="3"/>
      <c r="B972" s="14"/>
      <c r="C972" s="14"/>
      <c r="D972" s="14"/>
      <c r="E972" s="14"/>
      <c r="K972" s="14"/>
      <c r="M972" s="14"/>
      <c r="N972" s="14"/>
      <c r="Z972" s="11"/>
      <c r="AA972" s="15"/>
      <c r="AB972" s="15"/>
      <c r="AC972" s="15"/>
      <c r="AU972" s="17"/>
    </row>
    <row r="973" spans="1:47" ht="12" customHeight="1" x14ac:dyDescent="0.25">
      <c r="A973" s="3"/>
      <c r="B973" s="14"/>
      <c r="C973" s="14"/>
      <c r="D973" s="14"/>
      <c r="E973" s="14"/>
      <c r="K973" s="14"/>
      <c r="M973" s="14"/>
      <c r="N973" s="14"/>
      <c r="Z973" s="11"/>
      <c r="AA973" s="15"/>
      <c r="AB973" s="15"/>
      <c r="AC973" s="15"/>
      <c r="AU973" s="17"/>
    </row>
    <row r="974" spans="1:47" ht="12" customHeight="1" x14ac:dyDescent="0.25">
      <c r="A974" s="3"/>
      <c r="B974" s="14"/>
      <c r="C974" s="14"/>
      <c r="D974" s="14"/>
      <c r="E974" s="14"/>
      <c r="K974" s="14"/>
      <c r="M974" s="14"/>
      <c r="N974" s="14"/>
      <c r="Z974" s="11"/>
      <c r="AA974" s="15"/>
      <c r="AB974" s="15"/>
      <c r="AC974" s="15"/>
      <c r="AU974" s="17"/>
    </row>
    <row r="975" spans="1:47" ht="12" customHeight="1" x14ac:dyDescent="0.25">
      <c r="A975" s="3"/>
      <c r="B975" s="14"/>
      <c r="C975" s="14"/>
      <c r="D975" s="14"/>
      <c r="E975" s="14"/>
      <c r="K975" s="14"/>
      <c r="M975" s="14"/>
      <c r="N975" s="14"/>
      <c r="Z975" s="11"/>
      <c r="AA975" s="15"/>
      <c r="AB975" s="15"/>
      <c r="AC975" s="15"/>
      <c r="AU975" s="17"/>
    </row>
    <row r="976" spans="1:47" ht="12" customHeight="1" x14ac:dyDescent="0.25">
      <c r="A976" s="3"/>
      <c r="B976" s="14"/>
      <c r="C976" s="14"/>
      <c r="D976" s="14"/>
      <c r="E976" s="14"/>
      <c r="K976" s="14"/>
      <c r="M976" s="14"/>
      <c r="N976" s="14"/>
      <c r="Z976" s="11"/>
      <c r="AA976" s="15"/>
      <c r="AB976" s="15"/>
      <c r="AC976" s="15"/>
      <c r="AU976" s="17"/>
    </row>
    <row r="977" spans="1:47" ht="12" customHeight="1" x14ac:dyDescent="0.25">
      <c r="A977" s="3"/>
      <c r="B977" s="14"/>
      <c r="C977" s="14"/>
      <c r="D977" s="14"/>
      <c r="E977" s="14"/>
      <c r="K977" s="14"/>
      <c r="M977" s="14"/>
      <c r="N977" s="14"/>
      <c r="Z977" s="11"/>
      <c r="AA977" s="15"/>
      <c r="AB977" s="15"/>
      <c r="AC977" s="15"/>
      <c r="AU977" s="17"/>
    </row>
    <row r="978" spans="1:47" ht="12" customHeight="1" x14ac:dyDescent="0.25">
      <c r="A978" s="3"/>
      <c r="B978" s="14"/>
      <c r="C978" s="14"/>
      <c r="D978" s="14"/>
      <c r="E978" s="14"/>
      <c r="K978" s="14"/>
      <c r="M978" s="14"/>
      <c r="N978" s="14"/>
      <c r="Z978" s="11"/>
      <c r="AA978" s="15"/>
      <c r="AB978" s="15"/>
      <c r="AC978" s="15"/>
      <c r="AU978" s="17"/>
    </row>
    <row r="979" spans="1:47" ht="12" customHeight="1" x14ac:dyDescent="0.25">
      <c r="A979" s="3"/>
      <c r="B979" s="14"/>
      <c r="C979" s="14"/>
      <c r="D979" s="14"/>
      <c r="E979" s="14"/>
      <c r="K979" s="14"/>
      <c r="M979" s="14"/>
      <c r="N979" s="14"/>
      <c r="Z979" s="11"/>
      <c r="AA979" s="15"/>
      <c r="AB979" s="15"/>
      <c r="AC979" s="15"/>
      <c r="AU979" s="17"/>
    </row>
    <row r="980" spans="1:47" ht="12" customHeight="1" x14ac:dyDescent="0.25">
      <c r="A980" s="3"/>
      <c r="B980" s="14"/>
      <c r="C980" s="14"/>
      <c r="D980" s="14"/>
      <c r="E980" s="14"/>
      <c r="K980" s="14"/>
      <c r="M980" s="14"/>
      <c r="N980" s="14"/>
      <c r="Z980" s="11"/>
      <c r="AA980" s="15"/>
      <c r="AB980" s="15"/>
      <c r="AC980" s="15"/>
      <c r="AU980" s="17"/>
    </row>
    <row r="981" spans="1:47" ht="12" customHeight="1" x14ac:dyDescent="0.25">
      <c r="A981" s="3"/>
      <c r="B981" s="14"/>
      <c r="C981" s="14"/>
      <c r="D981" s="14"/>
      <c r="E981" s="14"/>
      <c r="K981" s="14"/>
      <c r="M981" s="14"/>
      <c r="N981" s="14"/>
      <c r="Z981" s="11"/>
      <c r="AA981" s="15"/>
      <c r="AB981" s="15"/>
      <c r="AC981" s="15"/>
      <c r="AU981" s="17"/>
    </row>
    <row r="982" spans="1:47" ht="12" customHeight="1" x14ac:dyDescent="0.25">
      <c r="A982" s="3"/>
      <c r="B982" s="14"/>
      <c r="C982" s="14"/>
      <c r="D982" s="14"/>
      <c r="E982" s="14"/>
      <c r="K982" s="14"/>
      <c r="M982" s="14"/>
      <c r="N982" s="14"/>
      <c r="Z982" s="11"/>
      <c r="AA982" s="15"/>
      <c r="AB982" s="15"/>
      <c r="AC982" s="15"/>
      <c r="AU982" s="17"/>
    </row>
    <row r="983" spans="1:47" ht="12" customHeight="1" x14ac:dyDescent="0.25">
      <c r="A983" s="3"/>
      <c r="B983" s="14"/>
      <c r="C983" s="14"/>
      <c r="D983" s="14"/>
      <c r="E983" s="14"/>
      <c r="K983" s="14"/>
      <c r="M983" s="14"/>
      <c r="N983" s="14"/>
      <c r="Z983" s="11"/>
      <c r="AA983" s="15"/>
      <c r="AB983" s="15"/>
      <c r="AC983" s="15"/>
      <c r="AU983" s="17"/>
    </row>
    <row r="984" spans="1:47" ht="12" customHeight="1" x14ac:dyDescent="0.25">
      <c r="A984" s="3"/>
      <c r="B984" s="14"/>
      <c r="C984" s="14"/>
      <c r="D984" s="14"/>
      <c r="E984" s="14"/>
      <c r="K984" s="14"/>
      <c r="M984" s="14"/>
      <c r="N984" s="14"/>
      <c r="Z984" s="11"/>
      <c r="AA984" s="15"/>
      <c r="AB984" s="15"/>
      <c r="AC984" s="15"/>
      <c r="AU984" s="17"/>
    </row>
    <row r="985" spans="1:47" ht="12" customHeight="1" x14ac:dyDescent="0.25">
      <c r="A985" s="3"/>
      <c r="B985" s="14"/>
      <c r="C985" s="14"/>
      <c r="D985" s="14"/>
      <c r="E985" s="14"/>
      <c r="K985" s="14"/>
      <c r="M985" s="14"/>
      <c r="N985" s="14"/>
      <c r="Z985" s="11"/>
      <c r="AA985" s="15"/>
      <c r="AB985" s="15"/>
      <c r="AC985" s="15"/>
      <c r="AU985" s="17"/>
    </row>
    <row r="986" spans="1:47" ht="12" customHeight="1" x14ac:dyDescent="0.25">
      <c r="A986" s="3"/>
      <c r="B986" s="14"/>
      <c r="C986" s="14"/>
      <c r="D986" s="14"/>
      <c r="E986" s="14"/>
      <c r="K986" s="14"/>
      <c r="M986" s="14"/>
      <c r="N986" s="14"/>
      <c r="Z986" s="11"/>
      <c r="AA986" s="15"/>
      <c r="AB986" s="15"/>
      <c r="AC986" s="15"/>
      <c r="AU986" s="17"/>
    </row>
    <row r="987" spans="1:47" ht="12" customHeight="1" x14ac:dyDescent="0.25">
      <c r="A987" s="3"/>
      <c r="B987" s="14"/>
      <c r="C987" s="14"/>
      <c r="D987" s="14"/>
      <c r="E987" s="14"/>
      <c r="K987" s="14"/>
      <c r="M987" s="14"/>
      <c r="N987" s="14"/>
      <c r="Z987" s="11"/>
      <c r="AA987" s="15"/>
      <c r="AB987" s="15"/>
      <c r="AC987" s="15"/>
      <c r="AU987" s="17"/>
    </row>
    <row r="988" spans="1:47" ht="12" customHeight="1" x14ac:dyDescent="0.25">
      <c r="A988" s="3"/>
      <c r="B988" s="14"/>
      <c r="C988" s="14"/>
      <c r="D988" s="14"/>
      <c r="E988" s="14"/>
      <c r="K988" s="14"/>
      <c r="M988" s="14"/>
      <c r="N988" s="14"/>
      <c r="Z988" s="11"/>
      <c r="AA988" s="15"/>
      <c r="AB988" s="15"/>
      <c r="AC988" s="15"/>
      <c r="AU988" s="17"/>
    </row>
    <row r="989" spans="1:47" ht="12" customHeight="1" x14ac:dyDescent="0.25">
      <c r="A989" s="3"/>
      <c r="B989" s="14"/>
      <c r="C989" s="14"/>
      <c r="D989" s="14"/>
      <c r="E989" s="14"/>
      <c r="K989" s="14"/>
      <c r="M989" s="14"/>
      <c r="N989" s="14"/>
      <c r="Z989" s="11"/>
      <c r="AA989" s="15"/>
      <c r="AB989" s="15"/>
      <c r="AC989" s="15"/>
      <c r="AU989" s="17"/>
    </row>
    <row r="990" spans="1:47" ht="12" customHeight="1" x14ac:dyDescent="0.25">
      <c r="A990" s="3"/>
      <c r="B990" s="14"/>
      <c r="C990" s="14"/>
      <c r="D990" s="14"/>
      <c r="E990" s="14"/>
      <c r="K990" s="14"/>
      <c r="M990" s="14"/>
      <c r="N990" s="14"/>
      <c r="Z990" s="11"/>
      <c r="AA990" s="15"/>
      <c r="AB990" s="15"/>
      <c r="AC990" s="15"/>
      <c r="AU990" s="17"/>
    </row>
    <row r="991" spans="1:47" ht="12" customHeight="1" x14ac:dyDescent="0.25">
      <c r="A991" s="3"/>
      <c r="B991" s="14"/>
      <c r="C991" s="14"/>
      <c r="D991" s="14"/>
      <c r="E991" s="14"/>
      <c r="K991" s="14"/>
      <c r="M991" s="14"/>
      <c r="N991" s="14"/>
      <c r="Z991" s="11"/>
      <c r="AA991" s="15"/>
      <c r="AB991" s="15"/>
      <c r="AC991" s="15"/>
      <c r="AU991" s="17"/>
    </row>
    <row r="992" spans="1:47" ht="12" customHeight="1" x14ac:dyDescent="0.25">
      <c r="A992" s="3"/>
      <c r="B992" s="14"/>
      <c r="C992" s="14"/>
      <c r="D992" s="14"/>
      <c r="E992" s="14"/>
      <c r="K992" s="14"/>
      <c r="M992" s="14"/>
      <c r="N992" s="14"/>
      <c r="Z992" s="11"/>
      <c r="AA992" s="15"/>
      <c r="AB992" s="15"/>
      <c r="AC992" s="15"/>
      <c r="AU992" s="17"/>
    </row>
    <row r="993" spans="1:47" ht="12" customHeight="1" x14ac:dyDescent="0.25">
      <c r="A993" s="3"/>
      <c r="B993" s="14"/>
      <c r="C993" s="14"/>
      <c r="D993" s="14"/>
      <c r="E993" s="14"/>
      <c r="K993" s="14"/>
      <c r="M993" s="14"/>
      <c r="N993" s="14"/>
      <c r="Z993" s="11"/>
      <c r="AA993" s="15"/>
      <c r="AB993" s="15"/>
      <c r="AC993" s="15"/>
      <c r="AU993" s="17"/>
    </row>
    <row r="994" spans="1:47" ht="12" customHeight="1" x14ac:dyDescent="0.25">
      <c r="A994" s="3"/>
      <c r="B994" s="14"/>
      <c r="C994" s="14"/>
      <c r="D994" s="14"/>
      <c r="E994" s="14"/>
      <c r="K994" s="14"/>
      <c r="M994" s="14"/>
      <c r="N994" s="14"/>
      <c r="Z994" s="11"/>
      <c r="AA994" s="15"/>
      <c r="AB994" s="15"/>
      <c r="AC994" s="15"/>
      <c r="AU994" s="17"/>
    </row>
    <row r="995" spans="1:47" ht="12" customHeight="1" x14ac:dyDescent="0.25">
      <c r="A995" s="3"/>
      <c r="B995" s="14"/>
      <c r="C995" s="14"/>
      <c r="D995" s="14"/>
      <c r="E995" s="14"/>
      <c r="K995" s="14"/>
      <c r="M995" s="14"/>
      <c r="N995" s="14"/>
      <c r="Z995" s="11"/>
      <c r="AA995" s="15"/>
      <c r="AB995" s="15"/>
      <c r="AC995" s="15"/>
      <c r="AU995" s="17"/>
    </row>
    <row r="996" spans="1:47" ht="12" customHeight="1" x14ac:dyDescent="0.25">
      <c r="A996" s="3"/>
      <c r="B996" s="14"/>
      <c r="C996" s="14"/>
      <c r="D996" s="14"/>
      <c r="E996" s="14"/>
      <c r="K996" s="14"/>
      <c r="M996" s="14"/>
      <c r="N996" s="14"/>
      <c r="Z996" s="11"/>
      <c r="AA996" s="15"/>
      <c r="AB996" s="15"/>
      <c r="AC996" s="15"/>
      <c r="AU996" s="17"/>
    </row>
    <row r="997" spans="1:47" ht="12" customHeight="1" x14ac:dyDescent="0.25">
      <c r="A997" s="3"/>
      <c r="B997" s="14"/>
      <c r="C997" s="14"/>
      <c r="D997" s="14"/>
      <c r="E997" s="14"/>
      <c r="K997" s="14"/>
      <c r="M997" s="14"/>
      <c r="N997" s="14"/>
      <c r="Z997" s="11"/>
      <c r="AA997" s="15"/>
      <c r="AB997" s="15"/>
      <c r="AC997" s="15"/>
      <c r="AU997" s="17"/>
    </row>
    <row r="998" spans="1:47" ht="12" customHeight="1" x14ac:dyDescent="0.25">
      <c r="A998" s="3"/>
      <c r="B998" s="14"/>
      <c r="C998" s="14"/>
      <c r="D998" s="14"/>
      <c r="E998" s="14"/>
      <c r="K998" s="14"/>
      <c r="M998" s="14"/>
      <c r="N998" s="14"/>
      <c r="Z998" s="11"/>
      <c r="AA998" s="15"/>
      <c r="AB998" s="15"/>
      <c r="AC998" s="15"/>
      <c r="AU998" s="17"/>
    </row>
    <row r="999" spans="1:47" ht="12" customHeight="1" x14ac:dyDescent="0.25">
      <c r="A999" s="3"/>
      <c r="B999" s="14"/>
      <c r="C999" s="14"/>
      <c r="D999" s="14"/>
      <c r="E999" s="14"/>
      <c r="K999" s="14"/>
      <c r="M999" s="14"/>
      <c r="N999" s="14"/>
      <c r="Z999" s="11"/>
      <c r="AA999" s="15"/>
      <c r="AB999" s="15"/>
      <c r="AC999" s="15"/>
      <c r="AU999" s="17"/>
    </row>
    <row r="1000" spans="1:47" ht="12" customHeight="1" x14ac:dyDescent="0.25">
      <c r="A1000" s="3"/>
      <c r="B1000" s="14"/>
      <c r="C1000" s="14"/>
      <c r="D1000" s="14"/>
      <c r="E1000" s="14"/>
      <c r="K1000" s="14"/>
      <c r="M1000" s="14"/>
      <c r="N1000" s="14"/>
      <c r="Z1000" s="11"/>
      <c r="AA1000" s="15"/>
      <c r="AB1000" s="15"/>
      <c r="AC1000" s="15"/>
      <c r="AU1000" s="17"/>
    </row>
    <row r="1001" spans="1:47" ht="12" customHeight="1" x14ac:dyDescent="0.25">
      <c r="A1001" s="3"/>
      <c r="B1001" s="14"/>
      <c r="C1001" s="14"/>
      <c r="D1001" s="14"/>
      <c r="E1001" s="14"/>
      <c r="K1001" s="14"/>
      <c r="M1001" s="14"/>
      <c r="N1001" s="14"/>
      <c r="Z1001" s="11"/>
      <c r="AA1001" s="15"/>
      <c r="AB1001" s="15"/>
      <c r="AC1001" s="15"/>
      <c r="AU1001" s="17"/>
    </row>
    <row r="1002" spans="1:47" ht="12" customHeight="1" x14ac:dyDescent="0.25">
      <c r="A1002" s="3"/>
      <c r="B1002" s="14"/>
      <c r="C1002" s="14"/>
      <c r="D1002" s="14"/>
      <c r="E1002" s="14"/>
      <c r="K1002" s="14"/>
      <c r="M1002" s="14"/>
      <c r="N1002" s="14"/>
      <c r="Z1002" s="11"/>
      <c r="AA1002" s="15"/>
      <c r="AB1002" s="15"/>
      <c r="AC1002" s="15"/>
      <c r="AU1002" s="17"/>
    </row>
    <row r="1003" spans="1:47" ht="12" customHeight="1" x14ac:dyDescent="0.25">
      <c r="A1003" s="3"/>
      <c r="B1003" s="14"/>
      <c r="C1003" s="14"/>
      <c r="D1003" s="14"/>
      <c r="E1003" s="14"/>
      <c r="K1003" s="14"/>
      <c r="M1003" s="14"/>
      <c r="N1003" s="14"/>
      <c r="Z1003" s="11"/>
      <c r="AA1003" s="15"/>
      <c r="AB1003" s="15"/>
      <c r="AC1003" s="15"/>
      <c r="AU1003" s="17"/>
    </row>
    <row r="1004" spans="1:47" ht="12" customHeight="1" x14ac:dyDescent="0.25">
      <c r="A1004" s="3"/>
      <c r="B1004" s="14"/>
      <c r="C1004" s="14"/>
      <c r="D1004" s="14"/>
      <c r="E1004" s="14"/>
      <c r="K1004" s="14"/>
      <c r="M1004" s="14"/>
      <c r="N1004" s="14"/>
      <c r="Z1004" s="11"/>
      <c r="AA1004" s="15"/>
      <c r="AB1004" s="15"/>
      <c r="AC1004" s="15"/>
      <c r="AU1004" s="17"/>
    </row>
    <row r="1005" spans="1:47" ht="12" customHeight="1" x14ac:dyDescent="0.25">
      <c r="A1005" s="3"/>
      <c r="B1005" s="14"/>
      <c r="C1005" s="14"/>
      <c r="D1005" s="14"/>
      <c r="E1005" s="14"/>
      <c r="K1005" s="14"/>
      <c r="M1005" s="14"/>
      <c r="N1005" s="14"/>
      <c r="Z1005" s="11"/>
      <c r="AA1005" s="15"/>
      <c r="AB1005" s="15"/>
      <c r="AC1005" s="15"/>
      <c r="AU1005" s="17"/>
    </row>
    <row r="1006" spans="1:47" ht="12" customHeight="1" x14ac:dyDescent="0.25">
      <c r="A1006" s="3"/>
      <c r="B1006" s="14"/>
      <c r="C1006" s="14"/>
      <c r="D1006" s="14"/>
      <c r="E1006" s="14"/>
      <c r="K1006" s="14"/>
      <c r="M1006" s="14"/>
      <c r="N1006" s="14"/>
      <c r="Z1006" s="11"/>
      <c r="AA1006" s="15"/>
      <c r="AB1006" s="15"/>
      <c r="AC1006" s="15"/>
      <c r="AU1006" s="17"/>
    </row>
    <row r="1007" spans="1:47" ht="12" customHeight="1" x14ac:dyDescent="0.25">
      <c r="A1007" s="3"/>
      <c r="B1007" s="14"/>
      <c r="C1007" s="14"/>
      <c r="D1007" s="14"/>
      <c r="E1007" s="14"/>
      <c r="K1007" s="14"/>
      <c r="M1007" s="14"/>
      <c r="N1007" s="14"/>
      <c r="Z1007" s="11"/>
      <c r="AA1007" s="15"/>
      <c r="AB1007" s="15"/>
      <c r="AC1007" s="15"/>
      <c r="AU1007" s="17"/>
    </row>
    <row r="1008" spans="1:47" ht="12" customHeight="1" x14ac:dyDescent="0.25">
      <c r="A1008" s="3"/>
      <c r="B1008" s="14"/>
      <c r="C1008" s="14"/>
      <c r="D1008" s="14"/>
      <c r="E1008" s="14"/>
      <c r="K1008" s="14"/>
      <c r="M1008" s="14"/>
      <c r="N1008" s="14"/>
      <c r="Z1008" s="11"/>
      <c r="AA1008" s="15"/>
      <c r="AB1008" s="15"/>
      <c r="AC1008" s="15"/>
      <c r="AU1008" s="17"/>
    </row>
    <row r="1009" spans="1:47" ht="12" customHeight="1" x14ac:dyDescent="0.25">
      <c r="A1009" s="3"/>
      <c r="B1009" s="14"/>
      <c r="C1009" s="14"/>
      <c r="D1009" s="14"/>
      <c r="E1009" s="14"/>
      <c r="K1009" s="14"/>
      <c r="M1009" s="14"/>
      <c r="N1009" s="14"/>
      <c r="Z1009" s="11"/>
      <c r="AA1009" s="15"/>
      <c r="AB1009" s="15"/>
      <c r="AC1009" s="15"/>
      <c r="AU1009" s="17"/>
    </row>
    <row r="1010" spans="1:47" ht="12" customHeight="1" x14ac:dyDescent="0.25">
      <c r="A1010" s="3"/>
      <c r="B1010" s="14"/>
      <c r="C1010" s="14"/>
      <c r="D1010" s="14"/>
      <c r="E1010" s="14"/>
      <c r="K1010" s="14"/>
      <c r="M1010" s="14"/>
      <c r="N1010" s="14"/>
      <c r="Z1010" s="11"/>
      <c r="AA1010" s="15"/>
      <c r="AB1010" s="15"/>
      <c r="AC1010" s="15"/>
      <c r="AU1010" s="17"/>
    </row>
    <row r="1011" spans="1:47" ht="12" customHeight="1" x14ac:dyDescent="0.25">
      <c r="A1011" s="3"/>
      <c r="B1011" s="14"/>
      <c r="C1011" s="14"/>
      <c r="D1011" s="14"/>
      <c r="E1011" s="14"/>
      <c r="K1011" s="14"/>
      <c r="M1011" s="14"/>
      <c r="N1011" s="14"/>
      <c r="Z1011" s="11"/>
      <c r="AA1011" s="15"/>
      <c r="AB1011" s="15"/>
      <c r="AC1011" s="15"/>
      <c r="AU1011" s="17"/>
    </row>
    <row r="1012" spans="1:47" ht="12" customHeight="1" x14ac:dyDescent="0.25">
      <c r="A1012" s="3"/>
      <c r="B1012" s="14"/>
      <c r="C1012" s="14"/>
      <c r="D1012" s="14"/>
      <c r="E1012" s="14"/>
      <c r="K1012" s="14"/>
      <c r="M1012" s="14"/>
      <c r="N1012" s="14"/>
      <c r="Z1012" s="11"/>
      <c r="AA1012" s="15"/>
      <c r="AB1012" s="15"/>
      <c r="AC1012" s="15"/>
      <c r="AU1012" s="17"/>
    </row>
    <row r="1013" spans="1:47" ht="12" customHeight="1" x14ac:dyDescent="0.25">
      <c r="A1013" s="3"/>
      <c r="B1013" s="14"/>
      <c r="C1013" s="14"/>
      <c r="D1013" s="14"/>
      <c r="E1013" s="14"/>
      <c r="K1013" s="14"/>
      <c r="M1013" s="14"/>
      <c r="N1013" s="14"/>
      <c r="Z1013" s="11"/>
      <c r="AA1013" s="15"/>
      <c r="AB1013" s="15"/>
      <c r="AC1013" s="15"/>
      <c r="AU1013" s="17"/>
    </row>
    <row r="1014" spans="1:47" ht="12" customHeight="1" x14ac:dyDescent="0.25">
      <c r="A1014" s="3"/>
      <c r="B1014" s="14"/>
      <c r="C1014" s="14"/>
      <c r="D1014" s="14"/>
      <c r="E1014" s="14"/>
      <c r="K1014" s="14"/>
      <c r="M1014" s="14"/>
      <c r="N1014" s="14"/>
      <c r="Z1014" s="11"/>
      <c r="AA1014" s="15"/>
      <c r="AB1014" s="15"/>
      <c r="AC1014" s="15"/>
      <c r="AU1014" s="17"/>
    </row>
    <row r="1015" spans="1:47" ht="12" customHeight="1" x14ac:dyDescent="0.25">
      <c r="A1015" s="3"/>
      <c r="B1015" s="14"/>
      <c r="C1015" s="14"/>
      <c r="D1015" s="14"/>
      <c r="E1015" s="14"/>
      <c r="K1015" s="14"/>
      <c r="M1015" s="14"/>
      <c r="N1015" s="14"/>
      <c r="Z1015" s="11"/>
      <c r="AA1015" s="15"/>
      <c r="AB1015" s="15"/>
      <c r="AC1015" s="15"/>
      <c r="AU1015" s="17"/>
    </row>
    <row r="1016" spans="1:47" ht="12" customHeight="1" x14ac:dyDescent="0.25">
      <c r="A1016" s="3"/>
      <c r="B1016" s="14"/>
      <c r="C1016" s="14"/>
      <c r="D1016" s="14"/>
      <c r="E1016" s="14"/>
      <c r="K1016" s="14"/>
      <c r="M1016" s="14"/>
      <c r="N1016" s="14"/>
      <c r="Z1016" s="11"/>
      <c r="AA1016" s="15"/>
      <c r="AB1016" s="15"/>
      <c r="AC1016" s="15"/>
      <c r="AU1016" s="17"/>
    </row>
    <row r="1017" spans="1:47" ht="12" customHeight="1" x14ac:dyDescent="0.25">
      <c r="A1017" s="3"/>
      <c r="B1017" s="14"/>
      <c r="C1017" s="14"/>
      <c r="D1017" s="14"/>
      <c r="E1017" s="14"/>
      <c r="K1017" s="14"/>
      <c r="M1017" s="14"/>
      <c r="N1017" s="14"/>
      <c r="Z1017" s="11"/>
      <c r="AA1017" s="15"/>
      <c r="AB1017" s="15"/>
      <c r="AC1017" s="15"/>
      <c r="AU1017" s="17"/>
    </row>
    <row r="1018" spans="1:47" ht="12" customHeight="1" x14ac:dyDescent="0.25">
      <c r="A1018" s="3"/>
      <c r="B1018" s="14"/>
      <c r="C1018" s="14"/>
      <c r="D1018" s="14"/>
      <c r="E1018" s="14"/>
      <c r="K1018" s="14"/>
      <c r="M1018" s="14"/>
      <c r="N1018" s="14"/>
      <c r="Z1018" s="11"/>
      <c r="AA1018" s="15"/>
      <c r="AB1018" s="15"/>
      <c r="AC1018" s="15"/>
      <c r="AU1018" s="17"/>
    </row>
    <row r="1019" spans="1:47" ht="12" customHeight="1" x14ac:dyDescent="0.25">
      <c r="A1019" s="3"/>
      <c r="B1019" s="14"/>
      <c r="C1019" s="14"/>
      <c r="D1019" s="14"/>
      <c r="E1019" s="14"/>
      <c r="K1019" s="14"/>
      <c r="M1019" s="14"/>
      <c r="N1019" s="14"/>
      <c r="Z1019" s="11"/>
      <c r="AA1019" s="15"/>
      <c r="AB1019" s="15"/>
      <c r="AC1019" s="15"/>
      <c r="AU1019" s="17"/>
    </row>
    <row r="1020" spans="1:47" ht="12" customHeight="1" x14ac:dyDescent="0.25">
      <c r="A1020" s="3"/>
      <c r="B1020" s="14"/>
      <c r="C1020" s="14"/>
      <c r="D1020" s="14"/>
      <c r="E1020" s="14"/>
      <c r="K1020" s="14"/>
      <c r="M1020" s="14"/>
      <c r="N1020" s="14"/>
      <c r="Z1020" s="11"/>
      <c r="AA1020" s="15"/>
      <c r="AB1020" s="15"/>
      <c r="AC1020" s="15"/>
      <c r="AU1020" s="17"/>
    </row>
    <row r="1021" spans="1:47" ht="12" customHeight="1" x14ac:dyDescent="0.25">
      <c r="A1021" s="3"/>
      <c r="B1021" s="14"/>
      <c r="C1021" s="14"/>
      <c r="D1021" s="14"/>
      <c r="E1021" s="14"/>
      <c r="K1021" s="14"/>
      <c r="M1021" s="14"/>
      <c r="N1021" s="14"/>
      <c r="Z1021" s="11"/>
      <c r="AA1021" s="15"/>
      <c r="AB1021" s="15"/>
      <c r="AC1021" s="15"/>
      <c r="AU1021" s="17"/>
    </row>
    <row r="1022" spans="1:47" ht="12" customHeight="1" x14ac:dyDescent="0.25">
      <c r="A1022" s="3"/>
      <c r="B1022" s="14"/>
      <c r="C1022" s="14"/>
      <c r="D1022" s="14"/>
      <c r="E1022" s="14"/>
      <c r="K1022" s="14"/>
      <c r="M1022" s="14"/>
      <c r="N1022" s="14"/>
      <c r="Z1022" s="11"/>
      <c r="AA1022" s="15"/>
      <c r="AB1022" s="15"/>
      <c r="AC1022" s="15"/>
      <c r="AU1022" s="17"/>
    </row>
    <row r="1023" spans="1:47" ht="12" customHeight="1" x14ac:dyDescent="0.25">
      <c r="A1023" s="3"/>
      <c r="B1023" s="14"/>
      <c r="C1023" s="14"/>
      <c r="D1023" s="14"/>
      <c r="E1023" s="14"/>
      <c r="K1023" s="14"/>
      <c r="M1023" s="14"/>
      <c r="N1023" s="14"/>
      <c r="Z1023" s="11"/>
      <c r="AA1023" s="15"/>
      <c r="AB1023" s="15"/>
      <c r="AC1023" s="15"/>
      <c r="AU1023" s="17"/>
    </row>
    <row r="1024" spans="1:47" ht="12" customHeight="1" x14ac:dyDescent="0.25">
      <c r="A1024" s="3"/>
      <c r="B1024" s="14"/>
      <c r="C1024" s="14"/>
      <c r="D1024" s="14"/>
      <c r="E1024" s="14"/>
      <c r="K1024" s="14"/>
      <c r="M1024" s="14"/>
      <c r="N1024" s="14"/>
      <c r="Z1024" s="11"/>
      <c r="AA1024" s="15"/>
      <c r="AB1024" s="15"/>
      <c r="AC1024" s="15"/>
      <c r="AU1024" s="17"/>
    </row>
    <row r="1025" spans="1:47" ht="12" customHeight="1" x14ac:dyDescent="0.25">
      <c r="A1025" s="3"/>
      <c r="B1025" s="14"/>
      <c r="C1025" s="14"/>
      <c r="D1025" s="14"/>
      <c r="E1025" s="14"/>
      <c r="K1025" s="14"/>
      <c r="M1025" s="14"/>
      <c r="N1025" s="14"/>
      <c r="Z1025" s="11"/>
      <c r="AA1025" s="15"/>
      <c r="AB1025" s="15"/>
      <c r="AC1025" s="15"/>
      <c r="AU1025" s="17"/>
    </row>
    <row r="1026" spans="1:47" ht="12" customHeight="1" x14ac:dyDescent="0.25">
      <c r="A1026" s="3"/>
      <c r="B1026" s="14"/>
      <c r="C1026" s="14"/>
      <c r="D1026" s="14"/>
      <c r="E1026" s="14"/>
      <c r="K1026" s="14"/>
      <c r="M1026" s="14"/>
      <c r="N1026" s="14"/>
      <c r="Z1026" s="11"/>
      <c r="AA1026" s="15"/>
      <c r="AB1026" s="15"/>
      <c r="AC1026" s="15"/>
      <c r="AU1026" s="17"/>
    </row>
    <row r="1027" spans="1:47" ht="12" customHeight="1" x14ac:dyDescent="0.25">
      <c r="A1027" s="3"/>
      <c r="B1027" s="14"/>
      <c r="C1027" s="14"/>
      <c r="D1027" s="14"/>
      <c r="E1027" s="14"/>
      <c r="K1027" s="14"/>
      <c r="M1027" s="14"/>
      <c r="N1027" s="14"/>
      <c r="Z1027" s="11"/>
      <c r="AA1027" s="15"/>
      <c r="AB1027" s="15"/>
      <c r="AC1027" s="15"/>
      <c r="AU1027" s="17"/>
    </row>
    <row r="1028" spans="1:47" ht="12" customHeight="1" x14ac:dyDescent="0.25">
      <c r="A1028" s="3"/>
      <c r="B1028" s="14"/>
      <c r="C1028" s="14"/>
      <c r="D1028" s="14"/>
      <c r="E1028" s="14"/>
      <c r="K1028" s="14"/>
      <c r="M1028" s="14"/>
      <c r="N1028" s="14"/>
      <c r="Z1028" s="11"/>
      <c r="AA1028" s="15"/>
      <c r="AB1028" s="15"/>
      <c r="AC1028" s="15"/>
      <c r="AU1028" s="17"/>
    </row>
    <row r="1029" spans="1:47" ht="12" customHeight="1" x14ac:dyDescent="0.25">
      <c r="A1029" s="3"/>
      <c r="B1029" s="14"/>
      <c r="C1029" s="14"/>
      <c r="D1029" s="14"/>
      <c r="E1029" s="14"/>
      <c r="K1029" s="14"/>
      <c r="M1029" s="14"/>
      <c r="N1029" s="14"/>
      <c r="Z1029" s="11"/>
      <c r="AA1029" s="15"/>
      <c r="AB1029" s="15"/>
      <c r="AC1029" s="15"/>
      <c r="AU1029" s="17"/>
    </row>
    <row r="1030" spans="1:47" ht="12" customHeight="1" x14ac:dyDescent="0.25">
      <c r="A1030" s="3"/>
      <c r="B1030" s="14"/>
      <c r="C1030" s="14"/>
      <c r="D1030" s="14"/>
      <c r="E1030" s="14"/>
      <c r="K1030" s="14"/>
      <c r="M1030" s="14"/>
      <c r="N1030" s="14"/>
      <c r="Z1030" s="11"/>
      <c r="AA1030" s="15"/>
      <c r="AB1030" s="15"/>
      <c r="AC1030" s="15"/>
      <c r="AU1030" s="17"/>
    </row>
    <row r="1031" spans="1:47" ht="12" customHeight="1" x14ac:dyDescent="0.25">
      <c r="A1031" s="3"/>
      <c r="B1031" s="14"/>
      <c r="C1031" s="14"/>
      <c r="D1031" s="14"/>
      <c r="E1031" s="14"/>
      <c r="K1031" s="14"/>
      <c r="M1031" s="14"/>
      <c r="N1031" s="14"/>
      <c r="Z1031" s="11"/>
      <c r="AA1031" s="15"/>
      <c r="AB1031" s="15"/>
      <c r="AC1031" s="15"/>
      <c r="AU1031" s="17"/>
    </row>
    <row r="1032" spans="1:47" ht="12" customHeight="1" x14ac:dyDescent="0.25">
      <c r="A1032" s="3"/>
      <c r="B1032" s="14"/>
      <c r="C1032" s="14"/>
      <c r="D1032" s="14"/>
      <c r="E1032" s="14"/>
      <c r="K1032" s="14"/>
      <c r="M1032" s="14"/>
      <c r="N1032" s="14"/>
      <c r="Z1032" s="11"/>
      <c r="AA1032" s="15"/>
      <c r="AB1032" s="15"/>
      <c r="AC1032" s="15"/>
      <c r="AU1032" s="17"/>
    </row>
    <row r="1033" spans="1:47" ht="12" customHeight="1" x14ac:dyDescent="0.25">
      <c r="A1033" s="3"/>
      <c r="B1033" s="14"/>
      <c r="C1033" s="14"/>
      <c r="D1033" s="14"/>
      <c r="E1033" s="14"/>
      <c r="K1033" s="14"/>
      <c r="M1033" s="14"/>
      <c r="N1033" s="14"/>
      <c r="Z1033" s="11"/>
      <c r="AA1033" s="15"/>
      <c r="AB1033" s="15"/>
      <c r="AC1033" s="15"/>
      <c r="AU1033" s="17"/>
    </row>
    <row r="1034" spans="1:47" ht="12" customHeight="1" x14ac:dyDescent="0.25">
      <c r="A1034" s="3"/>
      <c r="B1034" s="14"/>
      <c r="C1034" s="14"/>
      <c r="D1034" s="14"/>
      <c r="E1034" s="14"/>
      <c r="K1034" s="14"/>
      <c r="M1034" s="14"/>
      <c r="N1034" s="14"/>
      <c r="Z1034" s="11"/>
      <c r="AA1034" s="15"/>
      <c r="AB1034" s="15"/>
      <c r="AC1034" s="15"/>
      <c r="AU1034" s="17"/>
    </row>
    <row r="1035" spans="1:47" ht="12" customHeight="1" x14ac:dyDescent="0.25">
      <c r="A1035" s="3"/>
      <c r="B1035" s="14"/>
      <c r="C1035" s="14"/>
      <c r="D1035" s="14"/>
      <c r="E1035" s="14"/>
      <c r="K1035" s="14"/>
      <c r="M1035" s="14"/>
      <c r="N1035" s="14"/>
      <c r="Z1035" s="11"/>
      <c r="AA1035" s="15"/>
      <c r="AB1035" s="15"/>
      <c r="AC1035" s="15"/>
      <c r="AU1035" s="17"/>
    </row>
    <row r="1036" spans="1:47" ht="12" customHeight="1" x14ac:dyDescent="0.25">
      <c r="A1036" s="3"/>
      <c r="B1036" s="14"/>
      <c r="C1036" s="14"/>
      <c r="D1036" s="14"/>
      <c r="E1036" s="14"/>
      <c r="K1036" s="14"/>
      <c r="M1036" s="14"/>
      <c r="N1036" s="14"/>
      <c r="Z1036" s="11"/>
      <c r="AA1036" s="15"/>
      <c r="AB1036" s="15"/>
      <c r="AC1036" s="15"/>
      <c r="AU1036" s="17"/>
    </row>
    <row r="1037" spans="1:47" ht="12" customHeight="1" x14ac:dyDescent="0.25">
      <c r="A1037" s="3"/>
      <c r="B1037" s="14"/>
      <c r="C1037" s="14"/>
      <c r="D1037" s="14"/>
      <c r="E1037" s="14"/>
      <c r="K1037" s="14"/>
      <c r="M1037" s="14"/>
      <c r="N1037" s="14"/>
      <c r="Z1037" s="11"/>
      <c r="AA1037" s="15"/>
      <c r="AB1037" s="15"/>
      <c r="AC1037" s="15"/>
      <c r="AU1037" s="17"/>
    </row>
    <row r="1038" spans="1:47" ht="12" customHeight="1" x14ac:dyDescent="0.25">
      <c r="A1038" s="3"/>
      <c r="B1038" s="14"/>
      <c r="C1038" s="14"/>
      <c r="D1038" s="14"/>
      <c r="E1038" s="14"/>
      <c r="K1038" s="14"/>
      <c r="M1038" s="14"/>
      <c r="N1038" s="14"/>
      <c r="Z1038" s="11"/>
      <c r="AA1038" s="15"/>
      <c r="AB1038" s="15"/>
      <c r="AC1038" s="15"/>
      <c r="AU1038" s="17"/>
    </row>
    <row r="1039" spans="1:47" ht="12" customHeight="1" x14ac:dyDescent="0.25">
      <c r="A1039" s="3"/>
      <c r="B1039" s="14"/>
      <c r="C1039" s="14"/>
      <c r="D1039" s="14"/>
      <c r="E1039" s="14"/>
      <c r="K1039" s="14"/>
      <c r="M1039" s="14"/>
      <c r="N1039" s="14"/>
      <c r="Z1039" s="11"/>
      <c r="AA1039" s="15"/>
      <c r="AB1039" s="15"/>
      <c r="AC1039" s="15"/>
      <c r="AU1039" s="17"/>
    </row>
    <row r="1040" spans="1:47" ht="12" customHeight="1" x14ac:dyDescent="0.25">
      <c r="A1040" s="3"/>
      <c r="B1040" s="14"/>
      <c r="C1040" s="14"/>
      <c r="D1040" s="14"/>
      <c r="E1040" s="14"/>
      <c r="K1040" s="14"/>
      <c r="M1040" s="14"/>
      <c r="N1040" s="14"/>
      <c r="Z1040" s="11"/>
      <c r="AA1040" s="15"/>
      <c r="AB1040" s="15"/>
      <c r="AC1040" s="15"/>
      <c r="AU1040" s="17"/>
    </row>
    <row r="1041" spans="1:47" ht="12" customHeight="1" x14ac:dyDescent="0.25">
      <c r="A1041" s="3"/>
      <c r="B1041" s="14"/>
      <c r="C1041" s="14"/>
      <c r="D1041" s="14"/>
      <c r="E1041" s="14"/>
      <c r="K1041" s="14"/>
      <c r="M1041" s="14"/>
      <c r="N1041" s="14"/>
      <c r="Z1041" s="11"/>
      <c r="AA1041" s="15"/>
      <c r="AB1041" s="15"/>
      <c r="AC1041" s="15"/>
      <c r="AU1041" s="17"/>
    </row>
    <row r="1042" spans="1:47" ht="12" customHeight="1" x14ac:dyDescent="0.25">
      <c r="A1042" s="3"/>
      <c r="B1042" s="14"/>
      <c r="C1042" s="14"/>
      <c r="D1042" s="14"/>
      <c r="E1042" s="14"/>
      <c r="K1042" s="14"/>
      <c r="M1042" s="14"/>
      <c r="N1042" s="14"/>
      <c r="Z1042" s="11"/>
      <c r="AA1042" s="15"/>
      <c r="AB1042" s="15"/>
      <c r="AC1042" s="15"/>
      <c r="AU1042" s="17"/>
    </row>
    <row r="1043" spans="1:47" ht="12" customHeight="1" x14ac:dyDescent="0.25">
      <c r="A1043" s="3"/>
      <c r="B1043" s="14"/>
      <c r="C1043" s="14"/>
      <c r="D1043" s="14"/>
      <c r="E1043" s="14"/>
      <c r="K1043" s="14"/>
      <c r="M1043" s="14"/>
      <c r="N1043" s="14"/>
      <c r="Z1043" s="11"/>
      <c r="AA1043" s="15"/>
      <c r="AB1043" s="15"/>
      <c r="AC1043" s="15"/>
      <c r="AU1043" s="17"/>
    </row>
    <row r="1044" spans="1:47" ht="12" customHeight="1" x14ac:dyDescent="0.25">
      <c r="A1044" s="3"/>
      <c r="B1044" s="14"/>
      <c r="C1044" s="14"/>
      <c r="D1044" s="14"/>
      <c r="E1044" s="14"/>
      <c r="K1044" s="14"/>
      <c r="M1044" s="14"/>
      <c r="N1044" s="14"/>
      <c r="Z1044" s="11"/>
      <c r="AA1044" s="15"/>
      <c r="AB1044" s="15"/>
      <c r="AC1044" s="15"/>
      <c r="AU1044" s="17"/>
    </row>
    <row r="1045" spans="1:47" ht="12" customHeight="1" x14ac:dyDescent="0.25">
      <c r="A1045" s="3"/>
      <c r="B1045" s="14"/>
      <c r="C1045" s="14"/>
      <c r="D1045" s="14"/>
      <c r="E1045" s="14"/>
      <c r="K1045" s="14"/>
      <c r="M1045" s="14"/>
      <c r="N1045" s="14"/>
      <c r="Z1045" s="11"/>
      <c r="AA1045" s="15"/>
      <c r="AB1045" s="15"/>
      <c r="AC1045" s="15"/>
      <c r="AU1045" s="17"/>
    </row>
    <row r="1046" spans="1:47" ht="12" customHeight="1" x14ac:dyDescent="0.25">
      <c r="A1046" s="3"/>
      <c r="B1046" s="14"/>
      <c r="C1046" s="14"/>
      <c r="D1046" s="14"/>
      <c r="E1046" s="14"/>
      <c r="K1046" s="14"/>
      <c r="M1046" s="14"/>
      <c r="N1046" s="14"/>
      <c r="Z1046" s="11"/>
      <c r="AA1046" s="15"/>
      <c r="AB1046" s="15"/>
      <c r="AC1046" s="15"/>
      <c r="AU1046" s="17"/>
    </row>
    <row r="1047" spans="1:47" ht="12" customHeight="1" x14ac:dyDescent="0.25">
      <c r="A1047" s="3"/>
      <c r="B1047" s="14"/>
      <c r="C1047" s="14"/>
      <c r="D1047" s="14"/>
      <c r="E1047" s="14"/>
      <c r="K1047" s="14"/>
      <c r="M1047" s="14"/>
      <c r="N1047" s="14"/>
      <c r="Z1047" s="11"/>
      <c r="AA1047" s="15"/>
      <c r="AB1047" s="15"/>
      <c r="AC1047" s="15"/>
      <c r="AU1047" s="17"/>
    </row>
    <row r="1048" spans="1:47" ht="12" customHeight="1" x14ac:dyDescent="0.25">
      <c r="A1048" s="3"/>
      <c r="B1048" s="14"/>
      <c r="C1048" s="14"/>
      <c r="D1048" s="14"/>
      <c r="E1048" s="14"/>
      <c r="K1048" s="14"/>
      <c r="M1048" s="14"/>
      <c r="N1048" s="14"/>
      <c r="Z1048" s="11"/>
      <c r="AA1048" s="15"/>
      <c r="AB1048" s="15"/>
      <c r="AC1048" s="15"/>
      <c r="AU1048" s="17"/>
    </row>
    <row r="1049" spans="1:47" ht="12" customHeight="1" x14ac:dyDescent="0.25">
      <c r="A1049" s="3"/>
      <c r="B1049" s="14"/>
      <c r="C1049" s="14"/>
      <c r="D1049" s="14"/>
      <c r="E1049" s="14"/>
      <c r="K1049" s="14"/>
      <c r="M1049" s="14"/>
      <c r="N1049" s="14"/>
      <c r="Z1049" s="11"/>
      <c r="AA1049" s="15"/>
      <c r="AB1049" s="15"/>
      <c r="AC1049" s="15"/>
      <c r="AU1049" s="17"/>
    </row>
    <row r="1050" spans="1:47" ht="12" customHeight="1" x14ac:dyDescent="0.25">
      <c r="A1050" s="3"/>
      <c r="B1050" s="14"/>
      <c r="C1050" s="14"/>
      <c r="D1050" s="14"/>
      <c r="E1050" s="14"/>
      <c r="K1050" s="14"/>
      <c r="M1050" s="14"/>
      <c r="N1050" s="14"/>
      <c r="Z1050" s="11"/>
      <c r="AA1050" s="15"/>
      <c r="AB1050" s="15"/>
      <c r="AC1050" s="15"/>
      <c r="AU1050" s="17"/>
    </row>
    <row r="1051" spans="1:47" ht="12" customHeight="1" x14ac:dyDescent="0.25">
      <c r="A1051" s="3"/>
      <c r="B1051" s="14"/>
      <c r="C1051" s="14"/>
      <c r="D1051" s="14"/>
      <c r="E1051" s="14"/>
      <c r="K1051" s="14"/>
      <c r="M1051" s="14"/>
      <c r="N1051" s="14"/>
      <c r="Z1051" s="11"/>
      <c r="AA1051" s="15"/>
      <c r="AB1051" s="15"/>
      <c r="AC1051" s="15"/>
      <c r="AU1051" s="17"/>
    </row>
    <row r="1052" spans="1:47" ht="12" customHeight="1" x14ac:dyDescent="0.25">
      <c r="A1052" s="3"/>
      <c r="B1052" s="14"/>
      <c r="C1052" s="14"/>
      <c r="D1052" s="14"/>
      <c r="E1052" s="14"/>
      <c r="K1052" s="14"/>
      <c r="M1052" s="14"/>
      <c r="N1052" s="14"/>
      <c r="Z1052" s="11"/>
      <c r="AA1052" s="15"/>
      <c r="AB1052" s="15"/>
      <c r="AC1052" s="15"/>
      <c r="AU1052" s="17"/>
    </row>
    <row r="1053" spans="1:47" ht="12" customHeight="1" x14ac:dyDescent="0.25">
      <c r="A1053" s="3"/>
      <c r="B1053" s="14"/>
      <c r="C1053" s="14"/>
      <c r="D1053" s="14"/>
      <c r="E1053" s="14"/>
      <c r="K1053" s="14"/>
      <c r="M1053" s="14"/>
      <c r="N1053" s="14"/>
      <c r="Z1053" s="11"/>
      <c r="AA1053" s="15"/>
      <c r="AB1053" s="15"/>
      <c r="AC1053" s="15"/>
      <c r="AU1053" s="17"/>
    </row>
    <row r="1054" spans="1:47" ht="12" customHeight="1" x14ac:dyDescent="0.25">
      <c r="A1054" s="3"/>
      <c r="B1054" s="14"/>
      <c r="C1054" s="14"/>
      <c r="D1054" s="14"/>
      <c r="E1054" s="14"/>
      <c r="K1054" s="14"/>
      <c r="M1054" s="14"/>
      <c r="N1054" s="14"/>
      <c r="Z1054" s="11"/>
      <c r="AA1054" s="15"/>
      <c r="AB1054" s="15"/>
      <c r="AC1054" s="15"/>
      <c r="AU1054" s="17"/>
    </row>
    <row r="1055" spans="1:47" ht="12" customHeight="1" x14ac:dyDescent="0.25">
      <c r="A1055" s="3"/>
      <c r="B1055" s="14"/>
      <c r="C1055" s="14"/>
      <c r="D1055" s="14"/>
      <c r="E1055" s="14"/>
      <c r="K1055" s="14"/>
      <c r="M1055" s="14"/>
      <c r="N1055" s="14"/>
      <c r="Z1055" s="11"/>
      <c r="AA1055" s="15"/>
      <c r="AB1055" s="15"/>
      <c r="AC1055" s="15"/>
      <c r="AU1055" s="17"/>
    </row>
    <row r="1056" spans="1:47" ht="12" customHeight="1" x14ac:dyDescent="0.25">
      <c r="A1056" s="3"/>
      <c r="B1056" s="14"/>
      <c r="C1056" s="14"/>
      <c r="D1056" s="14"/>
      <c r="E1056" s="14"/>
      <c r="K1056" s="14"/>
      <c r="M1056" s="14"/>
      <c r="N1056" s="14"/>
      <c r="Z1056" s="11"/>
      <c r="AA1056" s="15"/>
      <c r="AB1056" s="15"/>
      <c r="AC1056" s="15"/>
      <c r="AU1056" s="17"/>
    </row>
    <row r="1057" spans="1:47" ht="12" customHeight="1" x14ac:dyDescent="0.25">
      <c r="A1057" s="3"/>
      <c r="B1057" s="14"/>
      <c r="C1057" s="14"/>
      <c r="D1057" s="14"/>
      <c r="E1057" s="14"/>
      <c r="K1057" s="14"/>
      <c r="M1057" s="14"/>
      <c r="N1057" s="14"/>
      <c r="Z1057" s="11"/>
      <c r="AA1057" s="15"/>
      <c r="AB1057" s="15"/>
      <c r="AC1057" s="15"/>
      <c r="AU1057" s="17"/>
    </row>
    <row r="1058" spans="1:47" ht="12" customHeight="1" x14ac:dyDescent="0.25">
      <c r="A1058" s="3"/>
      <c r="B1058" s="14"/>
      <c r="C1058" s="14"/>
      <c r="D1058" s="14"/>
      <c r="E1058" s="14"/>
      <c r="K1058" s="14"/>
      <c r="M1058" s="14"/>
      <c r="N1058" s="14"/>
      <c r="Z1058" s="11"/>
      <c r="AA1058" s="15"/>
      <c r="AB1058" s="15"/>
      <c r="AC1058" s="15"/>
      <c r="AU1058" s="17"/>
    </row>
    <row r="1059" spans="1:47" ht="12" customHeight="1" x14ac:dyDescent="0.25">
      <c r="A1059" s="3"/>
      <c r="B1059" s="14"/>
      <c r="C1059" s="14"/>
      <c r="D1059" s="14"/>
      <c r="E1059" s="14"/>
      <c r="K1059" s="14"/>
      <c r="M1059" s="14"/>
      <c r="N1059" s="14"/>
      <c r="Z1059" s="11"/>
      <c r="AA1059" s="15"/>
      <c r="AB1059" s="15"/>
      <c r="AC1059" s="15"/>
      <c r="AU1059" s="17"/>
    </row>
    <row r="1060" spans="1:47" ht="12" customHeight="1" x14ac:dyDescent="0.25">
      <c r="A1060" s="3"/>
      <c r="B1060" s="14"/>
      <c r="C1060" s="14"/>
      <c r="D1060" s="14"/>
      <c r="E1060" s="14"/>
      <c r="K1060" s="14"/>
      <c r="M1060" s="14"/>
      <c r="N1060" s="14"/>
      <c r="Z1060" s="11"/>
      <c r="AA1060" s="15"/>
      <c r="AB1060" s="15"/>
      <c r="AC1060" s="15"/>
      <c r="AU1060" s="17"/>
    </row>
    <row r="1061" spans="1:47" ht="12" customHeight="1" x14ac:dyDescent="0.25">
      <c r="A1061" s="3"/>
      <c r="B1061" s="14"/>
      <c r="C1061" s="14"/>
      <c r="D1061" s="14"/>
      <c r="E1061" s="14"/>
      <c r="K1061" s="14"/>
      <c r="M1061" s="14"/>
      <c r="N1061" s="14"/>
      <c r="Z1061" s="11"/>
      <c r="AA1061" s="15"/>
      <c r="AB1061" s="15"/>
      <c r="AC1061" s="15"/>
      <c r="AU1061" s="17"/>
    </row>
    <row r="1062" spans="1:47" ht="12" customHeight="1" x14ac:dyDescent="0.25">
      <c r="A1062" s="3"/>
      <c r="B1062" s="14"/>
      <c r="C1062" s="14"/>
      <c r="D1062" s="14"/>
      <c r="E1062" s="14"/>
      <c r="K1062" s="14"/>
      <c r="M1062" s="14"/>
      <c r="N1062" s="14"/>
      <c r="Z1062" s="11"/>
      <c r="AA1062" s="15"/>
      <c r="AB1062" s="15"/>
      <c r="AC1062" s="15"/>
      <c r="AU1062" s="17"/>
    </row>
    <row r="1063" spans="1:47" ht="12" customHeight="1" x14ac:dyDescent="0.25">
      <c r="A1063" s="3"/>
      <c r="B1063" s="14"/>
      <c r="C1063" s="14"/>
      <c r="D1063" s="14"/>
      <c r="E1063" s="14"/>
      <c r="K1063" s="14"/>
      <c r="M1063" s="14"/>
      <c r="N1063" s="14"/>
      <c r="Z1063" s="11"/>
      <c r="AA1063" s="15"/>
      <c r="AB1063" s="15"/>
      <c r="AC1063" s="15"/>
      <c r="AU1063" s="17"/>
    </row>
    <row r="1064" spans="1:47" ht="12" customHeight="1" x14ac:dyDescent="0.25">
      <c r="A1064" s="3"/>
      <c r="B1064" s="14"/>
      <c r="C1064" s="14"/>
      <c r="D1064" s="14"/>
      <c r="E1064" s="14"/>
      <c r="K1064" s="14"/>
      <c r="M1064" s="14"/>
      <c r="N1064" s="14"/>
      <c r="Z1064" s="11"/>
      <c r="AA1064" s="15"/>
      <c r="AB1064" s="15"/>
      <c r="AC1064" s="15"/>
      <c r="AU1064" s="17"/>
    </row>
    <row r="1065" spans="1:47" ht="12" customHeight="1" x14ac:dyDescent="0.25">
      <c r="A1065" s="3"/>
      <c r="B1065" s="14"/>
      <c r="C1065" s="14"/>
      <c r="D1065" s="14"/>
      <c r="E1065" s="14"/>
      <c r="K1065" s="14"/>
      <c r="M1065" s="14"/>
      <c r="N1065" s="14"/>
      <c r="Z1065" s="11"/>
      <c r="AA1065" s="15"/>
      <c r="AB1065" s="15"/>
      <c r="AC1065" s="15"/>
      <c r="AU1065" s="17"/>
    </row>
    <row r="1066" spans="1:47" ht="12" customHeight="1" x14ac:dyDescent="0.25">
      <c r="A1066" s="3"/>
      <c r="B1066" s="14"/>
      <c r="C1066" s="14"/>
      <c r="D1066" s="14"/>
      <c r="E1066" s="14"/>
      <c r="K1066" s="14"/>
      <c r="M1066" s="14"/>
      <c r="N1066" s="14"/>
      <c r="Z1066" s="11"/>
      <c r="AA1066" s="15"/>
      <c r="AB1066" s="15"/>
      <c r="AC1066" s="15"/>
      <c r="AU1066" s="17"/>
    </row>
    <row r="1067" spans="1:47" ht="12" customHeight="1" x14ac:dyDescent="0.25">
      <c r="A1067" s="3"/>
      <c r="B1067" s="14"/>
      <c r="C1067" s="14"/>
      <c r="D1067" s="14"/>
      <c r="E1067" s="14"/>
      <c r="K1067" s="14"/>
      <c r="M1067" s="14"/>
      <c r="N1067" s="14"/>
      <c r="Z1067" s="11"/>
      <c r="AA1067" s="15"/>
      <c r="AB1067" s="15"/>
      <c r="AC1067" s="15"/>
      <c r="AU1067" s="17"/>
    </row>
    <row r="1068" spans="1:47" ht="12" customHeight="1" x14ac:dyDescent="0.25">
      <c r="A1068" s="3"/>
      <c r="B1068" s="14"/>
      <c r="C1068" s="14"/>
      <c r="D1068" s="14"/>
      <c r="E1068" s="14"/>
      <c r="K1068" s="14"/>
      <c r="M1068" s="14"/>
      <c r="N1068" s="14"/>
      <c r="Z1068" s="11"/>
      <c r="AA1068" s="15"/>
      <c r="AB1068" s="15"/>
      <c r="AC1068" s="15"/>
      <c r="AU1068" s="17"/>
    </row>
    <row r="1069" spans="1:47" ht="12" customHeight="1" x14ac:dyDescent="0.25">
      <c r="A1069" s="3"/>
      <c r="B1069" s="14"/>
      <c r="C1069" s="14"/>
      <c r="D1069" s="14"/>
      <c r="E1069" s="14"/>
      <c r="K1069" s="14"/>
      <c r="M1069" s="14"/>
      <c r="N1069" s="14"/>
      <c r="Z1069" s="11"/>
      <c r="AA1069" s="15"/>
      <c r="AB1069" s="15"/>
      <c r="AC1069" s="15"/>
      <c r="AU1069" s="17"/>
    </row>
    <row r="1070" spans="1:47" ht="12" customHeight="1" x14ac:dyDescent="0.25">
      <c r="A1070" s="3"/>
      <c r="B1070" s="14"/>
      <c r="C1070" s="14"/>
      <c r="D1070" s="14"/>
      <c r="E1070" s="14"/>
      <c r="K1070" s="14"/>
      <c r="M1070" s="14"/>
      <c r="N1070" s="14"/>
      <c r="Z1070" s="11"/>
      <c r="AA1070" s="15"/>
      <c r="AB1070" s="15"/>
      <c r="AC1070" s="15"/>
      <c r="AU1070" s="17"/>
    </row>
    <row r="1071" spans="1:47" ht="12" customHeight="1" x14ac:dyDescent="0.25">
      <c r="A1071" s="3"/>
      <c r="B1071" s="14"/>
      <c r="C1071" s="14"/>
      <c r="D1071" s="14"/>
      <c r="E1071" s="14"/>
      <c r="K1071" s="14"/>
      <c r="M1071" s="14"/>
      <c r="N1071" s="14"/>
      <c r="Z1071" s="11"/>
      <c r="AA1071" s="15"/>
      <c r="AB1071" s="15"/>
      <c r="AC1071" s="15"/>
      <c r="AU1071" s="17"/>
    </row>
    <row r="1072" spans="1:47" ht="12" customHeight="1" x14ac:dyDescent="0.25">
      <c r="A1072" s="3"/>
      <c r="B1072" s="14"/>
      <c r="C1072" s="14"/>
      <c r="D1072" s="14"/>
      <c r="E1072" s="14"/>
      <c r="K1072" s="14"/>
      <c r="M1072" s="14"/>
      <c r="N1072" s="14"/>
      <c r="Z1072" s="11"/>
      <c r="AA1072" s="15"/>
      <c r="AB1072" s="15"/>
      <c r="AC1072" s="15"/>
      <c r="AU1072" s="17"/>
    </row>
    <row r="1073" spans="1:47" ht="12" customHeight="1" x14ac:dyDescent="0.25">
      <c r="A1073" s="3"/>
      <c r="B1073" s="14"/>
      <c r="C1073" s="14"/>
      <c r="D1073" s="14"/>
      <c r="E1073" s="14"/>
      <c r="K1073" s="14"/>
      <c r="M1073" s="14"/>
      <c r="N1073" s="14"/>
      <c r="Z1073" s="11"/>
      <c r="AA1073" s="15"/>
      <c r="AB1073" s="15"/>
      <c r="AC1073" s="15"/>
      <c r="AU1073" s="17"/>
    </row>
    <row r="1074" spans="1:47" ht="12" customHeight="1" x14ac:dyDescent="0.25">
      <c r="A1074" s="3"/>
      <c r="B1074" s="14"/>
      <c r="C1074" s="14"/>
      <c r="D1074" s="14"/>
      <c r="E1074" s="14"/>
      <c r="K1074" s="14"/>
      <c r="M1074" s="14"/>
      <c r="N1074" s="14"/>
      <c r="Z1074" s="11"/>
      <c r="AA1074" s="15"/>
      <c r="AB1074" s="15"/>
      <c r="AC1074" s="15"/>
      <c r="AU1074" s="17"/>
    </row>
    <row r="1075" spans="1:47" ht="12" customHeight="1" x14ac:dyDescent="0.25">
      <c r="A1075" s="3"/>
      <c r="B1075" s="14"/>
      <c r="C1075" s="14"/>
      <c r="D1075" s="14"/>
      <c r="E1075" s="14"/>
      <c r="K1075" s="14"/>
      <c r="M1075" s="14"/>
      <c r="N1075" s="14"/>
      <c r="Z1075" s="11"/>
      <c r="AA1075" s="15"/>
      <c r="AB1075" s="15"/>
      <c r="AC1075" s="15"/>
      <c r="AU1075" s="17"/>
    </row>
    <row r="1076" spans="1:47" ht="12" customHeight="1" x14ac:dyDescent="0.25">
      <c r="A1076" s="3"/>
      <c r="B1076" s="14"/>
      <c r="C1076" s="14"/>
      <c r="D1076" s="14"/>
      <c r="E1076" s="14"/>
      <c r="K1076" s="14"/>
      <c r="M1076" s="14"/>
      <c r="N1076" s="14"/>
      <c r="Z1076" s="11"/>
      <c r="AA1076" s="15"/>
      <c r="AB1076" s="15"/>
      <c r="AC1076" s="15"/>
      <c r="AU1076" s="17"/>
    </row>
    <row r="1077" spans="1:47" ht="12" customHeight="1" x14ac:dyDescent="0.25">
      <c r="A1077" s="3"/>
      <c r="B1077" s="14"/>
      <c r="C1077" s="14"/>
      <c r="D1077" s="14"/>
      <c r="E1077" s="14"/>
      <c r="K1077" s="14"/>
      <c r="M1077" s="14"/>
      <c r="N1077" s="14"/>
      <c r="Z1077" s="11"/>
      <c r="AA1077" s="15"/>
      <c r="AB1077" s="15"/>
      <c r="AC1077" s="15"/>
      <c r="AU1077" s="17"/>
    </row>
    <row r="1078" spans="1:47" ht="12" customHeight="1" x14ac:dyDescent="0.25">
      <c r="A1078" s="3"/>
      <c r="B1078" s="14"/>
      <c r="C1078" s="14"/>
      <c r="D1078" s="14"/>
      <c r="E1078" s="14"/>
      <c r="K1078" s="14"/>
      <c r="M1078" s="14"/>
      <c r="N1078" s="14"/>
      <c r="Z1078" s="11"/>
      <c r="AA1078" s="15"/>
      <c r="AB1078" s="15"/>
      <c r="AC1078" s="15"/>
      <c r="AU1078" s="17"/>
    </row>
    <row r="1079" spans="1:47" ht="12" customHeight="1" x14ac:dyDescent="0.25">
      <c r="A1079" s="3"/>
      <c r="B1079" s="14"/>
      <c r="C1079" s="14"/>
      <c r="D1079" s="14"/>
      <c r="E1079" s="14"/>
      <c r="K1079" s="14"/>
      <c r="M1079" s="14"/>
      <c r="N1079" s="14"/>
      <c r="Z1079" s="11"/>
      <c r="AA1079" s="15"/>
      <c r="AB1079" s="15"/>
      <c r="AC1079" s="15"/>
      <c r="AU1079" s="17"/>
    </row>
    <row r="1080" spans="1:47" ht="12" customHeight="1" x14ac:dyDescent="0.25">
      <c r="A1080" s="3"/>
      <c r="B1080" s="14"/>
      <c r="C1080" s="14"/>
      <c r="D1080" s="14"/>
      <c r="E1080" s="14"/>
      <c r="K1080" s="14"/>
      <c r="M1080" s="14"/>
      <c r="N1080" s="14"/>
      <c r="Z1080" s="11"/>
      <c r="AA1080" s="15"/>
      <c r="AB1080" s="15"/>
      <c r="AC1080" s="15"/>
      <c r="AU1080" s="17"/>
    </row>
    <row r="1081" spans="1:47" ht="12" customHeight="1" x14ac:dyDescent="0.25">
      <c r="A1081" s="3"/>
      <c r="B1081" s="14"/>
      <c r="C1081" s="14"/>
      <c r="D1081" s="14"/>
      <c r="E1081" s="14"/>
      <c r="K1081" s="14"/>
      <c r="M1081" s="14"/>
      <c r="N1081" s="14"/>
      <c r="Z1081" s="11"/>
      <c r="AA1081" s="15"/>
      <c r="AB1081" s="15"/>
      <c r="AC1081" s="15"/>
      <c r="AU1081" s="17"/>
    </row>
    <row r="1082" spans="1:47" ht="12" customHeight="1" x14ac:dyDescent="0.25">
      <c r="A1082" s="3"/>
      <c r="B1082" s="14"/>
      <c r="C1082" s="14"/>
      <c r="D1082" s="14"/>
      <c r="E1082" s="14"/>
      <c r="K1082" s="14"/>
      <c r="M1082" s="14"/>
      <c r="N1082" s="14"/>
      <c r="Z1082" s="11"/>
      <c r="AA1082" s="15"/>
      <c r="AB1082" s="15"/>
      <c r="AC1082" s="15"/>
      <c r="AU1082" s="17"/>
    </row>
    <row r="1083" spans="1:47" ht="12" customHeight="1" x14ac:dyDescent="0.25">
      <c r="A1083" s="3"/>
      <c r="B1083" s="14"/>
      <c r="C1083" s="14"/>
      <c r="D1083" s="14"/>
      <c r="E1083" s="14"/>
      <c r="K1083" s="14"/>
      <c r="M1083" s="14"/>
      <c r="N1083" s="14"/>
      <c r="Z1083" s="11"/>
      <c r="AA1083" s="15"/>
      <c r="AB1083" s="15"/>
      <c r="AC1083" s="15"/>
      <c r="AU1083" s="17"/>
    </row>
    <row r="1084" spans="1:47" ht="12" customHeight="1" x14ac:dyDescent="0.25">
      <c r="A1084" s="3"/>
      <c r="B1084" s="14"/>
      <c r="C1084" s="14"/>
      <c r="D1084" s="14"/>
      <c r="E1084" s="14"/>
      <c r="K1084" s="14"/>
      <c r="M1084" s="14"/>
      <c r="N1084" s="14"/>
      <c r="Z1084" s="11"/>
      <c r="AA1084" s="15"/>
      <c r="AB1084" s="15"/>
      <c r="AC1084" s="15"/>
      <c r="AU1084" s="17"/>
    </row>
    <row r="1085" spans="1:47" ht="12" customHeight="1" x14ac:dyDescent="0.25">
      <c r="A1085" s="3"/>
      <c r="B1085" s="14"/>
      <c r="C1085" s="14"/>
      <c r="D1085" s="14"/>
      <c r="E1085" s="14"/>
      <c r="K1085" s="14"/>
      <c r="M1085" s="14"/>
      <c r="N1085" s="14"/>
      <c r="Z1085" s="11"/>
      <c r="AA1085" s="15"/>
      <c r="AB1085" s="15"/>
      <c r="AC1085" s="15"/>
      <c r="AU1085" s="17"/>
    </row>
    <row r="1086" spans="1:47" ht="12" customHeight="1" x14ac:dyDescent="0.25">
      <c r="A1086" s="3"/>
      <c r="B1086" s="14"/>
      <c r="C1086" s="14"/>
      <c r="D1086" s="14"/>
      <c r="E1086" s="14"/>
      <c r="K1086" s="14"/>
      <c r="M1086" s="14"/>
      <c r="N1086" s="14"/>
      <c r="Z1086" s="11"/>
      <c r="AA1086" s="15"/>
      <c r="AB1086" s="15"/>
      <c r="AC1086" s="15"/>
      <c r="AU1086" s="17"/>
    </row>
    <row r="1087" spans="1:47" ht="12" customHeight="1" x14ac:dyDescent="0.25">
      <c r="A1087" s="3"/>
      <c r="B1087" s="14"/>
      <c r="C1087" s="14"/>
      <c r="D1087" s="14"/>
      <c r="E1087" s="14"/>
      <c r="K1087" s="14"/>
      <c r="M1087" s="14"/>
      <c r="N1087" s="14"/>
      <c r="Z1087" s="11"/>
      <c r="AA1087" s="15"/>
      <c r="AB1087" s="15"/>
      <c r="AC1087" s="15"/>
      <c r="AU1087" s="17"/>
    </row>
    <row r="1088" spans="1:47" ht="12" customHeight="1" x14ac:dyDescent="0.25">
      <c r="A1088" s="3"/>
      <c r="B1088" s="14"/>
      <c r="C1088" s="14"/>
      <c r="D1088" s="14"/>
      <c r="E1088" s="14"/>
      <c r="K1088" s="14"/>
      <c r="M1088" s="14"/>
      <c r="N1088" s="14"/>
      <c r="Z1088" s="11"/>
      <c r="AA1088" s="15"/>
      <c r="AB1088" s="15"/>
      <c r="AC1088" s="15"/>
      <c r="AU1088" s="17"/>
    </row>
    <row r="1089" spans="1:47" ht="12" customHeight="1" x14ac:dyDescent="0.25">
      <c r="A1089" s="3"/>
      <c r="B1089" s="14"/>
      <c r="C1089" s="14"/>
      <c r="D1089" s="14"/>
      <c r="E1089" s="14"/>
      <c r="K1089" s="14"/>
      <c r="M1089" s="14"/>
      <c r="N1089" s="14"/>
      <c r="Z1089" s="11"/>
      <c r="AA1089" s="15"/>
      <c r="AB1089" s="15"/>
      <c r="AC1089" s="15"/>
      <c r="AU1089" s="17"/>
    </row>
    <row r="1090" spans="1:47" ht="12" customHeight="1" x14ac:dyDescent="0.25">
      <c r="A1090" s="3"/>
      <c r="B1090" s="14"/>
      <c r="C1090" s="14"/>
      <c r="D1090" s="14"/>
      <c r="E1090" s="14"/>
      <c r="K1090" s="14"/>
      <c r="M1090" s="14"/>
      <c r="N1090" s="14"/>
      <c r="Z1090" s="11"/>
      <c r="AA1090" s="15"/>
      <c r="AB1090" s="15"/>
      <c r="AC1090" s="15"/>
      <c r="AU1090" s="17"/>
    </row>
    <row r="1091" spans="1:47" ht="12" customHeight="1" x14ac:dyDescent="0.25">
      <c r="A1091" s="3"/>
      <c r="B1091" s="14"/>
      <c r="C1091" s="14"/>
      <c r="D1091" s="14"/>
      <c r="E1091" s="14"/>
      <c r="K1091" s="14"/>
      <c r="M1091" s="14"/>
      <c r="N1091" s="14"/>
      <c r="Z1091" s="11"/>
      <c r="AA1091" s="15"/>
      <c r="AB1091" s="15"/>
      <c r="AC1091" s="15"/>
      <c r="AU1091" s="17"/>
    </row>
    <row r="1092" spans="1:47" ht="12" customHeight="1" x14ac:dyDescent="0.25">
      <c r="A1092" s="3"/>
      <c r="B1092" s="14"/>
      <c r="C1092" s="14"/>
      <c r="D1092" s="14"/>
      <c r="E1092" s="14"/>
      <c r="K1092" s="14"/>
      <c r="M1092" s="14"/>
      <c r="N1092" s="14"/>
      <c r="Z1092" s="11"/>
      <c r="AA1092" s="15"/>
      <c r="AB1092" s="15"/>
      <c r="AC1092" s="15"/>
      <c r="AU1092" s="17"/>
    </row>
    <row r="1093" spans="1:47" ht="12" customHeight="1" x14ac:dyDescent="0.25">
      <c r="A1093" s="3"/>
      <c r="B1093" s="14"/>
      <c r="C1093" s="14"/>
      <c r="D1093" s="14"/>
      <c r="E1093" s="14"/>
      <c r="K1093" s="14"/>
      <c r="M1093" s="14"/>
      <c r="N1093" s="14"/>
      <c r="Z1093" s="11"/>
      <c r="AA1093" s="15"/>
      <c r="AB1093" s="15"/>
      <c r="AC1093" s="15"/>
      <c r="AU1093" s="17"/>
    </row>
    <row r="1094" spans="1:47" ht="12" customHeight="1" x14ac:dyDescent="0.25">
      <c r="A1094" s="3"/>
      <c r="B1094" s="14"/>
      <c r="C1094" s="14"/>
      <c r="D1094" s="14"/>
      <c r="E1094" s="14"/>
      <c r="K1094" s="14"/>
      <c r="M1094" s="14"/>
      <c r="N1094" s="14"/>
      <c r="Z1094" s="11"/>
      <c r="AA1094" s="15"/>
      <c r="AB1094" s="15"/>
      <c r="AC1094" s="15"/>
      <c r="AU1094" s="17"/>
    </row>
    <row r="1095" spans="1:47" ht="12" customHeight="1" x14ac:dyDescent="0.25">
      <c r="A1095" s="3"/>
      <c r="B1095" s="14"/>
      <c r="C1095" s="14"/>
      <c r="D1095" s="14"/>
      <c r="E1095" s="14"/>
      <c r="K1095" s="14"/>
      <c r="M1095" s="14"/>
      <c r="N1095" s="14"/>
      <c r="Z1095" s="11"/>
      <c r="AA1095" s="15"/>
      <c r="AB1095" s="15"/>
      <c r="AC1095" s="15"/>
      <c r="AU1095" s="17"/>
    </row>
    <row r="1096" spans="1:47" ht="12" customHeight="1" x14ac:dyDescent="0.25">
      <c r="A1096" s="3"/>
      <c r="B1096" s="14"/>
      <c r="C1096" s="14"/>
      <c r="D1096" s="14"/>
      <c r="E1096" s="14"/>
      <c r="K1096" s="14"/>
      <c r="M1096" s="14"/>
      <c r="N1096" s="14"/>
      <c r="Z1096" s="11"/>
      <c r="AA1096" s="15"/>
      <c r="AB1096" s="15"/>
      <c r="AC1096" s="15"/>
      <c r="AU1096" s="17"/>
    </row>
    <row r="1097" spans="1:47" ht="12" customHeight="1" x14ac:dyDescent="0.25">
      <c r="A1097" s="3"/>
      <c r="B1097" s="14"/>
      <c r="C1097" s="14"/>
      <c r="D1097" s="14"/>
      <c r="E1097" s="14"/>
      <c r="K1097" s="14"/>
      <c r="M1097" s="14"/>
      <c r="N1097" s="14"/>
      <c r="Z1097" s="11"/>
      <c r="AA1097" s="15"/>
      <c r="AB1097" s="15"/>
      <c r="AC1097" s="15"/>
      <c r="AU1097" s="17"/>
    </row>
    <row r="1098" spans="1:47" ht="12" customHeight="1" x14ac:dyDescent="0.25">
      <c r="A1098" s="3"/>
      <c r="B1098" s="14"/>
      <c r="C1098" s="14"/>
      <c r="D1098" s="14"/>
      <c r="E1098" s="14"/>
      <c r="K1098" s="14"/>
      <c r="M1098" s="14"/>
      <c r="N1098" s="14"/>
      <c r="Z1098" s="11"/>
      <c r="AA1098" s="15"/>
      <c r="AB1098" s="15"/>
      <c r="AC1098" s="15"/>
      <c r="AU1098" s="17"/>
    </row>
    <row r="1099" spans="1:47" ht="12" customHeight="1" x14ac:dyDescent="0.25">
      <c r="A1099" s="3"/>
      <c r="B1099" s="14"/>
      <c r="C1099" s="14"/>
      <c r="D1099" s="14"/>
      <c r="E1099" s="14"/>
      <c r="K1099" s="14"/>
      <c r="M1099" s="14"/>
      <c r="N1099" s="14"/>
      <c r="Z1099" s="11"/>
      <c r="AA1099" s="15"/>
      <c r="AB1099" s="15"/>
      <c r="AC1099" s="15"/>
      <c r="AU1099" s="17"/>
    </row>
    <row r="1100" spans="1:47" ht="12" customHeight="1" x14ac:dyDescent="0.25">
      <c r="A1100" s="3"/>
      <c r="B1100" s="14"/>
      <c r="C1100" s="14"/>
      <c r="D1100" s="14"/>
      <c r="E1100" s="14"/>
      <c r="K1100" s="14"/>
      <c r="M1100" s="14"/>
      <c r="N1100" s="14"/>
      <c r="Z1100" s="11"/>
      <c r="AA1100" s="15"/>
      <c r="AB1100" s="15"/>
      <c r="AC1100" s="15"/>
      <c r="AU1100" s="17"/>
    </row>
    <row r="1101" spans="1:47" ht="12" customHeight="1" x14ac:dyDescent="0.25">
      <c r="A1101" s="3"/>
      <c r="B1101" s="14"/>
      <c r="C1101" s="14"/>
      <c r="D1101" s="14"/>
      <c r="E1101" s="14"/>
      <c r="K1101" s="14"/>
      <c r="M1101" s="14"/>
      <c r="N1101" s="14"/>
      <c r="Z1101" s="11"/>
      <c r="AA1101" s="15"/>
      <c r="AB1101" s="15"/>
      <c r="AC1101" s="15"/>
      <c r="AU1101" s="17"/>
    </row>
    <row r="1102" spans="1:47" ht="12" customHeight="1" x14ac:dyDescent="0.25">
      <c r="A1102" s="3"/>
      <c r="B1102" s="14"/>
      <c r="C1102" s="14"/>
      <c r="D1102" s="14"/>
      <c r="E1102" s="14"/>
      <c r="K1102" s="14"/>
      <c r="M1102" s="14"/>
      <c r="N1102" s="14"/>
      <c r="Z1102" s="11"/>
      <c r="AA1102" s="15"/>
      <c r="AB1102" s="15"/>
      <c r="AC1102" s="15"/>
      <c r="AU1102" s="17"/>
    </row>
    <row r="1103" spans="1:47" ht="12" customHeight="1" x14ac:dyDescent="0.25">
      <c r="A1103" s="3"/>
      <c r="B1103" s="14"/>
      <c r="C1103" s="14"/>
      <c r="D1103" s="14"/>
      <c r="E1103" s="14"/>
      <c r="K1103" s="14"/>
      <c r="M1103" s="14"/>
      <c r="N1103" s="14"/>
      <c r="Z1103" s="11"/>
      <c r="AA1103" s="15"/>
      <c r="AB1103" s="15"/>
      <c r="AC1103" s="15"/>
      <c r="AU1103" s="17"/>
    </row>
    <row r="1104" spans="1:47" ht="12" customHeight="1" x14ac:dyDescent="0.25">
      <c r="A1104" s="3"/>
      <c r="B1104" s="14"/>
      <c r="C1104" s="14"/>
      <c r="D1104" s="14"/>
      <c r="E1104" s="14"/>
      <c r="K1104" s="14"/>
      <c r="M1104" s="14"/>
      <c r="N1104" s="14"/>
      <c r="Z1104" s="11"/>
      <c r="AA1104" s="15"/>
      <c r="AB1104" s="15"/>
      <c r="AC1104" s="15"/>
      <c r="AU1104" s="17"/>
    </row>
    <row r="1105" spans="1:47" ht="12" customHeight="1" x14ac:dyDescent="0.25">
      <c r="A1105" s="3"/>
      <c r="B1105" s="14"/>
      <c r="C1105" s="14"/>
      <c r="D1105" s="14"/>
      <c r="E1105" s="14"/>
      <c r="K1105" s="14"/>
      <c r="M1105" s="14"/>
      <c r="N1105" s="14"/>
      <c r="Z1105" s="11"/>
      <c r="AA1105" s="15"/>
      <c r="AB1105" s="15"/>
      <c r="AC1105" s="15"/>
      <c r="AU1105" s="17"/>
    </row>
    <row r="1106" spans="1:47" ht="12" customHeight="1" x14ac:dyDescent="0.25">
      <c r="A1106" s="3"/>
      <c r="B1106" s="14"/>
      <c r="C1106" s="14"/>
      <c r="D1106" s="14"/>
      <c r="E1106" s="14"/>
      <c r="K1106" s="14"/>
      <c r="M1106" s="14"/>
      <c r="N1106" s="14"/>
      <c r="Z1106" s="11"/>
      <c r="AA1106" s="15"/>
      <c r="AB1106" s="15"/>
      <c r="AC1106" s="15"/>
      <c r="AU1106" s="17"/>
    </row>
    <row r="1107" spans="1:47" ht="12" customHeight="1" x14ac:dyDescent="0.25">
      <c r="A1107" s="3"/>
      <c r="B1107" s="14"/>
      <c r="C1107" s="14"/>
      <c r="D1107" s="14"/>
      <c r="E1107" s="14"/>
      <c r="K1107" s="14"/>
      <c r="M1107" s="14"/>
      <c r="N1107" s="14"/>
      <c r="Z1107" s="11"/>
      <c r="AA1107" s="15"/>
      <c r="AB1107" s="15"/>
      <c r="AC1107" s="15"/>
      <c r="AU1107" s="17"/>
    </row>
    <row r="1108" spans="1:47" ht="12" customHeight="1" x14ac:dyDescent="0.25">
      <c r="A1108" s="3"/>
      <c r="B1108" s="14"/>
      <c r="C1108" s="14"/>
      <c r="D1108" s="14"/>
      <c r="E1108" s="14"/>
      <c r="K1108" s="14"/>
      <c r="M1108" s="14"/>
      <c r="N1108" s="14"/>
      <c r="Z1108" s="11"/>
      <c r="AA1108" s="15"/>
      <c r="AB1108" s="15"/>
      <c r="AC1108" s="15"/>
      <c r="AU1108" s="17"/>
    </row>
    <row r="1109" spans="1:47" ht="12" customHeight="1" x14ac:dyDescent="0.25">
      <c r="A1109" s="3"/>
      <c r="B1109" s="14"/>
      <c r="C1109" s="14"/>
      <c r="D1109" s="14"/>
      <c r="E1109" s="14"/>
      <c r="K1109" s="14"/>
      <c r="M1109" s="14"/>
      <c r="N1109" s="14"/>
      <c r="Z1109" s="11"/>
      <c r="AA1109" s="15"/>
      <c r="AB1109" s="15"/>
      <c r="AC1109" s="15"/>
      <c r="AU1109" s="17"/>
    </row>
    <row r="1110" spans="1:47" ht="12" customHeight="1" x14ac:dyDescent="0.25">
      <c r="A1110" s="3"/>
      <c r="B1110" s="14"/>
      <c r="C1110" s="14"/>
      <c r="D1110" s="14"/>
      <c r="E1110" s="14"/>
      <c r="K1110" s="14"/>
      <c r="M1110" s="14"/>
      <c r="N1110" s="14"/>
      <c r="Z1110" s="11"/>
      <c r="AA1110" s="15"/>
      <c r="AB1110" s="15"/>
      <c r="AC1110" s="15"/>
      <c r="AU1110" s="17"/>
    </row>
    <row r="1111" spans="1:47" ht="12" customHeight="1" x14ac:dyDescent="0.25">
      <c r="A1111" s="3"/>
      <c r="B1111" s="14"/>
      <c r="C1111" s="14"/>
      <c r="D1111" s="14"/>
      <c r="E1111" s="14"/>
      <c r="K1111" s="14"/>
      <c r="M1111" s="14"/>
      <c r="N1111" s="14"/>
      <c r="Z1111" s="11"/>
      <c r="AA1111" s="15"/>
      <c r="AB1111" s="15"/>
      <c r="AC1111" s="15"/>
      <c r="AU1111" s="17"/>
    </row>
    <row r="1112" spans="1:47" ht="12" customHeight="1" x14ac:dyDescent="0.25">
      <c r="A1112" s="3"/>
      <c r="B1112" s="14"/>
      <c r="C1112" s="14"/>
      <c r="D1112" s="14"/>
      <c r="E1112" s="14"/>
      <c r="K1112" s="14"/>
      <c r="M1112" s="14"/>
      <c r="N1112" s="14"/>
      <c r="Z1112" s="11"/>
      <c r="AA1112" s="15"/>
      <c r="AB1112" s="15"/>
      <c r="AC1112" s="15"/>
      <c r="AU1112" s="17"/>
    </row>
    <row r="1113" spans="1:47" ht="12" customHeight="1" x14ac:dyDescent="0.25">
      <c r="A1113" s="3"/>
      <c r="B1113" s="14"/>
      <c r="C1113" s="14"/>
      <c r="D1113" s="14"/>
      <c r="E1113" s="14"/>
      <c r="K1113" s="14"/>
      <c r="M1113" s="14"/>
      <c r="N1113" s="14"/>
      <c r="Z1113" s="11"/>
      <c r="AA1113" s="15"/>
      <c r="AB1113" s="15"/>
      <c r="AC1113" s="15"/>
      <c r="AU1113" s="17"/>
    </row>
    <row r="1114" spans="1:47" ht="12" customHeight="1" x14ac:dyDescent="0.25">
      <c r="A1114" s="3"/>
      <c r="B1114" s="14"/>
      <c r="C1114" s="14"/>
      <c r="D1114" s="14"/>
      <c r="E1114" s="14"/>
      <c r="K1114" s="14"/>
      <c r="M1114" s="14"/>
      <c r="N1114" s="14"/>
      <c r="Z1114" s="11"/>
      <c r="AA1114" s="15"/>
      <c r="AB1114" s="15"/>
      <c r="AC1114" s="15"/>
      <c r="AU1114" s="17"/>
    </row>
    <row r="1115" spans="1:47" ht="12" customHeight="1" x14ac:dyDescent="0.25">
      <c r="A1115" s="3"/>
      <c r="B1115" s="14"/>
      <c r="C1115" s="14"/>
      <c r="D1115" s="14"/>
      <c r="E1115" s="14"/>
      <c r="K1115" s="14"/>
      <c r="M1115" s="14"/>
      <c r="N1115" s="14"/>
      <c r="Z1115" s="11"/>
      <c r="AA1115" s="15"/>
      <c r="AB1115" s="15"/>
      <c r="AC1115" s="15"/>
      <c r="AU1115" s="17"/>
    </row>
    <row r="1116" spans="1:47" ht="12" customHeight="1" x14ac:dyDescent="0.25">
      <c r="A1116" s="3"/>
      <c r="B1116" s="14"/>
      <c r="C1116" s="14"/>
      <c r="D1116" s="14"/>
      <c r="E1116" s="14"/>
      <c r="K1116" s="14"/>
      <c r="M1116" s="14"/>
      <c r="N1116" s="14"/>
      <c r="Z1116" s="11"/>
      <c r="AA1116" s="15"/>
      <c r="AB1116" s="15"/>
      <c r="AC1116" s="15"/>
      <c r="AU1116" s="17"/>
    </row>
    <row r="1117" spans="1:47" ht="12" customHeight="1" x14ac:dyDescent="0.25">
      <c r="A1117" s="3"/>
      <c r="B1117" s="14"/>
      <c r="C1117" s="14"/>
      <c r="D1117" s="14"/>
      <c r="E1117" s="14"/>
      <c r="K1117" s="14"/>
      <c r="M1117" s="14"/>
      <c r="N1117" s="14"/>
      <c r="Z1117" s="11"/>
      <c r="AA1117" s="15"/>
      <c r="AB1117" s="15"/>
      <c r="AC1117" s="15"/>
      <c r="AU1117" s="17"/>
    </row>
    <row r="1118" spans="1:47" ht="12" customHeight="1" x14ac:dyDescent="0.25">
      <c r="A1118" s="3"/>
      <c r="B1118" s="14"/>
      <c r="C1118" s="14"/>
      <c r="D1118" s="14"/>
      <c r="E1118" s="14"/>
      <c r="K1118" s="14"/>
      <c r="M1118" s="14"/>
      <c r="N1118" s="14"/>
      <c r="Z1118" s="11"/>
      <c r="AA1118" s="15"/>
      <c r="AB1118" s="15"/>
      <c r="AC1118" s="15"/>
      <c r="AU1118" s="17"/>
    </row>
    <row r="1119" spans="1:47" ht="12" customHeight="1" x14ac:dyDescent="0.25">
      <c r="A1119" s="3"/>
      <c r="B1119" s="14"/>
      <c r="C1119" s="14"/>
      <c r="D1119" s="14"/>
      <c r="E1119" s="14"/>
      <c r="K1119" s="14"/>
      <c r="M1119" s="14"/>
      <c r="N1119" s="14"/>
      <c r="Z1119" s="11"/>
      <c r="AA1119" s="15"/>
      <c r="AB1119" s="15"/>
      <c r="AC1119" s="15"/>
      <c r="AU1119" s="17"/>
    </row>
    <row r="1120" spans="1:47" ht="12" customHeight="1" x14ac:dyDescent="0.25">
      <c r="A1120" s="3"/>
      <c r="B1120" s="14"/>
      <c r="C1120" s="14"/>
      <c r="D1120" s="14"/>
      <c r="E1120" s="14"/>
      <c r="K1120" s="14"/>
      <c r="M1120" s="14"/>
      <c r="N1120" s="14"/>
      <c r="Z1120" s="11"/>
      <c r="AA1120" s="15"/>
      <c r="AB1120" s="15"/>
      <c r="AC1120" s="15"/>
      <c r="AU1120" s="17"/>
    </row>
    <row r="1121" spans="1:47" ht="12" customHeight="1" x14ac:dyDescent="0.25">
      <c r="A1121" s="3"/>
      <c r="B1121" s="14"/>
      <c r="C1121" s="14"/>
      <c r="D1121" s="14"/>
      <c r="E1121" s="14"/>
      <c r="K1121" s="14"/>
      <c r="M1121" s="14"/>
      <c r="N1121" s="14"/>
      <c r="Z1121" s="11"/>
      <c r="AA1121" s="15"/>
      <c r="AB1121" s="15"/>
      <c r="AC1121" s="15"/>
      <c r="AU1121" s="17"/>
    </row>
    <row r="1122" spans="1:47" ht="12" customHeight="1" x14ac:dyDescent="0.25">
      <c r="A1122" s="3"/>
      <c r="B1122" s="14"/>
      <c r="C1122" s="14"/>
      <c r="D1122" s="14"/>
      <c r="E1122" s="14"/>
      <c r="K1122" s="14"/>
      <c r="M1122" s="14"/>
      <c r="N1122" s="14"/>
      <c r="Z1122" s="11"/>
      <c r="AA1122" s="15"/>
      <c r="AB1122" s="15"/>
      <c r="AC1122" s="15"/>
      <c r="AU1122" s="17"/>
    </row>
    <row r="1123" spans="1:47" ht="12" customHeight="1" x14ac:dyDescent="0.25">
      <c r="A1123" s="3"/>
      <c r="B1123" s="14"/>
      <c r="C1123" s="14"/>
      <c r="D1123" s="14"/>
      <c r="E1123" s="14"/>
      <c r="K1123" s="14"/>
      <c r="M1123" s="14"/>
      <c r="N1123" s="14"/>
      <c r="Z1123" s="11"/>
      <c r="AA1123" s="15"/>
      <c r="AB1123" s="15"/>
      <c r="AC1123" s="15"/>
      <c r="AU1123" s="17"/>
    </row>
    <row r="1124" spans="1:47" ht="12" customHeight="1" x14ac:dyDescent="0.25">
      <c r="A1124" s="3"/>
      <c r="B1124" s="14"/>
      <c r="C1124" s="14"/>
      <c r="D1124" s="14"/>
      <c r="E1124" s="14"/>
      <c r="K1124" s="14"/>
      <c r="M1124" s="14"/>
      <c r="N1124" s="14"/>
      <c r="Z1124" s="11"/>
      <c r="AA1124" s="15"/>
      <c r="AB1124" s="15"/>
      <c r="AC1124" s="15"/>
      <c r="AU1124" s="17"/>
    </row>
    <row r="1125" spans="1:47" ht="12" customHeight="1" x14ac:dyDescent="0.25">
      <c r="A1125" s="3"/>
      <c r="B1125" s="14"/>
      <c r="C1125" s="14"/>
      <c r="D1125" s="14"/>
      <c r="E1125" s="14"/>
      <c r="K1125" s="14"/>
      <c r="M1125" s="14"/>
      <c r="N1125" s="14"/>
      <c r="Z1125" s="11"/>
      <c r="AA1125" s="15"/>
      <c r="AB1125" s="15"/>
      <c r="AC1125" s="15"/>
      <c r="AU1125" s="17"/>
    </row>
    <row r="1126" spans="1:47" ht="12" customHeight="1" x14ac:dyDescent="0.25">
      <c r="A1126" s="3"/>
      <c r="B1126" s="14"/>
      <c r="C1126" s="14"/>
      <c r="D1126" s="14"/>
      <c r="E1126" s="14"/>
      <c r="K1126" s="14"/>
      <c r="M1126" s="14"/>
      <c r="N1126" s="14"/>
      <c r="Z1126" s="11"/>
      <c r="AA1126" s="15"/>
      <c r="AB1126" s="15"/>
      <c r="AC1126" s="15"/>
      <c r="AU1126" s="17"/>
    </row>
    <row r="1127" spans="1:47" ht="12" customHeight="1" x14ac:dyDescent="0.25">
      <c r="A1127" s="3"/>
      <c r="B1127" s="14"/>
      <c r="C1127" s="14"/>
      <c r="D1127" s="14"/>
      <c r="E1127" s="14"/>
      <c r="K1127" s="14"/>
      <c r="M1127" s="14"/>
      <c r="N1127" s="14"/>
      <c r="Z1127" s="11"/>
      <c r="AA1127" s="15"/>
      <c r="AB1127" s="15"/>
      <c r="AC1127" s="15"/>
      <c r="AU1127" s="17"/>
    </row>
    <row r="1128" spans="1:47" ht="12" customHeight="1" x14ac:dyDescent="0.25">
      <c r="A1128" s="3"/>
      <c r="B1128" s="14"/>
      <c r="C1128" s="14"/>
      <c r="D1128" s="14"/>
      <c r="E1128" s="14"/>
      <c r="K1128" s="14"/>
      <c r="M1128" s="14"/>
      <c r="N1128" s="14"/>
      <c r="Z1128" s="11"/>
      <c r="AA1128" s="15"/>
      <c r="AB1128" s="15"/>
      <c r="AC1128" s="15"/>
      <c r="AU1128" s="17"/>
    </row>
    <row r="1129" spans="1:47" ht="12" customHeight="1" x14ac:dyDescent="0.25">
      <c r="A1129" s="3"/>
      <c r="B1129" s="14"/>
      <c r="C1129" s="14"/>
      <c r="D1129" s="14"/>
      <c r="E1129" s="14"/>
      <c r="K1129" s="14"/>
      <c r="M1129" s="14"/>
      <c r="N1129" s="14"/>
      <c r="Z1129" s="11"/>
      <c r="AA1129" s="15"/>
      <c r="AB1129" s="15"/>
      <c r="AC1129" s="15"/>
      <c r="AU1129" s="17"/>
    </row>
    <row r="1130" spans="1:47" ht="12" customHeight="1" x14ac:dyDescent="0.25">
      <c r="A1130" s="3"/>
      <c r="B1130" s="14"/>
      <c r="C1130" s="14"/>
      <c r="D1130" s="14"/>
      <c r="E1130" s="14"/>
      <c r="K1130" s="14"/>
      <c r="M1130" s="14"/>
      <c r="N1130" s="14"/>
      <c r="Z1130" s="11"/>
      <c r="AA1130" s="15"/>
      <c r="AB1130" s="15"/>
      <c r="AC1130" s="15"/>
      <c r="AU1130" s="17"/>
    </row>
    <row r="1131" spans="1:47" ht="12" customHeight="1" x14ac:dyDescent="0.25">
      <c r="A1131" s="3"/>
      <c r="B1131" s="14"/>
      <c r="C1131" s="14"/>
      <c r="D1131" s="14"/>
      <c r="E1131" s="14"/>
      <c r="K1131" s="14"/>
      <c r="M1131" s="14"/>
      <c r="N1131" s="14"/>
      <c r="Z1131" s="11"/>
      <c r="AA1131" s="15"/>
      <c r="AB1131" s="15"/>
      <c r="AC1131" s="15"/>
      <c r="AU1131" s="17"/>
    </row>
    <row r="1132" spans="1:47" ht="12" customHeight="1" x14ac:dyDescent="0.25">
      <c r="A1132" s="3"/>
      <c r="B1132" s="14"/>
      <c r="C1132" s="14"/>
      <c r="D1132" s="14"/>
      <c r="E1132" s="14"/>
      <c r="K1132" s="14"/>
      <c r="M1132" s="14"/>
      <c r="N1132" s="14"/>
      <c r="Z1132" s="11"/>
      <c r="AA1132" s="15"/>
      <c r="AB1132" s="15"/>
      <c r="AC1132" s="15"/>
      <c r="AU1132" s="17"/>
    </row>
    <row r="1133" spans="1:47" ht="12" customHeight="1" x14ac:dyDescent="0.25">
      <c r="A1133" s="3"/>
      <c r="B1133" s="14"/>
      <c r="C1133" s="14"/>
      <c r="D1133" s="14"/>
      <c r="E1133" s="14"/>
      <c r="K1133" s="14"/>
      <c r="M1133" s="14"/>
      <c r="N1133" s="14"/>
      <c r="Z1133" s="11"/>
      <c r="AA1133" s="15"/>
      <c r="AB1133" s="15"/>
      <c r="AC1133" s="15"/>
      <c r="AU1133" s="17"/>
    </row>
    <row r="1134" spans="1:47" ht="12" customHeight="1" x14ac:dyDescent="0.25">
      <c r="A1134" s="3"/>
      <c r="B1134" s="14"/>
      <c r="C1134" s="14"/>
      <c r="D1134" s="14"/>
      <c r="E1134" s="14"/>
      <c r="K1134" s="14"/>
      <c r="M1134" s="14"/>
      <c r="N1134" s="14"/>
      <c r="Z1134" s="11"/>
      <c r="AA1134" s="15"/>
      <c r="AB1134" s="15"/>
      <c r="AC1134" s="15"/>
      <c r="AU1134" s="17"/>
    </row>
    <row r="1135" spans="1:47" ht="12" customHeight="1" x14ac:dyDescent="0.25">
      <c r="A1135" s="3"/>
      <c r="B1135" s="14"/>
      <c r="C1135" s="14"/>
      <c r="D1135" s="14"/>
      <c r="E1135" s="14"/>
      <c r="K1135" s="14"/>
      <c r="M1135" s="14"/>
      <c r="N1135" s="14"/>
      <c r="Z1135" s="11"/>
      <c r="AA1135" s="15"/>
      <c r="AB1135" s="15"/>
      <c r="AC1135" s="15"/>
      <c r="AU1135" s="17"/>
    </row>
    <row r="1136" spans="1:47" ht="12" customHeight="1" x14ac:dyDescent="0.25">
      <c r="A1136" s="3"/>
      <c r="B1136" s="14"/>
      <c r="C1136" s="14"/>
      <c r="D1136" s="14"/>
      <c r="E1136" s="14"/>
      <c r="K1136" s="14"/>
      <c r="M1136" s="14"/>
      <c r="N1136" s="14"/>
      <c r="Z1136" s="11"/>
      <c r="AA1136" s="15"/>
      <c r="AB1136" s="15"/>
      <c r="AC1136" s="15"/>
      <c r="AU1136" s="17"/>
    </row>
    <row r="1137" spans="1:47" ht="12" customHeight="1" x14ac:dyDescent="0.25">
      <c r="A1137" s="3"/>
      <c r="B1137" s="14"/>
      <c r="C1137" s="14"/>
      <c r="D1137" s="14"/>
      <c r="E1137" s="14"/>
      <c r="K1137" s="14"/>
      <c r="M1137" s="14"/>
      <c r="N1137" s="14"/>
      <c r="Z1137" s="11"/>
      <c r="AA1137" s="15"/>
      <c r="AB1137" s="15"/>
      <c r="AC1137" s="15"/>
      <c r="AU1137" s="17"/>
    </row>
    <row r="1138" spans="1:47" ht="12" customHeight="1" x14ac:dyDescent="0.25">
      <c r="A1138" s="3"/>
      <c r="B1138" s="14"/>
      <c r="C1138" s="14"/>
      <c r="D1138" s="14"/>
      <c r="E1138" s="14"/>
      <c r="K1138" s="14"/>
      <c r="M1138" s="14"/>
      <c r="N1138" s="14"/>
      <c r="Z1138" s="11"/>
      <c r="AA1138" s="15"/>
      <c r="AB1138" s="15"/>
      <c r="AC1138" s="15"/>
      <c r="AU1138" s="17"/>
    </row>
    <row r="1139" spans="1:47" ht="12" customHeight="1" x14ac:dyDescent="0.25">
      <c r="A1139" s="3"/>
      <c r="B1139" s="14"/>
      <c r="C1139" s="14"/>
      <c r="D1139" s="14"/>
      <c r="E1139" s="14"/>
      <c r="K1139" s="14"/>
      <c r="M1139" s="14"/>
      <c r="N1139" s="14"/>
      <c r="Z1139" s="11"/>
      <c r="AA1139" s="15"/>
      <c r="AB1139" s="15"/>
      <c r="AC1139" s="15"/>
      <c r="AU1139" s="17"/>
    </row>
    <row r="1140" spans="1:47" ht="12" customHeight="1" x14ac:dyDescent="0.25">
      <c r="A1140" s="3"/>
      <c r="B1140" s="14"/>
      <c r="C1140" s="14"/>
      <c r="D1140" s="14"/>
      <c r="E1140" s="14"/>
      <c r="K1140" s="14"/>
      <c r="M1140" s="14"/>
      <c r="N1140" s="14"/>
      <c r="Z1140" s="11"/>
      <c r="AA1140" s="15"/>
      <c r="AB1140" s="15"/>
      <c r="AC1140" s="15"/>
      <c r="AU1140" s="17"/>
    </row>
    <row r="1141" spans="1:47" ht="12" customHeight="1" x14ac:dyDescent="0.25">
      <c r="A1141" s="3"/>
      <c r="B1141" s="14"/>
      <c r="C1141" s="14"/>
      <c r="D1141" s="14"/>
      <c r="E1141" s="14"/>
      <c r="K1141" s="14"/>
      <c r="M1141" s="14"/>
      <c r="N1141" s="14"/>
      <c r="Z1141" s="11"/>
      <c r="AA1141" s="15"/>
      <c r="AB1141" s="15"/>
      <c r="AC1141" s="15"/>
      <c r="AU1141" s="17"/>
    </row>
    <row r="1142" spans="1:47" ht="12" customHeight="1" x14ac:dyDescent="0.25">
      <c r="A1142" s="3"/>
      <c r="B1142" s="14"/>
      <c r="C1142" s="14"/>
      <c r="D1142" s="14"/>
      <c r="E1142" s="14"/>
      <c r="K1142" s="14"/>
      <c r="M1142" s="14"/>
      <c r="N1142" s="14"/>
      <c r="Z1142" s="11"/>
      <c r="AA1142" s="15"/>
      <c r="AB1142" s="15"/>
      <c r="AC1142" s="15"/>
      <c r="AU1142" s="17"/>
    </row>
    <row r="1143" spans="1:47" ht="12" customHeight="1" x14ac:dyDescent="0.25">
      <c r="A1143" s="3"/>
      <c r="B1143" s="14"/>
      <c r="C1143" s="14"/>
      <c r="D1143" s="14"/>
      <c r="E1143" s="14"/>
      <c r="K1143" s="14"/>
      <c r="M1143" s="14"/>
      <c r="N1143" s="14"/>
      <c r="Z1143" s="11"/>
      <c r="AA1143" s="15"/>
      <c r="AB1143" s="15"/>
      <c r="AC1143" s="15"/>
      <c r="AU1143" s="17"/>
    </row>
    <row r="1144" spans="1:47" ht="12" customHeight="1" x14ac:dyDescent="0.25">
      <c r="A1144" s="3"/>
      <c r="B1144" s="14"/>
      <c r="C1144" s="14"/>
      <c r="D1144" s="14"/>
      <c r="E1144" s="14"/>
      <c r="K1144" s="14"/>
      <c r="M1144" s="14"/>
      <c r="N1144" s="14"/>
      <c r="Z1144" s="11"/>
      <c r="AA1144" s="15"/>
      <c r="AB1144" s="15"/>
      <c r="AC1144" s="15"/>
      <c r="AU1144" s="17"/>
    </row>
    <row r="1145" spans="1:47" ht="12" customHeight="1" x14ac:dyDescent="0.25">
      <c r="A1145" s="3"/>
      <c r="B1145" s="14"/>
      <c r="C1145" s="14"/>
      <c r="D1145" s="14"/>
      <c r="E1145" s="14"/>
      <c r="K1145" s="14"/>
      <c r="M1145" s="14"/>
      <c r="N1145" s="14"/>
      <c r="Z1145" s="11"/>
      <c r="AA1145" s="15"/>
      <c r="AB1145" s="15"/>
      <c r="AC1145" s="15"/>
      <c r="AU1145" s="17"/>
    </row>
    <row r="1146" spans="1:47" ht="12" customHeight="1" x14ac:dyDescent="0.25">
      <c r="A1146" s="3"/>
      <c r="B1146" s="14"/>
      <c r="C1146" s="14"/>
      <c r="D1146" s="14"/>
      <c r="E1146" s="14"/>
      <c r="K1146" s="14"/>
      <c r="M1146" s="14"/>
      <c r="N1146" s="14"/>
      <c r="Z1146" s="11"/>
      <c r="AA1146" s="15"/>
      <c r="AB1146" s="15"/>
      <c r="AC1146" s="15"/>
      <c r="AU1146" s="17"/>
    </row>
    <row r="1147" spans="1:47" ht="12" customHeight="1" x14ac:dyDescent="0.25">
      <c r="A1147" s="3"/>
      <c r="B1147" s="14"/>
      <c r="C1147" s="14"/>
      <c r="D1147" s="14"/>
      <c r="E1147" s="14"/>
      <c r="K1147" s="14"/>
      <c r="M1147" s="14"/>
      <c r="N1147" s="14"/>
      <c r="Z1147" s="11"/>
      <c r="AA1147" s="15"/>
      <c r="AB1147" s="15"/>
      <c r="AC1147" s="15"/>
      <c r="AU1147" s="17"/>
    </row>
    <row r="1148" spans="1:47" ht="12" customHeight="1" x14ac:dyDescent="0.25">
      <c r="A1148" s="3"/>
      <c r="B1148" s="14"/>
      <c r="C1148" s="14"/>
      <c r="D1148" s="14"/>
      <c r="E1148" s="14"/>
      <c r="K1148" s="14"/>
      <c r="M1148" s="14"/>
      <c r="N1148" s="14"/>
      <c r="Z1148" s="11"/>
      <c r="AA1148" s="15"/>
      <c r="AB1148" s="15"/>
      <c r="AC1148" s="15"/>
      <c r="AU1148" s="17"/>
    </row>
    <row r="1149" spans="1:47" ht="12" customHeight="1" x14ac:dyDescent="0.25">
      <c r="A1149" s="3"/>
      <c r="B1149" s="14"/>
      <c r="C1149" s="14"/>
      <c r="D1149" s="14"/>
      <c r="E1149" s="14"/>
      <c r="K1149" s="14"/>
      <c r="M1149" s="14"/>
      <c r="N1149" s="14"/>
      <c r="Z1149" s="11"/>
      <c r="AA1149" s="15"/>
      <c r="AB1149" s="15"/>
      <c r="AC1149" s="15"/>
      <c r="AU1149" s="17"/>
    </row>
    <row r="1150" spans="1:47" ht="12" customHeight="1" x14ac:dyDescent="0.25">
      <c r="A1150" s="3"/>
      <c r="B1150" s="14"/>
      <c r="C1150" s="14"/>
      <c r="D1150" s="14"/>
      <c r="E1150" s="14"/>
      <c r="K1150" s="14"/>
      <c r="M1150" s="14"/>
      <c r="N1150" s="14"/>
      <c r="Z1150" s="11"/>
      <c r="AA1150" s="15"/>
      <c r="AB1150" s="15"/>
      <c r="AC1150" s="15"/>
      <c r="AU1150" s="17"/>
    </row>
    <row r="1151" spans="1:47" ht="12" customHeight="1" x14ac:dyDescent="0.25">
      <c r="A1151" s="3"/>
      <c r="B1151" s="14"/>
      <c r="C1151" s="14"/>
      <c r="D1151" s="14"/>
      <c r="E1151" s="14"/>
      <c r="K1151" s="14"/>
      <c r="M1151" s="14"/>
      <c r="N1151" s="14"/>
      <c r="Z1151" s="11"/>
      <c r="AA1151" s="15"/>
      <c r="AB1151" s="15"/>
      <c r="AC1151" s="15"/>
      <c r="AU1151" s="17"/>
    </row>
    <row r="1152" spans="1:47" ht="12" customHeight="1" x14ac:dyDescent="0.25">
      <c r="A1152" s="3"/>
      <c r="B1152" s="14"/>
      <c r="C1152" s="14"/>
      <c r="D1152" s="14"/>
      <c r="E1152" s="14"/>
      <c r="K1152" s="14"/>
      <c r="M1152" s="14"/>
      <c r="N1152" s="14"/>
      <c r="Z1152" s="11"/>
      <c r="AA1152" s="15"/>
      <c r="AB1152" s="15"/>
      <c r="AC1152" s="15"/>
      <c r="AU1152" s="17"/>
    </row>
    <row r="1153" spans="1:47" ht="12" customHeight="1" x14ac:dyDescent="0.25">
      <c r="A1153" s="3"/>
      <c r="B1153" s="14"/>
      <c r="C1153" s="14"/>
      <c r="D1153" s="14"/>
      <c r="E1153" s="14"/>
      <c r="K1153" s="14"/>
      <c r="M1153" s="14"/>
      <c r="N1153" s="14"/>
      <c r="Z1153" s="11"/>
      <c r="AA1153" s="15"/>
      <c r="AB1153" s="15"/>
      <c r="AC1153" s="15"/>
      <c r="AU1153" s="17"/>
    </row>
    <row r="1154" spans="1:47" ht="12" customHeight="1" x14ac:dyDescent="0.25">
      <c r="A1154" s="3"/>
      <c r="B1154" s="14"/>
      <c r="C1154" s="14"/>
      <c r="D1154" s="14"/>
      <c r="E1154" s="14"/>
      <c r="K1154" s="14"/>
      <c r="M1154" s="14"/>
      <c r="N1154" s="14"/>
      <c r="Z1154" s="11"/>
      <c r="AA1154" s="15"/>
      <c r="AB1154" s="15"/>
      <c r="AC1154" s="15"/>
      <c r="AU1154" s="17"/>
    </row>
    <row r="1155" spans="1:47" ht="12" customHeight="1" x14ac:dyDescent="0.25">
      <c r="A1155" s="3"/>
      <c r="B1155" s="14"/>
      <c r="C1155" s="14"/>
      <c r="D1155" s="14"/>
      <c r="E1155" s="14"/>
      <c r="K1155" s="14"/>
      <c r="M1155" s="14"/>
      <c r="N1155" s="14"/>
      <c r="Z1155" s="11"/>
      <c r="AA1155" s="15"/>
      <c r="AB1155" s="15"/>
      <c r="AC1155" s="15"/>
      <c r="AU1155" s="17"/>
    </row>
    <row r="1156" spans="1:47" ht="12" customHeight="1" x14ac:dyDescent="0.25">
      <c r="A1156" s="3"/>
      <c r="B1156" s="14"/>
      <c r="C1156" s="14"/>
      <c r="D1156" s="14"/>
      <c r="E1156" s="14"/>
      <c r="K1156" s="14"/>
      <c r="M1156" s="14"/>
      <c r="N1156" s="14"/>
      <c r="Z1156" s="11"/>
      <c r="AA1156" s="15"/>
      <c r="AB1156" s="15"/>
      <c r="AC1156" s="15"/>
      <c r="AU1156" s="17"/>
    </row>
    <row r="1157" spans="1:47" ht="12" customHeight="1" x14ac:dyDescent="0.25">
      <c r="A1157" s="3"/>
      <c r="B1157" s="14"/>
      <c r="C1157" s="14"/>
      <c r="D1157" s="14"/>
      <c r="E1157" s="14"/>
      <c r="K1157" s="14"/>
      <c r="M1157" s="14"/>
      <c r="N1157" s="14"/>
      <c r="Z1157" s="11"/>
      <c r="AA1157" s="15"/>
      <c r="AB1157" s="15"/>
      <c r="AC1157" s="15"/>
      <c r="AU1157" s="17"/>
    </row>
    <row r="1158" spans="1:47" ht="12" customHeight="1" x14ac:dyDescent="0.25">
      <c r="A1158" s="3"/>
      <c r="B1158" s="14"/>
      <c r="C1158" s="14"/>
      <c r="D1158" s="14"/>
      <c r="E1158" s="14"/>
      <c r="K1158" s="14"/>
      <c r="M1158" s="14"/>
      <c r="N1158" s="14"/>
      <c r="Z1158" s="11"/>
      <c r="AA1158" s="15"/>
      <c r="AB1158" s="15"/>
      <c r="AC1158" s="15"/>
      <c r="AU1158" s="17"/>
    </row>
    <row r="1159" spans="1:47" ht="12" customHeight="1" x14ac:dyDescent="0.25">
      <c r="A1159" s="3"/>
      <c r="B1159" s="14"/>
      <c r="C1159" s="14"/>
      <c r="D1159" s="14"/>
      <c r="E1159" s="14"/>
      <c r="K1159" s="14"/>
      <c r="M1159" s="14"/>
      <c r="N1159" s="14"/>
      <c r="Z1159" s="11"/>
      <c r="AA1159" s="15"/>
      <c r="AB1159" s="15"/>
      <c r="AC1159" s="15"/>
      <c r="AU1159" s="17"/>
    </row>
    <row r="1160" spans="1:47" ht="12" customHeight="1" x14ac:dyDescent="0.25">
      <c r="A1160" s="3"/>
      <c r="B1160" s="14"/>
      <c r="C1160" s="14"/>
      <c r="D1160" s="14"/>
      <c r="E1160" s="14"/>
      <c r="K1160" s="14"/>
      <c r="M1160" s="14"/>
      <c r="N1160" s="14"/>
      <c r="Z1160" s="11"/>
      <c r="AA1160" s="15"/>
      <c r="AB1160" s="15"/>
      <c r="AC1160" s="15"/>
      <c r="AU1160" s="17"/>
    </row>
    <row r="1161" spans="1:47" ht="12" customHeight="1" x14ac:dyDescent="0.25">
      <c r="A1161" s="3"/>
      <c r="B1161" s="14"/>
      <c r="C1161" s="14"/>
      <c r="D1161" s="14"/>
      <c r="E1161" s="14"/>
      <c r="K1161" s="14"/>
      <c r="M1161" s="14"/>
      <c r="N1161" s="14"/>
      <c r="Z1161" s="11"/>
      <c r="AA1161" s="15"/>
      <c r="AB1161" s="15"/>
      <c r="AC1161" s="15"/>
      <c r="AU1161" s="17"/>
    </row>
    <row r="1162" spans="1:47" ht="12" customHeight="1" x14ac:dyDescent="0.25">
      <c r="A1162" s="3"/>
      <c r="B1162" s="14"/>
      <c r="C1162" s="14"/>
      <c r="D1162" s="14"/>
      <c r="E1162" s="14"/>
      <c r="K1162" s="14"/>
      <c r="M1162" s="14"/>
      <c r="N1162" s="14"/>
      <c r="Z1162" s="11"/>
      <c r="AA1162" s="15"/>
      <c r="AB1162" s="15"/>
      <c r="AC1162" s="15"/>
      <c r="AU1162" s="17"/>
    </row>
    <row r="1163" spans="1:47" ht="12" customHeight="1" x14ac:dyDescent="0.25">
      <c r="A1163" s="3"/>
      <c r="B1163" s="14"/>
      <c r="C1163" s="14"/>
      <c r="D1163" s="14"/>
      <c r="E1163" s="14"/>
      <c r="K1163" s="14"/>
      <c r="M1163" s="14"/>
      <c r="N1163" s="14"/>
      <c r="Z1163" s="11"/>
      <c r="AA1163" s="15"/>
      <c r="AB1163" s="15"/>
      <c r="AC1163" s="15"/>
      <c r="AU1163" s="17"/>
    </row>
    <row r="1164" spans="1:47" ht="12" customHeight="1" x14ac:dyDescent="0.25">
      <c r="A1164" s="3"/>
      <c r="B1164" s="14"/>
      <c r="C1164" s="14"/>
      <c r="D1164" s="14"/>
      <c r="E1164" s="14"/>
      <c r="K1164" s="14"/>
      <c r="M1164" s="14"/>
      <c r="N1164" s="14"/>
      <c r="Z1164" s="11"/>
      <c r="AA1164" s="15"/>
      <c r="AB1164" s="15"/>
      <c r="AC1164" s="15"/>
      <c r="AU1164" s="17"/>
    </row>
    <row r="1165" spans="1:47" ht="12" customHeight="1" x14ac:dyDescent="0.25">
      <c r="A1165" s="3"/>
      <c r="B1165" s="14"/>
      <c r="C1165" s="14"/>
      <c r="D1165" s="14"/>
      <c r="E1165" s="14"/>
      <c r="K1165" s="14"/>
      <c r="M1165" s="14"/>
      <c r="N1165" s="14"/>
      <c r="Z1165" s="11"/>
      <c r="AA1165" s="15"/>
      <c r="AB1165" s="15"/>
      <c r="AC1165" s="15"/>
      <c r="AU1165" s="17"/>
    </row>
    <row r="1166" spans="1:47" ht="12" customHeight="1" x14ac:dyDescent="0.25">
      <c r="A1166" s="3"/>
      <c r="B1166" s="14"/>
      <c r="C1166" s="14"/>
      <c r="D1166" s="14"/>
      <c r="E1166" s="14"/>
      <c r="K1166" s="14"/>
      <c r="M1166" s="14"/>
      <c r="N1166" s="14"/>
      <c r="Z1166" s="11"/>
      <c r="AA1166" s="15"/>
      <c r="AB1166" s="15"/>
      <c r="AC1166" s="15"/>
      <c r="AU1166" s="17"/>
    </row>
    <row r="1167" spans="1:47" ht="12" customHeight="1" x14ac:dyDescent="0.25">
      <c r="A1167" s="3"/>
      <c r="B1167" s="14"/>
      <c r="C1167" s="14"/>
      <c r="D1167" s="14"/>
      <c r="E1167" s="14"/>
      <c r="K1167" s="14"/>
      <c r="M1167" s="14"/>
      <c r="N1167" s="14"/>
      <c r="Z1167" s="11"/>
      <c r="AA1167" s="15"/>
      <c r="AB1167" s="15"/>
      <c r="AC1167" s="15"/>
      <c r="AU1167" s="17"/>
    </row>
    <row r="1168" spans="1:47" ht="12" customHeight="1" x14ac:dyDescent="0.25">
      <c r="A1168" s="3"/>
      <c r="B1168" s="14"/>
      <c r="C1168" s="14"/>
      <c r="D1168" s="14"/>
      <c r="E1168" s="14"/>
      <c r="K1168" s="14"/>
      <c r="M1168" s="14"/>
      <c r="N1168" s="14"/>
      <c r="Z1168" s="11"/>
      <c r="AA1168" s="15"/>
      <c r="AB1168" s="15"/>
      <c r="AC1168" s="15"/>
      <c r="AU1168" s="17"/>
    </row>
    <row r="1169" spans="1:47" ht="12" customHeight="1" x14ac:dyDescent="0.25">
      <c r="A1169" s="3"/>
      <c r="B1169" s="14"/>
      <c r="C1169" s="14"/>
      <c r="D1169" s="14"/>
      <c r="E1169" s="14"/>
      <c r="K1169" s="14"/>
      <c r="M1169" s="14"/>
      <c r="N1169" s="14"/>
      <c r="Z1169" s="11"/>
      <c r="AA1169" s="15"/>
      <c r="AB1169" s="15"/>
      <c r="AC1169" s="15"/>
      <c r="AU1169" s="17"/>
    </row>
    <row r="1170" spans="1:47" ht="12" customHeight="1" x14ac:dyDescent="0.25">
      <c r="A1170" s="3"/>
      <c r="B1170" s="14"/>
      <c r="C1170" s="14"/>
      <c r="D1170" s="14"/>
      <c r="E1170" s="14"/>
      <c r="K1170" s="14"/>
      <c r="M1170" s="14"/>
      <c r="N1170" s="14"/>
      <c r="Z1170" s="11"/>
      <c r="AA1170" s="15"/>
      <c r="AB1170" s="15"/>
      <c r="AC1170" s="15"/>
      <c r="AU1170" s="17"/>
    </row>
    <row r="1171" spans="1:47" ht="12" customHeight="1" x14ac:dyDescent="0.25">
      <c r="A1171" s="3"/>
      <c r="B1171" s="14"/>
      <c r="C1171" s="14"/>
      <c r="D1171" s="14"/>
      <c r="E1171" s="14"/>
      <c r="K1171" s="14"/>
      <c r="M1171" s="14"/>
      <c r="N1171" s="14"/>
      <c r="Z1171" s="11"/>
      <c r="AA1171" s="15"/>
      <c r="AB1171" s="15"/>
      <c r="AC1171" s="15"/>
      <c r="AU1171" s="17"/>
    </row>
    <row r="1172" spans="1:47" ht="12" customHeight="1" x14ac:dyDescent="0.25">
      <c r="A1172" s="3"/>
      <c r="B1172" s="14"/>
      <c r="C1172" s="14"/>
      <c r="D1172" s="14"/>
      <c r="E1172" s="14"/>
      <c r="K1172" s="14"/>
      <c r="M1172" s="14"/>
      <c r="N1172" s="14"/>
      <c r="Z1172" s="11"/>
      <c r="AA1172" s="15"/>
      <c r="AB1172" s="15"/>
      <c r="AC1172" s="15"/>
      <c r="AU1172" s="17"/>
    </row>
    <row r="1173" spans="1:47" ht="12" customHeight="1" x14ac:dyDescent="0.25">
      <c r="A1173" s="3"/>
      <c r="B1173" s="14"/>
      <c r="C1173" s="14"/>
      <c r="D1173" s="14"/>
      <c r="E1173" s="14"/>
      <c r="K1173" s="14"/>
      <c r="M1173" s="14"/>
      <c r="N1173" s="14"/>
      <c r="Z1173" s="11"/>
      <c r="AA1173" s="15"/>
      <c r="AB1173" s="15"/>
      <c r="AC1173" s="15"/>
      <c r="AU1173" s="17"/>
    </row>
    <row r="1174" spans="1:47" ht="12" customHeight="1" x14ac:dyDescent="0.25">
      <c r="A1174" s="3"/>
      <c r="B1174" s="14"/>
      <c r="C1174" s="14"/>
      <c r="D1174" s="14"/>
      <c r="E1174" s="14"/>
      <c r="K1174" s="14"/>
      <c r="M1174" s="14"/>
      <c r="N1174" s="14"/>
      <c r="Z1174" s="11"/>
      <c r="AA1174" s="15"/>
      <c r="AB1174" s="15"/>
      <c r="AC1174" s="15"/>
      <c r="AU1174" s="17"/>
    </row>
    <row r="1175" spans="1:47" ht="12" customHeight="1" x14ac:dyDescent="0.25">
      <c r="A1175" s="3"/>
      <c r="B1175" s="14"/>
      <c r="C1175" s="14"/>
      <c r="D1175" s="14"/>
      <c r="E1175" s="14"/>
      <c r="K1175" s="14"/>
      <c r="M1175" s="14"/>
      <c r="N1175" s="14"/>
      <c r="Z1175" s="11"/>
      <c r="AA1175" s="15"/>
      <c r="AB1175" s="15"/>
      <c r="AC1175" s="15"/>
      <c r="AU1175" s="17"/>
    </row>
    <row r="1176" spans="1:47" ht="12" customHeight="1" x14ac:dyDescent="0.25">
      <c r="A1176" s="3"/>
      <c r="B1176" s="14"/>
      <c r="C1176" s="14"/>
      <c r="D1176" s="14"/>
      <c r="E1176" s="14"/>
      <c r="K1176" s="14"/>
      <c r="M1176" s="14"/>
      <c r="N1176" s="14"/>
      <c r="Z1176" s="11"/>
      <c r="AA1176" s="15"/>
      <c r="AB1176" s="15"/>
      <c r="AC1176" s="15"/>
      <c r="AU1176" s="17"/>
    </row>
    <row r="1177" spans="1:47" ht="12" customHeight="1" x14ac:dyDescent="0.25">
      <c r="A1177" s="3"/>
      <c r="B1177" s="14"/>
      <c r="C1177" s="14"/>
      <c r="D1177" s="14"/>
      <c r="E1177" s="14"/>
      <c r="K1177" s="14"/>
      <c r="M1177" s="14"/>
      <c r="N1177" s="14"/>
      <c r="Z1177" s="11"/>
      <c r="AA1177" s="15"/>
      <c r="AB1177" s="15"/>
      <c r="AC1177" s="15"/>
      <c r="AU1177" s="17"/>
    </row>
    <row r="1178" spans="1:47" ht="12" customHeight="1" x14ac:dyDescent="0.25">
      <c r="A1178" s="3"/>
      <c r="B1178" s="14"/>
      <c r="C1178" s="14"/>
      <c r="D1178" s="14"/>
      <c r="E1178" s="14"/>
      <c r="K1178" s="14"/>
      <c r="M1178" s="14"/>
      <c r="N1178" s="14"/>
      <c r="Z1178" s="11"/>
      <c r="AA1178" s="15"/>
      <c r="AB1178" s="15"/>
      <c r="AC1178" s="15"/>
      <c r="AU1178" s="17"/>
    </row>
    <row r="1179" spans="1:47" ht="12" customHeight="1" x14ac:dyDescent="0.25">
      <c r="A1179" s="3"/>
      <c r="B1179" s="14"/>
      <c r="C1179" s="14"/>
      <c r="D1179" s="14"/>
      <c r="E1179" s="14"/>
      <c r="K1179" s="14"/>
      <c r="M1179" s="14"/>
      <c r="N1179" s="14"/>
      <c r="Z1179" s="11"/>
      <c r="AA1179" s="15"/>
      <c r="AB1179" s="15"/>
      <c r="AC1179" s="15"/>
      <c r="AU1179" s="17"/>
    </row>
    <row r="1180" spans="1:47" ht="12" customHeight="1" x14ac:dyDescent="0.25">
      <c r="A1180" s="3"/>
      <c r="B1180" s="14"/>
      <c r="C1180" s="14"/>
      <c r="D1180" s="14"/>
      <c r="E1180" s="14"/>
      <c r="K1180" s="14"/>
      <c r="M1180" s="14"/>
      <c r="N1180" s="14"/>
      <c r="Z1180" s="11"/>
      <c r="AA1180" s="15"/>
      <c r="AB1180" s="15"/>
      <c r="AC1180" s="15"/>
      <c r="AU1180" s="17"/>
    </row>
    <row r="1181" spans="1:47" ht="12" customHeight="1" x14ac:dyDescent="0.25">
      <c r="A1181" s="3"/>
      <c r="B1181" s="14"/>
      <c r="C1181" s="14"/>
      <c r="D1181" s="14"/>
      <c r="E1181" s="14"/>
      <c r="K1181" s="14"/>
      <c r="M1181" s="14"/>
      <c r="N1181" s="14"/>
      <c r="Z1181" s="11"/>
      <c r="AA1181" s="15"/>
      <c r="AB1181" s="15"/>
      <c r="AC1181" s="15"/>
      <c r="AU1181" s="17"/>
    </row>
    <row r="1182" spans="1:47" ht="12" customHeight="1" x14ac:dyDescent="0.25">
      <c r="A1182" s="3"/>
      <c r="B1182" s="14"/>
      <c r="C1182" s="14"/>
      <c r="D1182" s="14"/>
      <c r="E1182" s="14"/>
      <c r="K1182" s="14"/>
      <c r="M1182" s="14"/>
      <c r="N1182" s="14"/>
      <c r="Z1182" s="11"/>
      <c r="AA1182" s="15"/>
      <c r="AB1182" s="15"/>
      <c r="AC1182" s="15"/>
      <c r="AU1182" s="17"/>
    </row>
    <row r="1183" spans="1:47" ht="12" customHeight="1" x14ac:dyDescent="0.25">
      <c r="A1183" s="3"/>
      <c r="B1183" s="14"/>
      <c r="C1183" s="14"/>
      <c r="D1183" s="14"/>
      <c r="E1183" s="14"/>
      <c r="K1183" s="14"/>
      <c r="M1183" s="14"/>
      <c r="N1183" s="14"/>
      <c r="Z1183" s="11"/>
      <c r="AA1183" s="15"/>
      <c r="AB1183" s="15"/>
      <c r="AC1183" s="15"/>
      <c r="AU1183" s="17"/>
    </row>
    <row r="1184" spans="1:47" ht="12" customHeight="1" x14ac:dyDescent="0.25">
      <c r="A1184" s="3"/>
      <c r="B1184" s="14"/>
      <c r="C1184" s="14"/>
      <c r="D1184" s="14"/>
      <c r="E1184" s="14"/>
      <c r="K1184" s="14"/>
      <c r="M1184" s="14"/>
      <c r="N1184" s="14"/>
      <c r="Z1184" s="11"/>
      <c r="AA1184" s="15"/>
      <c r="AB1184" s="15"/>
      <c r="AC1184" s="15"/>
      <c r="AU1184" s="17"/>
    </row>
    <row r="1185" spans="1:29" ht="12" customHeight="1" x14ac:dyDescent="0.25">
      <c r="A1185" s="3"/>
      <c r="B1185" s="14"/>
      <c r="C1185" s="14"/>
      <c r="D1185" s="14"/>
      <c r="E1185" s="14"/>
      <c r="K1185" s="14"/>
      <c r="M1185" s="14"/>
      <c r="N1185" s="14"/>
      <c r="Z1185" s="11"/>
      <c r="AA1185" s="15"/>
      <c r="AB1185" s="15"/>
      <c r="AC1185" s="15"/>
    </row>
    <row r="1186" spans="1:29" ht="12" customHeight="1" x14ac:dyDescent="0.25">
      <c r="A1186" s="3"/>
      <c r="B1186" s="14"/>
      <c r="C1186" s="14"/>
      <c r="D1186" s="14"/>
      <c r="E1186" s="14"/>
      <c r="K1186" s="14"/>
      <c r="M1186" s="14"/>
      <c r="N1186" s="14"/>
      <c r="Z1186" s="11"/>
      <c r="AA1186" s="15"/>
      <c r="AB1186" s="15"/>
      <c r="AC1186" s="15"/>
    </row>
    <row r="1187" spans="1:29" ht="12" customHeight="1" x14ac:dyDescent="0.25">
      <c r="A1187" s="3"/>
      <c r="B1187" s="14"/>
      <c r="C1187" s="14"/>
      <c r="D1187" s="14"/>
      <c r="E1187" s="14"/>
      <c r="K1187" s="14"/>
      <c r="M1187" s="14"/>
      <c r="N1187" s="14"/>
      <c r="Z1187" s="11"/>
      <c r="AA1187" s="15"/>
      <c r="AB1187" s="15"/>
      <c r="AC1187" s="15"/>
    </row>
    <row r="1188" spans="1:29" ht="12" customHeight="1" x14ac:dyDescent="0.25">
      <c r="A1188" s="3"/>
      <c r="B1188" s="14"/>
      <c r="C1188" s="14"/>
      <c r="D1188" s="14"/>
      <c r="E1188" s="14"/>
      <c r="K1188" s="14"/>
      <c r="M1188" s="14"/>
      <c r="N1188" s="14"/>
      <c r="Z1188" s="11"/>
      <c r="AA1188" s="15"/>
      <c r="AB1188" s="15"/>
      <c r="AC1188" s="15"/>
    </row>
    <row r="1189" spans="1:29" ht="12" customHeight="1" x14ac:dyDescent="0.25">
      <c r="A1189" s="3"/>
      <c r="B1189" s="14"/>
      <c r="C1189" s="14"/>
      <c r="D1189" s="14"/>
      <c r="E1189" s="14"/>
      <c r="K1189" s="14"/>
      <c r="M1189" s="14"/>
      <c r="N1189" s="14"/>
      <c r="Z1189" s="11"/>
      <c r="AA1189" s="15"/>
      <c r="AB1189" s="15"/>
      <c r="AC1189" s="15"/>
    </row>
    <row r="1190" spans="1:29" ht="12" customHeight="1" x14ac:dyDescent="0.25">
      <c r="A1190" s="3"/>
      <c r="B1190" s="14"/>
      <c r="C1190" s="14"/>
      <c r="D1190" s="14"/>
      <c r="E1190" s="14"/>
      <c r="K1190" s="14"/>
      <c r="M1190" s="14"/>
      <c r="N1190" s="14"/>
      <c r="Z1190" s="11"/>
      <c r="AA1190" s="15"/>
      <c r="AB1190" s="15"/>
      <c r="AC1190" s="15"/>
    </row>
    <row r="1191" spans="1:29" ht="12" customHeight="1" x14ac:dyDescent="0.25">
      <c r="A1191" s="3"/>
      <c r="B1191" s="14"/>
      <c r="C1191" s="14"/>
      <c r="D1191" s="14"/>
      <c r="E1191" s="14"/>
      <c r="K1191" s="14"/>
      <c r="M1191" s="14"/>
      <c r="N1191" s="14"/>
      <c r="Z1191" s="11"/>
      <c r="AA1191" s="15"/>
      <c r="AB1191" s="15"/>
      <c r="AC1191" s="15"/>
    </row>
    <row r="1192" spans="1:29" ht="12" customHeight="1" x14ac:dyDescent="0.25">
      <c r="A1192" s="3"/>
      <c r="B1192" s="14"/>
      <c r="C1192" s="14"/>
      <c r="D1192" s="14"/>
      <c r="E1192" s="14"/>
      <c r="K1192" s="14"/>
      <c r="M1192" s="14"/>
      <c r="N1192" s="14"/>
      <c r="Z1192" s="11"/>
      <c r="AA1192" s="15"/>
      <c r="AB1192" s="15"/>
      <c r="AC1192" s="15"/>
    </row>
    <row r="1193" spans="1:29" ht="12" customHeight="1" x14ac:dyDescent="0.25">
      <c r="A1193" s="3"/>
      <c r="B1193" s="14"/>
      <c r="C1193" s="14"/>
      <c r="D1193" s="14"/>
      <c r="E1193" s="14"/>
      <c r="K1193" s="14"/>
      <c r="M1193" s="14"/>
      <c r="N1193" s="14"/>
      <c r="Z1193" s="11"/>
      <c r="AA1193" s="15"/>
      <c r="AB1193" s="15"/>
      <c r="AC1193" s="15"/>
    </row>
    <row r="1194" spans="1:29" ht="12" customHeight="1" x14ac:dyDescent="0.25">
      <c r="A1194" s="3"/>
      <c r="B1194" s="14"/>
      <c r="C1194" s="14"/>
      <c r="D1194" s="14"/>
      <c r="E1194" s="14"/>
      <c r="K1194" s="14"/>
      <c r="M1194" s="14"/>
      <c r="N1194" s="14"/>
      <c r="Z1194" s="11"/>
      <c r="AA1194" s="15"/>
      <c r="AB1194" s="15"/>
      <c r="AC1194" s="15"/>
    </row>
    <row r="1195" spans="1:29" ht="12" customHeight="1" x14ac:dyDescent="0.25">
      <c r="A1195" s="3"/>
      <c r="B1195" s="14"/>
      <c r="C1195" s="14"/>
      <c r="D1195" s="14"/>
    </row>
    <row r="1196" spans="1:29" ht="12" customHeight="1" x14ac:dyDescent="0.25">
      <c r="A1196" s="3"/>
      <c r="B1196" s="14"/>
      <c r="C1196" s="14"/>
      <c r="D1196" s="14"/>
    </row>
    <row r="1197" spans="1:29" ht="12" customHeight="1" x14ac:dyDescent="0.25">
      <c r="A1197" s="3"/>
    </row>
    <row r="1198" spans="1:29" ht="12" customHeight="1" x14ac:dyDescent="0.25">
      <c r="A1198" s="3"/>
    </row>
    <row r="1199" spans="1:29" ht="12" customHeight="1" x14ac:dyDescent="0.25">
      <c r="A1199" s="3"/>
    </row>
    <row r="1200" spans="1:29" ht="12" customHeight="1" x14ac:dyDescent="0.25">
      <c r="A1200" s="3"/>
    </row>
  </sheetData>
  <conditionalFormatting sqref="B5:C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{34B8A4D1-8D1A-4D8E-A9A8-B98635D35669}</x14:id>
        </ext>
      </extLst>
    </cfRule>
  </conditionalFormatting>
  <conditionalFormatting sqref="L7:L42">
    <cfRule type="cellIs" dxfId="17" priority="28" operator="equal">
      <formula>0</formula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{AEA0F284-0098-4C78-9161-8838478BCBCA}</x14:id>
        </ext>
      </extLst>
    </cfRule>
  </conditionalFormatting>
  <conditionalFormatting sqref="P7:P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:P7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4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{30F05C60-03A7-43FD-BE45-A46C8763FB31}</x14:id>
        </ext>
      </extLst>
    </cfRule>
  </conditionalFormatting>
  <conditionalFormatting sqref="Y8:Y4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{BBC2F240-A77A-478B-9CC9-95D492F11F80}</x14:id>
        </ext>
      </extLst>
    </cfRule>
  </conditionalFormatting>
  <conditionalFormatting sqref="Z8:Z4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{CD38A50F-1BDF-42E1-A20B-881CE735C95E}</x14:id>
        </ext>
      </extLst>
    </cfRule>
  </conditionalFormatting>
  <conditionalFormatting sqref="AA7:AA42">
    <cfRule type="cellIs" dxfId="16" priority="26" operator="equal">
      <formula>0</formula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C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42">
    <cfRule type="cellIs" dxfId="15" priority="14" operator="equal">
      <formula>0</formula>
    </cfRule>
  </conditionalFormatting>
  <conditionalFormatting sqref="AE7:AF4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H4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:AH42 AC7:AC42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7:AS15 AJ19:AS27">
    <cfRule type="notContainsBlanks" dxfId="14" priority="32">
      <formula>LEN(TRIM(AJ7))&gt;0</formula>
    </cfRule>
  </conditionalFormatting>
  <conditionalFormatting sqref="AJ29:AS37">
    <cfRule type="notContainsBlanks" dxfId="13" priority="31">
      <formula>LEN(TRIM(AJ29))&gt;0</formula>
    </cfRule>
  </conditionalFormatting>
  <conditionalFormatting sqref="BF36:BK4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7:BH35 BJ7:BK35 BH8:BK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B8A4D1-8D1A-4D8E-A9A8-B98635D35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B5:C5</xm:sqref>
        </x14:conditionalFormatting>
        <x14:conditionalFormatting xmlns:xm="http://schemas.microsoft.com/office/excel/2006/main">
          <x14:cfRule type="dataBar" id="{AEA0F284-0098-4C78-9161-8838478BC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L7:L42</xm:sqref>
        </x14:conditionalFormatting>
        <x14:conditionalFormatting xmlns:xm="http://schemas.microsoft.com/office/excel/2006/main">
          <x14:cfRule type="dataBar" id="{30F05C60-03A7-43FD-BE45-A46C8763FB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Y7:Y42</xm:sqref>
        </x14:conditionalFormatting>
        <x14:conditionalFormatting xmlns:xm="http://schemas.microsoft.com/office/excel/2006/main">
          <x14:cfRule type="dataBar" id="{BBC2F240-A77A-478B-9CC9-95D492F11F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Y8:Y42</xm:sqref>
        </x14:conditionalFormatting>
        <x14:conditionalFormatting xmlns:xm="http://schemas.microsoft.com/office/excel/2006/main">
          <x14:cfRule type="dataBar" id="{CD38A50F-1BDF-42E1-A20B-881CE735C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Z8:Z42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AF2-1EC4-49B7-BDF5-EF8993B28475}">
  <sheetPr>
    <tabColor rgb="FFFFFF00"/>
  </sheetPr>
  <dimension ref="A1:DJ1200"/>
  <sheetViews>
    <sheetView tabSelected="1" zoomScale="110" zoomScaleNormal="110" workbookViewId="0">
      <selection activeCell="BF7" sqref="BF7"/>
    </sheetView>
  </sheetViews>
  <sheetFormatPr defaultRowHeight="11.1" customHeight="1" x14ac:dyDescent="0.25"/>
  <cols>
    <col min="1" max="1" width="2.5703125" customWidth="1"/>
    <col min="2" max="2" width="3.7109375" hidden="1" customWidth="1"/>
    <col min="3" max="5" width="1.85546875" hidden="1" customWidth="1"/>
    <col min="6" max="8" width="2" style="33" hidden="1" customWidth="1"/>
    <col min="9" max="9" width="1.7109375" style="34" hidden="1" customWidth="1"/>
    <col min="10" max="10" width="3.28515625" style="34" hidden="1" customWidth="1"/>
    <col min="11" max="11" width="1.85546875" style="37" hidden="1" customWidth="1"/>
    <col min="12" max="12" width="7" style="32" hidden="1" customWidth="1"/>
    <col min="13" max="13" width="1" style="37" hidden="1" customWidth="1"/>
    <col min="14" max="14" width="3.28515625" style="37" customWidth="1"/>
    <col min="15" max="15" width="2.7109375" style="2" customWidth="1"/>
    <col min="16" max="16" width="2.7109375" customWidth="1"/>
    <col min="17" max="17" width="2.7109375" style="2" customWidth="1"/>
    <col min="18" max="20" width="2.7109375" customWidth="1"/>
    <col min="21" max="24" width="2.7109375" style="2" customWidth="1"/>
    <col min="25" max="25" width="4.7109375" style="2" customWidth="1"/>
    <col min="26" max="26" width="2.7109375" style="32" customWidth="1"/>
    <col min="27" max="29" width="2.7109375" style="1" customWidth="1"/>
    <col min="30" max="30" width="2.7109375" style="35" customWidth="1"/>
    <col min="31" max="32" width="2.7109375" style="99" customWidth="1"/>
    <col min="33" max="34" width="2.7109375" style="35" customWidth="1"/>
    <col min="35" max="35" width="1.42578125" style="35" customWidth="1"/>
    <col min="36" max="41" width="0.85546875" style="1" customWidth="1"/>
    <col min="42" max="42" width="0.85546875" customWidth="1"/>
    <col min="43" max="44" width="1.85546875" hidden="1" customWidth="1"/>
    <col min="45" max="45" width="2.7109375" hidden="1" customWidth="1"/>
    <col min="46" max="46" width="2.5703125" style="97" bestFit="1" customWidth="1"/>
    <col min="47" max="48" width="2.7109375" style="97" customWidth="1"/>
    <col min="49" max="50" width="2" style="97" customWidth="1"/>
    <col min="51" max="51" width="4" style="97" customWidth="1"/>
    <col min="52" max="52" width="2.140625" style="36" customWidth="1"/>
    <col min="53" max="53" width="1.85546875" style="36" bestFit="1" customWidth="1"/>
    <col min="54" max="54" width="3.85546875" style="36" bestFit="1" customWidth="1"/>
    <col min="55" max="55" width="2.7109375" style="36" bestFit="1" customWidth="1"/>
    <col min="56" max="56" width="1.85546875" style="35" bestFit="1" customWidth="1"/>
    <col min="57" max="57" width="2.42578125" style="35" customWidth="1"/>
    <col min="58" max="60" width="1.85546875" customWidth="1"/>
    <col min="61" max="61" width="1.42578125" customWidth="1"/>
    <col min="62" max="62" width="2.5703125" customWidth="1"/>
    <col min="63" max="64" width="3.28515625" customWidth="1"/>
    <col min="65" max="65" width="2.5703125" customWidth="1"/>
    <col min="66" max="67" width="3.28515625" customWidth="1"/>
    <col min="68" max="68" width="2.5703125" customWidth="1"/>
    <col min="69" max="70" width="3.28515625" customWidth="1"/>
    <col min="71" max="71" width="1.140625" customWidth="1"/>
    <col min="72" max="72" width="2.42578125" bestFit="1" customWidth="1"/>
    <col min="73" max="73" width="2.42578125" customWidth="1"/>
    <col min="74" max="74" width="3.140625" style="98" customWidth="1"/>
    <col min="75" max="76" width="2.28515625" style="98" customWidth="1"/>
    <col min="77" max="77" width="2.28515625" style="112" customWidth="1"/>
    <col min="78" max="79" width="2.42578125" style="112" customWidth="1"/>
    <col min="80" max="83" width="2.42578125" style="98" customWidth="1"/>
    <col min="84" max="84" width="1.28515625" customWidth="1"/>
    <col min="85" max="88" width="3.7109375" style="100" customWidth="1"/>
    <col min="89" max="89" width="6.28515625" style="100" customWidth="1"/>
    <col min="90" max="94" width="3.7109375" style="100" customWidth="1"/>
    <col min="95" max="99" width="5.5703125" style="100" customWidth="1"/>
    <col min="100" max="103" width="5.5703125" customWidth="1"/>
  </cols>
  <sheetData>
    <row r="1" spans="1:103" ht="9.9499999999999993" customHeight="1" x14ac:dyDescent="0.25">
      <c r="A1" s="8">
        <f>COLUMN()</f>
        <v>1</v>
      </c>
      <c r="B1" s="8"/>
      <c r="C1" s="8"/>
      <c r="D1" s="8"/>
      <c r="E1" s="8"/>
      <c r="F1" s="9"/>
      <c r="G1" s="9"/>
      <c r="H1" s="9"/>
      <c r="I1" s="10"/>
      <c r="J1" s="10"/>
      <c r="K1" s="8"/>
      <c r="L1" s="11"/>
      <c r="M1" s="8">
        <f>COLUMN()</f>
        <v>13</v>
      </c>
      <c r="N1" s="8"/>
      <c r="O1" s="4"/>
      <c r="P1" s="3"/>
      <c r="Q1" s="4"/>
      <c r="R1" s="3"/>
      <c r="S1" s="3"/>
      <c r="T1" s="3"/>
      <c r="U1" s="4"/>
      <c r="V1" s="4"/>
      <c r="W1" s="4"/>
      <c r="X1" s="4"/>
      <c r="Y1" s="4"/>
      <c r="Z1" s="12"/>
      <c r="AA1" s="4"/>
      <c r="AB1" s="4"/>
      <c r="AC1" s="4"/>
      <c r="AD1" s="8">
        <f>COLUMN()</f>
        <v>30</v>
      </c>
      <c r="AE1" s="64"/>
      <c r="AF1" s="64"/>
      <c r="AG1" s="8"/>
      <c r="AH1" s="8"/>
      <c r="AI1" s="8">
        <f>COLUMN()</f>
        <v>35</v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8">
        <f>COLUMN()</f>
        <v>46</v>
      </c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3"/>
      <c r="BJ1" s="16"/>
      <c r="BK1" s="16"/>
      <c r="BL1" s="16"/>
      <c r="BM1" s="16"/>
      <c r="BN1" s="16"/>
      <c r="BO1" s="16"/>
      <c r="BP1" s="16"/>
      <c r="BQ1" s="16"/>
      <c r="BR1" s="16"/>
      <c r="BS1" s="111">
        <f>COLUMN()</f>
        <v>71</v>
      </c>
      <c r="BT1" s="16"/>
      <c r="BU1" s="64"/>
      <c r="BV1" s="64"/>
      <c r="BW1" s="64"/>
      <c r="BX1" s="111">
        <f>COLUMN()</f>
        <v>76</v>
      </c>
      <c r="BY1" s="16"/>
      <c r="BZ1" s="16"/>
      <c r="CA1" s="16"/>
      <c r="CB1" s="16"/>
      <c r="CC1" s="16"/>
      <c r="CD1" s="16"/>
      <c r="CE1" s="16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 spans="1:103" ht="9.9499999999999993" customHeight="1" x14ac:dyDescent="0.25">
      <c r="A2" s="68"/>
      <c r="B2" s="68"/>
      <c r="C2" s="68"/>
      <c r="D2" s="68"/>
      <c r="E2" s="68"/>
      <c r="F2" s="9"/>
      <c r="G2" s="9"/>
      <c r="H2" s="9"/>
      <c r="I2" s="10"/>
      <c r="J2" s="10"/>
      <c r="K2" s="14"/>
      <c r="L2" s="11"/>
      <c r="M2" s="14"/>
      <c r="N2" s="14"/>
      <c r="O2" s="15">
        <v>1</v>
      </c>
      <c r="P2" s="14"/>
      <c r="Q2" s="14"/>
      <c r="R2" s="14"/>
      <c r="S2" s="14"/>
      <c r="T2" s="14"/>
      <c r="U2" s="14"/>
      <c r="V2" s="14"/>
      <c r="W2" s="14"/>
      <c r="X2" s="69"/>
      <c r="Y2" s="4"/>
      <c r="Z2" s="69"/>
      <c r="AA2" s="90"/>
      <c r="AB2" s="90"/>
      <c r="AC2" s="90"/>
      <c r="AD2" s="16"/>
      <c r="AE2" s="117" t="s">
        <v>74</v>
      </c>
      <c r="AF2" s="70"/>
      <c r="AG2" s="70"/>
      <c r="AH2" s="70"/>
      <c r="AI2" s="16"/>
      <c r="AJ2" s="51" t="s">
        <v>92</v>
      </c>
      <c r="AK2" s="51"/>
      <c r="AL2" s="51"/>
      <c r="AM2" s="51"/>
      <c r="AN2" s="51"/>
      <c r="AO2" s="51"/>
      <c r="AP2" s="51"/>
      <c r="AQ2" s="17"/>
      <c r="AR2" s="17"/>
      <c r="AS2" s="17"/>
      <c r="AT2" s="16"/>
      <c r="AU2" s="51" t="s">
        <v>73</v>
      </c>
      <c r="AV2" s="51"/>
      <c r="AW2" s="51"/>
      <c r="AX2" s="51"/>
      <c r="AY2" s="116"/>
      <c r="AZ2" s="116"/>
      <c r="BA2" s="116"/>
      <c r="BB2" s="51"/>
      <c r="BC2" s="116"/>
      <c r="BD2" s="116"/>
      <c r="BE2" s="116"/>
      <c r="BF2" s="116"/>
      <c r="BG2" s="116"/>
      <c r="BH2" s="116"/>
      <c r="BI2" s="49"/>
      <c r="BJ2" s="49"/>
      <c r="BK2" s="49"/>
      <c r="BL2" s="49"/>
      <c r="BM2" s="49"/>
      <c r="BN2" s="66"/>
      <c r="BO2" s="66"/>
      <c r="BP2" s="16"/>
      <c r="BQ2" s="16"/>
      <c r="BR2" s="16"/>
      <c r="BS2" s="66"/>
      <c r="BT2" s="66"/>
      <c r="BU2" s="51" t="s">
        <v>93</v>
      </c>
      <c r="BV2" s="52"/>
      <c r="BW2" s="52"/>
      <c r="BX2" s="66"/>
      <c r="BY2" s="15"/>
      <c r="BZ2" s="67"/>
      <c r="CA2" s="67"/>
      <c r="CB2" s="66"/>
      <c r="CC2" s="66"/>
      <c r="CD2" s="66"/>
      <c r="CE2" s="66"/>
      <c r="CF2" s="3"/>
      <c r="CG2" s="3"/>
      <c r="CH2" s="51" t="s">
        <v>69</v>
      </c>
      <c r="CI2" s="51"/>
      <c r="CJ2" s="51"/>
      <c r="CK2" s="51"/>
      <c r="CL2" s="51"/>
      <c r="CM2" s="65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</row>
    <row r="3" spans="1:103" ht="9.9499999999999993" customHeight="1" x14ac:dyDescent="0.25">
      <c r="A3" s="3"/>
      <c r="B3" s="3"/>
      <c r="C3" s="3"/>
      <c r="D3" s="3"/>
      <c r="E3" s="3"/>
      <c r="F3" s="10"/>
      <c r="G3" s="10"/>
      <c r="H3" s="10"/>
      <c r="I3" s="10"/>
      <c r="J3" s="10"/>
      <c r="K3" s="14">
        <f>MAX(L3:V3)</f>
        <v>7</v>
      </c>
      <c r="L3" s="11"/>
      <c r="M3" s="14"/>
      <c r="N3" s="14"/>
      <c r="O3" s="45">
        <f t="shared" ref="O3:X3" si="0">IF(ISNUMBER(O5),O4,"")</f>
        <v>1</v>
      </c>
      <c r="P3" s="45">
        <f t="shared" si="0"/>
        <v>2</v>
      </c>
      <c r="Q3" s="45">
        <f t="shared" si="0"/>
        <v>3</v>
      </c>
      <c r="R3" s="45">
        <f t="shared" si="0"/>
        <v>4</v>
      </c>
      <c r="S3" s="45">
        <f t="shared" si="0"/>
        <v>5</v>
      </c>
      <c r="T3" s="45">
        <f t="shared" si="0"/>
        <v>6</v>
      </c>
      <c r="U3" s="45">
        <f t="shared" si="0"/>
        <v>7</v>
      </c>
      <c r="V3" s="45" t="str">
        <f t="shared" si="0"/>
        <v/>
      </c>
      <c r="W3" s="45" t="str">
        <f t="shared" si="0"/>
        <v/>
      </c>
      <c r="X3" s="45" t="str">
        <f t="shared" si="0"/>
        <v/>
      </c>
      <c r="Y3" s="11"/>
      <c r="Z3" s="11"/>
      <c r="AA3" s="15"/>
      <c r="AB3" s="90"/>
      <c r="AC3" s="90"/>
      <c r="AD3" s="8"/>
      <c r="AE3" s="64"/>
      <c r="AF3" s="64"/>
      <c r="AG3" s="90"/>
      <c r="AH3" s="90"/>
      <c r="AI3" s="8"/>
      <c r="AJ3" s="11"/>
      <c r="AK3" s="18"/>
      <c r="AL3" s="18"/>
      <c r="AM3" s="18"/>
      <c r="AN3" s="18"/>
      <c r="AO3" s="18"/>
      <c r="AP3" s="18"/>
      <c r="AQ3" s="18"/>
      <c r="AR3" s="18"/>
      <c r="AS3" s="18"/>
      <c r="AT3" s="16"/>
      <c r="AU3" s="65" t="s">
        <v>75</v>
      </c>
      <c r="AV3" s="65"/>
      <c r="AW3" s="65"/>
      <c r="AX3" s="41"/>
      <c r="AY3" s="41"/>
      <c r="AZ3" s="41"/>
      <c r="BA3" s="41"/>
      <c r="BB3" s="41"/>
      <c r="BC3" s="65"/>
      <c r="BD3" s="65"/>
      <c r="BE3" s="65"/>
      <c r="BF3" s="65"/>
      <c r="BG3" s="65"/>
      <c r="BH3" s="65"/>
      <c r="BI3" s="59"/>
      <c r="BJ3" s="104" t="str">
        <f>IF(BJ6=$BU4,"↓","")</f>
        <v>↓</v>
      </c>
      <c r="BK3" s="104" t="str">
        <f>IF(BK6=$BU4,"↓","")</f>
        <v/>
      </c>
      <c r="BL3" s="104" t="str">
        <f>IF(BL6=$BU4,"↓","")</f>
        <v/>
      </c>
      <c r="BM3" s="104" t="str">
        <f>IF(BM6=$BU4,"↓","")</f>
        <v/>
      </c>
      <c r="BN3" s="104" t="str">
        <f>IF(BN6=$BU4,"↓","")</f>
        <v/>
      </c>
      <c r="BO3" s="104" t="str">
        <f>IF(BO6=$BU4,"↓","")</f>
        <v/>
      </c>
      <c r="BP3" s="104" t="str">
        <f>IF(BP6=$BU4,"↓","")</f>
        <v/>
      </c>
      <c r="BQ3" s="104" t="str">
        <f>IF(BQ6=$BU4,"↓","")</f>
        <v/>
      </c>
      <c r="BR3" s="104" t="str">
        <f>IF(BR6=$BU4,"↓","")</f>
        <v/>
      </c>
      <c r="BS3" s="66"/>
      <c r="BT3" s="66"/>
      <c r="BU3" s="65" t="s">
        <v>94</v>
      </c>
      <c r="BV3" s="64"/>
      <c r="BW3" s="64"/>
      <c r="BX3" s="66"/>
      <c r="BY3" s="15"/>
      <c r="BZ3" s="15"/>
      <c r="CA3" s="15"/>
      <c r="CB3" s="71"/>
      <c r="CC3" s="71"/>
      <c r="CD3" s="71"/>
      <c r="CE3" s="71"/>
      <c r="CF3" s="3"/>
      <c r="CG3" s="3"/>
      <c r="CH3" s="65"/>
      <c r="CI3" s="65"/>
      <c r="CJ3" s="65"/>
      <c r="CK3" s="126" t="s">
        <v>95</v>
      </c>
      <c r="CL3" s="65"/>
      <c r="CM3" s="65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 spans="1:103" ht="9.9499999999999993" customHeight="1" x14ac:dyDescent="0.25">
      <c r="A4" s="3"/>
      <c r="B4" s="14"/>
      <c r="C4" s="14"/>
      <c r="D4" s="14"/>
      <c r="E4" s="14"/>
      <c r="F4" s="9"/>
      <c r="G4" s="9"/>
      <c r="H4" s="9"/>
      <c r="I4" s="10"/>
      <c r="J4" s="10"/>
      <c r="K4" s="14"/>
      <c r="L4" s="11"/>
      <c r="M4" s="14"/>
      <c r="N4" s="14"/>
      <c r="O4" s="72">
        <v>1</v>
      </c>
      <c r="P4" s="72">
        <f t="shared" ref="P4:X4" si="1">O4+1</f>
        <v>2</v>
      </c>
      <c r="Q4" s="72">
        <f t="shared" si="1"/>
        <v>3</v>
      </c>
      <c r="R4" s="72">
        <f t="shared" si="1"/>
        <v>4</v>
      </c>
      <c r="S4" s="72">
        <f t="shared" si="1"/>
        <v>5</v>
      </c>
      <c r="T4" s="72">
        <f t="shared" si="1"/>
        <v>6</v>
      </c>
      <c r="U4" s="72">
        <f t="shared" si="1"/>
        <v>7</v>
      </c>
      <c r="V4" s="72">
        <f t="shared" si="1"/>
        <v>8</v>
      </c>
      <c r="W4" s="72">
        <f t="shared" si="1"/>
        <v>9</v>
      </c>
      <c r="X4" s="72">
        <f t="shared" si="1"/>
        <v>10</v>
      </c>
      <c r="Y4" s="4"/>
      <c r="Z4" s="11"/>
      <c r="AA4" s="95" t="s">
        <v>91</v>
      </c>
      <c r="AB4" s="15"/>
      <c r="AC4" s="15"/>
      <c r="AD4" s="16"/>
      <c r="AE4" s="95" t="s">
        <v>91</v>
      </c>
      <c r="AF4" s="95" t="s">
        <v>91</v>
      </c>
      <c r="AG4" s="16"/>
      <c r="AH4" s="16" t="s">
        <v>68</v>
      </c>
      <c r="AI4" s="16"/>
      <c r="AJ4" s="124">
        <v>1</v>
      </c>
      <c r="AK4" s="124">
        <v>1</v>
      </c>
      <c r="AL4" s="124">
        <v>1</v>
      </c>
      <c r="AM4" s="124">
        <v>1</v>
      </c>
      <c r="AN4" s="124">
        <v>1</v>
      </c>
      <c r="AO4" s="124">
        <v>1</v>
      </c>
      <c r="AP4" s="124">
        <v>1</v>
      </c>
      <c r="AQ4" s="110">
        <v>1</v>
      </c>
      <c r="AR4" s="110">
        <v>1</v>
      </c>
      <c r="AS4" s="110">
        <v>1</v>
      </c>
      <c r="AT4" s="16"/>
      <c r="AU4" s="41"/>
      <c r="AV4" s="41"/>
      <c r="AW4" s="43" t="s">
        <v>66</v>
      </c>
      <c r="AX4" s="43"/>
      <c r="AY4" s="12"/>
      <c r="AZ4" s="12" t="s">
        <v>76</v>
      </c>
      <c r="BA4" s="12"/>
      <c r="BB4" s="12"/>
      <c r="BC4" s="12"/>
      <c r="BD4" s="12"/>
      <c r="BE4" s="12" t="s">
        <v>77</v>
      </c>
      <c r="BF4" s="12"/>
      <c r="BG4" s="19"/>
      <c r="BH4" s="19"/>
      <c r="BI4" s="49"/>
      <c r="BJ4" s="95"/>
      <c r="BK4" s="95" t="s">
        <v>91</v>
      </c>
      <c r="BL4" s="95" t="s">
        <v>91</v>
      </c>
      <c r="BM4" s="95"/>
      <c r="BN4" s="95" t="s">
        <v>91</v>
      </c>
      <c r="BO4" s="95" t="s">
        <v>91</v>
      </c>
      <c r="BP4" s="95"/>
      <c r="BQ4" s="95" t="s">
        <v>91</v>
      </c>
      <c r="BR4" s="95" t="s">
        <v>91</v>
      </c>
      <c r="BS4" s="59"/>
      <c r="BT4" s="16"/>
      <c r="BU4" s="132">
        <v>1</v>
      </c>
      <c r="BV4" s="94"/>
      <c r="BW4" s="94"/>
      <c r="BX4" s="16"/>
      <c r="BY4" s="104" t="str">
        <f t="shared" ref="BY4:CA4" si="2">IF(BY6=$BU4,"↓","")</f>
        <v>↓</v>
      </c>
      <c r="BZ4" s="104" t="str">
        <f t="shared" si="2"/>
        <v/>
      </c>
      <c r="CA4" s="104" t="str">
        <f t="shared" si="2"/>
        <v/>
      </c>
      <c r="CB4" s="104" t="str">
        <f>IF(CB6=$BU4,"↓","")</f>
        <v/>
      </c>
      <c r="CC4" s="104" t="str">
        <f>IF(CC6=$BU4,"↓","")</f>
        <v/>
      </c>
      <c r="CD4" s="104" t="str">
        <f>IF(CD6=$BU4,"↓","")</f>
        <v/>
      </c>
      <c r="CE4" s="104"/>
      <c r="CF4" s="3"/>
      <c r="CG4" s="3"/>
      <c r="CH4" s="49"/>
      <c r="CI4" s="49"/>
      <c r="CJ4" s="49"/>
      <c r="CK4" s="49"/>
      <c r="CL4" s="49"/>
      <c r="CM4" s="49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</row>
    <row r="5" spans="1:103" ht="9.9499999999999993" customHeight="1" x14ac:dyDescent="0.25">
      <c r="A5" s="3"/>
      <c r="B5" s="3"/>
      <c r="C5" s="3"/>
      <c r="D5" s="3"/>
      <c r="E5" s="3"/>
      <c r="F5" s="41" t="s">
        <v>65</v>
      </c>
      <c r="G5" s="3"/>
      <c r="H5" s="3"/>
      <c r="I5" s="3"/>
      <c r="J5" s="3"/>
      <c r="K5" s="3"/>
      <c r="L5" s="6" t="s">
        <v>68</v>
      </c>
      <c r="M5" s="3"/>
      <c r="N5" s="3"/>
      <c r="O5" s="46">
        <v>1</v>
      </c>
      <c r="P5" s="46">
        <v>1</v>
      </c>
      <c r="Q5" s="46">
        <v>1</v>
      </c>
      <c r="R5" s="46">
        <v>1</v>
      </c>
      <c r="S5" s="46">
        <v>1</v>
      </c>
      <c r="T5" s="46">
        <v>1</v>
      </c>
      <c r="U5" s="46">
        <v>1</v>
      </c>
      <c r="V5" s="46"/>
      <c r="W5" s="46"/>
      <c r="X5" s="46"/>
      <c r="Y5" s="81" t="s">
        <v>81</v>
      </c>
      <c r="Z5" s="6"/>
      <c r="AA5" s="82"/>
      <c r="AB5" s="82">
        <f>MAX(AB7:AB42)</f>
        <v>7</v>
      </c>
      <c r="AC5" s="82"/>
      <c r="AD5" s="16"/>
      <c r="AE5" s="64">
        <v>0</v>
      </c>
      <c r="AF5" s="64">
        <v>0</v>
      </c>
      <c r="AG5" s="82">
        <f>MAX(AG7:AG42)</f>
        <v>10</v>
      </c>
      <c r="AH5" s="82"/>
      <c r="AI5" s="16"/>
      <c r="AJ5" s="83">
        <v>1</v>
      </c>
      <c r="AK5" s="83">
        <f t="shared" ref="AK5:AS5" si="3">AJ5+1</f>
        <v>2</v>
      </c>
      <c r="AL5" s="83">
        <f t="shared" si="3"/>
        <v>3</v>
      </c>
      <c r="AM5" s="83">
        <f t="shared" si="3"/>
        <v>4</v>
      </c>
      <c r="AN5" s="20">
        <f t="shared" si="3"/>
        <v>5</v>
      </c>
      <c r="AO5" s="20">
        <f t="shared" si="3"/>
        <v>6</v>
      </c>
      <c r="AP5" s="20">
        <f t="shared" si="3"/>
        <v>7</v>
      </c>
      <c r="AQ5" s="20">
        <f t="shared" si="3"/>
        <v>8</v>
      </c>
      <c r="AR5" s="20">
        <f t="shared" si="3"/>
        <v>9</v>
      </c>
      <c r="AS5" s="20">
        <f t="shared" si="3"/>
        <v>10</v>
      </c>
      <c r="AT5" s="16" t="s">
        <v>90</v>
      </c>
      <c r="AU5" s="73" t="s">
        <v>0</v>
      </c>
      <c r="AV5" s="73" t="s">
        <v>78</v>
      </c>
      <c r="AW5" s="74" t="s">
        <v>0</v>
      </c>
      <c r="AX5" s="74" t="s">
        <v>79</v>
      </c>
      <c r="AY5" s="75"/>
      <c r="AZ5" s="76"/>
      <c r="BA5" s="77" t="s">
        <v>80</v>
      </c>
      <c r="BB5" s="78"/>
      <c r="BC5" s="77" t="s">
        <v>80</v>
      </c>
      <c r="BD5" s="79"/>
      <c r="BE5" s="80"/>
      <c r="BF5" s="77"/>
      <c r="BG5" s="77"/>
      <c r="BH5" s="77"/>
      <c r="BI5" s="3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109"/>
      <c r="BV5" s="109"/>
      <c r="BW5" s="109"/>
      <c r="BX5" s="59"/>
      <c r="BY5" s="59" t="str">
        <f>IF(BY6=$BU4,"↓","")</f>
        <v>↓</v>
      </c>
      <c r="BZ5" s="59" t="str">
        <f>IF(BZ6=$BU4,"↓","")</f>
        <v/>
      </c>
      <c r="CA5" s="59" t="str">
        <f>IF(CA6=$BU4,"↓","")</f>
        <v/>
      </c>
      <c r="CB5" s="104" t="str">
        <f>IF(CB6=$BU4,"↓","")</f>
        <v/>
      </c>
      <c r="CC5" s="59"/>
      <c r="CD5" s="59"/>
      <c r="CE5" s="115" t="s">
        <v>88</v>
      </c>
      <c r="CF5" s="49"/>
      <c r="CG5" s="3"/>
      <c r="CH5" s="136" t="s">
        <v>102</v>
      </c>
      <c r="CI5" s="39">
        <v>0</v>
      </c>
      <c r="CJ5" s="39">
        <v>1</v>
      </c>
      <c r="CK5" s="39">
        <v>2</v>
      </c>
      <c r="CL5" s="39">
        <v>3</v>
      </c>
      <c r="CM5" s="65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</row>
    <row r="6" spans="1:103" ht="9.9499999999999993" customHeight="1" x14ac:dyDescent="0.25">
      <c r="A6" s="3"/>
      <c r="B6" s="3"/>
      <c r="C6" s="3"/>
      <c r="D6" s="3"/>
      <c r="E6" s="3"/>
      <c r="F6" s="22" t="s">
        <v>36</v>
      </c>
      <c r="G6" s="22" t="s">
        <v>37</v>
      </c>
      <c r="H6" s="22" t="s">
        <v>2</v>
      </c>
      <c r="I6" s="23" t="s">
        <v>38</v>
      </c>
      <c r="J6" s="42" t="s">
        <v>38</v>
      </c>
      <c r="K6" s="14"/>
      <c r="L6" s="6" t="s">
        <v>86</v>
      </c>
      <c r="M6" s="14"/>
      <c r="N6" s="14"/>
      <c r="O6" s="5"/>
      <c r="P6" s="6">
        <f>MAX(O3:X3)</f>
        <v>7</v>
      </c>
      <c r="Q6" s="24"/>
      <c r="R6" s="85" t="s">
        <v>36</v>
      </c>
      <c r="S6" s="43" t="s">
        <v>37</v>
      </c>
      <c r="T6" s="88" t="s">
        <v>2</v>
      </c>
      <c r="U6" s="25" t="s">
        <v>38</v>
      </c>
      <c r="V6" s="43" t="s">
        <v>38</v>
      </c>
      <c r="W6" s="25"/>
      <c r="X6" s="25"/>
      <c r="Y6" s="4"/>
      <c r="Z6" s="21" t="s">
        <v>3</v>
      </c>
      <c r="AA6" s="82">
        <v>1</v>
      </c>
      <c r="AB6" s="82">
        <f>IF(AA6=0,AB5,AA6)</f>
        <v>1</v>
      </c>
      <c r="AC6" s="82"/>
      <c r="AD6" s="16"/>
      <c r="AE6" s="64">
        <v>0</v>
      </c>
      <c r="AF6" s="64">
        <v>0</v>
      </c>
      <c r="AG6" s="82">
        <f>IF(AD6=0,AG5,AD6)</f>
        <v>10</v>
      </c>
      <c r="AH6" s="82"/>
      <c r="AI6" s="16"/>
      <c r="AJ6" s="90" t="s">
        <v>33</v>
      </c>
      <c r="AK6" s="90" t="s">
        <v>33</v>
      </c>
      <c r="AL6" s="90" t="s">
        <v>33</v>
      </c>
      <c r="AM6" s="90" t="s">
        <v>33</v>
      </c>
      <c r="AN6" s="90" t="s">
        <v>33</v>
      </c>
      <c r="AO6" s="90" t="s">
        <v>33</v>
      </c>
      <c r="AP6" s="90" t="s">
        <v>33</v>
      </c>
      <c r="AQ6" s="90" t="s">
        <v>33</v>
      </c>
      <c r="AR6" s="90" t="s">
        <v>33</v>
      </c>
      <c r="AS6" s="90" t="s">
        <v>33</v>
      </c>
      <c r="AT6" s="84">
        <f>MAX(AT7:AT42)</f>
        <v>159</v>
      </c>
      <c r="AU6" s="136" t="s">
        <v>102</v>
      </c>
      <c r="AV6" s="75"/>
      <c r="AW6" s="43" t="s">
        <v>34</v>
      </c>
      <c r="AX6" s="85" t="s">
        <v>33</v>
      </c>
      <c r="AY6" s="74" t="s">
        <v>82</v>
      </c>
      <c r="AZ6" s="74" t="s">
        <v>83</v>
      </c>
      <c r="BA6" s="86"/>
      <c r="BB6" s="87" t="s">
        <v>38</v>
      </c>
      <c r="BC6" s="86"/>
      <c r="BD6" s="79" t="s">
        <v>84</v>
      </c>
      <c r="BE6" s="79" t="s">
        <v>85</v>
      </c>
      <c r="BF6" s="86"/>
      <c r="BG6" s="86"/>
      <c r="BH6" s="86"/>
      <c r="BI6" s="3"/>
      <c r="BJ6" s="62">
        <v>1</v>
      </c>
      <c r="BK6" s="108">
        <v>2</v>
      </c>
      <c r="BL6" s="21"/>
      <c r="BM6" s="62"/>
      <c r="BN6" s="108">
        <f>BK6+1</f>
        <v>3</v>
      </c>
      <c r="BO6" s="21"/>
      <c r="BP6" s="21"/>
      <c r="BQ6" s="108">
        <v>4</v>
      </c>
      <c r="BR6" s="21"/>
      <c r="BS6" s="59"/>
      <c r="BT6" s="136" t="s">
        <v>102</v>
      </c>
      <c r="BU6" s="113" t="s">
        <v>89</v>
      </c>
      <c r="BV6" s="113" t="s">
        <v>89</v>
      </c>
      <c r="BW6" s="113" t="s">
        <v>89</v>
      </c>
      <c r="BX6" s="16"/>
      <c r="BY6" s="50">
        <v>1</v>
      </c>
      <c r="BZ6" s="50">
        <f>BY6+1</f>
        <v>2</v>
      </c>
      <c r="CA6" s="108">
        <f>BZ6+1</f>
        <v>3</v>
      </c>
      <c r="CB6" s="108">
        <f>CA6+1</f>
        <v>4</v>
      </c>
      <c r="CC6" s="50">
        <f>CB6+1</f>
        <v>5</v>
      </c>
      <c r="CD6" s="50">
        <f>CC6+1</f>
        <v>6</v>
      </c>
      <c r="CE6" s="50">
        <f>BU4</f>
        <v>1</v>
      </c>
      <c r="CF6" s="3"/>
      <c r="CG6" s="3"/>
      <c r="CH6" s="39">
        <v>0</v>
      </c>
      <c r="CI6" s="90"/>
      <c r="CJ6" s="127"/>
      <c r="CK6" s="127"/>
      <c r="CL6" s="128"/>
      <c r="CM6" s="65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</row>
    <row r="7" spans="1:103" ht="11.1" customHeight="1" x14ac:dyDescent="0.25">
      <c r="A7" s="3"/>
      <c r="B7" s="3"/>
      <c r="C7" s="3"/>
      <c r="D7" s="3"/>
      <c r="E7" s="3"/>
      <c r="F7" s="101">
        <v>1</v>
      </c>
      <c r="G7" s="101">
        <v>1</v>
      </c>
      <c r="H7" s="29" t="s">
        <v>32</v>
      </c>
      <c r="I7" s="30" t="s">
        <v>40</v>
      </c>
      <c r="J7" s="30">
        <v>1093.048</v>
      </c>
      <c r="K7" s="14"/>
      <c r="L7" s="27" t="s">
        <v>1</v>
      </c>
      <c r="M7" s="14"/>
      <c r="N7" s="61">
        <f t="shared" ref="N7:N35" si="4">O7-1</f>
        <v>0</v>
      </c>
      <c r="O7" s="6">
        <f t="shared" ref="O7:O35" si="5">IF(ISNUMBER(Q7),ROW()-ROW(O$6),"")</f>
        <v>1</v>
      </c>
      <c r="P7" s="38" t="str">
        <f t="shared" ref="P7:P35" si="6">IF($AB7=P$6,O7,"")</f>
        <v/>
      </c>
      <c r="Q7" s="28">
        <f t="shared" ref="Q7:Q35" si="7">IF(ISNUMBER(R7),Q6+1,"")</f>
        <v>1</v>
      </c>
      <c r="R7" s="48">
        <f t="shared" ref="R7:R35" si="8">AW7</f>
        <v>467509.78129999997</v>
      </c>
      <c r="S7" s="48">
        <f t="shared" ref="S7:S35" si="9">AX7</f>
        <v>7616967.75</v>
      </c>
      <c r="T7" s="29"/>
      <c r="U7" s="30"/>
      <c r="V7" s="48">
        <f t="shared" ref="V7:V42" si="10">BB7</f>
        <v>989</v>
      </c>
      <c r="W7" s="25">
        <f t="shared" ref="W7:W42" si="11">IF(ISNUMBER(R7),R7-MIN(R$7:R$42),"")</f>
        <v>3337.5</v>
      </c>
      <c r="X7" s="25">
        <f t="shared" ref="X7:X42" si="12">IF(ISNUMBER(R7),S7-MIN(S$7:S$42),"")</f>
        <v>9037.5</v>
      </c>
      <c r="Y7" s="63">
        <f t="shared" ref="Y7:Y42" si="13">IF(ISNUMBER(BY7),INDEX($BY$7:$CD$42,BY7+1,BU$4),"")</f>
        <v>0</v>
      </c>
      <c r="Z7" s="95">
        <f>Z8</f>
        <v>28</v>
      </c>
      <c r="AA7" s="39">
        <f>IF(Z7&lt;0,MAX(AA$6:AA6)+1,0)</f>
        <v>0</v>
      </c>
      <c r="AB7" s="39">
        <f t="shared" ref="AB7:AB42" si="14">IF(ISNUMBER(R7),IF(AA7=0,AB6,AA7),"")</f>
        <v>1</v>
      </c>
      <c r="AC7" s="39">
        <v>1</v>
      </c>
      <c r="AD7" s="19"/>
      <c r="AE7" s="90">
        <v>0</v>
      </c>
      <c r="AF7" s="90">
        <v>0</v>
      </c>
      <c r="AG7" s="39">
        <f t="shared" ref="AG7:AG24" si="15">IF(ISNUMBER(R7),AB7+AE7,"")</f>
        <v>1</v>
      </c>
      <c r="AH7" s="39">
        <f t="shared" ref="AH7:AH24" si="16">IF(ISNUMBER(S7),AC7+AF7,"")</f>
        <v>1</v>
      </c>
      <c r="AI7" s="16"/>
      <c r="AJ7" s="40">
        <f>IF(ISNUMBER(AJ40),INDEX($R$7:$S$42,AJ40,AJ$4),AJ6)</f>
        <v>467509.78129999997</v>
      </c>
      <c r="AK7" s="40">
        <f t="shared" ref="AK7:AP7" si="17">IF(ISNUMBER(AK40),INDEX($R$7:$S$42,AK40,AK$4),AK6)</f>
        <v>471134.78129999997</v>
      </c>
      <c r="AL7" s="40">
        <f t="shared" si="17"/>
        <v>469934.78129999997</v>
      </c>
      <c r="AM7" s="40">
        <f t="shared" si="17"/>
        <v>468434.78129999997</v>
      </c>
      <c r="AN7" s="40">
        <f t="shared" si="17"/>
        <v>464872.28129999997</v>
      </c>
      <c r="AO7" s="40">
        <f t="shared" si="17"/>
        <v>468284.78129999997</v>
      </c>
      <c r="AP7" s="40">
        <f t="shared" si="17"/>
        <v>464822.28129999997</v>
      </c>
      <c r="AQ7" s="40" t="str">
        <f t="shared" ref="AQ7:AQ19" si="18">IF(ISNUMBER(AQ40),INDEX($R$7:$S$42,AQ40,AQ$4),AQ6)</f>
        <v>x</v>
      </c>
      <c r="AR7" s="40" t="str">
        <f t="shared" ref="AR7:AR19" si="19">IF(ISNUMBER(AR40),INDEX($R$7:$S$42,AR40,AR$4),AR6)</f>
        <v>x</v>
      </c>
      <c r="AS7" s="40" t="str">
        <f t="shared" ref="AS7:AS19" si="20">IF(ISNUMBER(AS40),INDEX($R$7:$S$42,AS40,AS$4),AS6)</f>
        <v>x</v>
      </c>
      <c r="AT7" s="91">
        <f t="shared" ref="AT7:AT35" si="21">BB7-MIN($BB$7:$BB$42)</f>
        <v>147</v>
      </c>
      <c r="AU7" s="39">
        <v>0</v>
      </c>
      <c r="AV7" s="39">
        <v>0</v>
      </c>
      <c r="AW7" s="114">
        <v>467509.78129999997</v>
      </c>
      <c r="AX7" s="114">
        <v>7616967.75</v>
      </c>
      <c r="AY7" s="39">
        <v>4500</v>
      </c>
      <c r="AZ7" s="39">
        <v>12</v>
      </c>
      <c r="BA7" s="121">
        <v>8.6767896000000005E-4</v>
      </c>
      <c r="BB7" s="114">
        <v>989</v>
      </c>
      <c r="BC7" s="122">
        <v>3</v>
      </c>
      <c r="BD7" s="121">
        <v>3.0000000000000001E-5</v>
      </c>
      <c r="BE7" s="121">
        <v>2.9999999999999898E-2</v>
      </c>
      <c r="BF7" s="54">
        <f t="shared" ref="BF7:BF35" si="22">IF(COUNT(BJ7:BL7)=3,3,IF(OR(BN7&lt;0,BP7=$BP$7),1,2))+BH7</f>
        <v>1</v>
      </c>
      <c r="BG7" s="54">
        <v>1</v>
      </c>
      <c r="BH7" s="54">
        <v>0</v>
      </c>
      <c r="BI7" s="3"/>
      <c r="BJ7" s="39">
        <v>0</v>
      </c>
      <c r="BK7" s="54"/>
      <c r="BL7" s="54"/>
      <c r="BM7" s="40">
        <v>-1</v>
      </c>
      <c r="BN7" s="54"/>
      <c r="BO7" s="54"/>
      <c r="BP7" s="105" t="s">
        <v>87</v>
      </c>
      <c r="BQ7" s="72"/>
      <c r="BR7" s="72"/>
      <c r="BS7" s="59"/>
      <c r="BT7" s="110">
        <f t="shared" ref="BT7:BT35" si="23">BJ7</f>
        <v>0</v>
      </c>
      <c r="BU7" s="105">
        <f>IF(ISNUMBER(BN7),BN7,BM7)</f>
        <v>-1</v>
      </c>
      <c r="BV7" s="105" t="str">
        <f>IF(ISNUMBER(BQ7),IF(ISNUMBER(BR7),BR7,BQ7),IF(BP7=$BP$7,"",BP7))</f>
        <v/>
      </c>
      <c r="BW7" s="105" t="str">
        <f>IF(ISNUMBER(BR7),BQ7,"")</f>
        <v/>
      </c>
      <c r="BX7" s="4"/>
      <c r="BY7" s="110">
        <f>IF(ISNUMBER(BJ7),BJ7,"")</f>
        <v>0</v>
      </c>
      <c r="BZ7" s="54">
        <f>IF(ISNUMBER(BK7),_xlfn.CONCAT(BK7,",",BL7),BJ7)</f>
        <v>0</v>
      </c>
      <c r="CA7" s="54">
        <f>IF(ISNUMBER(BN7),_xlfn.CONCAT(BN7,",",BO7),IF(OR(BM7=$BM$7,ISNUMBER(BM7)),BM7,""))</f>
        <v>-1</v>
      </c>
      <c r="CB7" s="72" t="str">
        <f>IF(ISNUMBER(BQ7),_xlfn.CONCAT(BQ7,",",BR7),IF(OR(ISNUMBER(BP7),BP7=$BP$7),BP7,""))</f>
        <v>|</v>
      </c>
      <c r="CC7" s="40" t="str">
        <f>_xlfn.CONCAT(AB7,AC7)</f>
        <v>11</v>
      </c>
      <c r="CD7" s="40" t="str">
        <f>_xlfn.CONCAT(AG7,AH7)</f>
        <v>11</v>
      </c>
      <c r="CE7" s="119">
        <f t="shared" ref="CE7:CE42" si="24">IF(ISNUMBER(BY7),INDEX($BY$7:$CD$42,BY7+1,BU$4),"")</f>
        <v>0</v>
      </c>
      <c r="CF7" s="3"/>
      <c r="CG7" s="3"/>
      <c r="CH7" s="90"/>
      <c r="CI7" s="90"/>
      <c r="CJ7" s="90"/>
      <c r="CK7" s="90"/>
      <c r="CL7" s="90"/>
      <c r="CM7" s="65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spans="1:103" ht="11.1" customHeight="1" x14ac:dyDescent="0.25">
      <c r="A8" s="3"/>
      <c r="B8" s="3"/>
      <c r="C8" s="3"/>
      <c r="D8" s="3"/>
      <c r="E8" s="3"/>
      <c r="F8" s="101">
        <v>2</v>
      </c>
      <c r="G8" s="101">
        <v>2</v>
      </c>
      <c r="H8" s="29" t="s">
        <v>31</v>
      </c>
      <c r="I8" s="30" t="s">
        <v>41</v>
      </c>
      <c r="J8" s="30">
        <v>1088.05899999999</v>
      </c>
      <c r="K8" s="14"/>
      <c r="L8" s="27">
        <f t="shared" ref="L8:L42" si="25">IF(ISNUMBER(R8),SQRT((R8-R7)^2+(S8-S7)^2),"")</f>
        <v>638.84661695903185</v>
      </c>
      <c r="M8" s="14"/>
      <c r="N8" s="61">
        <f t="shared" si="4"/>
        <v>1</v>
      </c>
      <c r="O8" s="6">
        <f t="shared" si="5"/>
        <v>2</v>
      </c>
      <c r="P8" s="38" t="str">
        <f t="shared" si="6"/>
        <v/>
      </c>
      <c r="Q8" s="28">
        <f t="shared" si="7"/>
        <v>2</v>
      </c>
      <c r="R8" s="48">
        <f t="shared" si="8"/>
        <v>468059.78129999997</v>
      </c>
      <c r="S8" s="48">
        <f t="shared" si="9"/>
        <v>7616642.75</v>
      </c>
      <c r="T8" s="29"/>
      <c r="U8" s="30"/>
      <c r="V8" s="48">
        <f t="shared" si="10"/>
        <v>961</v>
      </c>
      <c r="W8" s="25">
        <f t="shared" si="11"/>
        <v>3887.5</v>
      </c>
      <c r="X8" s="25">
        <f t="shared" si="12"/>
        <v>8712.5</v>
      </c>
      <c r="Y8" s="63">
        <f t="shared" si="13"/>
        <v>1</v>
      </c>
      <c r="Z8" s="27">
        <f t="shared" ref="Z8:Z42" si="26">IF(ISNUMBER(R8),V7-V8,"")</f>
        <v>28</v>
      </c>
      <c r="AA8" s="39">
        <f>IF(Z8&lt;0,MAX(AA$6:AA7)+1,0)</f>
        <v>0</v>
      </c>
      <c r="AB8" s="39">
        <f t="shared" si="14"/>
        <v>1</v>
      </c>
      <c r="AC8" s="39">
        <f t="shared" ref="AC8:AC35" si="27">IF(AA8&lt;&gt;0,1,AC7+1)</f>
        <v>2</v>
      </c>
      <c r="AD8" s="19"/>
      <c r="AE8" s="90">
        <v>0</v>
      </c>
      <c r="AF8" s="90">
        <v>0</v>
      </c>
      <c r="AG8" s="39">
        <f t="shared" si="15"/>
        <v>1</v>
      </c>
      <c r="AH8" s="39">
        <f t="shared" si="16"/>
        <v>2</v>
      </c>
      <c r="AI8" s="16"/>
      <c r="AJ8" s="40">
        <f t="shared" ref="AJ8:AP8" si="28">IF(ISNUMBER(AJ41),INDEX($R$7:$S$42,AJ41,AJ$4),AJ7)</f>
        <v>468059.78129999997</v>
      </c>
      <c r="AK8" s="40">
        <f t="shared" si="28"/>
        <v>469922.28129999997</v>
      </c>
      <c r="AL8" s="40">
        <f t="shared" si="28"/>
        <v>468797.28129999997</v>
      </c>
      <c r="AM8" s="40">
        <f t="shared" si="28"/>
        <v>467384.78129999997</v>
      </c>
      <c r="AN8" s="40">
        <f t="shared" si="28"/>
        <v>465422.28129999997</v>
      </c>
      <c r="AO8" s="40">
        <f t="shared" si="28"/>
        <v>466622.28129999997</v>
      </c>
      <c r="AP8" s="40">
        <f t="shared" si="28"/>
        <v>464172.28129999997</v>
      </c>
      <c r="AQ8" s="40" t="str">
        <f t="shared" si="18"/>
        <v>x</v>
      </c>
      <c r="AR8" s="40" t="str">
        <f t="shared" si="19"/>
        <v>x</v>
      </c>
      <c r="AS8" s="40" t="str">
        <f t="shared" si="20"/>
        <v>x</v>
      </c>
      <c r="AT8" s="91">
        <f t="shared" si="21"/>
        <v>119</v>
      </c>
      <c r="AU8" s="39">
        <v>1</v>
      </c>
      <c r="AV8" s="39">
        <v>0</v>
      </c>
      <c r="AW8" s="114">
        <v>468059.78129999997</v>
      </c>
      <c r="AX8" s="114">
        <v>7616642.75</v>
      </c>
      <c r="AY8" s="39">
        <v>7000</v>
      </c>
      <c r="AZ8" s="39">
        <v>12</v>
      </c>
      <c r="BA8" s="121">
        <v>8.6767896000000005E-4</v>
      </c>
      <c r="BB8" s="114">
        <v>961</v>
      </c>
      <c r="BC8" s="122">
        <f>BC7</f>
        <v>3</v>
      </c>
      <c r="BD8" s="121">
        <v>3.0000000000000001E-5</v>
      </c>
      <c r="BE8" s="121">
        <v>2.9999999999999898E-2</v>
      </c>
      <c r="BF8" s="54">
        <f>IF(COUNT(BJ8:BL8)=3,3,IF(OR(BN8&lt;0,BP8=$BP$7),1,2))+BH8</f>
        <v>2</v>
      </c>
      <c r="BG8" s="54">
        <v>1</v>
      </c>
      <c r="BH8" s="54">
        <v>0</v>
      </c>
      <c r="BI8" s="3"/>
      <c r="BJ8" s="39">
        <v>1</v>
      </c>
      <c r="BK8" s="54"/>
      <c r="BL8" s="54"/>
      <c r="BM8" s="40">
        <f>BM7+1</f>
        <v>0</v>
      </c>
      <c r="BN8" s="54"/>
      <c r="BO8" s="54"/>
      <c r="BP8" s="40">
        <v>-2</v>
      </c>
      <c r="BQ8" s="72"/>
      <c r="BR8" s="72"/>
      <c r="BS8" s="59"/>
      <c r="BT8" s="110">
        <f t="shared" si="23"/>
        <v>1</v>
      </c>
      <c r="BU8" s="105">
        <f>IF(ISNUMBER(BN8),BN8,BM8)</f>
        <v>0</v>
      </c>
      <c r="BV8" s="105">
        <f>IF(ISNUMBER(BQ8),IF(ISNUMBER(BR8),BR8,BQ8),IF(BP8=$BP$7,"",BP8))</f>
        <v>-2</v>
      </c>
      <c r="BW8" s="105" t="str">
        <f>IF(ISNUMBER(BR8),BQ8,"")</f>
        <v/>
      </c>
      <c r="BX8" s="4"/>
      <c r="BY8" s="110">
        <f>IF(ISNUMBER(BJ8),BJ8,"")</f>
        <v>1</v>
      </c>
      <c r="BZ8" s="54">
        <f>IF(ISNUMBER(BK8),_xlfn.CONCAT(BK8,",",BL8),BJ8)</f>
        <v>1</v>
      </c>
      <c r="CA8" s="54">
        <f>IF(ISNUMBER(BN8),_xlfn.CONCAT(BN8,",",BO8),IF(OR(BM8=$BM$7,ISNUMBER(BM8)),BM8,""))</f>
        <v>0</v>
      </c>
      <c r="CB8" s="72">
        <f>IF(ISNUMBER(BQ8),_xlfn.CONCAT(BQ8,",",BR8),IF(OR(ISNUMBER(BP8),BP8=$BP$7),BP8,""))</f>
        <v>-2</v>
      </c>
      <c r="CC8" s="40" t="str">
        <f>_xlfn.CONCAT(AB8,AC8)</f>
        <v>12</v>
      </c>
      <c r="CD8" s="40" t="str">
        <f>_xlfn.CONCAT(AG8,AH8)</f>
        <v>12</v>
      </c>
      <c r="CE8" s="119">
        <f t="shared" si="24"/>
        <v>1</v>
      </c>
      <c r="CF8" s="3"/>
      <c r="CG8" s="3"/>
      <c r="CH8" s="65" t="s">
        <v>96</v>
      </c>
      <c r="CI8" s="65"/>
      <c r="CJ8" s="65"/>
      <c r="CK8" s="65"/>
      <c r="CL8" s="65"/>
      <c r="CM8" s="65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</row>
    <row r="9" spans="1:103" ht="11.1" customHeight="1" x14ac:dyDescent="0.25">
      <c r="A9" s="3"/>
      <c r="B9" s="3"/>
      <c r="C9" s="3"/>
      <c r="D9" s="3"/>
      <c r="E9" s="3"/>
      <c r="F9" s="101">
        <v>3</v>
      </c>
      <c r="G9" s="101">
        <v>3</v>
      </c>
      <c r="H9" s="29" t="s">
        <v>26</v>
      </c>
      <c r="I9" s="30" t="s">
        <v>42</v>
      </c>
      <c r="J9" s="30">
        <v>1082.4190000000001</v>
      </c>
      <c r="K9" s="14"/>
      <c r="L9" s="27">
        <f t="shared" si="25"/>
        <v>881.49376061319913</v>
      </c>
      <c r="M9" s="14"/>
      <c r="N9" s="61">
        <f t="shared" si="4"/>
        <v>2</v>
      </c>
      <c r="O9" s="6">
        <f t="shared" si="5"/>
        <v>3</v>
      </c>
      <c r="P9" s="38" t="str">
        <f t="shared" si="6"/>
        <v/>
      </c>
      <c r="Q9" s="28">
        <f t="shared" si="7"/>
        <v>3</v>
      </c>
      <c r="R9" s="48">
        <f t="shared" si="8"/>
        <v>468334.78129999997</v>
      </c>
      <c r="S9" s="48">
        <f t="shared" si="9"/>
        <v>7615805.25</v>
      </c>
      <c r="T9" s="29"/>
      <c r="U9" s="30"/>
      <c r="V9" s="48">
        <f t="shared" si="10"/>
        <v>937</v>
      </c>
      <c r="W9" s="25">
        <f t="shared" si="11"/>
        <v>4162.5</v>
      </c>
      <c r="X9" s="25">
        <f t="shared" si="12"/>
        <v>7875</v>
      </c>
      <c r="Y9" s="63">
        <f t="shared" si="13"/>
        <v>2</v>
      </c>
      <c r="Z9" s="27">
        <f t="shared" si="26"/>
        <v>24</v>
      </c>
      <c r="AA9" s="39">
        <f>IF(Z9&lt;0,MAX(AA$6:AA8)+1,0)</f>
        <v>0</v>
      </c>
      <c r="AB9" s="39">
        <f t="shared" si="14"/>
        <v>1</v>
      </c>
      <c r="AC9" s="39">
        <f t="shared" si="27"/>
        <v>3</v>
      </c>
      <c r="AD9" s="19"/>
      <c r="AE9" s="90">
        <v>0</v>
      </c>
      <c r="AF9" s="90">
        <v>0</v>
      </c>
      <c r="AG9" s="39">
        <f t="shared" si="15"/>
        <v>1</v>
      </c>
      <c r="AH9" s="39">
        <f t="shared" si="16"/>
        <v>3</v>
      </c>
      <c r="AI9" s="16"/>
      <c r="AJ9" s="40">
        <f t="shared" ref="AJ9:AP9" si="29">IF(ISNUMBER(AJ42),INDEX($R$7:$S$42,AJ42,AJ$4),AJ8)</f>
        <v>468334.78129999997</v>
      </c>
      <c r="AK9" s="40">
        <f t="shared" si="29"/>
        <v>468834.78129999997</v>
      </c>
      <c r="AL9" s="40">
        <f t="shared" si="29"/>
        <v>467797.28129999997</v>
      </c>
      <c r="AM9" s="40">
        <f t="shared" si="29"/>
        <v>466597.28129999997</v>
      </c>
      <c r="AN9" s="40">
        <f t="shared" si="29"/>
        <v>465284.78129999997</v>
      </c>
      <c r="AO9" s="40">
        <f t="shared" si="29"/>
        <v>466097.28129999997</v>
      </c>
      <c r="AP9" s="40">
        <f t="shared" si="29"/>
        <v>464172.28129999997</v>
      </c>
      <c r="AQ9" s="40" t="str">
        <f t="shared" si="18"/>
        <v>x</v>
      </c>
      <c r="AR9" s="40" t="str">
        <f t="shared" si="19"/>
        <v>x</v>
      </c>
      <c r="AS9" s="40" t="str">
        <f t="shared" si="20"/>
        <v>x</v>
      </c>
      <c r="AT9" s="91">
        <f t="shared" si="21"/>
        <v>95</v>
      </c>
      <c r="AU9" s="39">
        <v>2</v>
      </c>
      <c r="AV9" s="39">
        <v>0</v>
      </c>
      <c r="AW9" s="114">
        <v>468334.78129999997</v>
      </c>
      <c r="AX9" s="114">
        <v>7615805.25</v>
      </c>
      <c r="AY9" s="39">
        <v>6000</v>
      </c>
      <c r="AZ9" s="39">
        <v>12</v>
      </c>
      <c r="BA9" s="121">
        <v>8.6767896000000005E-4</v>
      </c>
      <c r="BB9" s="114">
        <v>937</v>
      </c>
      <c r="BC9" s="122">
        <f t="shared" ref="BC9:BC35" si="30">BC8</f>
        <v>3</v>
      </c>
      <c r="BD9" s="121">
        <v>3.0000000000000001E-5</v>
      </c>
      <c r="BE9" s="121">
        <v>2.9999999999999898E-2</v>
      </c>
      <c r="BF9" s="54">
        <f t="shared" ref="BF9:BF35" si="31">IF(COUNT(BJ9:BL9)=3,3,IF(OR(BN9&lt;0,BP9=$BP$7),1,2))+BH9</f>
        <v>2</v>
      </c>
      <c r="BG9" s="54">
        <v>1</v>
      </c>
      <c r="BH9" s="54">
        <v>0</v>
      </c>
      <c r="BI9" s="3"/>
      <c r="BJ9" s="39">
        <v>2</v>
      </c>
      <c r="BK9" s="54"/>
      <c r="BL9" s="54"/>
      <c r="BM9" s="40">
        <f t="shared" ref="BM9:BM35" si="32">BM8+1</f>
        <v>1</v>
      </c>
      <c r="BN9" s="54"/>
      <c r="BO9" s="54"/>
      <c r="BP9" s="40">
        <f>BP8-1</f>
        <v>-3</v>
      </c>
      <c r="BQ9" s="72"/>
      <c r="BR9" s="72"/>
      <c r="BS9" s="59"/>
      <c r="BT9" s="110">
        <f t="shared" si="23"/>
        <v>2</v>
      </c>
      <c r="BU9" s="105">
        <f>IF(ISNUMBER(BN9),BN9,BM9)</f>
        <v>1</v>
      </c>
      <c r="BV9" s="105">
        <f>IF(ISNUMBER(BQ9),IF(ISNUMBER(BR9),BR9,BQ9),IF(BP9=$BP$7,"",BP9))</f>
        <v>-3</v>
      </c>
      <c r="BW9" s="105" t="str">
        <f>IF(ISNUMBER(BR9),BQ9,"")</f>
        <v/>
      </c>
      <c r="BX9" s="4"/>
      <c r="BY9" s="110">
        <f>IF(ISNUMBER(BJ9),BJ9,"")</f>
        <v>2</v>
      </c>
      <c r="BZ9" s="54">
        <f>IF(ISNUMBER(BK9),_xlfn.CONCAT(BK9,",",BL9),BJ9)</f>
        <v>2</v>
      </c>
      <c r="CA9" s="54">
        <f>IF(ISNUMBER(BN9),_xlfn.CONCAT(BN9,",",BO9),IF(OR(BM9=$BM$7,ISNUMBER(BM9)),BM9,""))</f>
        <v>1</v>
      </c>
      <c r="CB9" s="72">
        <f>IF(ISNUMBER(BQ9),_xlfn.CONCAT(BQ9,",",BR9),IF(OR(ISNUMBER(BP9),BP9=$BP$7),BP9,""))</f>
        <v>-3</v>
      </c>
      <c r="CC9" s="40" t="str">
        <f>_xlfn.CONCAT(AB9,AC9)</f>
        <v>13</v>
      </c>
      <c r="CD9" s="40" t="str">
        <f>_xlfn.CONCAT(AG9,AH9)</f>
        <v>13</v>
      </c>
      <c r="CE9" s="119">
        <f t="shared" si="24"/>
        <v>2</v>
      </c>
      <c r="CF9" s="3"/>
      <c r="CG9" s="3"/>
      <c r="CH9" s="51" t="s">
        <v>97</v>
      </c>
      <c r="CI9" s="51"/>
      <c r="CJ9" s="81">
        <v>1</v>
      </c>
      <c r="CK9" s="129" t="s">
        <v>82</v>
      </c>
      <c r="CL9" s="90"/>
      <c r="CM9" s="65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spans="1:103" ht="11.1" customHeight="1" x14ac:dyDescent="0.25">
      <c r="A10" s="3"/>
      <c r="B10" s="3"/>
      <c r="C10" s="3"/>
      <c r="D10" s="3"/>
      <c r="E10" s="3"/>
      <c r="F10" s="101">
        <v>4</v>
      </c>
      <c r="G10" s="101">
        <v>3</v>
      </c>
      <c r="H10" s="29" t="s">
        <v>30</v>
      </c>
      <c r="I10" s="30" t="s">
        <v>43</v>
      </c>
      <c r="J10" s="30">
        <v>1077.4079999999899</v>
      </c>
      <c r="K10" s="14"/>
      <c r="L10" s="27">
        <f t="shared" si="25"/>
        <v>852.29469668653928</v>
      </c>
      <c r="M10" s="14"/>
      <c r="N10" s="61">
        <f t="shared" si="4"/>
        <v>3</v>
      </c>
      <c r="O10" s="6">
        <f t="shared" si="5"/>
        <v>4</v>
      </c>
      <c r="P10" s="38" t="str">
        <f t="shared" si="6"/>
        <v/>
      </c>
      <c r="Q10" s="28">
        <f t="shared" si="7"/>
        <v>4</v>
      </c>
      <c r="R10" s="48">
        <f t="shared" si="8"/>
        <v>468397.28129999997</v>
      </c>
      <c r="S10" s="48">
        <f t="shared" si="9"/>
        <v>7614955.25</v>
      </c>
      <c r="T10" s="29"/>
      <c r="U10" s="30"/>
      <c r="V10" s="48">
        <f t="shared" si="10"/>
        <v>903</v>
      </c>
      <c r="W10" s="25">
        <f t="shared" si="11"/>
        <v>4225</v>
      </c>
      <c r="X10" s="25">
        <f t="shared" si="12"/>
        <v>7025</v>
      </c>
      <c r="Y10" s="63">
        <f t="shared" si="13"/>
        <v>3</v>
      </c>
      <c r="Z10" s="27">
        <f t="shared" si="26"/>
        <v>34</v>
      </c>
      <c r="AA10" s="39">
        <f>IF(Z10&lt;0,MAX(AA$6:AA9)+1,0)</f>
        <v>0</v>
      </c>
      <c r="AB10" s="39">
        <f t="shared" si="14"/>
        <v>1</v>
      </c>
      <c r="AC10" s="39">
        <f t="shared" si="27"/>
        <v>4</v>
      </c>
      <c r="AD10" s="19"/>
      <c r="AE10" s="90">
        <v>0</v>
      </c>
      <c r="AF10" s="90">
        <v>0</v>
      </c>
      <c r="AG10" s="39">
        <f t="shared" si="15"/>
        <v>1</v>
      </c>
      <c r="AH10" s="39">
        <f t="shared" si="16"/>
        <v>4</v>
      </c>
      <c r="AI10" s="16"/>
      <c r="AJ10" s="40">
        <f t="shared" ref="AJ10:AP10" si="33">IF(ISNUMBER(AJ43),INDEX($R$7:$S$42,AJ43,AJ$4),AJ9)</f>
        <v>468397.28129999997</v>
      </c>
      <c r="AK10" s="40">
        <f t="shared" si="33"/>
        <v>468047.28129999997</v>
      </c>
      <c r="AL10" s="40">
        <f t="shared" si="33"/>
        <v>467172.28129999997</v>
      </c>
      <c r="AM10" s="40">
        <f t="shared" si="33"/>
        <v>465672.28129999997</v>
      </c>
      <c r="AN10" s="40">
        <f t="shared" si="33"/>
        <v>464384.78129999997</v>
      </c>
      <c r="AO10" s="40">
        <f t="shared" si="33"/>
        <v>465534.78129999997</v>
      </c>
      <c r="AP10" s="40">
        <f t="shared" si="33"/>
        <v>464172.28129999997</v>
      </c>
      <c r="AQ10" s="40" t="str">
        <f t="shared" si="18"/>
        <v>x</v>
      </c>
      <c r="AR10" s="40" t="str">
        <f t="shared" si="19"/>
        <v>x</v>
      </c>
      <c r="AS10" s="40" t="str">
        <f t="shared" si="20"/>
        <v>x</v>
      </c>
      <c r="AT10" s="91">
        <f t="shared" si="21"/>
        <v>61</v>
      </c>
      <c r="AU10" s="39">
        <v>3</v>
      </c>
      <c r="AV10" s="39">
        <v>0</v>
      </c>
      <c r="AW10" s="114">
        <v>468397.28129999997</v>
      </c>
      <c r="AX10" s="114">
        <v>7614955.25</v>
      </c>
      <c r="AY10" s="39">
        <v>5550</v>
      </c>
      <c r="AZ10" s="39">
        <v>12</v>
      </c>
      <c r="BA10" s="121">
        <v>8.6767896000000005E-4</v>
      </c>
      <c r="BB10" s="114">
        <v>903</v>
      </c>
      <c r="BC10" s="122">
        <f t="shared" si="30"/>
        <v>3</v>
      </c>
      <c r="BD10" s="121">
        <v>3.0000000000000001E-5</v>
      </c>
      <c r="BE10" s="121">
        <v>2.9999999999999898E-2</v>
      </c>
      <c r="BF10" s="54">
        <f t="shared" si="31"/>
        <v>2</v>
      </c>
      <c r="BG10" s="54">
        <v>1</v>
      </c>
      <c r="BH10" s="54">
        <v>0</v>
      </c>
      <c r="BI10" s="3"/>
      <c r="BJ10" s="102">
        <f>BJ9+1</f>
        <v>3</v>
      </c>
      <c r="BK10" s="54"/>
      <c r="BL10" s="54"/>
      <c r="BM10" s="40">
        <f t="shared" si="32"/>
        <v>2</v>
      </c>
      <c r="BN10" s="54"/>
      <c r="BO10" s="54"/>
      <c r="BP10" s="40">
        <f>BP9-1</f>
        <v>-4</v>
      </c>
      <c r="BQ10" s="102">
        <f>BP10-3</f>
        <v>-7</v>
      </c>
      <c r="BR10" s="72"/>
      <c r="BS10" s="59"/>
      <c r="BT10" s="110">
        <f t="shared" si="23"/>
        <v>3</v>
      </c>
      <c r="BU10" s="105">
        <f>IF(ISNUMBER(BN10),BN10,BM10)</f>
        <v>2</v>
      </c>
      <c r="BV10" s="105">
        <f>IF(ISNUMBER(BQ10),IF(ISNUMBER(BR10),BR10,BQ10),IF(BP10=$BP$7,"",BP10))</f>
        <v>-7</v>
      </c>
      <c r="BW10" s="105" t="str">
        <f>IF(ISNUMBER(BR10),BQ10,"")</f>
        <v/>
      </c>
      <c r="BX10" s="4"/>
      <c r="BY10" s="110">
        <f>IF(ISNUMBER(BJ10),BJ10,"")</f>
        <v>3</v>
      </c>
      <c r="BZ10" s="54">
        <f>IF(ISNUMBER(BK10),_xlfn.CONCAT(BK10,",",BL10),BJ10)</f>
        <v>3</v>
      </c>
      <c r="CA10" s="54">
        <f>IF(ISNUMBER(BN10),_xlfn.CONCAT(BN10,",",BO10),IF(OR(BM10=$BM$7,ISNUMBER(BM10)),BM10,""))</f>
        <v>2</v>
      </c>
      <c r="CB10" s="72" t="str">
        <f>IF(ISNUMBER(BQ10),_xlfn.CONCAT(BQ10,",",BR10),IF(OR(ISNUMBER(BP10),BP10=$BP$7),BP10,""))</f>
        <v>-7,</v>
      </c>
      <c r="CC10" s="40" t="str">
        <f>_xlfn.CONCAT(AB10,AC10)</f>
        <v>14</v>
      </c>
      <c r="CD10" s="40" t="str">
        <f>_xlfn.CONCAT(AG10,AH10)</f>
        <v>14</v>
      </c>
      <c r="CE10" s="119">
        <f t="shared" si="24"/>
        <v>3</v>
      </c>
      <c r="CF10" s="3"/>
      <c r="CG10" s="3"/>
      <c r="CH10" s="136" t="s">
        <v>102</v>
      </c>
      <c r="CI10" s="39">
        <v>0</v>
      </c>
      <c r="CJ10" s="39">
        <v>1</v>
      </c>
      <c r="CK10" s="39">
        <v>2</v>
      </c>
      <c r="CL10" s="90"/>
      <c r="CM10" s="65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spans="1:103" ht="11.1" customHeight="1" x14ac:dyDescent="0.25">
      <c r="A11" s="3"/>
      <c r="B11" s="3"/>
      <c r="C11" s="3"/>
      <c r="D11" s="3"/>
      <c r="E11" s="3"/>
      <c r="F11" s="101">
        <v>5</v>
      </c>
      <c r="G11" s="101">
        <v>4</v>
      </c>
      <c r="H11" s="29" t="s">
        <v>29</v>
      </c>
      <c r="I11" s="30" t="s">
        <v>44</v>
      </c>
      <c r="J11" s="30">
        <v>1071.93399999999</v>
      </c>
      <c r="K11" s="14"/>
      <c r="L11" s="27">
        <f t="shared" si="25"/>
        <v>2901.7774725157683</v>
      </c>
      <c r="M11" s="14"/>
      <c r="N11" s="61">
        <f t="shared" si="4"/>
        <v>4</v>
      </c>
      <c r="O11" s="6">
        <f t="shared" si="5"/>
        <v>5</v>
      </c>
      <c r="P11" s="38" t="str">
        <f t="shared" si="6"/>
        <v/>
      </c>
      <c r="Q11" s="28">
        <f t="shared" si="7"/>
        <v>5</v>
      </c>
      <c r="R11" s="48">
        <f t="shared" si="8"/>
        <v>471134.78129999997</v>
      </c>
      <c r="S11" s="48">
        <f t="shared" si="9"/>
        <v>7613992.75</v>
      </c>
      <c r="T11" s="29"/>
      <c r="U11" s="30"/>
      <c r="V11" s="48">
        <f t="shared" si="10"/>
        <v>1001</v>
      </c>
      <c r="W11" s="25">
        <f t="shared" si="11"/>
        <v>6962.5</v>
      </c>
      <c r="X11" s="25">
        <f t="shared" si="12"/>
        <v>6062.5</v>
      </c>
      <c r="Y11" s="63">
        <f t="shared" si="13"/>
        <v>4</v>
      </c>
      <c r="Z11" s="27">
        <f t="shared" si="26"/>
        <v>-98</v>
      </c>
      <c r="AA11" s="39">
        <f>IF(Z11&lt;0,MAX(AA$6:AA10)+1,0)</f>
        <v>2</v>
      </c>
      <c r="AB11" s="39">
        <f t="shared" si="14"/>
        <v>2</v>
      </c>
      <c r="AC11" s="39">
        <f t="shared" si="27"/>
        <v>1</v>
      </c>
      <c r="AD11" s="19"/>
      <c r="AE11" s="90">
        <v>0</v>
      </c>
      <c r="AF11" s="90">
        <v>0</v>
      </c>
      <c r="AG11" s="39">
        <f t="shared" si="15"/>
        <v>2</v>
      </c>
      <c r="AH11" s="39">
        <f t="shared" si="16"/>
        <v>1</v>
      </c>
      <c r="AI11" s="16"/>
      <c r="AJ11" s="40">
        <f t="shared" ref="AJ11:AP11" si="34">IF(ISNUMBER(AJ44),INDEX($R$7:$S$42,AJ44,AJ$4),AJ10)</f>
        <v>468397.28129999997</v>
      </c>
      <c r="AK11" s="40">
        <f t="shared" si="34"/>
        <v>468047.28129999997</v>
      </c>
      <c r="AL11" s="40">
        <f t="shared" si="34"/>
        <v>467172.28129999997</v>
      </c>
      <c r="AM11" s="40">
        <f t="shared" si="34"/>
        <v>465672.28129999997</v>
      </c>
      <c r="AN11" s="40">
        <f t="shared" si="34"/>
        <v>464297.28129999997</v>
      </c>
      <c r="AO11" s="40">
        <f t="shared" si="34"/>
        <v>464909.78129999997</v>
      </c>
      <c r="AP11" s="40">
        <f t="shared" si="34"/>
        <v>464172.28129999997</v>
      </c>
      <c r="AQ11" s="40" t="str">
        <f t="shared" si="18"/>
        <v>x</v>
      </c>
      <c r="AR11" s="40" t="str">
        <f t="shared" si="19"/>
        <v>x</v>
      </c>
      <c r="AS11" s="40" t="str">
        <f t="shared" si="20"/>
        <v>x</v>
      </c>
      <c r="AT11" s="91">
        <f t="shared" si="21"/>
        <v>159</v>
      </c>
      <c r="AU11" s="39">
        <v>4</v>
      </c>
      <c r="AV11" s="39">
        <v>0</v>
      </c>
      <c r="AW11" s="114">
        <v>471134.78129999997</v>
      </c>
      <c r="AX11" s="114">
        <v>7613992.75</v>
      </c>
      <c r="AY11" s="39">
        <v>6500</v>
      </c>
      <c r="AZ11" s="39">
        <v>12</v>
      </c>
      <c r="BA11" s="121">
        <v>9.4339624000000001E-4</v>
      </c>
      <c r="BB11" s="114">
        <v>1001</v>
      </c>
      <c r="BC11" s="122">
        <f t="shared" si="30"/>
        <v>3</v>
      </c>
      <c r="BD11" s="121">
        <v>3.0000000000000001E-5</v>
      </c>
      <c r="BE11" s="121">
        <v>2.9999999999999898E-2</v>
      </c>
      <c r="BF11" s="54">
        <f t="shared" si="31"/>
        <v>1</v>
      </c>
      <c r="BG11" s="54">
        <v>1</v>
      </c>
      <c r="BH11" s="54">
        <v>0</v>
      </c>
      <c r="BI11" s="3"/>
      <c r="BJ11" s="39">
        <v>4</v>
      </c>
      <c r="BK11" s="54"/>
      <c r="BL11" s="54"/>
      <c r="BM11" s="40">
        <f t="shared" si="32"/>
        <v>3</v>
      </c>
      <c r="BN11" s="107">
        <f>-1*(BM12+1)</f>
        <v>-5</v>
      </c>
      <c r="BO11" s="54"/>
      <c r="BP11" s="105" t="s">
        <v>87</v>
      </c>
      <c r="BQ11" s="72"/>
      <c r="BR11" s="72"/>
      <c r="BS11" s="59"/>
      <c r="BT11" s="110">
        <f t="shared" si="23"/>
        <v>4</v>
      </c>
      <c r="BU11" s="105">
        <f>IF(ISNUMBER(BN11),BN11,BM11)</f>
        <v>-5</v>
      </c>
      <c r="BV11" s="105" t="str">
        <f>IF(ISNUMBER(BQ11),IF(ISNUMBER(BR11),BR11,BQ11),IF(BP11=$BP$7,"",BP11))</f>
        <v/>
      </c>
      <c r="BW11" s="105" t="str">
        <f>IF(ISNUMBER(BR11),BQ11,"")</f>
        <v/>
      </c>
      <c r="BX11" s="4"/>
      <c r="BY11" s="110">
        <f>IF(ISNUMBER(BJ11),BJ11,"")</f>
        <v>4</v>
      </c>
      <c r="BZ11" s="54">
        <f>IF(ISNUMBER(BK11),_xlfn.CONCAT(BK11,",",BL11),BJ11)</f>
        <v>4</v>
      </c>
      <c r="CA11" s="54" t="str">
        <f>IF(ISNUMBER(BN11),_xlfn.CONCAT(BN11,",",BO11),IF(OR(BM11=$BM$7,ISNUMBER(BM11)),BM11,""))</f>
        <v>-5,</v>
      </c>
      <c r="CB11" s="72" t="str">
        <f>IF(ISNUMBER(BQ11),_xlfn.CONCAT(BQ11,",",BR11),IF(OR(ISNUMBER(BP11),BP11=$BP$7),BP11,""))</f>
        <v>|</v>
      </c>
      <c r="CC11" s="40" t="str">
        <f>_xlfn.CONCAT(AB11,AC11)</f>
        <v>21</v>
      </c>
      <c r="CD11" s="40" t="str">
        <f>_xlfn.CONCAT(AG11,AH11)</f>
        <v>21</v>
      </c>
      <c r="CE11" s="119">
        <f t="shared" si="24"/>
        <v>4</v>
      </c>
      <c r="CF11" s="3"/>
      <c r="CG11" s="3"/>
      <c r="CH11" s="39">
        <v>0</v>
      </c>
      <c r="CI11" s="130">
        <v>0</v>
      </c>
      <c r="CJ11" s="130" t="s">
        <v>98</v>
      </c>
      <c r="CK11" s="133">
        <v>25</v>
      </c>
      <c r="CL11" s="130" t="s">
        <v>70</v>
      </c>
      <c r="CM11" s="65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spans="1:103" ht="11.1" customHeight="1" x14ac:dyDescent="0.25">
      <c r="A12" s="3"/>
      <c r="B12" s="3"/>
      <c r="C12" s="3"/>
      <c r="D12" s="3"/>
      <c r="E12" s="3"/>
      <c r="F12" s="101">
        <v>6</v>
      </c>
      <c r="G12" s="101">
        <v>5</v>
      </c>
      <c r="H12" s="29" t="s">
        <v>28</v>
      </c>
      <c r="I12" s="30" t="s">
        <v>45</v>
      </c>
      <c r="J12" s="30">
        <v>1066.509</v>
      </c>
      <c r="K12" s="14"/>
      <c r="L12" s="27">
        <f t="shared" si="25"/>
        <v>1280.7468524263488</v>
      </c>
      <c r="M12" s="14"/>
      <c r="N12" s="61">
        <f t="shared" si="4"/>
        <v>5</v>
      </c>
      <c r="O12" s="6">
        <f t="shared" si="5"/>
        <v>6</v>
      </c>
      <c r="P12" s="38" t="str">
        <f t="shared" si="6"/>
        <v/>
      </c>
      <c r="Q12" s="28">
        <f t="shared" si="7"/>
        <v>6</v>
      </c>
      <c r="R12" s="48">
        <f t="shared" si="8"/>
        <v>469922.28129999997</v>
      </c>
      <c r="S12" s="48">
        <f t="shared" si="9"/>
        <v>7614405.25</v>
      </c>
      <c r="T12" s="29"/>
      <c r="U12" s="30"/>
      <c r="V12" s="48">
        <f t="shared" si="10"/>
        <v>976</v>
      </c>
      <c r="W12" s="25">
        <f t="shared" si="11"/>
        <v>5750</v>
      </c>
      <c r="X12" s="25">
        <f t="shared" si="12"/>
        <v>6475</v>
      </c>
      <c r="Y12" s="63">
        <f t="shared" si="13"/>
        <v>5</v>
      </c>
      <c r="Z12" s="27">
        <f t="shared" si="26"/>
        <v>25</v>
      </c>
      <c r="AA12" s="39">
        <f>IF(Z12&lt;0,MAX(AA$6:AA11)+1,0)</f>
        <v>0</v>
      </c>
      <c r="AB12" s="39">
        <f t="shared" si="14"/>
        <v>2</v>
      </c>
      <c r="AC12" s="39">
        <f t="shared" si="27"/>
        <v>2</v>
      </c>
      <c r="AD12" s="19"/>
      <c r="AE12" s="90">
        <v>0</v>
      </c>
      <c r="AF12" s="90">
        <v>0</v>
      </c>
      <c r="AG12" s="39">
        <f t="shared" si="15"/>
        <v>2</v>
      </c>
      <c r="AH12" s="39">
        <f t="shared" si="16"/>
        <v>2</v>
      </c>
      <c r="AI12" s="16"/>
      <c r="AJ12" s="40">
        <f t="shared" ref="AJ12:AP12" si="35">IF(ISNUMBER(AJ45),INDEX($R$7:$S$42,AJ45,AJ$4),AJ11)</f>
        <v>468397.28129999997</v>
      </c>
      <c r="AK12" s="40">
        <f t="shared" si="35"/>
        <v>468047.28129999997</v>
      </c>
      <c r="AL12" s="40">
        <f t="shared" si="35"/>
        <v>467172.28129999997</v>
      </c>
      <c r="AM12" s="40">
        <f t="shared" si="35"/>
        <v>465672.28129999997</v>
      </c>
      <c r="AN12" s="40">
        <f t="shared" si="35"/>
        <v>464784.78129999997</v>
      </c>
      <c r="AO12" s="40">
        <f t="shared" si="35"/>
        <v>464909.78129999997</v>
      </c>
      <c r="AP12" s="40">
        <f t="shared" si="35"/>
        <v>464172.28129999997</v>
      </c>
      <c r="AQ12" s="40" t="str">
        <f t="shared" si="18"/>
        <v>x</v>
      </c>
      <c r="AR12" s="40" t="str">
        <f t="shared" si="19"/>
        <v>x</v>
      </c>
      <c r="AS12" s="40" t="str">
        <f t="shared" si="20"/>
        <v>x</v>
      </c>
      <c r="AT12" s="91">
        <f t="shared" si="21"/>
        <v>134</v>
      </c>
      <c r="AU12" s="39">
        <v>5</v>
      </c>
      <c r="AV12" s="39">
        <v>0</v>
      </c>
      <c r="AW12" s="114">
        <v>469922.28129999997</v>
      </c>
      <c r="AX12" s="114">
        <v>7614405.25</v>
      </c>
      <c r="AY12" s="39">
        <v>5000</v>
      </c>
      <c r="AZ12" s="39">
        <v>12</v>
      </c>
      <c r="BA12" s="121">
        <v>9.4339624000000001E-4</v>
      </c>
      <c r="BB12" s="114">
        <v>976</v>
      </c>
      <c r="BC12" s="122">
        <f t="shared" si="30"/>
        <v>3</v>
      </c>
      <c r="BD12" s="121">
        <v>3.0000000000000001E-5</v>
      </c>
      <c r="BE12" s="121">
        <v>2.9999999999999898E-2</v>
      </c>
      <c r="BF12" s="54">
        <f t="shared" si="31"/>
        <v>2</v>
      </c>
      <c r="BG12" s="54">
        <v>1</v>
      </c>
      <c r="BH12" s="54">
        <v>0</v>
      </c>
      <c r="BI12" s="3"/>
      <c r="BJ12" s="39">
        <v>5</v>
      </c>
      <c r="BK12" s="54"/>
      <c r="BL12" s="54"/>
      <c r="BM12" s="40">
        <f t="shared" si="32"/>
        <v>4</v>
      </c>
      <c r="BN12" s="54"/>
      <c r="BO12" s="54"/>
      <c r="BP12" s="40">
        <f>BP10-2</f>
        <v>-6</v>
      </c>
      <c r="BQ12" s="72"/>
      <c r="BR12" s="72"/>
      <c r="BS12" s="59"/>
      <c r="BT12" s="110">
        <f t="shared" si="23"/>
        <v>5</v>
      </c>
      <c r="BU12" s="105">
        <f>IF(ISNUMBER(BN12),BN12,BM12)</f>
        <v>4</v>
      </c>
      <c r="BV12" s="105">
        <f>IF(ISNUMBER(BQ12),IF(ISNUMBER(BR12),BR12,BQ12),IF(BP12=$BP$7,"",BP12))</f>
        <v>-6</v>
      </c>
      <c r="BW12" s="105" t="str">
        <f>IF(ISNUMBER(BR12),BQ12,"")</f>
        <v/>
      </c>
      <c r="BX12" s="4"/>
      <c r="BY12" s="110">
        <f>IF(ISNUMBER(BJ12),BJ12,"")</f>
        <v>5</v>
      </c>
      <c r="BZ12" s="54">
        <f>IF(ISNUMBER(BK12),_xlfn.CONCAT(BK12,",",BL12),BJ12)</f>
        <v>5</v>
      </c>
      <c r="CA12" s="54">
        <f>IF(ISNUMBER(BN12),_xlfn.CONCAT(BN12,",",BO12),IF(OR(BM12=$BM$7,ISNUMBER(BM12)),BM12,""))</f>
        <v>4</v>
      </c>
      <c r="CB12" s="72">
        <f>IF(ISNUMBER(BQ12),_xlfn.CONCAT(BQ12,",",BR12),IF(OR(ISNUMBER(BP12),BP12=$BP$7),BP12,""))</f>
        <v>-6</v>
      </c>
      <c r="CC12" s="40" t="str">
        <f>_xlfn.CONCAT(AB12,AC12)</f>
        <v>22</v>
      </c>
      <c r="CD12" s="40" t="str">
        <f>_xlfn.CONCAT(AG12,AH12)</f>
        <v>22</v>
      </c>
      <c r="CE12" s="119">
        <f t="shared" si="24"/>
        <v>5</v>
      </c>
      <c r="CF12" s="3"/>
      <c r="CG12" s="3"/>
      <c r="CH12" s="39">
        <v>1</v>
      </c>
      <c r="CI12" s="130">
        <v>4</v>
      </c>
      <c r="CJ12" s="130" t="s">
        <v>98</v>
      </c>
      <c r="CK12" s="133">
        <v>10</v>
      </c>
      <c r="CL12" s="130" t="s">
        <v>70</v>
      </c>
      <c r="CM12" s="65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spans="1:103" ht="11.1" customHeight="1" x14ac:dyDescent="0.25">
      <c r="A13" s="3"/>
      <c r="B13" s="3"/>
      <c r="C13" s="3"/>
      <c r="D13" s="3"/>
      <c r="E13" s="3"/>
      <c r="F13" s="101">
        <v>6</v>
      </c>
      <c r="G13" s="101">
        <v>6</v>
      </c>
      <c r="H13" s="29" t="s">
        <v>27</v>
      </c>
      <c r="I13" s="30" t="s">
        <v>46</v>
      </c>
      <c r="J13" s="30">
        <v>1061.7919999999899</v>
      </c>
      <c r="K13" s="14"/>
      <c r="L13" s="27">
        <f t="shared" si="25"/>
        <v>1093.3034802834939</v>
      </c>
      <c r="M13" s="14"/>
      <c r="N13" s="61">
        <f t="shared" si="4"/>
        <v>6</v>
      </c>
      <c r="O13" s="6">
        <f t="shared" si="5"/>
        <v>7</v>
      </c>
      <c r="P13" s="38" t="str">
        <f t="shared" si="6"/>
        <v/>
      </c>
      <c r="Q13" s="28">
        <f t="shared" si="7"/>
        <v>7</v>
      </c>
      <c r="R13" s="48">
        <f t="shared" si="8"/>
        <v>468834.78129999997</v>
      </c>
      <c r="S13" s="48">
        <f t="shared" si="9"/>
        <v>7614292.75</v>
      </c>
      <c r="T13" s="29"/>
      <c r="U13" s="30"/>
      <c r="V13" s="48">
        <f t="shared" si="10"/>
        <v>907</v>
      </c>
      <c r="W13" s="25">
        <f t="shared" si="11"/>
        <v>4662.5</v>
      </c>
      <c r="X13" s="25">
        <f t="shared" si="12"/>
        <v>6362.5</v>
      </c>
      <c r="Y13" s="63">
        <f t="shared" si="13"/>
        <v>6</v>
      </c>
      <c r="Z13" s="27">
        <f t="shared" si="26"/>
        <v>69</v>
      </c>
      <c r="AA13" s="39">
        <f>IF(Z13&lt;0,MAX(AA$6:AA12)+1,0)</f>
        <v>0</v>
      </c>
      <c r="AB13" s="39">
        <f t="shared" si="14"/>
        <v>2</v>
      </c>
      <c r="AC13" s="39">
        <f t="shared" si="27"/>
        <v>3</v>
      </c>
      <c r="AD13" s="19"/>
      <c r="AE13" s="90">
        <v>0</v>
      </c>
      <c r="AF13" s="90">
        <v>0</v>
      </c>
      <c r="AG13" s="39">
        <f t="shared" si="15"/>
        <v>2</v>
      </c>
      <c r="AH13" s="39">
        <f t="shared" si="16"/>
        <v>3</v>
      </c>
      <c r="AI13" s="16"/>
      <c r="AJ13" s="40">
        <f t="shared" ref="AJ13:AP13" si="36">IF(ISNUMBER(AJ46),INDEX($R$7:$S$42,AJ46,AJ$4),AJ12)</f>
        <v>468397.28129999997</v>
      </c>
      <c r="AK13" s="40">
        <f t="shared" si="36"/>
        <v>468047.28129999997</v>
      </c>
      <c r="AL13" s="40">
        <f t="shared" si="36"/>
        <v>467172.28129999997</v>
      </c>
      <c r="AM13" s="40">
        <f t="shared" si="36"/>
        <v>465672.28129999997</v>
      </c>
      <c r="AN13" s="40">
        <f t="shared" si="36"/>
        <v>464784.78129999997</v>
      </c>
      <c r="AO13" s="40">
        <f t="shared" si="36"/>
        <v>464909.78129999997</v>
      </c>
      <c r="AP13" s="40">
        <f t="shared" si="36"/>
        <v>464172.28129999997</v>
      </c>
      <c r="AQ13" s="40" t="str">
        <f t="shared" si="18"/>
        <v>x</v>
      </c>
      <c r="AR13" s="40" t="str">
        <f t="shared" si="19"/>
        <v>x</v>
      </c>
      <c r="AS13" s="40" t="str">
        <f t="shared" si="20"/>
        <v>x</v>
      </c>
      <c r="AT13" s="91">
        <f t="shared" si="21"/>
        <v>65</v>
      </c>
      <c r="AU13" s="39">
        <v>6</v>
      </c>
      <c r="AV13" s="39">
        <v>0</v>
      </c>
      <c r="AW13" s="114">
        <v>468834.78129999997</v>
      </c>
      <c r="AX13" s="114">
        <v>7614292.75</v>
      </c>
      <c r="AY13" s="39">
        <v>5000</v>
      </c>
      <c r="AZ13" s="39">
        <v>12</v>
      </c>
      <c r="BA13" s="121">
        <v>9.4339624000000001E-4</v>
      </c>
      <c r="BB13" s="114">
        <v>907</v>
      </c>
      <c r="BC13" s="122">
        <f t="shared" si="30"/>
        <v>3</v>
      </c>
      <c r="BD13" s="121">
        <v>3.0000000000000001E-5</v>
      </c>
      <c r="BE13" s="121">
        <v>2.9999999999999898E-2</v>
      </c>
      <c r="BF13" s="54">
        <f t="shared" si="31"/>
        <v>2</v>
      </c>
      <c r="BG13" s="54">
        <v>1</v>
      </c>
      <c r="BH13" s="54">
        <v>0</v>
      </c>
      <c r="BI13" s="3"/>
      <c r="BJ13" s="96">
        <f t="shared" ref="BJ13:BJ18" si="37">BJ12+1</f>
        <v>6</v>
      </c>
      <c r="BK13" s="54"/>
      <c r="BL13" s="54"/>
      <c r="BM13" s="40">
        <f t="shared" si="32"/>
        <v>5</v>
      </c>
      <c r="BN13" s="54"/>
      <c r="BO13" s="54"/>
      <c r="BP13" s="40">
        <f>BP12-1</f>
        <v>-7</v>
      </c>
      <c r="BQ13" s="72"/>
      <c r="BR13" s="72"/>
      <c r="BS13" s="59"/>
      <c r="BT13" s="110">
        <f t="shared" si="23"/>
        <v>6</v>
      </c>
      <c r="BU13" s="105">
        <f>IF(ISNUMBER(BN13),BN13,BM13)</f>
        <v>5</v>
      </c>
      <c r="BV13" s="105">
        <f>IF(ISNUMBER(BQ13),IF(ISNUMBER(BR13),BR13,BQ13),IF(BP13=$BP$7,"",BP13))</f>
        <v>-7</v>
      </c>
      <c r="BW13" s="105" t="str">
        <f>IF(ISNUMBER(BR13),BQ13,"")</f>
        <v/>
      </c>
      <c r="BX13" s="4"/>
      <c r="BY13" s="110">
        <f>IF(ISNUMBER(BJ13),BJ13,"")</f>
        <v>6</v>
      </c>
      <c r="BZ13" s="54">
        <f>IF(ISNUMBER(BK13),_xlfn.CONCAT(BK13,",",BL13),BJ13)</f>
        <v>6</v>
      </c>
      <c r="CA13" s="54">
        <f>IF(ISNUMBER(BN13),_xlfn.CONCAT(BN13,",",BO13),IF(OR(BM13=$BM$7,ISNUMBER(BM13)),BM13,""))</f>
        <v>5</v>
      </c>
      <c r="CB13" s="72">
        <f>IF(ISNUMBER(BQ13),_xlfn.CONCAT(BQ13,",",BR13),IF(OR(ISNUMBER(BP13),BP13=$BP$7),BP13,""))</f>
        <v>-7</v>
      </c>
      <c r="CC13" s="40" t="str">
        <f>_xlfn.CONCAT(AB13,AC13)</f>
        <v>23</v>
      </c>
      <c r="CD13" s="40" t="str">
        <f>_xlfn.CONCAT(AG13,AH13)</f>
        <v>23</v>
      </c>
      <c r="CE13" s="119">
        <f t="shared" si="24"/>
        <v>6</v>
      </c>
      <c r="CF13" s="3"/>
      <c r="CG13" s="3"/>
      <c r="CH13" s="39">
        <v>2</v>
      </c>
      <c r="CI13" s="130">
        <v>8</v>
      </c>
      <c r="CJ13" s="130" t="s">
        <v>98</v>
      </c>
      <c r="CK13" s="133">
        <v>150</v>
      </c>
      <c r="CL13" s="130" t="s">
        <v>70</v>
      </c>
      <c r="CM13" s="90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spans="1:103" ht="11.1" customHeight="1" x14ac:dyDescent="0.25">
      <c r="A14" s="3"/>
      <c r="B14" s="3"/>
      <c r="C14" s="3"/>
      <c r="D14" s="3"/>
      <c r="E14" s="3"/>
      <c r="F14" s="101">
        <v>6</v>
      </c>
      <c r="G14" s="101">
        <v>7</v>
      </c>
      <c r="H14" s="29" t="s">
        <v>25</v>
      </c>
      <c r="I14" s="30" t="s">
        <v>47</v>
      </c>
      <c r="J14" s="30">
        <v>1057.075</v>
      </c>
      <c r="K14" s="14"/>
      <c r="L14" s="27">
        <f t="shared" si="25"/>
        <v>795.49512883486591</v>
      </c>
      <c r="M14" s="14"/>
      <c r="N14" s="61">
        <f t="shared" si="4"/>
        <v>7</v>
      </c>
      <c r="O14" s="6">
        <f t="shared" si="5"/>
        <v>8</v>
      </c>
      <c r="P14" s="38" t="str">
        <f t="shared" si="6"/>
        <v/>
      </c>
      <c r="Q14" s="28">
        <f t="shared" si="7"/>
        <v>8</v>
      </c>
      <c r="R14" s="48">
        <f t="shared" si="8"/>
        <v>468047.28129999997</v>
      </c>
      <c r="S14" s="48">
        <f t="shared" si="9"/>
        <v>7614180.25</v>
      </c>
      <c r="T14" s="29"/>
      <c r="U14" s="30"/>
      <c r="V14" s="48">
        <f t="shared" si="10"/>
        <v>889</v>
      </c>
      <c r="W14" s="25">
        <f t="shared" si="11"/>
        <v>3875</v>
      </c>
      <c r="X14" s="25">
        <f t="shared" si="12"/>
        <v>6250</v>
      </c>
      <c r="Y14" s="63">
        <f t="shared" si="13"/>
        <v>7</v>
      </c>
      <c r="Z14" s="27">
        <f t="shared" si="26"/>
        <v>18</v>
      </c>
      <c r="AA14" s="39">
        <f>IF(Z14&lt;0,MAX(AA$6:AA13)+1,0)</f>
        <v>0</v>
      </c>
      <c r="AB14" s="39">
        <f t="shared" si="14"/>
        <v>2</v>
      </c>
      <c r="AC14" s="39">
        <f t="shared" si="27"/>
        <v>4</v>
      </c>
      <c r="AD14" s="19"/>
      <c r="AE14" s="90">
        <v>0</v>
      </c>
      <c r="AF14" s="90">
        <v>0</v>
      </c>
      <c r="AG14" s="39">
        <f t="shared" si="15"/>
        <v>2</v>
      </c>
      <c r="AH14" s="39">
        <f t="shared" si="16"/>
        <v>4</v>
      </c>
      <c r="AI14" s="16"/>
      <c r="AJ14" s="40">
        <f t="shared" ref="AJ14:AP14" si="38">IF(ISNUMBER(AJ47),INDEX($R$7:$S$42,AJ47,AJ$4),AJ13)</f>
        <v>468397.28129999997</v>
      </c>
      <c r="AK14" s="40">
        <f t="shared" si="38"/>
        <v>468047.28129999997</v>
      </c>
      <c r="AL14" s="40">
        <f t="shared" si="38"/>
        <v>467172.28129999997</v>
      </c>
      <c r="AM14" s="40">
        <f t="shared" si="38"/>
        <v>465672.28129999997</v>
      </c>
      <c r="AN14" s="40">
        <f t="shared" si="38"/>
        <v>464784.78129999997</v>
      </c>
      <c r="AO14" s="40">
        <f t="shared" si="38"/>
        <v>464909.78129999997</v>
      </c>
      <c r="AP14" s="40">
        <f t="shared" si="38"/>
        <v>464172.28129999997</v>
      </c>
      <c r="AQ14" s="40" t="str">
        <f t="shared" si="18"/>
        <v>x</v>
      </c>
      <c r="AR14" s="40" t="str">
        <f t="shared" si="19"/>
        <v>x</v>
      </c>
      <c r="AS14" s="40" t="str">
        <f t="shared" si="20"/>
        <v>x</v>
      </c>
      <c r="AT14" s="91">
        <f t="shared" si="21"/>
        <v>47</v>
      </c>
      <c r="AU14" s="39">
        <v>7</v>
      </c>
      <c r="AV14" s="39">
        <v>0</v>
      </c>
      <c r="AW14" s="114">
        <v>468047.28129999997</v>
      </c>
      <c r="AX14" s="114">
        <v>7614180.25</v>
      </c>
      <c r="AY14" s="39">
        <v>5000</v>
      </c>
      <c r="AZ14" s="39">
        <v>12</v>
      </c>
      <c r="BA14" s="121">
        <v>9.4339624000000001E-4</v>
      </c>
      <c r="BB14" s="114">
        <v>889</v>
      </c>
      <c r="BC14" s="122">
        <f t="shared" si="30"/>
        <v>3</v>
      </c>
      <c r="BD14" s="121">
        <v>3.0000000000000001E-5</v>
      </c>
      <c r="BE14" s="121">
        <v>2.9999999999999898E-2</v>
      </c>
      <c r="BF14" s="54">
        <f t="shared" si="31"/>
        <v>3</v>
      </c>
      <c r="BG14" s="54">
        <v>1</v>
      </c>
      <c r="BH14" s="54">
        <v>0</v>
      </c>
      <c r="BI14" s="102">
        <f>BJ14</f>
        <v>7</v>
      </c>
      <c r="BJ14" s="103">
        <f t="shared" si="37"/>
        <v>7</v>
      </c>
      <c r="BK14" s="102">
        <f>BJ10</f>
        <v>3</v>
      </c>
      <c r="BL14" s="106">
        <f>BJ13</f>
        <v>6</v>
      </c>
      <c r="BM14" s="40">
        <f t="shared" si="32"/>
        <v>6</v>
      </c>
      <c r="BN14" s="102">
        <f>BM10</f>
        <v>2</v>
      </c>
      <c r="BO14" s="106">
        <f>BM13</f>
        <v>5</v>
      </c>
      <c r="BP14" s="40">
        <f>BP13-1</f>
        <v>-8</v>
      </c>
      <c r="BQ14" s="118">
        <f>BP14-2</f>
        <v>-10</v>
      </c>
      <c r="BR14" s="106">
        <f>(BQ14+2)*-1</f>
        <v>8</v>
      </c>
      <c r="BS14" s="59"/>
      <c r="BT14" s="110">
        <f t="shared" si="23"/>
        <v>7</v>
      </c>
      <c r="BU14" s="105">
        <f>IF(ISNUMBER(BN14),BN14,BM14)</f>
        <v>2</v>
      </c>
      <c r="BV14" s="105">
        <f>IF(ISNUMBER(BQ14),IF(ISNUMBER(BR14),BR14,BQ14),IF(BP14=$BP$7,"",BP14))</f>
        <v>8</v>
      </c>
      <c r="BW14" s="105">
        <f>IF(ISNUMBER(BR14),BQ14,"")</f>
        <v>-10</v>
      </c>
      <c r="BX14" s="4"/>
      <c r="BY14" s="110">
        <f>IF(ISNUMBER(BJ14),BJ14,"")</f>
        <v>7</v>
      </c>
      <c r="BZ14" s="54" t="str">
        <f>IF(ISNUMBER(BK14),_xlfn.CONCAT(BK14,",",BL14),BJ14)</f>
        <v>3,6</v>
      </c>
      <c r="CA14" s="54" t="str">
        <f>IF(ISNUMBER(BN14),_xlfn.CONCAT(BN14,",",BO14),IF(OR(BM14=$BM$7,ISNUMBER(BM14)),BM14,""))</f>
        <v>2,5</v>
      </c>
      <c r="CB14" s="72" t="str">
        <f>IF(ISNUMBER(BQ14),_xlfn.CONCAT(BQ14,",",BR14),IF(OR(ISNUMBER(BP14),BP14=$BP$7),BP14,""))</f>
        <v>-10,8</v>
      </c>
      <c r="CC14" s="40" t="str">
        <f>_xlfn.CONCAT(AB14,AC14)</f>
        <v>24</v>
      </c>
      <c r="CD14" s="40" t="str">
        <f>_xlfn.CONCAT(AG14,AH14)</f>
        <v>24</v>
      </c>
      <c r="CE14" s="119">
        <f t="shared" si="24"/>
        <v>7</v>
      </c>
      <c r="CF14" s="3"/>
      <c r="CG14" s="3"/>
      <c r="CH14" s="39">
        <v>3</v>
      </c>
      <c r="CI14" s="130">
        <v>12</v>
      </c>
      <c r="CJ14" s="130" t="s">
        <v>98</v>
      </c>
      <c r="CK14" s="133">
        <v>150</v>
      </c>
      <c r="CL14" s="130" t="s">
        <v>70</v>
      </c>
      <c r="CM14" s="90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ht="11.1" customHeight="1" x14ac:dyDescent="0.25">
      <c r="A15" s="3"/>
      <c r="B15" s="3"/>
      <c r="C15" s="3"/>
      <c r="D15" s="3"/>
      <c r="E15" s="3"/>
      <c r="F15" s="101">
        <v>6</v>
      </c>
      <c r="G15" s="101">
        <v>8</v>
      </c>
      <c r="H15" s="29" t="s">
        <v>24</v>
      </c>
      <c r="I15" s="30" t="s">
        <v>48</v>
      </c>
      <c r="J15" s="30">
        <v>1052.3589999999899</v>
      </c>
      <c r="K15" s="14"/>
      <c r="L15" s="27">
        <f t="shared" si="25"/>
        <v>2634.2100333876188</v>
      </c>
      <c r="M15" s="14"/>
      <c r="N15" s="61">
        <f t="shared" si="4"/>
        <v>8</v>
      </c>
      <c r="O15" s="6">
        <f t="shared" si="5"/>
        <v>9</v>
      </c>
      <c r="P15" s="38" t="str">
        <f t="shared" si="6"/>
        <v/>
      </c>
      <c r="Q15" s="28">
        <f t="shared" si="7"/>
        <v>9</v>
      </c>
      <c r="R15" s="48">
        <f t="shared" si="8"/>
        <v>469934.78129999997</v>
      </c>
      <c r="S15" s="48">
        <f t="shared" si="9"/>
        <v>7612342.75</v>
      </c>
      <c r="T15" s="29"/>
      <c r="U15" s="30"/>
      <c r="V15" s="48">
        <f t="shared" si="10"/>
        <v>969</v>
      </c>
      <c r="W15" s="25">
        <f t="shared" si="11"/>
        <v>5762.5</v>
      </c>
      <c r="X15" s="25">
        <f t="shared" si="12"/>
        <v>4412.5</v>
      </c>
      <c r="Y15" s="63">
        <f t="shared" si="13"/>
        <v>8</v>
      </c>
      <c r="Z15" s="27">
        <f t="shared" si="26"/>
        <v>-80</v>
      </c>
      <c r="AA15" s="39">
        <f>IF(Z15&lt;0,MAX(AA$6:AA14)+1,0)</f>
        <v>3</v>
      </c>
      <c r="AB15" s="39">
        <f t="shared" si="14"/>
        <v>3</v>
      </c>
      <c r="AC15" s="39">
        <f t="shared" si="27"/>
        <v>1</v>
      </c>
      <c r="AD15" s="19"/>
      <c r="AE15" s="90">
        <v>0</v>
      </c>
      <c r="AF15" s="90">
        <v>0</v>
      </c>
      <c r="AG15" s="39">
        <f t="shared" si="15"/>
        <v>3</v>
      </c>
      <c r="AH15" s="39">
        <f t="shared" si="16"/>
        <v>1</v>
      </c>
      <c r="AI15" s="16"/>
      <c r="AJ15" s="40">
        <f t="shared" ref="AJ15:AP15" si="39">IF(ISNUMBER(AJ48),INDEX($R$7:$S$42,AJ48,AJ$4),AJ14)</f>
        <v>468397.28129999997</v>
      </c>
      <c r="AK15" s="40">
        <f t="shared" si="39"/>
        <v>468047.28129999997</v>
      </c>
      <c r="AL15" s="40">
        <f t="shared" si="39"/>
        <v>467172.28129999997</v>
      </c>
      <c r="AM15" s="40">
        <f t="shared" si="39"/>
        <v>465672.28129999997</v>
      </c>
      <c r="AN15" s="40">
        <f t="shared" si="39"/>
        <v>464784.78129999997</v>
      </c>
      <c r="AO15" s="40">
        <f t="shared" si="39"/>
        <v>464909.78129999997</v>
      </c>
      <c r="AP15" s="40">
        <f t="shared" si="39"/>
        <v>464172.28129999997</v>
      </c>
      <c r="AQ15" s="40" t="str">
        <f t="shared" si="18"/>
        <v>x</v>
      </c>
      <c r="AR15" s="40" t="str">
        <f t="shared" si="19"/>
        <v>x</v>
      </c>
      <c r="AS15" s="40" t="str">
        <f t="shared" si="20"/>
        <v>x</v>
      </c>
      <c r="AT15" s="91">
        <f t="shared" si="21"/>
        <v>127</v>
      </c>
      <c r="AU15" s="39">
        <v>8</v>
      </c>
      <c r="AV15" s="39">
        <v>0</v>
      </c>
      <c r="AW15" s="114">
        <v>469934.78129999997</v>
      </c>
      <c r="AX15" s="114">
        <v>7612342.75</v>
      </c>
      <c r="AY15" s="39">
        <v>5000</v>
      </c>
      <c r="AZ15" s="39">
        <v>12</v>
      </c>
      <c r="BA15" s="121">
        <v>9.4339624000000001E-4</v>
      </c>
      <c r="BB15" s="114">
        <v>969</v>
      </c>
      <c r="BC15" s="122">
        <f t="shared" si="30"/>
        <v>3</v>
      </c>
      <c r="BD15" s="121">
        <v>3.0000000000000001E-5</v>
      </c>
      <c r="BE15" s="121">
        <v>2.9999999999999898E-2</v>
      </c>
      <c r="BF15" s="54">
        <f t="shared" si="31"/>
        <v>1</v>
      </c>
      <c r="BG15" s="54">
        <v>1</v>
      </c>
      <c r="BH15" s="54">
        <v>0</v>
      </c>
      <c r="BI15" s="3"/>
      <c r="BJ15" s="39">
        <f t="shared" si="37"/>
        <v>8</v>
      </c>
      <c r="BK15" s="54"/>
      <c r="BL15" s="54"/>
      <c r="BM15" s="40">
        <f t="shared" si="32"/>
        <v>7</v>
      </c>
      <c r="BN15" s="107">
        <f>-1*(BM16+1)</f>
        <v>-9</v>
      </c>
      <c r="BO15" s="54"/>
      <c r="BP15" s="105" t="s">
        <v>87</v>
      </c>
      <c r="BQ15" s="72"/>
      <c r="BR15" s="72"/>
      <c r="BS15" s="59"/>
      <c r="BT15" s="110">
        <f t="shared" si="23"/>
        <v>8</v>
      </c>
      <c r="BU15" s="105">
        <f>IF(ISNUMBER(BN15),BN15,BM15)</f>
        <v>-9</v>
      </c>
      <c r="BV15" s="105" t="str">
        <f>IF(ISNUMBER(BQ15),IF(ISNUMBER(BR15),BR15,BQ15),IF(BP15=$BP$7,"",BP15))</f>
        <v/>
      </c>
      <c r="BW15" s="105" t="str">
        <f>IF(ISNUMBER(BR15),BQ15,"")</f>
        <v/>
      </c>
      <c r="BX15" s="4"/>
      <c r="BY15" s="110">
        <f>IF(ISNUMBER(BJ15),BJ15,"")</f>
        <v>8</v>
      </c>
      <c r="BZ15" s="54">
        <f>IF(ISNUMBER(BK15),_xlfn.CONCAT(BK15,",",BL15),BJ15)</f>
        <v>8</v>
      </c>
      <c r="CA15" s="54" t="str">
        <f>IF(ISNUMBER(BN15),_xlfn.CONCAT(BN15,",",BO15),IF(OR(BM15=$BM$7,ISNUMBER(BM15)),BM15,""))</f>
        <v>-9,</v>
      </c>
      <c r="CB15" s="72" t="str">
        <f>IF(ISNUMBER(BQ15),_xlfn.CONCAT(BQ15,",",BR15),IF(OR(ISNUMBER(BP15),BP15=$BP$7),BP15,""))</f>
        <v>|</v>
      </c>
      <c r="CC15" s="40" t="str">
        <f>_xlfn.CONCAT(AB15,AC15)</f>
        <v>31</v>
      </c>
      <c r="CD15" s="40" t="str">
        <f>_xlfn.CONCAT(AG15,AH15)</f>
        <v>31</v>
      </c>
      <c r="CE15" s="119">
        <f t="shared" si="24"/>
        <v>8</v>
      </c>
      <c r="CF15" s="3"/>
      <c r="CG15" s="3"/>
      <c r="CH15" s="39">
        <v>4</v>
      </c>
      <c r="CI15" s="130">
        <v>16</v>
      </c>
      <c r="CJ15" s="130" t="s">
        <v>98</v>
      </c>
      <c r="CK15" s="133">
        <v>150</v>
      </c>
      <c r="CL15" s="130" t="s">
        <v>70</v>
      </c>
      <c r="CM15" s="90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spans="1:103" ht="11.1" customHeight="1" x14ac:dyDescent="0.25">
      <c r="A16" s="3"/>
      <c r="B16" s="3"/>
      <c r="C16" s="3"/>
      <c r="D16" s="3"/>
      <c r="E16" s="3"/>
      <c r="F16" s="101">
        <v>5</v>
      </c>
      <c r="G16" s="101">
        <v>3</v>
      </c>
      <c r="H16" s="29" t="s">
        <v>23</v>
      </c>
      <c r="I16" s="30" t="s">
        <v>49</v>
      </c>
      <c r="J16" s="30">
        <v>1073.63599999999</v>
      </c>
      <c r="K16" s="14"/>
      <c r="L16" s="27">
        <f t="shared" si="25"/>
        <v>1242.5402407970537</v>
      </c>
      <c r="M16" s="14"/>
      <c r="N16" s="61">
        <f t="shared" si="4"/>
        <v>9</v>
      </c>
      <c r="O16" s="6">
        <f t="shared" si="5"/>
        <v>10</v>
      </c>
      <c r="P16" s="38" t="str">
        <f t="shared" si="6"/>
        <v/>
      </c>
      <c r="Q16" s="28">
        <f t="shared" si="7"/>
        <v>10</v>
      </c>
      <c r="R16" s="48">
        <f t="shared" si="8"/>
        <v>468797.28129999997</v>
      </c>
      <c r="S16" s="48">
        <f t="shared" si="9"/>
        <v>7612842.75</v>
      </c>
      <c r="T16" s="29"/>
      <c r="U16" s="30"/>
      <c r="V16" s="48">
        <f t="shared" si="10"/>
        <v>911</v>
      </c>
      <c r="W16" s="25">
        <f t="shared" si="11"/>
        <v>4625</v>
      </c>
      <c r="X16" s="25">
        <f t="shared" si="12"/>
        <v>4912.5</v>
      </c>
      <c r="Y16" s="63">
        <f t="shared" si="13"/>
        <v>9</v>
      </c>
      <c r="Z16" s="27">
        <f t="shared" si="26"/>
        <v>58</v>
      </c>
      <c r="AA16" s="39">
        <f>IF(Z16&lt;0,MAX(AA$6:AA15)+1,0)</f>
        <v>0</v>
      </c>
      <c r="AB16" s="39">
        <f t="shared" si="14"/>
        <v>3</v>
      </c>
      <c r="AC16" s="39">
        <f t="shared" si="27"/>
        <v>2</v>
      </c>
      <c r="AD16" s="19"/>
      <c r="AE16" s="90">
        <v>0</v>
      </c>
      <c r="AF16" s="90">
        <v>0</v>
      </c>
      <c r="AG16" s="39">
        <f t="shared" si="15"/>
        <v>3</v>
      </c>
      <c r="AH16" s="39">
        <f t="shared" si="16"/>
        <v>2</v>
      </c>
      <c r="AI16" s="16"/>
      <c r="AJ16" s="40">
        <f t="shared" ref="AJ16:AP16" si="40">IF(ISNUMBER(AJ49),INDEX($R$7:$S$42,AJ49,AJ$4),AJ15)</f>
        <v>468397.28129999997</v>
      </c>
      <c r="AK16" s="40">
        <f t="shared" si="40"/>
        <v>468047.28129999997</v>
      </c>
      <c r="AL16" s="40">
        <f t="shared" si="40"/>
        <v>467172.28129999997</v>
      </c>
      <c r="AM16" s="40">
        <f t="shared" si="40"/>
        <v>465672.28129999997</v>
      </c>
      <c r="AN16" s="40">
        <f t="shared" si="40"/>
        <v>464784.78129999997</v>
      </c>
      <c r="AO16" s="40">
        <f t="shared" si="40"/>
        <v>464909.78129999997</v>
      </c>
      <c r="AP16" s="40">
        <f t="shared" si="40"/>
        <v>464172.28129999997</v>
      </c>
      <c r="AQ16" s="40" t="str">
        <f t="shared" si="18"/>
        <v>x</v>
      </c>
      <c r="AR16" s="40" t="str">
        <f t="shared" si="19"/>
        <v>x</v>
      </c>
      <c r="AS16" s="40" t="str">
        <f t="shared" si="20"/>
        <v>x</v>
      </c>
      <c r="AT16" s="91">
        <f t="shared" si="21"/>
        <v>69</v>
      </c>
      <c r="AU16" s="39">
        <v>9</v>
      </c>
      <c r="AV16" s="39">
        <v>0</v>
      </c>
      <c r="AW16" s="114">
        <v>468797.28129999997</v>
      </c>
      <c r="AX16" s="114">
        <v>7612842.75</v>
      </c>
      <c r="AY16" s="39">
        <v>5000</v>
      </c>
      <c r="AZ16" s="39">
        <v>10</v>
      </c>
      <c r="BA16" s="121">
        <v>5.4545456000000005E-4</v>
      </c>
      <c r="BB16" s="114">
        <v>911</v>
      </c>
      <c r="BC16" s="122">
        <f t="shared" si="30"/>
        <v>3</v>
      </c>
      <c r="BD16" s="121">
        <v>3.0000000000000001E-5</v>
      </c>
      <c r="BE16" s="121">
        <v>2.9999999999999898E-2</v>
      </c>
      <c r="BF16" s="54">
        <f t="shared" si="31"/>
        <v>2</v>
      </c>
      <c r="BG16" s="54">
        <v>1</v>
      </c>
      <c r="BH16" s="54">
        <v>0</v>
      </c>
      <c r="BI16" s="3"/>
      <c r="BJ16" s="96">
        <f t="shared" si="37"/>
        <v>9</v>
      </c>
      <c r="BK16" s="54"/>
      <c r="BL16" s="54"/>
      <c r="BM16" s="40">
        <f t="shared" si="32"/>
        <v>8</v>
      </c>
      <c r="BN16" s="54"/>
      <c r="BO16" s="54"/>
      <c r="BP16" s="40">
        <f>BP14-2</f>
        <v>-10</v>
      </c>
      <c r="BQ16" s="72"/>
      <c r="BR16" s="72"/>
      <c r="BS16" s="59"/>
      <c r="BT16" s="110">
        <f t="shared" si="23"/>
        <v>9</v>
      </c>
      <c r="BU16" s="105">
        <f>IF(ISNUMBER(BN16),BN16,BM16)</f>
        <v>8</v>
      </c>
      <c r="BV16" s="105">
        <f>IF(ISNUMBER(BQ16),IF(ISNUMBER(BR16),BR16,BQ16),IF(BP16=$BP$7,"",BP16))</f>
        <v>-10</v>
      </c>
      <c r="BW16" s="105" t="str">
        <f>IF(ISNUMBER(BR16),BQ16,"")</f>
        <v/>
      </c>
      <c r="BX16" s="4"/>
      <c r="BY16" s="110">
        <f>IF(ISNUMBER(BJ16),BJ16,"")</f>
        <v>9</v>
      </c>
      <c r="BZ16" s="54">
        <f>IF(ISNUMBER(BK16),_xlfn.CONCAT(BK16,",",BL16),BJ16)</f>
        <v>9</v>
      </c>
      <c r="CA16" s="54">
        <f>IF(ISNUMBER(BN16),_xlfn.CONCAT(BN16,",",BO16),IF(OR(BM16=$BM$7,ISNUMBER(BM16)),BM16,""))</f>
        <v>8</v>
      </c>
      <c r="CB16" s="72">
        <f>IF(ISNUMBER(BQ16),_xlfn.CONCAT(BQ16,",",BR16),IF(OR(ISNUMBER(BP16),BP16=$BP$7),BP16,""))</f>
        <v>-10</v>
      </c>
      <c r="CC16" s="40" t="str">
        <f>_xlfn.CONCAT(AB16,AC16)</f>
        <v>32</v>
      </c>
      <c r="CD16" s="40" t="str">
        <f>_xlfn.CONCAT(AG16,AH16)</f>
        <v>32</v>
      </c>
      <c r="CE16" s="119">
        <f t="shared" si="24"/>
        <v>9</v>
      </c>
      <c r="CF16" s="3"/>
      <c r="CG16" s="3"/>
      <c r="CH16" s="39">
        <v>5</v>
      </c>
      <c r="CI16" s="130">
        <v>22</v>
      </c>
      <c r="CJ16" s="130" t="s">
        <v>98</v>
      </c>
      <c r="CK16" s="133">
        <v>150</v>
      </c>
      <c r="CL16" s="130" t="s">
        <v>70</v>
      </c>
      <c r="CM16" s="90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spans="1:103" ht="11.1" customHeight="1" x14ac:dyDescent="0.25">
      <c r="A17" s="3"/>
      <c r="B17" s="3"/>
      <c r="C17" s="3"/>
      <c r="D17" s="3"/>
      <c r="E17" s="3"/>
      <c r="F17" s="101">
        <v>6</v>
      </c>
      <c r="G17" s="101">
        <v>3</v>
      </c>
      <c r="H17" s="29" t="s">
        <v>22</v>
      </c>
      <c r="I17" s="30" t="s">
        <v>50</v>
      </c>
      <c r="J17" s="30">
        <v>1070.9090000000001</v>
      </c>
      <c r="K17" s="14"/>
      <c r="L17" s="27">
        <f t="shared" si="25"/>
        <v>1514.5647064420853</v>
      </c>
      <c r="M17" s="14"/>
      <c r="N17" s="61">
        <f t="shared" si="4"/>
        <v>10</v>
      </c>
      <c r="O17" s="6">
        <f t="shared" si="5"/>
        <v>11</v>
      </c>
      <c r="P17" s="38" t="str">
        <f t="shared" si="6"/>
        <v/>
      </c>
      <c r="Q17" s="28">
        <f t="shared" si="7"/>
        <v>11</v>
      </c>
      <c r="R17" s="48">
        <f t="shared" si="8"/>
        <v>467797.28129999997</v>
      </c>
      <c r="S17" s="48">
        <f t="shared" si="9"/>
        <v>7613980.25</v>
      </c>
      <c r="T17" s="29"/>
      <c r="U17" s="30"/>
      <c r="V17" s="48">
        <f t="shared" si="10"/>
        <v>888</v>
      </c>
      <c r="W17" s="25">
        <f t="shared" si="11"/>
        <v>3625</v>
      </c>
      <c r="X17" s="25">
        <f t="shared" si="12"/>
        <v>6050</v>
      </c>
      <c r="Y17" s="63">
        <f t="shared" si="13"/>
        <v>10</v>
      </c>
      <c r="Z17" s="27">
        <f t="shared" si="26"/>
        <v>23</v>
      </c>
      <c r="AA17" s="39">
        <f>IF(Z17&lt;0,MAX(AA$6:AA16)+1,0)</f>
        <v>0</v>
      </c>
      <c r="AB17" s="39">
        <f t="shared" si="14"/>
        <v>3</v>
      </c>
      <c r="AC17" s="39">
        <f t="shared" si="27"/>
        <v>3</v>
      </c>
      <c r="AD17" s="19"/>
      <c r="AE17" s="90">
        <v>1</v>
      </c>
      <c r="AF17" s="90">
        <v>-2</v>
      </c>
      <c r="AG17" s="39">
        <f t="shared" si="15"/>
        <v>4</v>
      </c>
      <c r="AH17" s="39">
        <f t="shared" si="16"/>
        <v>1</v>
      </c>
      <c r="AI17" s="16"/>
      <c r="AJ17" s="40">
        <f t="shared" ref="AJ17:AP17" si="41">IF(ISNUMBER(AJ50),INDEX($R$7:$S$42,AJ50,AJ$4),AJ16)</f>
        <v>468397.28129999997</v>
      </c>
      <c r="AK17" s="40">
        <f t="shared" si="41"/>
        <v>468047.28129999997</v>
      </c>
      <c r="AL17" s="40">
        <f t="shared" si="41"/>
        <v>467172.28129999997</v>
      </c>
      <c r="AM17" s="40">
        <f t="shared" si="41"/>
        <v>465672.28129999997</v>
      </c>
      <c r="AN17" s="40">
        <f t="shared" si="41"/>
        <v>464784.78129999997</v>
      </c>
      <c r="AO17" s="40">
        <f t="shared" si="41"/>
        <v>464909.78129999997</v>
      </c>
      <c r="AP17" s="40">
        <f t="shared" si="41"/>
        <v>464172.28129999997</v>
      </c>
      <c r="AQ17" s="40" t="str">
        <f t="shared" si="18"/>
        <v>x</v>
      </c>
      <c r="AR17" s="40" t="str">
        <f t="shared" si="19"/>
        <v>x</v>
      </c>
      <c r="AS17" s="40" t="str">
        <f t="shared" si="20"/>
        <v>x</v>
      </c>
      <c r="AT17" s="91">
        <f t="shared" si="21"/>
        <v>46</v>
      </c>
      <c r="AU17" s="39">
        <v>10</v>
      </c>
      <c r="AV17" s="39">
        <v>0</v>
      </c>
      <c r="AW17" s="114">
        <v>467797.28129999997</v>
      </c>
      <c r="AX17" s="114">
        <v>7613980.25</v>
      </c>
      <c r="AY17" s="39">
        <v>5000</v>
      </c>
      <c r="AZ17" s="39">
        <v>10</v>
      </c>
      <c r="BA17" s="121">
        <v>5.4545456000000005E-4</v>
      </c>
      <c r="BB17" s="114">
        <v>888</v>
      </c>
      <c r="BC17" s="122">
        <f t="shared" si="30"/>
        <v>3</v>
      </c>
      <c r="BD17" s="121">
        <v>3.0000000000000001E-5</v>
      </c>
      <c r="BE17" s="121">
        <v>2.9999999999999898E-2</v>
      </c>
      <c r="BF17" s="54">
        <f t="shared" si="31"/>
        <v>3</v>
      </c>
      <c r="BG17" s="54">
        <v>1</v>
      </c>
      <c r="BH17" s="54">
        <v>0</v>
      </c>
      <c r="BI17" s="3"/>
      <c r="BJ17" s="103">
        <f t="shared" si="37"/>
        <v>10</v>
      </c>
      <c r="BK17" s="102">
        <f>BJ14</f>
        <v>7</v>
      </c>
      <c r="BL17" s="106">
        <f>BJ16</f>
        <v>9</v>
      </c>
      <c r="BM17" s="40">
        <f t="shared" si="32"/>
        <v>9</v>
      </c>
      <c r="BN17" s="102">
        <f>BM14</f>
        <v>6</v>
      </c>
      <c r="BO17" s="106">
        <f>BM16</f>
        <v>8</v>
      </c>
      <c r="BP17" s="40">
        <f>BP16-1</f>
        <v>-11</v>
      </c>
      <c r="BQ17" s="118">
        <f>BP17</f>
        <v>-11</v>
      </c>
      <c r="BR17" s="106">
        <f>(BQ17+2)*-1</f>
        <v>9</v>
      </c>
      <c r="BS17" s="59"/>
      <c r="BT17" s="110">
        <f t="shared" si="23"/>
        <v>10</v>
      </c>
      <c r="BU17" s="105">
        <f>IF(ISNUMBER(BN17),BN17,BM17)</f>
        <v>6</v>
      </c>
      <c r="BV17" s="105">
        <f>IF(ISNUMBER(BQ17),IF(ISNUMBER(BR17),BR17,BQ17),IF(BP17=$BP$7,"",BP17))</f>
        <v>9</v>
      </c>
      <c r="BW17" s="105">
        <f>IF(ISNUMBER(BR17),BQ17,"")</f>
        <v>-11</v>
      </c>
      <c r="BX17" s="4"/>
      <c r="BY17" s="110">
        <f>IF(ISNUMBER(BJ17),BJ17,"")</f>
        <v>10</v>
      </c>
      <c r="BZ17" s="54" t="str">
        <f>IF(ISNUMBER(BK17),_xlfn.CONCAT(BK17,",",BL17),BJ17)</f>
        <v>7,9</v>
      </c>
      <c r="CA17" s="54" t="str">
        <f>IF(ISNUMBER(BN17),_xlfn.CONCAT(BN17,",",BO17),IF(OR(BM17=$BM$7,ISNUMBER(BM17)),BM17,""))</f>
        <v>6,8</v>
      </c>
      <c r="CB17" s="72" t="str">
        <f>IF(ISNUMBER(BQ17),_xlfn.CONCAT(BQ17,",",BR17),IF(OR(ISNUMBER(BP17),BP17=$BP$7),BP17,""))</f>
        <v>-11,9</v>
      </c>
      <c r="CC17" s="40" t="str">
        <f>_xlfn.CONCAT(AB17,AC17)</f>
        <v>33</v>
      </c>
      <c r="CD17" s="40" t="str">
        <f>_xlfn.CONCAT(AG17,AH17)</f>
        <v>41</v>
      </c>
      <c r="CE17" s="119">
        <f t="shared" si="24"/>
        <v>10</v>
      </c>
      <c r="CF17" s="3"/>
      <c r="CG17" s="3"/>
      <c r="CH17" s="39">
        <v>6</v>
      </c>
      <c r="CI17" s="131">
        <v>10</v>
      </c>
      <c r="CJ17" s="90" t="s">
        <v>99</v>
      </c>
      <c r="CK17" s="90" t="s">
        <v>100</v>
      </c>
      <c r="CL17" s="90"/>
      <c r="CM17" s="90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spans="1:103" ht="11.1" customHeight="1" x14ac:dyDescent="0.25">
      <c r="A18" s="3"/>
      <c r="B18" s="3"/>
      <c r="C18" s="3"/>
      <c r="D18" s="3"/>
      <c r="E18" s="3"/>
      <c r="F18" s="101">
        <v>7</v>
      </c>
      <c r="G18" s="101">
        <v>3</v>
      </c>
      <c r="H18" s="29" t="s">
        <v>21</v>
      </c>
      <c r="I18" s="30" t="s">
        <v>51</v>
      </c>
      <c r="J18" s="30">
        <v>1068.31799999999</v>
      </c>
      <c r="K18" s="14"/>
      <c r="L18" s="27">
        <f t="shared" si="25"/>
        <v>792.64194312438451</v>
      </c>
      <c r="M18" s="14"/>
      <c r="N18" s="61">
        <f t="shared" si="4"/>
        <v>11</v>
      </c>
      <c r="O18" s="6">
        <f t="shared" si="5"/>
        <v>12</v>
      </c>
      <c r="P18" s="38" t="str">
        <f t="shared" si="6"/>
        <v/>
      </c>
      <c r="Q18" s="28">
        <f t="shared" si="7"/>
        <v>12</v>
      </c>
      <c r="R18" s="48">
        <f t="shared" si="8"/>
        <v>467172.28129999997</v>
      </c>
      <c r="S18" s="48">
        <f t="shared" si="9"/>
        <v>7613492.75</v>
      </c>
      <c r="T18" s="29"/>
      <c r="U18" s="30"/>
      <c r="V18" s="48">
        <f t="shared" si="10"/>
        <v>880</v>
      </c>
      <c r="W18" s="25">
        <f t="shared" si="11"/>
        <v>3000</v>
      </c>
      <c r="X18" s="25">
        <f t="shared" si="12"/>
        <v>5562.5</v>
      </c>
      <c r="Y18" s="63">
        <f t="shared" si="13"/>
        <v>11</v>
      </c>
      <c r="Z18" s="27">
        <f t="shared" si="26"/>
        <v>8</v>
      </c>
      <c r="AA18" s="39">
        <f>IF(Z18&lt;0,MAX(AA$6:AA17)+1,0)</f>
        <v>0</v>
      </c>
      <c r="AB18" s="39">
        <f t="shared" si="14"/>
        <v>3</v>
      </c>
      <c r="AC18" s="39">
        <f t="shared" si="27"/>
        <v>4</v>
      </c>
      <c r="AD18" s="19"/>
      <c r="AE18" s="90">
        <v>1</v>
      </c>
      <c r="AF18" s="90">
        <v>-2</v>
      </c>
      <c r="AG18" s="39">
        <f t="shared" si="15"/>
        <v>4</v>
      </c>
      <c r="AH18" s="39">
        <f t="shared" si="16"/>
        <v>2</v>
      </c>
      <c r="AI18" s="16"/>
      <c r="AJ18" s="40">
        <f t="shared" ref="AJ18:AP18" si="42">IF(ISNUMBER(AJ51),INDEX($R$7:$S$42,AJ51,AJ$4),AJ17)</f>
        <v>468397.28129999997</v>
      </c>
      <c r="AK18" s="40">
        <f t="shared" si="42"/>
        <v>468047.28129999997</v>
      </c>
      <c r="AL18" s="40">
        <f t="shared" si="42"/>
        <v>467172.28129999997</v>
      </c>
      <c r="AM18" s="40">
        <f t="shared" si="42"/>
        <v>465672.28129999997</v>
      </c>
      <c r="AN18" s="40">
        <f t="shared" si="42"/>
        <v>464784.78129999997</v>
      </c>
      <c r="AO18" s="40">
        <f t="shared" si="42"/>
        <v>464909.78129999997</v>
      </c>
      <c r="AP18" s="40">
        <f t="shared" si="42"/>
        <v>464172.28129999997</v>
      </c>
      <c r="AQ18" s="40" t="str">
        <f t="shared" si="18"/>
        <v>x</v>
      </c>
      <c r="AR18" s="40" t="str">
        <f t="shared" si="19"/>
        <v>x</v>
      </c>
      <c r="AS18" s="40" t="str">
        <f t="shared" si="20"/>
        <v>x</v>
      </c>
      <c r="AT18" s="91">
        <f t="shared" si="21"/>
        <v>38</v>
      </c>
      <c r="AU18" s="39">
        <v>11</v>
      </c>
      <c r="AV18" s="39">
        <v>0</v>
      </c>
      <c r="AW18" s="114">
        <v>467172.28129999997</v>
      </c>
      <c r="AX18" s="114">
        <v>7613492.75</v>
      </c>
      <c r="AY18" s="39">
        <v>4500</v>
      </c>
      <c r="AZ18" s="39">
        <v>10</v>
      </c>
      <c r="BA18" s="121">
        <v>5.4545456000000005E-4</v>
      </c>
      <c r="BB18" s="114">
        <v>880</v>
      </c>
      <c r="BC18" s="122">
        <f t="shared" si="30"/>
        <v>3</v>
      </c>
      <c r="BD18" s="121">
        <v>3.0000000000000001E-5</v>
      </c>
      <c r="BE18" s="121">
        <v>2.9999999999999898E-2</v>
      </c>
      <c r="BF18" s="54">
        <f t="shared" si="31"/>
        <v>2</v>
      </c>
      <c r="BG18" s="54">
        <v>1</v>
      </c>
      <c r="BH18" s="54">
        <v>0</v>
      </c>
      <c r="BI18" s="3"/>
      <c r="BJ18" s="102">
        <f t="shared" si="37"/>
        <v>11</v>
      </c>
      <c r="BK18" s="54"/>
      <c r="BL18" s="54"/>
      <c r="BM18" s="40">
        <f t="shared" si="32"/>
        <v>10</v>
      </c>
      <c r="BN18" s="54"/>
      <c r="BO18" s="54"/>
      <c r="BP18" s="40">
        <f>BP17-1</f>
        <v>-12</v>
      </c>
      <c r="BQ18" s="102">
        <f>BP18-2</f>
        <v>-14</v>
      </c>
      <c r="BR18" s="72"/>
      <c r="BS18" s="59"/>
      <c r="BT18" s="110">
        <f t="shared" si="23"/>
        <v>11</v>
      </c>
      <c r="BU18" s="105">
        <f>IF(ISNUMBER(BN18),BN18,BM18)</f>
        <v>10</v>
      </c>
      <c r="BV18" s="105">
        <f>IF(ISNUMBER(BQ18),IF(ISNUMBER(BR18),BR18,BQ18),IF(BP18=$BP$7,"",BP18))</f>
        <v>-14</v>
      </c>
      <c r="BW18" s="105" t="str">
        <f>IF(ISNUMBER(BR18),BQ18,"")</f>
        <v/>
      </c>
      <c r="BX18" s="4"/>
      <c r="BY18" s="110">
        <f>IF(ISNUMBER(BJ18),BJ18,"")</f>
        <v>11</v>
      </c>
      <c r="BZ18" s="54">
        <f>IF(ISNUMBER(BK18),_xlfn.CONCAT(BK18,",",BL18),BJ18)</f>
        <v>11</v>
      </c>
      <c r="CA18" s="54">
        <f>IF(ISNUMBER(BN18),_xlfn.CONCAT(BN18,",",BO18),IF(OR(BM18=$BM$7,ISNUMBER(BM18)),BM18,""))</f>
        <v>10</v>
      </c>
      <c r="CB18" s="72" t="str">
        <f>IF(ISNUMBER(BQ18),_xlfn.CONCAT(BQ18,",",BR18),IF(OR(ISNUMBER(BP18),BP18=$BP$7),BP18,""))</f>
        <v>-14,</v>
      </c>
      <c r="CC18" s="40" t="str">
        <f>_xlfn.CONCAT(AB18,AC18)</f>
        <v>34</v>
      </c>
      <c r="CD18" s="40" t="str">
        <f>_xlfn.CONCAT(AG18,AH18)</f>
        <v>42</v>
      </c>
      <c r="CE18" s="119">
        <f t="shared" si="24"/>
        <v>11</v>
      </c>
      <c r="CF18" s="3"/>
      <c r="CG18" s="3"/>
      <c r="CH18" s="39">
        <v>7</v>
      </c>
      <c r="CI18" s="131">
        <v>7</v>
      </c>
      <c r="CJ18" s="90" t="s">
        <v>99</v>
      </c>
      <c r="CK18" s="90" t="s">
        <v>100</v>
      </c>
      <c r="CL18" s="90"/>
      <c r="CM18" s="90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ht="11.1" customHeight="1" x14ac:dyDescent="0.25">
      <c r="A19" s="3"/>
      <c r="B19" s="3"/>
      <c r="C19" s="3"/>
      <c r="D19" s="3"/>
      <c r="E19" s="3"/>
      <c r="F19" s="101">
        <v>8</v>
      </c>
      <c r="G19" s="101">
        <v>4</v>
      </c>
      <c r="H19" s="29" t="s">
        <v>20</v>
      </c>
      <c r="I19" s="30" t="s">
        <v>49</v>
      </c>
      <c r="J19" s="30">
        <v>1065.4549999999899</v>
      </c>
      <c r="K19" s="14"/>
      <c r="L19" s="27">
        <f t="shared" si="25"/>
        <v>2461.008431517454</v>
      </c>
      <c r="M19" s="14"/>
      <c r="N19" s="61">
        <f t="shared" si="4"/>
        <v>12</v>
      </c>
      <c r="O19" s="6">
        <f t="shared" si="5"/>
        <v>13</v>
      </c>
      <c r="P19" s="38" t="str">
        <f t="shared" si="6"/>
        <v/>
      </c>
      <c r="Q19" s="28">
        <f t="shared" si="7"/>
        <v>13</v>
      </c>
      <c r="R19" s="48">
        <f t="shared" si="8"/>
        <v>468434.78129999997</v>
      </c>
      <c r="S19" s="48">
        <f t="shared" si="9"/>
        <v>7611380.25</v>
      </c>
      <c r="T19" s="29"/>
      <c r="U19" s="30"/>
      <c r="V19" s="48">
        <f t="shared" si="10"/>
        <v>911</v>
      </c>
      <c r="W19" s="25">
        <f t="shared" si="11"/>
        <v>4262.5</v>
      </c>
      <c r="X19" s="25">
        <f t="shared" si="12"/>
        <v>3450</v>
      </c>
      <c r="Y19" s="63">
        <f t="shared" si="13"/>
        <v>12</v>
      </c>
      <c r="Z19" s="27">
        <f t="shared" si="26"/>
        <v>-31</v>
      </c>
      <c r="AA19" s="39">
        <f>IF(Z19&lt;0,MAX(AA$6:AA18)+1,0)</f>
        <v>4</v>
      </c>
      <c r="AB19" s="39">
        <f t="shared" si="14"/>
        <v>4</v>
      </c>
      <c r="AC19" s="39">
        <f t="shared" si="27"/>
        <v>1</v>
      </c>
      <c r="AD19" s="19"/>
      <c r="AE19" s="90">
        <v>1</v>
      </c>
      <c r="AF19" s="90">
        <v>0</v>
      </c>
      <c r="AG19" s="39">
        <f t="shared" si="15"/>
        <v>5</v>
      </c>
      <c r="AH19" s="39">
        <f t="shared" si="16"/>
        <v>1</v>
      </c>
      <c r="AI19" s="16"/>
      <c r="AJ19" s="40">
        <f t="shared" ref="AJ19:AP19" si="43">IF(ISNUMBER(AJ52),INDEX($R$7:$S$42,AJ52,AJ$4),AJ18)</f>
        <v>468397.28129999997</v>
      </c>
      <c r="AK19" s="40">
        <f t="shared" si="43"/>
        <v>468047.28129999997</v>
      </c>
      <c r="AL19" s="40">
        <f t="shared" si="43"/>
        <v>467172.28129999997</v>
      </c>
      <c r="AM19" s="40">
        <f t="shared" si="43"/>
        <v>465672.28129999997</v>
      </c>
      <c r="AN19" s="40">
        <f t="shared" si="43"/>
        <v>464784.78129999997</v>
      </c>
      <c r="AO19" s="40">
        <f t="shared" si="43"/>
        <v>464909.78129999997</v>
      </c>
      <c r="AP19" s="40">
        <f t="shared" si="43"/>
        <v>464172.28129999997</v>
      </c>
      <c r="AQ19" s="40" t="str">
        <f t="shared" si="18"/>
        <v>x</v>
      </c>
      <c r="AR19" s="40" t="str">
        <f t="shared" si="19"/>
        <v>x</v>
      </c>
      <c r="AS19" s="40" t="str">
        <f t="shared" si="20"/>
        <v>x</v>
      </c>
      <c r="AT19" s="91">
        <f t="shared" si="21"/>
        <v>69</v>
      </c>
      <c r="AU19" s="39">
        <v>12</v>
      </c>
      <c r="AV19" s="39">
        <v>0</v>
      </c>
      <c r="AW19" s="114">
        <v>468434.78129999997</v>
      </c>
      <c r="AX19" s="114">
        <v>7611380.25</v>
      </c>
      <c r="AY19" s="39">
        <v>6000</v>
      </c>
      <c r="AZ19" s="39">
        <v>10</v>
      </c>
      <c r="BA19" s="121">
        <v>5.4545456000000005E-4</v>
      </c>
      <c r="BB19" s="114">
        <v>911</v>
      </c>
      <c r="BC19" s="122">
        <f t="shared" si="30"/>
        <v>3</v>
      </c>
      <c r="BD19" s="121">
        <v>3.0000000000000001E-5</v>
      </c>
      <c r="BE19" s="121">
        <v>2.9999999999999898E-2</v>
      </c>
      <c r="BF19" s="54">
        <f t="shared" si="31"/>
        <v>1</v>
      </c>
      <c r="BG19" s="54">
        <v>1</v>
      </c>
      <c r="BH19" s="54">
        <v>0</v>
      </c>
      <c r="BI19" s="3"/>
      <c r="BJ19" s="39">
        <f t="shared" ref="BJ19:BJ35" si="44">BJ18+1</f>
        <v>12</v>
      </c>
      <c r="BK19" s="54"/>
      <c r="BL19" s="54"/>
      <c r="BM19" s="40">
        <f t="shared" si="32"/>
        <v>11</v>
      </c>
      <c r="BN19" s="107">
        <f>-1*(BM20+1)</f>
        <v>-13</v>
      </c>
      <c r="BO19" s="54"/>
      <c r="BP19" s="105" t="s">
        <v>87</v>
      </c>
      <c r="BQ19" s="72"/>
      <c r="BR19" s="72"/>
      <c r="BS19" s="59"/>
      <c r="BT19" s="110">
        <f t="shared" si="23"/>
        <v>12</v>
      </c>
      <c r="BU19" s="105">
        <f>IF(ISNUMBER(BN19),BN19,BM19)</f>
        <v>-13</v>
      </c>
      <c r="BV19" s="105" t="str">
        <f>IF(ISNUMBER(BQ19),IF(ISNUMBER(BR19),BR19,BQ19),IF(BP19=$BP$7,"",BP19))</f>
        <v/>
      </c>
      <c r="BW19" s="105" t="str">
        <f>IF(ISNUMBER(BR19),BQ19,"")</f>
        <v/>
      </c>
      <c r="BX19" s="4"/>
      <c r="BY19" s="110">
        <f>IF(ISNUMBER(BJ19),BJ19,"")</f>
        <v>12</v>
      </c>
      <c r="BZ19" s="54">
        <f>IF(ISNUMBER(BK19),_xlfn.CONCAT(BK19,",",BL19),BJ19)</f>
        <v>12</v>
      </c>
      <c r="CA19" s="54" t="str">
        <f>IF(ISNUMBER(BN19),_xlfn.CONCAT(BN19,",",BO19),IF(OR(BM19=$BM$7,ISNUMBER(BM19)),BM19,""))</f>
        <v>-13,</v>
      </c>
      <c r="CB19" s="72" t="str">
        <f>IF(ISNUMBER(BQ19),_xlfn.CONCAT(BQ19,",",BR19),IF(OR(ISNUMBER(BP19),BP19=$BP$7),BP19,""))</f>
        <v>|</v>
      </c>
      <c r="CC19" s="40" t="str">
        <f>_xlfn.CONCAT(AB19,AC19)</f>
        <v>41</v>
      </c>
      <c r="CD19" s="40" t="str">
        <f>_xlfn.CONCAT(AG19,AH19)</f>
        <v>51</v>
      </c>
      <c r="CE19" s="119">
        <f t="shared" si="24"/>
        <v>12</v>
      </c>
      <c r="CF19" s="3"/>
      <c r="CG19" s="3"/>
      <c r="CH19" s="39">
        <v>8</v>
      </c>
      <c r="CI19" s="131">
        <v>10</v>
      </c>
      <c r="CJ19" s="90" t="s">
        <v>99</v>
      </c>
      <c r="CK19" s="90" t="s">
        <v>100</v>
      </c>
      <c r="CL19" s="90"/>
      <c r="CM19" s="90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spans="1:103" ht="11.1" customHeight="1" x14ac:dyDescent="0.25">
      <c r="A20" s="3"/>
      <c r="B20" s="3"/>
      <c r="C20" s="3"/>
      <c r="D20" s="3"/>
      <c r="E20" s="3"/>
      <c r="F20" s="101">
        <v>8</v>
      </c>
      <c r="G20" s="101">
        <v>5</v>
      </c>
      <c r="H20" s="29" t="s">
        <v>19</v>
      </c>
      <c r="I20" s="30" t="s">
        <v>52</v>
      </c>
      <c r="J20" s="30">
        <v>1062.4549999999899</v>
      </c>
      <c r="K20" s="14"/>
      <c r="L20" s="27">
        <f t="shared" si="25"/>
        <v>1261.9429464123962</v>
      </c>
      <c r="M20" s="14"/>
      <c r="N20" s="61">
        <f t="shared" si="4"/>
        <v>13</v>
      </c>
      <c r="O20" s="6">
        <f t="shared" si="5"/>
        <v>14</v>
      </c>
      <c r="P20" s="38" t="str">
        <f t="shared" si="6"/>
        <v/>
      </c>
      <c r="Q20" s="28">
        <f t="shared" si="7"/>
        <v>14</v>
      </c>
      <c r="R20" s="48">
        <f t="shared" si="8"/>
        <v>467384.78129999997</v>
      </c>
      <c r="S20" s="48">
        <f t="shared" si="9"/>
        <v>7612080.25</v>
      </c>
      <c r="T20" s="29"/>
      <c r="U20" s="30"/>
      <c r="V20" s="48">
        <f t="shared" si="10"/>
        <v>896</v>
      </c>
      <c r="W20" s="25">
        <f t="shared" si="11"/>
        <v>3212.5</v>
      </c>
      <c r="X20" s="25">
        <f t="shared" si="12"/>
        <v>4150</v>
      </c>
      <c r="Y20" s="63">
        <f t="shared" si="13"/>
        <v>13</v>
      </c>
      <c r="Z20" s="27">
        <f t="shared" si="26"/>
        <v>15</v>
      </c>
      <c r="AA20" s="39">
        <f>IF(Z20&lt;0,MAX(AA$6:AA19)+1,0)</f>
        <v>0</v>
      </c>
      <c r="AB20" s="39">
        <f t="shared" si="14"/>
        <v>4</v>
      </c>
      <c r="AC20" s="39">
        <f t="shared" si="27"/>
        <v>2</v>
      </c>
      <c r="AD20" s="19"/>
      <c r="AE20" s="90">
        <v>1</v>
      </c>
      <c r="AF20" s="90">
        <v>0</v>
      </c>
      <c r="AG20" s="39">
        <f t="shared" si="15"/>
        <v>5</v>
      </c>
      <c r="AH20" s="39">
        <f t="shared" si="16"/>
        <v>2</v>
      </c>
      <c r="AI20" s="16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91">
        <f t="shared" si="21"/>
        <v>54</v>
      </c>
      <c r="AU20" s="39">
        <v>13</v>
      </c>
      <c r="AV20" s="39">
        <v>0</v>
      </c>
      <c r="AW20" s="114">
        <v>467384.78129999997</v>
      </c>
      <c r="AX20" s="114">
        <v>7612080.25</v>
      </c>
      <c r="AY20" s="39">
        <v>5000</v>
      </c>
      <c r="AZ20" s="39">
        <v>10</v>
      </c>
      <c r="BA20" s="121">
        <v>5.4545456000000005E-4</v>
      </c>
      <c r="BB20" s="114">
        <v>896</v>
      </c>
      <c r="BC20" s="122">
        <f t="shared" si="30"/>
        <v>3</v>
      </c>
      <c r="BD20" s="121">
        <v>3.0000000000000001E-5</v>
      </c>
      <c r="BE20" s="121">
        <v>2.9999999999999898E-2</v>
      </c>
      <c r="BF20" s="54">
        <f t="shared" si="31"/>
        <v>2</v>
      </c>
      <c r="BG20" s="54">
        <v>1</v>
      </c>
      <c r="BH20" s="54">
        <v>0</v>
      </c>
      <c r="BI20" s="3"/>
      <c r="BJ20" s="96">
        <f>BJ19+1</f>
        <v>13</v>
      </c>
      <c r="BK20" s="54"/>
      <c r="BL20" s="54"/>
      <c r="BM20" s="40">
        <f t="shared" si="32"/>
        <v>12</v>
      </c>
      <c r="BN20" s="54"/>
      <c r="BO20" s="54"/>
      <c r="BP20" s="40">
        <f>BP18-2</f>
        <v>-14</v>
      </c>
      <c r="BQ20" s="72"/>
      <c r="BR20" s="72"/>
      <c r="BS20" s="59"/>
      <c r="BT20" s="110">
        <f t="shared" si="23"/>
        <v>13</v>
      </c>
      <c r="BU20" s="105">
        <f>IF(ISNUMBER(BN20),BN20,BM20)</f>
        <v>12</v>
      </c>
      <c r="BV20" s="105">
        <f>IF(ISNUMBER(BQ20),IF(ISNUMBER(BR20),BR20,BQ20),IF(BP20=$BP$7,"",BP20))</f>
        <v>-14</v>
      </c>
      <c r="BW20" s="105" t="str">
        <f>IF(ISNUMBER(BR20),BQ20,"")</f>
        <v/>
      </c>
      <c r="BX20" s="4"/>
      <c r="BY20" s="110">
        <f>IF(ISNUMBER(BJ20),BJ20,"")</f>
        <v>13</v>
      </c>
      <c r="BZ20" s="54">
        <f>IF(ISNUMBER(BK20),_xlfn.CONCAT(BK20,",",BL20),BJ20)</f>
        <v>13</v>
      </c>
      <c r="CA20" s="54">
        <f>IF(ISNUMBER(BN20),_xlfn.CONCAT(BN20,",",BO20),IF(OR(BM20=$BM$7,ISNUMBER(BM20)),BM20,""))</f>
        <v>12</v>
      </c>
      <c r="CB20" s="72">
        <f>IF(ISNUMBER(BQ20),_xlfn.CONCAT(BQ20,",",BR20),IF(OR(ISNUMBER(BP20),BP20=$BP$7),BP20,""))</f>
        <v>-14</v>
      </c>
      <c r="CC20" s="40" t="str">
        <f>_xlfn.CONCAT(AB20,AC20)</f>
        <v>42</v>
      </c>
      <c r="CD20" s="40" t="str">
        <f>_xlfn.CONCAT(AG20,AH20)</f>
        <v>52</v>
      </c>
      <c r="CE20" s="119">
        <f t="shared" si="24"/>
        <v>13</v>
      </c>
      <c r="CF20" s="3"/>
      <c r="CG20" s="3"/>
      <c r="CH20" s="39">
        <v>9</v>
      </c>
      <c r="CI20" s="131">
        <v>14</v>
      </c>
      <c r="CJ20" s="90" t="s">
        <v>99</v>
      </c>
      <c r="CK20" s="90" t="s">
        <v>100</v>
      </c>
      <c r="CL20" s="90"/>
      <c r="CM20" s="90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spans="1:103" ht="11.1" customHeight="1" x14ac:dyDescent="0.25">
      <c r="A21" s="3"/>
      <c r="B21" s="3"/>
      <c r="C21" s="3"/>
      <c r="D21" s="3"/>
      <c r="E21" s="3"/>
      <c r="F21" s="101">
        <v>8</v>
      </c>
      <c r="G21" s="101">
        <v>6</v>
      </c>
      <c r="H21" s="29" t="s">
        <v>18</v>
      </c>
      <c r="I21" s="30" t="s">
        <v>51</v>
      </c>
      <c r="J21" s="30">
        <v>1060.5450000000001</v>
      </c>
      <c r="K21" s="14"/>
      <c r="L21" s="27">
        <f t="shared" si="25"/>
        <v>1332.5844250928344</v>
      </c>
      <c r="M21" s="14"/>
      <c r="N21" s="61">
        <f t="shared" si="4"/>
        <v>14</v>
      </c>
      <c r="O21" s="6">
        <f t="shared" si="5"/>
        <v>15</v>
      </c>
      <c r="P21" s="38" t="str">
        <f t="shared" si="6"/>
        <v/>
      </c>
      <c r="Q21" s="28">
        <f t="shared" si="7"/>
        <v>15</v>
      </c>
      <c r="R21" s="48">
        <f t="shared" si="8"/>
        <v>466597.28129999997</v>
      </c>
      <c r="S21" s="48">
        <f t="shared" si="9"/>
        <v>7613155.25</v>
      </c>
      <c r="T21" s="29"/>
      <c r="U21" s="30"/>
      <c r="V21" s="48">
        <f t="shared" si="10"/>
        <v>880</v>
      </c>
      <c r="W21" s="25">
        <f t="shared" si="11"/>
        <v>2425</v>
      </c>
      <c r="X21" s="25">
        <f t="shared" si="12"/>
        <v>5225</v>
      </c>
      <c r="Y21" s="63">
        <f t="shared" si="13"/>
        <v>14</v>
      </c>
      <c r="Z21" s="27">
        <f t="shared" si="26"/>
        <v>16</v>
      </c>
      <c r="AA21" s="39">
        <f>IF(Z21&lt;0,MAX(AA$6:AA20)+1,0)</f>
        <v>0</v>
      </c>
      <c r="AB21" s="39">
        <f t="shared" si="14"/>
        <v>4</v>
      </c>
      <c r="AC21" s="39">
        <f t="shared" si="27"/>
        <v>3</v>
      </c>
      <c r="AD21" s="19"/>
      <c r="AE21" s="90">
        <v>2</v>
      </c>
      <c r="AF21" s="90">
        <v>-2</v>
      </c>
      <c r="AG21" s="39">
        <f t="shared" si="15"/>
        <v>6</v>
      </c>
      <c r="AH21" s="39">
        <f t="shared" si="16"/>
        <v>1</v>
      </c>
      <c r="AI21" s="16"/>
      <c r="AJ21" s="124">
        <v>2</v>
      </c>
      <c r="AK21" s="124">
        <v>2</v>
      </c>
      <c r="AL21" s="124">
        <v>2</v>
      </c>
      <c r="AM21" s="124">
        <v>2</v>
      </c>
      <c r="AN21" s="124">
        <v>2</v>
      </c>
      <c r="AO21" s="124">
        <v>2</v>
      </c>
      <c r="AP21" s="124">
        <v>2</v>
      </c>
      <c r="AQ21" s="110">
        <v>2</v>
      </c>
      <c r="AR21" s="110">
        <v>2</v>
      </c>
      <c r="AS21" s="110">
        <v>2</v>
      </c>
      <c r="AT21" s="91">
        <f t="shared" si="21"/>
        <v>38</v>
      </c>
      <c r="AU21" s="39">
        <v>14</v>
      </c>
      <c r="AV21" s="39">
        <v>0</v>
      </c>
      <c r="AW21" s="114">
        <v>466597.28129999997</v>
      </c>
      <c r="AX21" s="114">
        <v>7613155.25</v>
      </c>
      <c r="AY21" s="39">
        <v>2000</v>
      </c>
      <c r="AZ21" s="39">
        <v>10</v>
      </c>
      <c r="BA21" s="121">
        <v>5.4545456000000005E-4</v>
      </c>
      <c r="BB21" s="114">
        <v>880</v>
      </c>
      <c r="BC21" s="122">
        <f t="shared" si="30"/>
        <v>3</v>
      </c>
      <c r="BD21" s="121">
        <v>3.0000000000000001E-5</v>
      </c>
      <c r="BE21" s="121">
        <v>2.9999999999999898E-2</v>
      </c>
      <c r="BF21" s="54">
        <f t="shared" si="31"/>
        <v>3</v>
      </c>
      <c r="BG21" s="54">
        <v>1</v>
      </c>
      <c r="BH21" s="54">
        <v>0</v>
      </c>
      <c r="BI21" s="3"/>
      <c r="BJ21" s="103">
        <f>BJ20+1</f>
        <v>14</v>
      </c>
      <c r="BK21" s="102">
        <f>BJ18</f>
        <v>11</v>
      </c>
      <c r="BL21" s="106">
        <f>BJ20</f>
        <v>13</v>
      </c>
      <c r="BM21" s="40">
        <f t="shared" si="32"/>
        <v>13</v>
      </c>
      <c r="BN21" s="102">
        <f>BM18</f>
        <v>10</v>
      </c>
      <c r="BO21" s="106">
        <f>BM20</f>
        <v>12</v>
      </c>
      <c r="BP21" s="102">
        <f>BP20-1</f>
        <v>-15</v>
      </c>
      <c r="BQ21" s="118">
        <f>BP21</f>
        <v>-15</v>
      </c>
      <c r="BR21" s="106">
        <f>(BQ21+2)*-1</f>
        <v>13</v>
      </c>
      <c r="BS21" s="59"/>
      <c r="BT21" s="110">
        <f t="shared" si="23"/>
        <v>14</v>
      </c>
      <c r="BU21" s="105">
        <f>IF(ISNUMBER(BN21),BN21,BM21)</f>
        <v>10</v>
      </c>
      <c r="BV21" s="105">
        <f>IF(ISNUMBER(BQ21),IF(ISNUMBER(BR21),BR21,BQ21),IF(BP21=$BP$7,"",BP21))</f>
        <v>13</v>
      </c>
      <c r="BW21" s="105">
        <f>IF(ISNUMBER(BR21),BQ21,"")</f>
        <v>-15</v>
      </c>
      <c r="BX21" s="4"/>
      <c r="BY21" s="110">
        <f>IF(ISNUMBER(BJ21),BJ21,"")</f>
        <v>14</v>
      </c>
      <c r="BZ21" s="54" t="str">
        <f>IF(ISNUMBER(BK21),_xlfn.CONCAT(BK21,",",BL21),BJ21)</f>
        <v>11,13</v>
      </c>
      <c r="CA21" s="54" t="str">
        <f>IF(ISNUMBER(BN21),_xlfn.CONCAT(BN21,",",BO21),IF(OR(BM21=$BM$7,ISNUMBER(BM21)),BM21,""))</f>
        <v>10,12</v>
      </c>
      <c r="CB21" s="72" t="str">
        <f>IF(ISNUMBER(BQ21),_xlfn.CONCAT(BQ21,",",BR21),IF(OR(ISNUMBER(BP21),BP21=$BP$7),BP21,""))</f>
        <v>-15,13</v>
      </c>
      <c r="CC21" s="40" t="str">
        <f>_xlfn.CONCAT(AB21,AC21)</f>
        <v>43</v>
      </c>
      <c r="CD21" s="40" t="str">
        <f>_xlfn.CONCAT(AG21,AH21)</f>
        <v>61</v>
      </c>
      <c r="CE21" s="119">
        <f t="shared" si="24"/>
        <v>14</v>
      </c>
      <c r="CF21" s="3"/>
      <c r="CG21" s="3"/>
      <c r="CH21" s="39">
        <v>10</v>
      </c>
      <c r="CI21" s="131">
        <v>17</v>
      </c>
      <c r="CJ21" s="90" t="s">
        <v>99</v>
      </c>
      <c r="CK21" s="90" t="s">
        <v>100</v>
      </c>
      <c r="CL21" s="90"/>
      <c r="CM21" s="90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spans="1:103" ht="11.1" customHeight="1" x14ac:dyDescent="0.25">
      <c r="A22" s="3"/>
      <c r="B22" s="3"/>
      <c r="C22" s="3"/>
      <c r="D22" s="3"/>
      <c r="E22" s="3"/>
      <c r="F22" s="101">
        <v>10</v>
      </c>
      <c r="G22" s="101">
        <v>5</v>
      </c>
      <c r="H22" s="29" t="s">
        <v>17</v>
      </c>
      <c r="I22" s="30" t="s">
        <v>51</v>
      </c>
      <c r="J22" s="30">
        <v>1077.7270000000001</v>
      </c>
      <c r="K22" s="14"/>
      <c r="L22" s="27">
        <f t="shared" si="25"/>
        <v>927.10908203943291</v>
      </c>
      <c r="M22" s="14"/>
      <c r="N22" s="61">
        <f t="shared" si="4"/>
        <v>15</v>
      </c>
      <c r="O22" s="6">
        <f t="shared" si="5"/>
        <v>16</v>
      </c>
      <c r="P22" s="38" t="str">
        <f t="shared" si="6"/>
        <v/>
      </c>
      <c r="Q22" s="28">
        <f t="shared" si="7"/>
        <v>16</v>
      </c>
      <c r="R22" s="48">
        <f t="shared" si="8"/>
        <v>465672.28129999997</v>
      </c>
      <c r="S22" s="48">
        <f t="shared" si="9"/>
        <v>7613092.75</v>
      </c>
      <c r="T22" s="29"/>
      <c r="U22" s="30"/>
      <c r="V22" s="48">
        <f t="shared" si="10"/>
        <v>880</v>
      </c>
      <c r="W22" s="25">
        <f t="shared" si="11"/>
        <v>1500</v>
      </c>
      <c r="X22" s="25">
        <f t="shared" si="12"/>
        <v>5162.5</v>
      </c>
      <c r="Y22" s="63">
        <f t="shared" si="13"/>
        <v>15</v>
      </c>
      <c r="Z22" s="27">
        <f t="shared" si="26"/>
        <v>0</v>
      </c>
      <c r="AA22" s="39">
        <f>IF(Z22&lt;0,MAX(AA$6:AA21)+1,0)</f>
        <v>0</v>
      </c>
      <c r="AB22" s="39">
        <f t="shared" si="14"/>
        <v>4</v>
      </c>
      <c r="AC22" s="39">
        <f t="shared" si="27"/>
        <v>4</v>
      </c>
      <c r="AD22" s="19"/>
      <c r="AE22" s="90">
        <v>2</v>
      </c>
      <c r="AF22" s="90">
        <v>-2</v>
      </c>
      <c r="AG22" s="39">
        <f t="shared" si="15"/>
        <v>6</v>
      </c>
      <c r="AH22" s="39">
        <f t="shared" si="16"/>
        <v>2</v>
      </c>
      <c r="AI22" s="16"/>
      <c r="AJ22" s="90" t="s">
        <v>34</v>
      </c>
      <c r="AK22" s="90" t="s">
        <v>34</v>
      </c>
      <c r="AL22" s="90" t="s">
        <v>34</v>
      </c>
      <c r="AM22" s="90" t="s">
        <v>34</v>
      </c>
      <c r="AN22" s="90" t="s">
        <v>34</v>
      </c>
      <c r="AO22" s="90" t="s">
        <v>34</v>
      </c>
      <c r="AP22" s="90" t="s">
        <v>34</v>
      </c>
      <c r="AQ22" s="90" t="s">
        <v>34</v>
      </c>
      <c r="AR22" s="90" t="s">
        <v>34</v>
      </c>
      <c r="AS22" s="90" t="s">
        <v>34</v>
      </c>
      <c r="AT22" s="91">
        <f t="shared" si="21"/>
        <v>38</v>
      </c>
      <c r="AU22" s="39">
        <v>15</v>
      </c>
      <c r="AV22" s="39">
        <v>0</v>
      </c>
      <c r="AW22" s="114">
        <v>465672.28129999997</v>
      </c>
      <c r="AX22" s="114">
        <v>7613092.75</v>
      </c>
      <c r="AY22" s="39">
        <v>2500</v>
      </c>
      <c r="AZ22" s="39">
        <v>10</v>
      </c>
      <c r="BA22" s="121">
        <v>1.81818179999999E-3</v>
      </c>
      <c r="BB22" s="114">
        <v>880</v>
      </c>
      <c r="BC22" s="122">
        <f t="shared" si="30"/>
        <v>3</v>
      </c>
      <c r="BD22" s="121">
        <v>3.0000000000000001E-5</v>
      </c>
      <c r="BE22" s="121">
        <v>2.9999999999999898E-2</v>
      </c>
      <c r="BF22" s="54">
        <f t="shared" si="31"/>
        <v>2</v>
      </c>
      <c r="BG22" s="54">
        <v>1</v>
      </c>
      <c r="BH22" s="54">
        <v>0</v>
      </c>
      <c r="BI22" s="3"/>
      <c r="BJ22" s="102">
        <f t="shared" si="44"/>
        <v>15</v>
      </c>
      <c r="BK22" s="54"/>
      <c r="BL22" s="54"/>
      <c r="BM22" s="40">
        <f t="shared" si="32"/>
        <v>14</v>
      </c>
      <c r="BN22" s="54"/>
      <c r="BO22" s="54"/>
      <c r="BP22" s="40">
        <f t="shared" ref="BP22:BP35" si="45">BP21-1</f>
        <v>-16</v>
      </c>
      <c r="BQ22" s="102">
        <f>BP22</f>
        <v>-16</v>
      </c>
      <c r="BR22" s="72"/>
      <c r="BS22" s="59"/>
      <c r="BT22" s="110">
        <f t="shared" si="23"/>
        <v>15</v>
      </c>
      <c r="BU22" s="105">
        <f>IF(ISNUMBER(BN22),BN22,BM22)</f>
        <v>14</v>
      </c>
      <c r="BV22" s="105">
        <f>IF(ISNUMBER(BQ22),IF(ISNUMBER(BR22),BR22,BQ22),IF(BP22=$BP$7,"",BP22))</f>
        <v>-16</v>
      </c>
      <c r="BW22" s="105" t="str">
        <f>IF(ISNUMBER(BR22),BQ22,"")</f>
        <v/>
      </c>
      <c r="BX22" s="4"/>
      <c r="BY22" s="110">
        <f>IF(ISNUMBER(BJ22),BJ22,"")</f>
        <v>15</v>
      </c>
      <c r="BZ22" s="54">
        <f>IF(ISNUMBER(BK22),_xlfn.CONCAT(BK22,",",BL22),BJ22)</f>
        <v>15</v>
      </c>
      <c r="CA22" s="54">
        <f>IF(ISNUMBER(BN22),_xlfn.CONCAT(BN22,",",BO22),IF(OR(BM22=$BM$7,ISNUMBER(BM22)),BM22,""))</f>
        <v>14</v>
      </c>
      <c r="CB22" s="72" t="str">
        <f>IF(ISNUMBER(BQ22),_xlfn.CONCAT(BQ22,",",BR22),IF(OR(ISNUMBER(BP22),BP22=$BP$7),BP22,""))</f>
        <v>-16,</v>
      </c>
      <c r="CC22" s="40" t="str">
        <f>_xlfn.CONCAT(AB22,AC22)</f>
        <v>44</v>
      </c>
      <c r="CD22" s="40" t="str">
        <f>_xlfn.CONCAT(AG22,AH22)</f>
        <v>62</v>
      </c>
      <c r="CE22" s="119">
        <f t="shared" si="24"/>
        <v>15</v>
      </c>
      <c r="CF22" s="3"/>
      <c r="CG22" s="3"/>
      <c r="CH22" s="39">
        <v>11</v>
      </c>
      <c r="CI22" s="131">
        <v>27</v>
      </c>
      <c r="CJ22" s="90" t="s">
        <v>99</v>
      </c>
      <c r="CK22" s="90" t="s">
        <v>100</v>
      </c>
      <c r="CL22" s="90"/>
      <c r="CM22" s="90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spans="1:103" ht="11.1" customHeight="1" x14ac:dyDescent="0.25">
      <c r="A23" s="3"/>
      <c r="B23" s="3"/>
      <c r="C23" s="3"/>
      <c r="D23" s="3"/>
      <c r="E23" s="3"/>
      <c r="F23" s="101">
        <v>9</v>
      </c>
      <c r="G23" s="101">
        <v>5</v>
      </c>
      <c r="H23" s="29" t="s">
        <v>16</v>
      </c>
      <c r="I23" s="30" t="s">
        <v>53</v>
      </c>
      <c r="J23" s="30">
        <v>1070.9090000000001</v>
      </c>
      <c r="K23" s="14"/>
      <c r="L23" s="27">
        <f t="shared" si="25"/>
        <v>1122.5668131563484</v>
      </c>
      <c r="M23" s="14"/>
      <c r="N23" s="61">
        <f t="shared" si="4"/>
        <v>16</v>
      </c>
      <c r="O23" s="6">
        <f t="shared" si="5"/>
        <v>17</v>
      </c>
      <c r="P23" s="38" t="str">
        <f t="shared" si="6"/>
        <v/>
      </c>
      <c r="Q23" s="28">
        <f t="shared" si="7"/>
        <v>17</v>
      </c>
      <c r="R23" s="48">
        <f t="shared" si="8"/>
        <v>464872.28129999997</v>
      </c>
      <c r="S23" s="48">
        <f t="shared" si="9"/>
        <v>7613880.25</v>
      </c>
      <c r="T23" s="29"/>
      <c r="U23" s="30"/>
      <c r="V23" s="48">
        <f t="shared" si="10"/>
        <v>890</v>
      </c>
      <c r="W23" s="25">
        <f t="shared" si="11"/>
        <v>700</v>
      </c>
      <c r="X23" s="25">
        <f t="shared" si="12"/>
        <v>5950</v>
      </c>
      <c r="Y23" s="63">
        <f t="shared" si="13"/>
        <v>16</v>
      </c>
      <c r="Z23" s="27">
        <f t="shared" si="26"/>
        <v>-10</v>
      </c>
      <c r="AA23" s="39">
        <f>IF(Z23&lt;0,MAX(AA$6:AA22)+1,0)</f>
        <v>5</v>
      </c>
      <c r="AB23" s="39">
        <f t="shared" si="14"/>
        <v>5</v>
      </c>
      <c r="AC23" s="39">
        <f t="shared" si="27"/>
        <v>1</v>
      </c>
      <c r="AD23" s="19"/>
      <c r="AE23" s="90">
        <f>AE22</f>
        <v>2</v>
      </c>
      <c r="AF23" s="90">
        <v>0</v>
      </c>
      <c r="AG23" s="39">
        <f t="shared" si="15"/>
        <v>7</v>
      </c>
      <c r="AH23" s="39">
        <f t="shared" si="16"/>
        <v>1</v>
      </c>
      <c r="AI23" s="16"/>
      <c r="AJ23" s="40">
        <f t="shared" ref="AJ23:AJ35" si="46">IF(ISNUMBER(AJ54),INDEX($R$7:$S$42,AJ54,AJ$21),AJ22)</f>
        <v>7616967.75</v>
      </c>
      <c r="AK23" s="40">
        <f t="shared" ref="AK23:AK35" si="47">IF(ISNUMBER(AK54),INDEX($R$7:$S$42,AK54,AK$21),AK22)</f>
        <v>7613992.75</v>
      </c>
      <c r="AL23" s="40">
        <f t="shared" ref="AL23:AL35" si="48">IF(ISNUMBER(AL54),INDEX($R$7:$S$42,AL54,AL$21),AL22)</f>
        <v>7612342.75</v>
      </c>
      <c r="AM23" s="40">
        <f t="shared" ref="AM23:AM35" si="49">IF(ISNUMBER(AM54),INDEX($R$7:$S$42,AM54,AM$21),AM22)</f>
        <v>7611380.25</v>
      </c>
      <c r="AN23" s="40">
        <f t="shared" ref="AN23:AN35" si="50">IF(ISNUMBER(AN54),INDEX($R$7:$S$42,AN54,AN$21),AN22)</f>
        <v>7613880.25</v>
      </c>
      <c r="AO23" s="40">
        <f t="shared" ref="AO23:AO35" si="51">IF(ISNUMBER(AO54),INDEX($R$7:$S$42,AO54,AO$21),AO22)</f>
        <v>7609942.75</v>
      </c>
      <c r="AP23" s="40">
        <f t="shared" ref="AP23:AP35" si="52">IF(ISNUMBER(AP54),INDEX($R$7:$S$42,AP54,AP$21),AP22)</f>
        <v>7609305.25</v>
      </c>
      <c r="AQ23" s="40" t="str">
        <f t="shared" ref="AQ23:AQ35" si="53">IF(ISNUMBER(AQ54),INDEX($R$7:$S$42,AQ54,AQ$21),AQ22)</f>
        <v>y</v>
      </c>
      <c r="AR23" s="40" t="str">
        <f t="shared" ref="AR23:AR35" si="54">IF(ISNUMBER(AR54),INDEX($R$7:$S$42,AR54,AR$21),AR22)</f>
        <v>y</v>
      </c>
      <c r="AS23" s="40" t="str">
        <f t="shared" ref="AS23:AS35" si="55">IF(ISNUMBER(AS54),INDEX($R$7:$S$42,AS54,AS$21),AS22)</f>
        <v>y</v>
      </c>
      <c r="AT23" s="91">
        <f t="shared" si="21"/>
        <v>48</v>
      </c>
      <c r="AU23" s="39">
        <v>16</v>
      </c>
      <c r="AV23" s="39">
        <v>0</v>
      </c>
      <c r="AW23" s="114">
        <v>464872.28129999997</v>
      </c>
      <c r="AX23" s="114">
        <v>7613880.25</v>
      </c>
      <c r="AY23" s="39">
        <v>5000</v>
      </c>
      <c r="AZ23" s="39">
        <v>10</v>
      </c>
      <c r="BA23" s="121">
        <v>1.81818179999999E-3</v>
      </c>
      <c r="BB23" s="114">
        <v>890</v>
      </c>
      <c r="BC23" s="122">
        <f t="shared" si="30"/>
        <v>3</v>
      </c>
      <c r="BD23" s="121">
        <v>3.0000000000000001E-5</v>
      </c>
      <c r="BE23" s="121">
        <v>2.9999999999999898E-2</v>
      </c>
      <c r="BF23" s="54">
        <f t="shared" si="31"/>
        <v>1</v>
      </c>
      <c r="BG23" s="54">
        <v>1</v>
      </c>
      <c r="BH23" s="54">
        <v>0</v>
      </c>
      <c r="BI23" s="107">
        <f>BJ23</f>
        <v>16</v>
      </c>
      <c r="BJ23" s="96">
        <f>BJ22+1</f>
        <v>16</v>
      </c>
      <c r="BK23" s="54"/>
      <c r="BL23" s="54"/>
      <c r="BM23" s="40">
        <f t="shared" si="32"/>
        <v>15</v>
      </c>
      <c r="BN23" s="107">
        <f>-1*(BM24+1)</f>
        <v>-17</v>
      </c>
      <c r="BO23" s="54"/>
      <c r="BP23" s="105" t="s">
        <v>87</v>
      </c>
      <c r="BQ23" s="72"/>
      <c r="BR23" s="72"/>
      <c r="BS23" s="59"/>
      <c r="BT23" s="110">
        <f t="shared" si="23"/>
        <v>16</v>
      </c>
      <c r="BU23" s="105">
        <f>IF(ISNUMBER(BN23),BN23,BM23)</f>
        <v>-17</v>
      </c>
      <c r="BV23" s="105" t="str">
        <f>IF(ISNUMBER(BQ23),IF(ISNUMBER(BR23),BR23,BQ23),IF(BP23=$BP$7,"",BP23))</f>
        <v/>
      </c>
      <c r="BW23" s="105" t="str">
        <f>IF(ISNUMBER(BR23),BQ23,"")</f>
        <v/>
      </c>
      <c r="BX23" s="4"/>
      <c r="BY23" s="110">
        <f>IF(ISNUMBER(BJ23),BJ23,"")</f>
        <v>16</v>
      </c>
      <c r="BZ23" s="54">
        <f>IF(ISNUMBER(BK23),_xlfn.CONCAT(BK23,",",BL23),BJ23)</f>
        <v>16</v>
      </c>
      <c r="CA23" s="54" t="str">
        <f>IF(ISNUMBER(BN23),_xlfn.CONCAT(BN23,",",BO23),IF(OR(BM23=$BM$7,ISNUMBER(BM23)),BM23,""))</f>
        <v>-17,</v>
      </c>
      <c r="CB23" s="72" t="str">
        <f>IF(ISNUMBER(BQ23),_xlfn.CONCAT(BQ23,",",BR23),IF(OR(ISNUMBER(BP23),BP23=$BP$7),BP23,""))</f>
        <v>|</v>
      </c>
      <c r="CC23" s="40" t="str">
        <f>_xlfn.CONCAT(AB23,AC23)</f>
        <v>51</v>
      </c>
      <c r="CD23" s="40" t="str">
        <f>_xlfn.CONCAT(AG23,AH23)</f>
        <v>71</v>
      </c>
      <c r="CE23" s="119">
        <f t="shared" si="24"/>
        <v>16</v>
      </c>
      <c r="CF23" s="3"/>
      <c r="CG23" s="3"/>
      <c r="CH23" s="39">
        <v>12</v>
      </c>
      <c r="CI23" s="39">
        <f>CI17</f>
        <v>10</v>
      </c>
      <c r="CJ23" s="39" t="s">
        <v>101</v>
      </c>
      <c r="CK23" s="135">
        <v>1075.5450000000001</v>
      </c>
      <c r="CL23" s="90"/>
      <c r="CM23" s="90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spans="1:103" ht="11.1" customHeight="1" x14ac:dyDescent="0.25">
      <c r="A24" s="3"/>
      <c r="B24" s="3"/>
      <c r="C24" s="3"/>
      <c r="D24" s="3"/>
      <c r="E24" s="3"/>
      <c r="F24" s="101">
        <v>8</v>
      </c>
      <c r="G24" s="101">
        <v>6</v>
      </c>
      <c r="H24" s="29" t="s">
        <v>15</v>
      </c>
      <c r="I24" s="30" t="s">
        <v>54</v>
      </c>
      <c r="J24" s="30">
        <v>1063.182</v>
      </c>
      <c r="K24" s="14"/>
      <c r="L24" s="27">
        <f t="shared" si="25"/>
        <v>1185.3269591129699</v>
      </c>
      <c r="M24" s="14"/>
      <c r="N24" s="61">
        <f t="shared" si="4"/>
        <v>17</v>
      </c>
      <c r="O24" s="6">
        <f t="shared" si="5"/>
        <v>18</v>
      </c>
      <c r="P24" s="38" t="str">
        <f t="shared" si="6"/>
        <v/>
      </c>
      <c r="Q24" s="28">
        <f t="shared" si="7"/>
        <v>18</v>
      </c>
      <c r="R24" s="48">
        <f t="shared" si="8"/>
        <v>465422.28129999997</v>
      </c>
      <c r="S24" s="48">
        <f t="shared" si="9"/>
        <v>7612830.25</v>
      </c>
      <c r="T24" s="29"/>
      <c r="U24" s="30"/>
      <c r="V24" s="48">
        <f t="shared" si="10"/>
        <v>877</v>
      </c>
      <c r="W24" s="25">
        <f t="shared" si="11"/>
        <v>1250</v>
      </c>
      <c r="X24" s="25">
        <f t="shared" si="12"/>
        <v>4900</v>
      </c>
      <c r="Y24" s="63">
        <f t="shared" si="13"/>
        <v>17</v>
      </c>
      <c r="Z24" s="27">
        <f t="shared" si="26"/>
        <v>13</v>
      </c>
      <c r="AA24" s="39">
        <f>IF(Z24&lt;0,MAX(AA$6:AA23)+1,0)</f>
        <v>0</v>
      </c>
      <c r="AB24" s="39">
        <f t="shared" si="14"/>
        <v>5</v>
      </c>
      <c r="AC24" s="39">
        <f t="shared" si="27"/>
        <v>2</v>
      </c>
      <c r="AD24" s="19"/>
      <c r="AE24" s="90">
        <v>3</v>
      </c>
      <c r="AF24" s="90">
        <v>-1</v>
      </c>
      <c r="AG24" s="39">
        <f t="shared" si="15"/>
        <v>8</v>
      </c>
      <c r="AH24" s="39">
        <f t="shared" si="16"/>
        <v>1</v>
      </c>
      <c r="AI24" s="16"/>
      <c r="AJ24" s="40">
        <f t="shared" si="46"/>
        <v>7616642.75</v>
      </c>
      <c r="AK24" s="40">
        <f t="shared" si="47"/>
        <v>7614405.25</v>
      </c>
      <c r="AL24" s="40">
        <f t="shared" si="48"/>
        <v>7612842.75</v>
      </c>
      <c r="AM24" s="40">
        <f t="shared" si="49"/>
        <v>7612080.25</v>
      </c>
      <c r="AN24" s="40">
        <f t="shared" si="50"/>
        <v>7612830.25</v>
      </c>
      <c r="AO24" s="40">
        <f t="shared" si="51"/>
        <v>7609955.25</v>
      </c>
      <c r="AP24" s="40">
        <f t="shared" si="52"/>
        <v>7607930.25</v>
      </c>
      <c r="AQ24" s="40" t="str">
        <f t="shared" si="53"/>
        <v>y</v>
      </c>
      <c r="AR24" s="40" t="str">
        <f t="shared" si="54"/>
        <v>y</v>
      </c>
      <c r="AS24" s="40" t="str">
        <f t="shared" si="55"/>
        <v>y</v>
      </c>
      <c r="AT24" s="91">
        <f t="shared" si="21"/>
        <v>35</v>
      </c>
      <c r="AU24" s="39">
        <v>17</v>
      </c>
      <c r="AV24" s="39">
        <v>0</v>
      </c>
      <c r="AW24" s="114">
        <v>465422.28129999997</v>
      </c>
      <c r="AX24" s="114">
        <v>7612830.25</v>
      </c>
      <c r="AY24" s="39">
        <v>3500</v>
      </c>
      <c r="AZ24" s="39">
        <v>10</v>
      </c>
      <c r="BA24" s="121">
        <v>1.81818179999999E-3</v>
      </c>
      <c r="BB24" s="114">
        <v>877</v>
      </c>
      <c r="BC24" s="122">
        <f t="shared" si="30"/>
        <v>3</v>
      </c>
      <c r="BD24" s="121">
        <v>3.0000000000000001E-5</v>
      </c>
      <c r="BE24" s="121">
        <v>2.9999999999999898E-2</v>
      </c>
      <c r="BF24" s="54">
        <f t="shared" si="31"/>
        <v>3</v>
      </c>
      <c r="BG24" s="54">
        <v>1</v>
      </c>
      <c r="BH24" s="54">
        <v>0</v>
      </c>
      <c r="BI24" s="3"/>
      <c r="BJ24" s="103">
        <f t="shared" si="44"/>
        <v>17</v>
      </c>
      <c r="BK24" s="102">
        <f>BJ22</f>
        <v>15</v>
      </c>
      <c r="BL24" s="106">
        <f>BJ23</f>
        <v>16</v>
      </c>
      <c r="BM24" s="40">
        <f t="shared" si="32"/>
        <v>16</v>
      </c>
      <c r="BN24" s="54"/>
      <c r="BO24" s="54"/>
      <c r="BP24" s="40">
        <f>BP22-2</f>
        <v>-18</v>
      </c>
      <c r="BQ24" s="118">
        <f>BP24</f>
        <v>-18</v>
      </c>
      <c r="BR24" s="106">
        <f>(BQ24+1)*-1</f>
        <v>17</v>
      </c>
      <c r="BS24" s="59"/>
      <c r="BT24" s="110">
        <f t="shared" si="23"/>
        <v>17</v>
      </c>
      <c r="BU24" s="105">
        <f>IF(ISNUMBER(BN24),BN24,BM24)</f>
        <v>16</v>
      </c>
      <c r="BV24" s="105">
        <f>IF(ISNUMBER(BQ24),IF(ISNUMBER(BR24),BR24,BQ24),IF(BP24=$BP$7,"",BP24))</f>
        <v>17</v>
      </c>
      <c r="BW24" s="105">
        <f>IF(ISNUMBER(BR24),BQ24,"")</f>
        <v>-18</v>
      </c>
      <c r="BX24" s="4"/>
      <c r="BY24" s="110">
        <f>IF(ISNUMBER(BJ24),BJ24,"")</f>
        <v>17</v>
      </c>
      <c r="BZ24" s="54" t="str">
        <f>IF(ISNUMBER(BK24),_xlfn.CONCAT(BK24,",",BL24),BJ24)</f>
        <v>15,16</v>
      </c>
      <c r="CA24" s="54">
        <f>IF(ISNUMBER(BN24),_xlfn.CONCAT(BN24,",",BO24),IF(OR(BM24=$BM$7,ISNUMBER(BM24)),BM24,""))</f>
        <v>16</v>
      </c>
      <c r="CB24" s="72" t="str">
        <f>IF(ISNUMBER(BQ24),_xlfn.CONCAT(BQ24,",",BR24),IF(OR(ISNUMBER(BP24),BP24=$BP$7),BP24,""))</f>
        <v>-18,17</v>
      </c>
      <c r="CC24" s="40" t="str">
        <f>_xlfn.CONCAT(AB24,AC24)</f>
        <v>52</v>
      </c>
      <c r="CD24" s="40" t="str">
        <f>_xlfn.CONCAT(AG24,AH24)</f>
        <v>81</v>
      </c>
      <c r="CE24" s="119">
        <f t="shared" si="24"/>
        <v>17</v>
      </c>
      <c r="CF24" s="3"/>
      <c r="CG24" s="3"/>
      <c r="CH24" s="39">
        <v>13</v>
      </c>
      <c r="CI24" s="39">
        <f t="shared" ref="CI24:CI28" si="56">CI18</f>
        <v>7</v>
      </c>
      <c r="CJ24" s="39" t="s">
        <v>101</v>
      </c>
      <c r="CK24" s="135">
        <v>1072.636</v>
      </c>
      <c r="CL24" s="90"/>
      <c r="CM24" s="90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spans="1:103" ht="11.1" customHeight="1" x14ac:dyDescent="0.25">
      <c r="A25" s="3"/>
      <c r="B25" s="3"/>
      <c r="C25" s="3"/>
      <c r="D25" s="3"/>
      <c r="E25" s="3"/>
      <c r="F25" s="101">
        <v>8</v>
      </c>
      <c r="G25" s="101">
        <v>6</v>
      </c>
      <c r="H25" s="29" t="s">
        <v>14</v>
      </c>
      <c r="I25" s="30" t="s">
        <v>55</v>
      </c>
      <c r="J25" s="30">
        <v>1058</v>
      </c>
      <c r="K25" s="14"/>
      <c r="L25" s="27">
        <f t="shared" si="25"/>
        <v>1170.6034768443155</v>
      </c>
      <c r="M25" s="14"/>
      <c r="N25" s="61">
        <f t="shared" si="4"/>
        <v>18</v>
      </c>
      <c r="O25" s="6">
        <f t="shared" si="5"/>
        <v>19</v>
      </c>
      <c r="P25" s="38" t="str">
        <f t="shared" si="6"/>
        <v/>
      </c>
      <c r="Q25" s="28">
        <f t="shared" si="7"/>
        <v>19</v>
      </c>
      <c r="R25" s="48">
        <f t="shared" si="8"/>
        <v>465284.78129999997</v>
      </c>
      <c r="S25" s="48">
        <f t="shared" si="9"/>
        <v>7611667.75</v>
      </c>
      <c r="T25" s="29"/>
      <c r="U25" s="30"/>
      <c r="V25" s="48">
        <f t="shared" si="10"/>
        <v>863</v>
      </c>
      <c r="W25" s="25">
        <f t="shared" si="11"/>
        <v>1112.5</v>
      </c>
      <c r="X25" s="25">
        <f t="shared" si="12"/>
        <v>3737.5</v>
      </c>
      <c r="Y25" s="63">
        <f t="shared" si="13"/>
        <v>18</v>
      </c>
      <c r="Z25" s="27">
        <f t="shared" si="26"/>
        <v>14</v>
      </c>
      <c r="AA25" s="39">
        <f>IF(Z25&lt;0,MAX(AA$6:AA24)+1,0)</f>
        <v>0</v>
      </c>
      <c r="AB25" s="39">
        <f t="shared" si="14"/>
        <v>5</v>
      </c>
      <c r="AC25" s="39">
        <f t="shared" si="27"/>
        <v>3</v>
      </c>
      <c r="AD25" s="19"/>
      <c r="AE25" s="90">
        <f t="shared" ref="AE25:AE35" si="57">AE24</f>
        <v>3</v>
      </c>
      <c r="AF25" s="90">
        <v>-1</v>
      </c>
      <c r="AG25" s="39">
        <f t="shared" ref="AG25:AG35" si="58">IF(ISNUMBER(R25),AB25+AE25,"")</f>
        <v>8</v>
      </c>
      <c r="AH25" s="39">
        <v>1</v>
      </c>
      <c r="AI25" s="16"/>
      <c r="AJ25" s="40">
        <f t="shared" si="46"/>
        <v>7615805.25</v>
      </c>
      <c r="AK25" s="40">
        <f t="shared" si="47"/>
        <v>7614292.75</v>
      </c>
      <c r="AL25" s="40">
        <f t="shared" si="48"/>
        <v>7613980.25</v>
      </c>
      <c r="AM25" s="40">
        <f t="shared" si="49"/>
        <v>7613155.25</v>
      </c>
      <c r="AN25" s="40">
        <f t="shared" si="50"/>
        <v>7611667.75</v>
      </c>
      <c r="AO25" s="40">
        <f t="shared" si="51"/>
        <v>7610467.75</v>
      </c>
      <c r="AP25" s="40">
        <f t="shared" si="52"/>
        <v>7607930.25</v>
      </c>
      <c r="AQ25" s="40" t="str">
        <f t="shared" si="53"/>
        <v>y</v>
      </c>
      <c r="AR25" s="40" t="str">
        <f t="shared" si="54"/>
        <v>y</v>
      </c>
      <c r="AS25" s="40" t="str">
        <f t="shared" si="55"/>
        <v>y</v>
      </c>
      <c r="AT25" s="91">
        <f t="shared" si="21"/>
        <v>21</v>
      </c>
      <c r="AU25" s="39">
        <v>18</v>
      </c>
      <c r="AV25" s="39">
        <v>0</v>
      </c>
      <c r="AW25" s="114">
        <v>465284.78129999997</v>
      </c>
      <c r="AX25" s="114">
        <v>7611667.75</v>
      </c>
      <c r="AY25" s="39">
        <v>4000</v>
      </c>
      <c r="AZ25" s="39">
        <v>15</v>
      </c>
      <c r="BA25" s="121">
        <v>1E-3</v>
      </c>
      <c r="BB25" s="114">
        <v>863</v>
      </c>
      <c r="BC25" s="122">
        <f t="shared" si="30"/>
        <v>3</v>
      </c>
      <c r="BD25" s="121">
        <v>3.0000000000000001E-5</v>
      </c>
      <c r="BE25" s="121">
        <v>2.9999999999999898E-2</v>
      </c>
      <c r="BF25" s="54">
        <f t="shared" si="31"/>
        <v>2</v>
      </c>
      <c r="BG25" s="54">
        <v>1</v>
      </c>
      <c r="BH25" s="54">
        <v>0</v>
      </c>
      <c r="BI25" s="3"/>
      <c r="BJ25" s="39">
        <f t="shared" si="44"/>
        <v>18</v>
      </c>
      <c r="BK25" s="54"/>
      <c r="BL25" s="54"/>
      <c r="BM25" s="40">
        <f t="shared" si="32"/>
        <v>17</v>
      </c>
      <c r="BN25" s="54"/>
      <c r="BO25" s="54"/>
      <c r="BP25" s="40">
        <f t="shared" si="45"/>
        <v>-19</v>
      </c>
      <c r="BQ25" s="72"/>
      <c r="BR25" s="72"/>
      <c r="BS25" s="59"/>
      <c r="BT25" s="110">
        <f t="shared" si="23"/>
        <v>18</v>
      </c>
      <c r="BU25" s="105">
        <f>IF(ISNUMBER(BN25),BN25,BM25)</f>
        <v>17</v>
      </c>
      <c r="BV25" s="105">
        <f>IF(ISNUMBER(BQ25),IF(ISNUMBER(BR25),BR25,BQ25),IF(BP25=$BP$7,"",BP25))</f>
        <v>-19</v>
      </c>
      <c r="BW25" s="105" t="str">
        <f>IF(ISNUMBER(BR25),BQ25,"")</f>
        <v/>
      </c>
      <c r="BX25" s="4"/>
      <c r="BY25" s="110">
        <f>IF(ISNUMBER(BJ25),BJ25,"")</f>
        <v>18</v>
      </c>
      <c r="BZ25" s="54">
        <f>IF(ISNUMBER(BK25),_xlfn.CONCAT(BK25,",",BL25),BJ25)</f>
        <v>18</v>
      </c>
      <c r="CA25" s="54">
        <f>IF(ISNUMBER(BN25),_xlfn.CONCAT(BN25,",",BO25),IF(OR(BM25=$BM$7,ISNUMBER(BM25)),BM25,""))</f>
        <v>17</v>
      </c>
      <c r="CB25" s="72">
        <f>IF(ISNUMBER(BQ25),_xlfn.CONCAT(BQ25,",",BR25),IF(OR(ISNUMBER(BP25),BP25=$BP$7),BP25,""))</f>
        <v>-19</v>
      </c>
      <c r="CC25" s="40" t="str">
        <f>_xlfn.CONCAT(AB25,AC25)</f>
        <v>53</v>
      </c>
      <c r="CD25" s="40" t="str">
        <f>_xlfn.CONCAT(AG25,AH25)</f>
        <v>81</v>
      </c>
      <c r="CE25" s="120">
        <f t="shared" si="24"/>
        <v>18</v>
      </c>
      <c r="CF25" s="3"/>
      <c r="CG25" s="3"/>
      <c r="CH25" s="39">
        <v>14</v>
      </c>
      <c r="CI25" s="39">
        <f t="shared" si="56"/>
        <v>10</v>
      </c>
      <c r="CJ25" s="39" t="s">
        <v>101</v>
      </c>
      <c r="CK25" s="135">
        <v>1069.873</v>
      </c>
      <c r="CL25" s="90"/>
      <c r="CM25" s="90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spans="1:103" ht="11.1" customHeight="1" x14ac:dyDescent="0.25">
      <c r="A26" s="3"/>
      <c r="B26" s="3"/>
      <c r="C26" s="3"/>
      <c r="D26" s="3"/>
      <c r="E26" s="3"/>
      <c r="F26" s="101">
        <v>7</v>
      </c>
      <c r="G26" s="101">
        <v>7</v>
      </c>
      <c r="H26" s="29" t="s">
        <v>13</v>
      </c>
      <c r="I26" s="30" t="s">
        <v>56</v>
      </c>
      <c r="J26" s="30">
        <v>1053.5</v>
      </c>
      <c r="K26" s="14"/>
      <c r="L26" s="27">
        <f t="shared" si="25"/>
        <v>937.5</v>
      </c>
      <c r="M26" s="14"/>
      <c r="N26" s="61">
        <f t="shared" si="4"/>
        <v>19</v>
      </c>
      <c r="O26" s="6">
        <f t="shared" si="5"/>
        <v>20</v>
      </c>
      <c r="P26" s="38" t="str">
        <f t="shared" si="6"/>
        <v/>
      </c>
      <c r="Q26" s="28">
        <f t="shared" si="7"/>
        <v>20</v>
      </c>
      <c r="R26" s="48">
        <f t="shared" si="8"/>
        <v>464384.78129999997</v>
      </c>
      <c r="S26" s="48">
        <f t="shared" si="9"/>
        <v>7611405.25</v>
      </c>
      <c r="T26" s="29"/>
      <c r="U26" s="30"/>
      <c r="V26" s="48">
        <f t="shared" si="10"/>
        <v>854</v>
      </c>
      <c r="W26" s="25">
        <f t="shared" si="11"/>
        <v>212.5</v>
      </c>
      <c r="X26" s="25">
        <f t="shared" si="12"/>
        <v>3475</v>
      </c>
      <c r="Y26" s="63">
        <f t="shared" si="13"/>
        <v>19</v>
      </c>
      <c r="Z26" s="27">
        <f t="shared" si="26"/>
        <v>9</v>
      </c>
      <c r="AA26" s="39">
        <f>IF(Z26&lt;0,MAX(AA$6:AA25)+1,0)</f>
        <v>0</v>
      </c>
      <c r="AB26" s="39">
        <f t="shared" si="14"/>
        <v>5</v>
      </c>
      <c r="AC26" s="39">
        <f t="shared" si="27"/>
        <v>4</v>
      </c>
      <c r="AD26" s="19"/>
      <c r="AE26" s="90">
        <f t="shared" si="57"/>
        <v>3</v>
      </c>
      <c r="AF26" s="90">
        <v>-1</v>
      </c>
      <c r="AG26" s="39">
        <f t="shared" si="58"/>
        <v>8</v>
      </c>
      <c r="AH26" s="39">
        <v>2</v>
      </c>
      <c r="AI26" s="16"/>
      <c r="AJ26" s="40">
        <f t="shared" si="46"/>
        <v>7614955.25</v>
      </c>
      <c r="AK26" s="40">
        <f t="shared" si="47"/>
        <v>7614180.25</v>
      </c>
      <c r="AL26" s="40">
        <f t="shared" si="48"/>
        <v>7613492.75</v>
      </c>
      <c r="AM26" s="40">
        <f t="shared" si="49"/>
        <v>7613092.75</v>
      </c>
      <c r="AN26" s="40">
        <f t="shared" si="50"/>
        <v>7611405.25</v>
      </c>
      <c r="AO26" s="40">
        <f t="shared" si="51"/>
        <v>7610505.25</v>
      </c>
      <c r="AP26" s="40">
        <f t="shared" si="52"/>
        <v>7607930.25</v>
      </c>
      <c r="AQ26" s="40" t="str">
        <f t="shared" si="53"/>
        <v>y</v>
      </c>
      <c r="AR26" s="40" t="str">
        <f t="shared" si="54"/>
        <v>y</v>
      </c>
      <c r="AS26" s="40" t="str">
        <f t="shared" si="55"/>
        <v>y</v>
      </c>
      <c r="AT26" s="91">
        <f t="shared" si="21"/>
        <v>12</v>
      </c>
      <c r="AU26" s="39">
        <v>19</v>
      </c>
      <c r="AV26" s="39">
        <v>0</v>
      </c>
      <c r="AW26" s="114">
        <v>464384.78129999997</v>
      </c>
      <c r="AX26" s="114">
        <v>7611405.25</v>
      </c>
      <c r="AY26" s="39">
        <v>5000</v>
      </c>
      <c r="AZ26" s="39">
        <v>15</v>
      </c>
      <c r="BA26" s="121">
        <v>1E-3</v>
      </c>
      <c r="BB26" s="114">
        <v>854</v>
      </c>
      <c r="BC26" s="122">
        <f t="shared" si="30"/>
        <v>3</v>
      </c>
      <c r="BD26" s="121">
        <v>3.0000000000000001E-5</v>
      </c>
      <c r="BE26" s="121">
        <v>2.9999999999999898E-2</v>
      </c>
      <c r="BF26" s="54">
        <f t="shared" si="31"/>
        <v>2</v>
      </c>
      <c r="BG26" s="54">
        <v>1</v>
      </c>
      <c r="BH26" s="54">
        <v>0</v>
      </c>
      <c r="BI26" s="3"/>
      <c r="BJ26" s="39">
        <f t="shared" si="44"/>
        <v>19</v>
      </c>
      <c r="BK26" s="54"/>
      <c r="BL26" s="54"/>
      <c r="BM26" s="40">
        <f t="shared" si="32"/>
        <v>18</v>
      </c>
      <c r="BN26" s="54"/>
      <c r="BO26" s="54"/>
      <c r="BP26" s="40">
        <f t="shared" si="45"/>
        <v>-20</v>
      </c>
      <c r="BQ26" s="72"/>
      <c r="BR26" s="72"/>
      <c r="BS26" s="59"/>
      <c r="BT26" s="110">
        <f t="shared" si="23"/>
        <v>19</v>
      </c>
      <c r="BU26" s="105">
        <f>IF(ISNUMBER(BN26),BN26,BM26)</f>
        <v>18</v>
      </c>
      <c r="BV26" s="105">
        <f>IF(ISNUMBER(BQ26),IF(ISNUMBER(BR26),BR26,BQ26),IF(BP26=$BP$7,"",BP26))</f>
        <v>-20</v>
      </c>
      <c r="BW26" s="105" t="str">
        <f>IF(ISNUMBER(BR26),BQ26,"")</f>
        <v/>
      </c>
      <c r="BX26" s="4"/>
      <c r="BY26" s="110">
        <f>IF(ISNUMBER(BJ26),BJ26,"")</f>
        <v>19</v>
      </c>
      <c r="BZ26" s="54">
        <f>IF(ISNUMBER(BK26),_xlfn.CONCAT(BK26,",",BL26),BJ26)</f>
        <v>19</v>
      </c>
      <c r="CA26" s="54">
        <f>IF(ISNUMBER(BN26),_xlfn.CONCAT(BN26,",",BO26),IF(OR(BM26=$BM$7,ISNUMBER(BM26)),BM26,""))</f>
        <v>18</v>
      </c>
      <c r="CB26" s="72">
        <f>IF(ISNUMBER(BQ26),_xlfn.CONCAT(BQ26,",",BR26),IF(OR(ISNUMBER(BP26),BP26=$BP$7),BP26,""))</f>
        <v>-20</v>
      </c>
      <c r="CC26" s="40" t="str">
        <f>_xlfn.CONCAT(AB26,AC26)</f>
        <v>54</v>
      </c>
      <c r="CD26" s="40" t="str">
        <f>_xlfn.CONCAT(AG26,AH26)</f>
        <v>82</v>
      </c>
      <c r="CE26" s="119">
        <f t="shared" si="24"/>
        <v>19</v>
      </c>
      <c r="CF26" s="3"/>
      <c r="CG26" s="3"/>
      <c r="CH26" s="39">
        <v>15</v>
      </c>
      <c r="CI26" s="39">
        <f t="shared" si="56"/>
        <v>14</v>
      </c>
      <c r="CJ26" s="39" t="s">
        <v>101</v>
      </c>
      <c r="CK26" s="135">
        <v>1066.819</v>
      </c>
      <c r="CL26" s="90"/>
      <c r="CM26" s="90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</row>
    <row r="27" spans="1:103" ht="11.1" customHeight="1" x14ac:dyDescent="0.25">
      <c r="A27" s="3"/>
      <c r="B27" s="3"/>
      <c r="C27" s="3"/>
      <c r="D27" s="3"/>
      <c r="E27" s="3"/>
      <c r="F27" s="101">
        <v>7</v>
      </c>
      <c r="G27" s="101">
        <v>8</v>
      </c>
      <c r="H27" s="29" t="s">
        <v>7</v>
      </c>
      <c r="I27" s="30" t="s">
        <v>57</v>
      </c>
      <c r="J27" s="30">
        <v>1049.25</v>
      </c>
      <c r="K27" s="14"/>
      <c r="L27" s="27">
        <f t="shared" si="25"/>
        <v>779.92387449032481</v>
      </c>
      <c r="M27" s="14"/>
      <c r="N27" s="61">
        <f t="shared" si="4"/>
        <v>20</v>
      </c>
      <c r="O27" s="6">
        <f t="shared" si="5"/>
        <v>21</v>
      </c>
      <c r="P27" s="38" t="str">
        <f t="shared" si="6"/>
        <v/>
      </c>
      <c r="Q27" s="28">
        <f t="shared" si="7"/>
        <v>21</v>
      </c>
      <c r="R27" s="48">
        <f t="shared" si="8"/>
        <v>464297.28129999997</v>
      </c>
      <c r="S27" s="48">
        <f t="shared" si="9"/>
        <v>7610630.25</v>
      </c>
      <c r="T27" s="29"/>
      <c r="U27" s="30"/>
      <c r="V27" s="48">
        <f t="shared" si="10"/>
        <v>847</v>
      </c>
      <c r="W27" s="25">
        <f t="shared" si="11"/>
        <v>125</v>
      </c>
      <c r="X27" s="25">
        <f t="shared" si="12"/>
        <v>2700</v>
      </c>
      <c r="Y27" s="63">
        <f t="shared" si="13"/>
        <v>20</v>
      </c>
      <c r="Z27" s="27">
        <f t="shared" si="26"/>
        <v>7</v>
      </c>
      <c r="AA27" s="39">
        <f>IF(Z27&lt;0,MAX(AA$6:AA26)+1,0)</f>
        <v>0</v>
      </c>
      <c r="AB27" s="39">
        <f t="shared" si="14"/>
        <v>5</v>
      </c>
      <c r="AC27" s="39">
        <f t="shared" si="27"/>
        <v>5</v>
      </c>
      <c r="AD27" s="19"/>
      <c r="AE27" s="90">
        <f t="shared" si="57"/>
        <v>3</v>
      </c>
      <c r="AF27" s="90">
        <v>-1</v>
      </c>
      <c r="AG27" s="39">
        <f t="shared" si="58"/>
        <v>8</v>
      </c>
      <c r="AH27" s="39">
        <v>3</v>
      </c>
      <c r="AI27" s="16"/>
      <c r="AJ27" s="40">
        <f t="shared" si="46"/>
        <v>7614955.25</v>
      </c>
      <c r="AK27" s="40">
        <f t="shared" si="47"/>
        <v>7614180.25</v>
      </c>
      <c r="AL27" s="40">
        <f t="shared" si="48"/>
        <v>7613492.75</v>
      </c>
      <c r="AM27" s="40">
        <f t="shared" si="49"/>
        <v>7613092.75</v>
      </c>
      <c r="AN27" s="40">
        <f t="shared" si="50"/>
        <v>7610630.25</v>
      </c>
      <c r="AO27" s="40">
        <f t="shared" si="51"/>
        <v>7609892.75</v>
      </c>
      <c r="AP27" s="40">
        <f t="shared" si="52"/>
        <v>7607930.25</v>
      </c>
      <c r="AQ27" s="40" t="str">
        <f t="shared" si="53"/>
        <v>y</v>
      </c>
      <c r="AR27" s="40" t="str">
        <f t="shared" si="54"/>
        <v>y</v>
      </c>
      <c r="AS27" s="40" t="str">
        <f t="shared" si="55"/>
        <v>y</v>
      </c>
      <c r="AT27" s="91">
        <f t="shared" si="21"/>
        <v>5</v>
      </c>
      <c r="AU27" s="39">
        <v>20</v>
      </c>
      <c r="AV27" s="39">
        <v>0</v>
      </c>
      <c r="AW27" s="114">
        <v>464297.28129999997</v>
      </c>
      <c r="AX27" s="114">
        <v>7610630.25</v>
      </c>
      <c r="AY27" s="39">
        <v>3500</v>
      </c>
      <c r="AZ27" s="39">
        <v>15</v>
      </c>
      <c r="BA27" s="121">
        <v>1E-3</v>
      </c>
      <c r="BB27" s="114">
        <v>847</v>
      </c>
      <c r="BC27" s="122">
        <f t="shared" si="30"/>
        <v>3</v>
      </c>
      <c r="BD27" s="121">
        <v>3.0000000000000001E-5</v>
      </c>
      <c r="BE27" s="121">
        <v>2.9999999999999898E-2</v>
      </c>
      <c r="BF27" s="54">
        <f t="shared" si="31"/>
        <v>2</v>
      </c>
      <c r="BG27" s="54">
        <v>1</v>
      </c>
      <c r="BH27" s="54">
        <v>0</v>
      </c>
      <c r="BI27" s="3"/>
      <c r="BJ27" s="39">
        <f t="shared" si="44"/>
        <v>20</v>
      </c>
      <c r="BK27" s="54"/>
      <c r="BL27" s="54"/>
      <c r="BM27" s="40">
        <f t="shared" si="32"/>
        <v>19</v>
      </c>
      <c r="BN27" s="54"/>
      <c r="BO27" s="54"/>
      <c r="BP27" s="40">
        <f t="shared" si="45"/>
        <v>-21</v>
      </c>
      <c r="BQ27" s="72"/>
      <c r="BR27" s="72"/>
      <c r="BS27" s="59"/>
      <c r="BT27" s="110">
        <f t="shared" si="23"/>
        <v>20</v>
      </c>
      <c r="BU27" s="105">
        <f>IF(ISNUMBER(BN27),BN27,BM27)</f>
        <v>19</v>
      </c>
      <c r="BV27" s="105">
        <f>IF(ISNUMBER(BQ27),IF(ISNUMBER(BR27),BR27,BQ27),IF(BP27=$BP$7,"",BP27))</f>
        <v>-21</v>
      </c>
      <c r="BW27" s="105" t="str">
        <f>IF(ISNUMBER(BR27),BQ27,"")</f>
        <v/>
      </c>
      <c r="BX27" s="4"/>
      <c r="BY27" s="110">
        <f>IF(ISNUMBER(BJ27),BJ27,"")</f>
        <v>20</v>
      </c>
      <c r="BZ27" s="54">
        <f>IF(ISNUMBER(BK27),_xlfn.CONCAT(BK27,",",BL27),BJ27)</f>
        <v>20</v>
      </c>
      <c r="CA27" s="54">
        <f>IF(ISNUMBER(BN27),_xlfn.CONCAT(BN27,",",BO27),IF(OR(BM27=$BM$7,ISNUMBER(BM27)),BM27,""))</f>
        <v>19</v>
      </c>
      <c r="CB27" s="72">
        <f>IF(ISNUMBER(BQ27),_xlfn.CONCAT(BQ27,",",BR27),IF(OR(ISNUMBER(BP27),BP27=$BP$7),BP27,""))</f>
        <v>-21</v>
      </c>
      <c r="CC27" s="40" t="str">
        <f>_xlfn.CONCAT(AB27,AC27)</f>
        <v>55</v>
      </c>
      <c r="CD27" s="40" t="str">
        <f>_xlfn.CONCAT(AG27,AH27)</f>
        <v>83</v>
      </c>
      <c r="CE27" s="119">
        <f t="shared" si="24"/>
        <v>20</v>
      </c>
      <c r="CF27" s="3"/>
      <c r="CG27" s="3"/>
      <c r="CH27" s="39">
        <v>16</v>
      </c>
      <c r="CI27" s="39">
        <f t="shared" si="56"/>
        <v>17</v>
      </c>
      <c r="CJ27" s="39" t="s">
        <v>101</v>
      </c>
      <c r="CK27" s="135">
        <v>1063.6189999999999</v>
      </c>
      <c r="CL27" s="90"/>
      <c r="CM27" s="90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spans="1:103" ht="11.1" customHeight="1" x14ac:dyDescent="0.25">
      <c r="A28" s="3"/>
      <c r="B28" s="3"/>
      <c r="C28" s="3"/>
      <c r="D28" s="3"/>
      <c r="E28" s="3"/>
      <c r="F28" s="101">
        <v>6</v>
      </c>
      <c r="G28" s="101">
        <v>8</v>
      </c>
      <c r="H28" s="29" t="s">
        <v>6</v>
      </c>
      <c r="I28" s="30" t="s">
        <v>58</v>
      </c>
      <c r="J28" s="30">
        <v>1046.25</v>
      </c>
      <c r="K28" s="14"/>
      <c r="L28" s="27">
        <f t="shared" si="25"/>
        <v>822.534193818105</v>
      </c>
      <c r="M28" s="14"/>
      <c r="N28" s="61">
        <f t="shared" si="4"/>
        <v>21</v>
      </c>
      <c r="O28" s="6">
        <f t="shared" si="5"/>
        <v>22</v>
      </c>
      <c r="P28" s="38" t="str">
        <f t="shared" si="6"/>
        <v/>
      </c>
      <c r="Q28" s="28">
        <f t="shared" si="7"/>
        <v>22</v>
      </c>
      <c r="R28" s="48">
        <f t="shared" si="8"/>
        <v>464784.78129999997</v>
      </c>
      <c r="S28" s="48">
        <f t="shared" si="9"/>
        <v>7609967.75</v>
      </c>
      <c r="T28" s="29"/>
      <c r="U28" s="30"/>
      <c r="V28" s="48">
        <f t="shared" si="10"/>
        <v>844</v>
      </c>
      <c r="W28" s="25">
        <f t="shared" si="11"/>
        <v>612.5</v>
      </c>
      <c r="X28" s="25">
        <f t="shared" si="12"/>
        <v>2037.5</v>
      </c>
      <c r="Y28" s="63">
        <f t="shared" si="13"/>
        <v>21</v>
      </c>
      <c r="Z28" s="27">
        <f t="shared" si="26"/>
        <v>3</v>
      </c>
      <c r="AA28" s="39">
        <f>IF(Z28&lt;0,MAX(AA$6:AA27)+1,0)</f>
        <v>0</v>
      </c>
      <c r="AB28" s="39">
        <f t="shared" si="14"/>
        <v>5</v>
      </c>
      <c r="AC28" s="39">
        <f t="shared" si="27"/>
        <v>6</v>
      </c>
      <c r="AD28" s="19"/>
      <c r="AE28" s="90">
        <f t="shared" si="57"/>
        <v>3</v>
      </c>
      <c r="AF28" s="90">
        <v>-1</v>
      </c>
      <c r="AG28" s="39">
        <f t="shared" si="58"/>
        <v>8</v>
      </c>
      <c r="AH28" s="39">
        <v>4</v>
      </c>
      <c r="AI28" s="16"/>
      <c r="AJ28" s="40">
        <f t="shared" si="46"/>
        <v>7614955.25</v>
      </c>
      <c r="AK28" s="40">
        <f t="shared" si="47"/>
        <v>7614180.25</v>
      </c>
      <c r="AL28" s="40">
        <f t="shared" si="48"/>
        <v>7613492.75</v>
      </c>
      <c r="AM28" s="40">
        <f t="shared" si="49"/>
        <v>7613092.75</v>
      </c>
      <c r="AN28" s="40">
        <f t="shared" si="50"/>
        <v>7609967.75</v>
      </c>
      <c r="AO28" s="40">
        <f t="shared" si="51"/>
        <v>7609892.75</v>
      </c>
      <c r="AP28" s="40">
        <f t="shared" si="52"/>
        <v>7607930.25</v>
      </c>
      <c r="AQ28" s="40" t="str">
        <f t="shared" si="53"/>
        <v>y</v>
      </c>
      <c r="AR28" s="40" t="str">
        <f t="shared" si="54"/>
        <v>y</v>
      </c>
      <c r="AS28" s="40" t="str">
        <f t="shared" si="55"/>
        <v>y</v>
      </c>
      <c r="AT28" s="91">
        <f t="shared" si="21"/>
        <v>2</v>
      </c>
      <c r="AU28" s="39">
        <v>21</v>
      </c>
      <c r="AV28" s="39">
        <v>0</v>
      </c>
      <c r="AW28" s="114">
        <v>464784.78129999997</v>
      </c>
      <c r="AX28" s="114">
        <v>7609967.75</v>
      </c>
      <c r="AY28" s="39">
        <v>2500</v>
      </c>
      <c r="AZ28" s="39">
        <v>15</v>
      </c>
      <c r="BA28" s="121">
        <v>1E-3</v>
      </c>
      <c r="BB28" s="114">
        <v>844</v>
      </c>
      <c r="BC28" s="122">
        <f t="shared" si="30"/>
        <v>3</v>
      </c>
      <c r="BD28" s="121">
        <v>3.0000000000000001E-5</v>
      </c>
      <c r="BE28" s="121">
        <v>2.9999999999999898E-2</v>
      </c>
      <c r="BF28" s="54">
        <f t="shared" si="31"/>
        <v>2</v>
      </c>
      <c r="BG28" s="54">
        <v>1</v>
      </c>
      <c r="BH28" s="54">
        <v>0</v>
      </c>
      <c r="BI28" s="3"/>
      <c r="BJ28" s="102">
        <f>BJ27+1</f>
        <v>21</v>
      </c>
      <c r="BK28" s="54"/>
      <c r="BL28" s="54"/>
      <c r="BM28" s="40">
        <f t="shared" si="32"/>
        <v>20</v>
      </c>
      <c r="BN28" s="54"/>
      <c r="BO28" s="54"/>
      <c r="BP28" s="40">
        <f t="shared" si="45"/>
        <v>-22</v>
      </c>
      <c r="BQ28" s="102">
        <f>BP28-5</f>
        <v>-27</v>
      </c>
      <c r="BR28" s="72"/>
      <c r="BS28" s="59"/>
      <c r="BT28" s="110">
        <f t="shared" si="23"/>
        <v>21</v>
      </c>
      <c r="BU28" s="105">
        <f>IF(ISNUMBER(BN28),BN28,BM28)</f>
        <v>20</v>
      </c>
      <c r="BV28" s="105">
        <f>IF(ISNUMBER(BQ28),IF(ISNUMBER(BR28),BR28,BQ28),IF(BP28=$BP$7,"",BP28))</f>
        <v>-27</v>
      </c>
      <c r="BW28" s="105" t="str">
        <f>IF(ISNUMBER(BR28),BQ28,"")</f>
        <v/>
      </c>
      <c r="BX28" s="4"/>
      <c r="BY28" s="110">
        <f>IF(ISNUMBER(BJ28),BJ28,"")</f>
        <v>21</v>
      </c>
      <c r="BZ28" s="54">
        <f>IF(ISNUMBER(BK28),_xlfn.CONCAT(BK28,",",BL28),BJ28)</f>
        <v>21</v>
      </c>
      <c r="CA28" s="54">
        <f>IF(ISNUMBER(BN28),_xlfn.CONCAT(BN28,",",BO28),IF(OR(BM28=$BM$7,ISNUMBER(BM28)),BM28,""))</f>
        <v>20</v>
      </c>
      <c r="CB28" s="72" t="str">
        <f>IF(ISNUMBER(BQ28),_xlfn.CONCAT(BQ28,",",BR28),IF(OR(ISNUMBER(BP28),BP28=$BP$7),BP28,""))</f>
        <v>-27,</v>
      </c>
      <c r="CC28" s="40" t="str">
        <f>_xlfn.CONCAT(AB28,AC28)</f>
        <v>56</v>
      </c>
      <c r="CD28" s="40" t="str">
        <f>_xlfn.CONCAT(AG28,AH28)</f>
        <v>84</v>
      </c>
      <c r="CE28" s="119">
        <f t="shared" si="24"/>
        <v>21</v>
      </c>
      <c r="CF28" s="3"/>
      <c r="CG28" s="3"/>
      <c r="CH28" s="39">
        <v>17</v>
      </c>
      <c r="CI28" s="39">
        <f t="shared" si="56"/>
        <v>27</v>
      </c>
      <c r="CJ28" s="39" t="s">
        <v>101</v>
      </c>
      <c r="CK28" s="135">
        <v>1061.5809999999999</v>
      </c>
      <c r="CL28" s="90"/>
      <c r="CM28" s="90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spans="1:103" ht="11.1" customHeight="1" x14ac:dyDescent="0.25">
      <c r="A29" s="3"/>
      <c r="B29" s="3"/>
      <c r="C29" s="3"/>
      <c r="D29" s="3"/>
      <c r="E29" s="3"/>
      <c r="F29" s="101">
        <v>6</v>
      </c>
      <c r="G29" s="101">
        <v>9</v>
      </c>
      <c r="H29" s="29" t="s">
        <v>12</v>
      </c>
      <c r="I29" s="30" t="s">
        <v>59</v>
      </c>
      <c r="J29" s="30">
        <v>1042.7270000000001</v>
      </c>
      <c r="K29" s="14"/>
      <c r="L29" s="27">
        <f t="shared" si="25"/>
        <v>3500.0892845754665</v>
      </c>
      <c r="M29" s="14"/>
      <c r="N29" s="61">
        <f t="shared" si="4"/>
        <v>22</v>
      </c>
      <c r="O29" s="6">
        <f t="shared" si="5"/>
        <v>23</v>
      </c>
      <c r="P29" s="38" t="str">
        <f t="shared" si="6"/>
        <v/>
      </c>
      <c r="Q29" s="28">
        <f t="shared" si="7"/>
        <v>23</v>
      </c>
      <c r="R29" s="48">
        <f t="shared" si="8"/>
        <v>468284.78129999997</v>
      </c>
      <c r="S29" s="48">
        <f t="shared" si="9"/>
        <v>7609942.75</v>
      </c>
      <c r="T29" s="29"/>
      <c r="U29" s="30"/>
      <c r="V29" s="48">
        <f t="shared" si="10"/>
        <v>928</v>
      </c>
      <c r="W29" s="25">
        <f t="shared" si="11"/>
        <v>4112.5</v>
      </c>
      <c r="X29" s="25">
        <f t="shared" si="12"/>
        <v>2012.5</v>
      </c>
      <c r="Y29" s="63">
        <f t="shared" si="13"/>
        <v>22</v>
      </c>
      <c r="Z29" s="27">
        <f t="shared" si="26"/>
        <v>-84</v>
      </c>
      <c r="AA29" s="39">
        <f>IF(Z29&lt;0,MAX(AA$6:AA28)+1,0)</f>
        <v>6</v>
      </c>
      <c r="AB29" s="39">
        <f t="shared" si="14"/>
        <v>6</v>
      </c>
      <c r="AC29" s="39">
        <f t="shared" si="27"/>
        <v>1</v>
      </c>
      <c r="AD29" s="19"/>
      <c r="AE29" s="90">
        <f t="shared" si="57"/>
        <v>3</v>
      </c>
      <c r="AF29" s="90">
        <v>0</v>
      </c>
      <c r="AG29" s="39">
        <f t="shared" si="58"/>
        <v>9</v>
      </c>
      <c r="AH29" s="39">
        <f t="shared" ref="AH29:AH35" si="59">IF(ISNUMBER(S29),AC29+AF29,"")</f>
        <v>1</v>
      </c>
      <c r="AI29" s="16"/>
      <c r="AJ29" s="40">
        <f t="shared" si="46"/>
        <v>7614955.25</v>
      </c>
      <c r="AK29" s="40">
        <f t="shared" si="47"/>
        <v>7614180.25</v>
      </c>
      <c r="AL29" s="40">
        <f t="shared" si="48"/>
        <v>7613492.75</v>
      </c>
      <c r="AM29" s="40">
        <f t="shared" si="49"/>
        <v>7613092.75</v>
      </c>
      <c r="AN29" s="40">
        <f t="shared" si="50"/>
        <v>7609967.75</v>
      </c>
      <c r="AO29" s="40">
        <f t="shared" si="51"/>
        <v>7609892.75</v>
      </c>
      <c r="AP29" s="40">
        <f t="shared" si="52"/>
        <v>7607930.25</v>
      </c>
      <c r="AQ29" s="40" t="str">
        <f t="shared" si="53"/>
        <v>y</v>
      </c>
      <c r="AR29" s="40" t="str">
        <f t="shared" si="54"/>
        <v>y</v>
      </c>
      <c r="AS29" s="40" t="str">
        <f t="shared" si="55"/>
        <v>y</v>
      </c>
      <c r="AT29" s="91">
        <f t="shared" si="21"/>
        <v>86</v>
      </c>
      <c r="AU29" s="39">
        <v>22</v>
      </c>
      <c r="AV29" s="39">
        <v>0</v>
      </c>
      <c r="AW29" s="114">
        <v>468284.78129999997</v>
      </c>
      <c r="AX29" s="114">
        <v>7609942.75</v>
      </c>
      <c r="AY29" s="39">
        <v>5000</v>
      </c>
      <c r="AZ29" s="39">
        <v>12</v>
      </c>
      <c r="BA29" s="121">
        <v>9.0909091999999902E-4</v>
      </c>
      <c r="BB29" s="114">
        <v>928</v>
      </c>
      <c r="BC29" s="122">
        <f t="shared" si="30"/>
        <v>3</v>
      </c>
      <c r="BD29" s="121">
        <v>3.0000000000000001E-5</v>
      </c>
      <c r="BE29" s="121">
        <v>2.9999999999999898E-2</v>
      </c>
      <c r="BF29" s="54">
        <f t="shared" si="31"/>
        <v>1</v>
      </c>
      <c r="BG29" s="54">
        <v>1</v>
      </c>
      <c r="BH29" s="54">
        <v>0</v>
      </c>
      <c r="BI29" s="3"/>
      <c r="BJ29" s="39">
        <f t="shared" si="44"/>
        <v>22</v>
      </c>
      <c r="BK29" s="54"/>
      <c r="BL29" s="54"/>
      <c r="BM29" s="40">
        <f t="shared" si="32"/>
        <v>21</v>
      </c>
      <c r="BN29" s="107">
        <f>-1*(BM30+1)</f>
        <v>-23</v>
      </c>
      <c r="BO29" s="54"/>
      <c r="BP29" s="105" t="s">
        <v>87</v>
      </c>
      <c r="BQ29" s="72"/>
      <c r="BR29" s="72"/>
      <c r="BS29" s="59"/>
      <c r="BT29" s="110">
        <f t="shared" si="23"/>
        <v>22</v>
      </c>
      <c r="BU29" s="105">
        <f>IF(ISNUMBER(BN29),BN29,BM29)</f>
        <v>-23</v>
      </c>
      <c r="BV29" s="105" t="str">
        <f>IF(ISNUMBER(BQ29),IF(ISNUMBER(BR29),BR29,BQ29),IF(BP29=$BP$7,"",BP29))</f>
        <v/>
      </c>
      <c r="BW29" s="105" t="str">
        <f>IF(ISNUMBER(BR29),BQ29,"")</f>
        <v/>
      </c>
      <c r="BX29" s="4"/>
      <c r="BY29" s="110">
        <f>IF(ISNUMBER(BJ29),BJ29,"")</f>
        <v>22</v>
      </c>
      <c r="BZ29" s="54">
        <f>IF(ISNUMBER(BK29),_xlfn.CONCAT(BK29,",",BL29),BJ29)</f>
        <v>22</v>
      </c>
      <c r="CA29" s="54" t="str">
        <f>IF(ISNUMBER(BN29),_xlfn.CONCAT(BN29,",",BO29),IF(OR(BM29=$BM$7,ISNUMBER(BM29)),BM29,""))</f>
        <v>-23,</v>
      </c>
      <c r="CB29" s="72" t="str">
        <f>IF(ISNUMBER(BQ29),_xlfn.CONCAT(BQ29,",",BR29),IF(OR(ISNUMBER(BP29),BP29=$BP$7),BP29,""))</f>
        <v>|</v>
      </c>
      <c r="CC29" s="40" t="str">
        <f>_xlfn.CONCAT(AB29,AC29)</f>
        <v>61</v>
      </c>
      <c r="CD29" s="40" t="str">
        <f>_xlfn.CONCAT(AG29,AH29)</f>
        <v>91</v>
      </c>
      <c r="CE29" s="120">
        <f t="shared" si="24"/>
        <v>22</v>
      </c>
      <c r="CF29" s="3"/>
      <c r="CG29" s="3"/>
      <c r="CH29" s="3"/>
      <c r="CI29" s="19"/>
      <c r="CJ29" s="19"/>
      <c r="CK29" s="19"/>
      <c r="CL29" s="19"/>
      <c r="CM29" s="19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spans="1:103" ht="11.1" customHeight="1" x14ac:dyDescent="0.25">
      <c r="A30" s="3"/>
      <c r="B30" s="3"/>
      <c r="C30" s="3"/>
      <c r="D30" s="3"/>
      <c r="E30" s="3"/>
      <c r="F30" s="101">
        <v>7</v>
      </c>
      <c r="G30" s="101">
        <v>10</v>
      </c>
      <c r="H30" s="29" t="s">
        <v>11</v>
      </c>
      <c r="I30" s="30" t="s">
        <v>60</v>
      </c>
      <c r="J30" s="30">
        <v>1038.182</v>
      </c>
      <c r="K30" s="14"/>
      <c r="L30" s="27">
        <f t="shared" si="25"/>
        <v>1662.5469918170734</v>
      </c>
      <c r="M30" s="14"/>
      <c r="N30" s="61">
        <f t="shared" si="4"/>
        <v>23</v>
      </c>
      <c r="O30" s="6">
        <f t="shared" si="5"/>
        <v>24</v>
      </c>
      <c r="P30" s="38" t="str">
        <f t="shared" si="6"/>
        <v/>
      </c>
      <c r="Q30" s="28">
        <f t="shared" si="7"/>
        <v>24</v>
      </c>
      <c r="R30" s="48">
        <f t="shared" si="8"/>
        <v>466622.28129999997</v>
      </c>
      <c r="S30" s="48">
        <f t="shared" si="9"/>
        <v>7609955.25</v>
      </c>
      <c r="T30" s="29"/>
      <c r="U30" s="30"/>
      <c r="V30" s="48">
        <f t="shared" si="10"/>
        <v>895</v>
      </c>
      <c r="W30" s="25">
        <f t="shared" si="11"/>
        <v>2450</v>
      </c>
      <c r="X30" s="25">
        <f t="shared" si="12"/>
        <v>2025</v>
      </c>
      <c r="Y30" s="63">
        <f t="shared" si="13"/>
        <v>23</v>
      </c>
      <c r="Z30" s="27">
        <f t="shared" si="26"/>
        <v>33</v>
      </c>
      <c r="AA30" s="39">
        <f>IF(Z30&lt;0,MAX(AA$6:AA29)+1,0)</f>
        <v>0</v>
      </c>
      <c r="AB30" s="39">
        <f t="shared" si="14"/>
        <v>6</v>
      </c>
      <c r="AC30" s="39">
        <f t="shared" si="27"/>
        <v>2</v>
      </c>
      <c r="AD30" s="19"/>
      <c r="AE30" s="90">
        <f t="shared" si="57"/>
        <v>3</v>
      </c>
      <c r="AF30" s="90">
        <v>0</v>
      </c>
      <c r="AG30" s="39">
        <f t="shared" si="58"/>
        <v>9</v>
      </c>
      <c r="AH30" s="39">
        <f t="shared" si="59"/>
        <v>2</v>
      </c>
      <c r="AI30" s="16"/>
      <c r="AJ30" s="40">
        <f t="shared" si="46"/>
        <v>7614955.25</v>
      </c>
      <c r="AK30" s="40">
        <f t="shared" si="47"/>
        <v>7614180.25</v>
      </c>
      <c r="AL30" s="40">
        <f t="shared" si="48"/>
        <v>7613492.75</v>
      </c>
      <c r="AM30" s="40">
        <f t="shared" si="49"/>
        <v>7613092.75</v>
      </c>
      <c r="AN30" s="40">
        <f t="shared" si="50"/>
        <v>7609967.75</v>
      </c>
      <c r="AO30" s="40">
        <f t="shared" si="51"/>
        <v>7609892.75</v>
      </c>
      <c r="AP30" s="40">
        <f t="shared" si="52"/>
        <v>7607930.25</v>
      </c>
      <c r="AQ30" s="40" t="str">
        <f t="shared" si="53"/>
        <v>y</v>
      </c>
      <c r="AR30" s="40" t="str">
        <f t="shared" si="54"/>
        <v>y</v>
      </c>
      <c r="AS30" s="40" t="str">
        <f t="shared" si="55"/>
        <v>y</v>
      </c>
      <c r="AT30" s="91">
        <f t="shared" si="21"/>
        <v>53</v>
      </c>
      <c r="AU30" s="39">
        <v>23</v>
      </c>
      <c r="AV30" s="39">
        <v>0</v>
      </c>
      <c r="AW30" s="114">
        <v>466622.28129999997</v>
      </c>
      <c r="AX30" s="114">
        <v>7609955.25</v>
      </c>
      <c r="AY30" s="39">
        <v>5000</v>
      </c>
      <c r="AZ30" s="39">
        <v>12</v>
      </c>
      <c r="BA30" s="121">
        <v>9.0909091999999902E-4</v>
      </c>
      <c r="BB30" s="114">
        <v>895</v>
      </c>
      <c r="BC30" s="122">
        <f t="shared" si="30"/>
        <v>3</v>
      </c>
      <c r="BD30" s="121">
        <v>3.0000000000000001E-5</v>
      </c>
      <c r="BE30" s="121">
        <v>2.9999999999999898E-2</v>
      </c>
      <c r="BF30" s="54">
        <f t="shared" si="31"/>
        <v>2</v>
      </c>
      <c r="BG30" s="54">
        <v>1</v>
      </c>
      <c r="BH30" s="54">
        <v>0</v>
      </c>
      <c r="BI30" s="3"/>
      <c r="BJ30" s="39">
        <f t="shared" si="44"/>
        <v>23</v>
      </c>
      <c r="BK30" s="54"/>
      <c r="BL30" s="54"/>
      <c r="BM30" s="40">
        <f t="shared" si="32"/>
        <v>22</v>
      </c>
      <c r="BN30" s="54"/>
      <c r="BO30" s="54"/>
      <c r="BP30" s="40">
        <f>BP28-2</f>
        <v>-24</v>
      </c>
      <c r="BQ30" s="72"/>
      <c r="BR30" s="72"/>
      <c r="BS30" s="59"/>
      <c r="BT30" s="110">
        <f t="shared" si="23"/>
        <v>23</v>
      </c>
      <c r="BU30" s="105">
        <f>IF(ISNUMBER(BN30),BN30,BM30)</f>
        <v>22</v>
      </c>
      <c r="BV30" s="105">
        <f>IF(ISNUMBER(BQ30),IF(ISNUMBER(BR30),BR30,BQ30),IF(BP30=$BP$7,"",BP30))</f>
        <v>-24</v>
      </c>
      <c r="BW30" s="105" t="str">
        <f>IF(ISNUMBER(BR30),BQ30,"")</f>
        <v/>
      </c>
      <c r="BX30" s="4"/>
      <c r="BY30" s="110">
        <f>IF(ISNUMBER(BJ30),BJ30,"")</f>
        <v>23</v>
      </c>
      <c r="BZ30" s="54">
        <f>IF(ISNUMBER(BK30),_xlfn.CONCAT(BK30,",",BL30),BJ30)</f>
        <v>23</v>
      </c>
      <c r="CA30" s="54">
        <f>IF(ISNUMBER(BN30),_xlfn.CONCAT(BN30,",",BO30),IF(OR(BM30=$BM$7,ISNUMBER(BM30)),BM30,""))</f>
        <v>22</v>
      </c>
      <c r="CB30" s="72">
        <f>IF(ISNUMBER(BQ30),_xlfn.CONCAT(BQ30,",",BR30),IF(OR(ISNUMBER(BP30),BP30=$BP$7),BP30,""))</f>
        <v>-24</v>
      </c>
      <c r="CC30" s="40" t="str">
        <f>_xlfn.CONCAT(AB30,AC30)</f>
        <v>62</v>
      </c>
      <c r="CD30" s="40" t="str">
        <f>_xlfn.CONCAT(AG30,AH30)</f>
        <v>92</v>
      </c>
      <c r="CE30" s="119">
        <f t="shared" si="24"/>
        <v>23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spans="1:103" ht="11.1" customHeight="1" x14ac:dyDescent="0.25">
      <c r="A31" s="3"/>
      <c r="B31" s="3"/>
      <c r="C31" s="3"/>
      <c r="D31" s="3"/>
      <c r="E31" s="3"/>
      <c r="F31" s="101">
        <v>7</v>
      </c>
      <c r="G31" s="101">
        <v>11</v>
      </c>
      <c r="H31" s="29" t="s">
        <v>10</v>
      </c>
      <c r="I31" s="30" t="s">
        <v>61</v>
      </c>
      <c r="J31" s="30">
        <v>1033.63599999999</v>
      </c>
      <c r="K31" s="14"/>
      <c r="L31" s="27">
        <f t="shared" si="25"/>
        <v>733.67652954145944</v>
      </c>
      <c r="M31" s="14"/>
      <c r="N31" s="61">
        <f t="shared" si="4"/>
        <v>24</v>
      </c>
      <c r="O31" s="6">
        <f t="shared" si="5"/>
        <v>25</v>
      </c>
      <c r="P31" s="38" t="str">
        <f t="shared" si="6"/>
        <v/>
      </c>
      <c r="Q31" s="28">
        <f t="shared" si="7"/>
        <v>25</v>
      </c>
      <c r="R31" s="48">
        <f t="shared" si="8"/>
        <v>466097.28129999997</v>
      </c>
      <c r="S31" s="48">
        <f t="shared" si="9"/>
        <v>7610467.75</v>
      </c>
      <c r="T31" s="29"/>
      <c r="U31" s="30"/>
      <c r="V31" s="48">
        <f t="shared" si="10"/>
        <v>865</v>
      </c>
      <c r="W31" s="25">
        <f t="shared" si="11"/>
        <v>1925</v>
      </c>
      <c r="X31" s="25">
        <f t="shared" si="12"/>
        <v>2537.5</v>
      </c>
      <c r="Y31" s="63">
        <f t="shared" si="13"/>
        <v>24</v>
      </c>
      <c r="Z31" s="27">
        <f t="shared" si="26"/>
        <v>30</v>
      </c>
      <c r="AA31" s="39">
        <f>IF(Z31&lt;0,MAX(AA$6:AA30)+1,0)</f>
        <v>0</v>
      </c>
      <c r="AB31" s="39">
        <f t="shared" si="14"/>
        <v>6</v>
      </c>
      <c r="AC31" s="39">
        <f t="shared" si="27"/>
        <v>3</v>
      </c>
      <c r="AD31" s="19"/>
      <c r="AE31" s="90">
        <f t="shared" si="57"/>
        <v>3</v>
      </c>
      <c r="AF31" s="90">
        <v>0</v>
      </c>
      <c r="AG31" s="39">
        <f t="shared" si="58"/>
        <v>9</v>
      </c>
      <c r="AH31" s="39">
        <f t="shared" si="59"/>
        <v>3</v>
      </c>
      <c r="AI31" s="16"/>
      <c r="AJ31" s="40">
        <f t="shared" si="46"/>
        <v>7614955.25</v>
      </c>
      <c r="AK31" s="40">
        <f t="shared" si="47"/>
        <v>7614180.25</v>
      </c>
      <c r="AL31" s="40">
        <f t="shared" si="48"/>
        <v>7613492.75</v>
      </c>
      <c r="AM31" s="40">
        <f t="shared" si="49"/>
        <v>7613092.75</v>
      </c>
      <c r="AN31" s="40">
        <f t="shared" si="50"/>
        <v>7609967.75</v>
      </c>
      <c r="AO31" s="40">
        <f t="shared" si="51"/>
        <v>7609892.75</v>
      </c>
      <c r="AP31" s="40">
        <f t="shared" si="52"/>
        <v>7607930.25</v>
      </c>
      <c r="AQ31" s="40" t="str">
        <f t="shared" si="53"/>
        <v>y</v>
      </c>
      <c r="AR31" s="40" t="str">
        <f t="shared" si="54"/>
        <v>y</v>
      </c>
      <c r="AS31" s="40" t="str">
        <f t="shared" si="55"/>
        <v>y</v>
      </c>
      <c r="AT31" s="91">
        <f t="shared" si="21"/>
        <v>23</v>
      </c>
      <c r="AU31" s="39">
        <v>24</v>
      </c>
      <c r="AV31" s="39">
        <v>0</v>
      </c>
      <c r="AW31" s="114">
        <v>466097.28129999997</v>
      </c>
      <c r="AX31" s="114">
        <v>7610467.75</v>
      </c>
      <c r="AY31" s="39">
        <v>5000</v>
      </c>
      <c r="AZ31" s="39">
        <v>12</v>
      </c>
      <c r="BA31" s="121">
        <v>9.0909091999999902E-4</v>
      </c>
      <c r="BB31" s="114">
        <v>865</v>
      </c>
      <c r="BC31" s="122">
        <f t="shared" si="30"/>
        <v>3</v>
      </c>
      <c r="BD31" s="121">
        <v>3.0000000000000001E-5</v>
      </c>
      <c r="BE31" s="121">
        <v>2.9999999999999898E-2</v>
      </c>
      <c r="BF31" s="54">
        <f t="shared" si="31"/>
        <v>2</v>
      </c>
      <c r="BG31" s="54">
        <v>1</v>
      </c>
      <c r="BH31" s="54">
        <v>0</v>
      </c>
      <c r="BI31" s="3"/>
      <c r="BJ31" s="39">
        <f t="shared" si="44"/>
        <v>24</v>
      </c>
      <c r="BK31" s="54"/>
      <c r="BL31" s="54"/>
      <c r="BM31" s="40">
        <f t="shared" si="32"/>
        <v>23</v>
      </c>
      <c r="BN31" s="54"/>
      <c r="BO31" s="54"/>
      <c r="BP31" s="40">
        <f t="shared" si="45"/>
        <v>-25</v>
      </c>
      <c r="BQ31" s="72"/>
      <c r="BR31" s="72"/>
      <c r="BS31" s="59"/>
      <c r="BT31" s="110">
        <f t="shared" si="23"/>
        <v>24</v>
      </c>
      <c r="BU31" s="105">
        <f>IF(ISNUMBER(BN31),BN31,BM31)</f>
        <v>23</v>
      </c>
      <c r="BV31" s="105">
        <f>IF(ISNUMBER(BQ31),IF(ISNUMBER(BR31),BR31,BQ31),IF(BP31=$BP$7,"",BP31))</f>
        <v>-25</v>
      </c>
      <c r="BW31" s="105" t="str">
        <f>IF(ISNUMBER(BR31),BQ31,"")</f>
        <v/>
      </c>
      <c r="BX31" s="4"/>
      <c r="BY31" s="110">
        <f>IF(ISNUMBER(BJ31),BJ31,"")</f>
        <v>24</v>
      </c>
      <c r="BZ31" s="54">
        <f>IF(ISNUMBER(BK31),_xlfn.CONCAT(BK31,",",BL31),BJ31)</f>
        <v>24</v>
      </c>
      <c r="CA31" s="54">
        <f>IF(ISNUMBER(BN31),_xlfn.CONCAT(BN31,",",BO31),IF(OR(BM31=$BM$7,ISNUMBER(BM31)),BM31,""))</f>
        <v>23</v>
      </c>
      <c r="CB31" s="72">
        <f>IF(ISNUMBER(BQ31),_xlfn.CONCAT(BQ31,",",BR31),IF(OR(ISNUMBER(BP31),BP31=$BP$7),BP31,""))</f>
        <v>-25</v>
      </c>
      <c r="CC31" s="40" t="str">
        <f>_xlfn.CONCAT(AB31,AC31)</f>
        <v>63</v>
      </c>
      <c r="CD31" s="40" t="str">
        <f>_xlfn.CONCAT(AG31,AH31)</f>
        <v>93</v>
      </c>
      <c r="CE31" s="119">
        <f t="shared" si="24"/>
        <v>24</v>
      </c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spans="1:103" ht="11.1" customHeight="1" x14ac:dyDescent="0.25">
      <c r="A32" s="3"/>
      <c r="B32" s="3"/>
      <c r="C32" s="3"/>
      <c r="D32" s="3"/>
      <c r="E32" s="3"/>
      <c r="F32" s="101">
        <v>7</v>
      </c>
      <c r="G32" s="101">
        <v>12</v>
      </c>
      <c r="H32" s="29" t="s">
        <v>9</v>
      </c>
      <c r="I32" s="30" t="s">
        <v>62</v>
      </c>
      <c r="J32" s="30">
        <v>1029.0909999999899</v>
      </c>
      <c r="K32" s="14"/>
      <c r="L32" s="27">
        <f t="shared" si="25"/>
        <v>563.74861418898411</v>
      </c>
      <c r="M32" s="14"/>
      <c r="N32" s="61">
        <f t="shared" si="4"/>
        <v>25</v>
      </c>
      <c r="O32" s="6">
        <f t="shared" si="5"/>
        <v>26</v>
      </c>
      <c r="P32" s="38" t="str">
        <f t="shared" si="6"/>
        <v/>
      </c>
      <c r="Q32" s="28">
        <f t="shared" si="7"/>
        <v>26</v>
      </c>
      <c r="R32" s="48">
        <f t="shared" si="8"/>
        <v>465534.78129999997</v>
      </c>
      <c r="S32" s="48">
        <f t="shared" si="9"/>
        <v>7610505.25</v>
      </c>
      <c r="T32" s="29"/>
      <c r="U32" s="30"/>
      <c r="V32" s="48">
        <f t="shared" si="10"/>
        <v>856</v>
      </c>
      <c r="W32" s="25">
        <f t="shared" si="11"/>
        <v>1362.5</v>
      </c>
      <c r="X32" s="25">
        <f t="shared" si="12"/>
        <v>2575</v>
      </c>
      <c r="Y32" s="63">
        <f t="shared" si="13"/>
        <v>25</v>
      </c>
      <c r="Z32" s="27">
        <f t="shared" si="26"/>
        <v>9</v>
      </c>
      <c r="AA32" s="39">
        <f>IF(Z32&lt;0,MAX(AA$6:AA31)+1,0)</f>
        <v>0</v>
      </c>
      <c r="AB32" s="39">
        <f t="shared" si="14"/>
        <v>6</v>
      </c>
      <c r="AC32" s="39">
        <f t="shared" si="27"/>
        <v>4</v>
      </c>
      <c r="AD32" s="19"/>
      <c r="AE32" s="90">
        <f t="shared" si="57"/>
        <v>3</v>
      </c>
      <c r="AF32" s="90">
        <v>0</v>
      </c>
      <c r="AG32" s="39">
        <f t="shared" si="58"/>
        <v>9</v>
      </c>
      <c r="AH32" s="39">
        <f t="shared" si="59"/>
        <v>4</v>
      </c>
      <c r="AI32" s="16"/>
      <c r="AJ32" s="40">
        <f t="shared" si="46"/>
        <v>7614955.25</v>
      </c>
      <c r="AK32" s="40">
        <f t="shared" si="47"/>
        <v>7614180.25</v>
      </c>
      <c r="AL32" s="40">
        <f t="shared" si="48"/>
        <v>7613492.75</v>
      </c>
      <c r="AM32" s="40">
        <f t="shared" si="49"/>
        <v>7613092.75</v>
      </c>
      <c r="AN32" s="40">
        <f t="shared" si="50"/>
        <v>7609967.75</v>
      </c>
      <c r="AO32" s="40">
        <f t="shared" si="51"/>
        <v>7609892.75</v>
      </c>
      <c r="AP32" s="40">
        <f t="shared" si="52"/>
        <v>7607930.25</v>
      </c>
      <c r="AQ32" s="40" t="str">
        <f t="shared" si="53"/>
        <v>y</v>
      </c>
      <c r="AR32" s="40" t="str">
        <f t="shared" si="54"/>
        <v>y</v>
      </c>
      <c r="AS32" s="40" t="str">
        <f t="shared" si="55"/>
        <v>y</v>
      </c>
      <c r="AT32" s="91">
        <f t="shared" si="21"/>
        <v>14</v>
      </c>
      <c r="AU32" s="39">
        <v>25</v>
      </c>
      <c r="AV32" s="39">
        <v>0</v>
      </c>
      <c r="AW32" s="114">
        <v>465534.78129999997</v>
      </c>
      <c r="AX32" s="114">
        <v>7610505.25</v>
      </c>
      <c r="AY32" s="39">
        <v>5000</v>
      </c>
      <c r="AZ32" s="39">
        <v>12</v>
      </c>
      <c r="BA32" s="121">
        <v>9.0909091999999902E-4</v>
      </c>
      <c r="BB32" s="114">
        <v>856</v>
      </c>
      <c r="BC32" s="122">
        <f t="shared" si="30"/>
        <v>3</v>
      </c>
      <c r="BD32" s="121">
        <v>3.0000000000000001E-5</v>
      </c>
      <c r="BE32" s="121">
        <v>2.9999999999999898E-2</v>
      </c>
      <c r="BF32" s="54">
        <f t="shared" si="31"/>
        <v>2</v>
      </c>
      <c r="BG32" s="54">
        <v>1</v>
      </c>
      <c r="BH32" s="54">
        <v>0</v>
      </c>
      <c r="BI32" s="3"/>
      <c r="BJ32" s="39">
        <f t="shared" si="44"/>
        <v>25</v>
      </c>
      <c r="BK32" s="54"/>
      <c r="BL32" s="54"/>
      <c r="BM32" s="40">
        <f t="shared" si="32"/>
        <v>24</v>
      </c>
      <c r="BN32" s="54"/>
      <c r="BO32" s="54"/>
      <c r="BP32" s="40">
        <f t="shared" si="45"/>
        <v>-26</v>
      </c>
      <c r="BQ32" s="72"/>
      <c r="BR32" s="72"/>
      <c r="BS32" s="59"/>
      <c r="BT32" s="110">
        <f t="shared" si="23"/>
        <v>25</v>
      </c>
      <c r="BU32" s="105">
        <f>IF(ISNUMBER(BN32),BN32,BM32)</f>
        <v>24</v>
      </c>
      <c r="BV32" s="105">
        <f>IF(ISNUMBER(BQ32),IF(ISNUMBER(BR32),BR32,BQ32),IF(BP32=$BP$7,"",BP32))</f>
        <v>-26</v>
      </c>
      <c r="BW32" s="105" t="str">
        <f>IF(ISNUMBER(BR32),BQ32,"")</f>
        <v/>
      </c>
      <c r="BX32" s="4"/>
      <c r="BY32" s="110">
        <f>IF(ISNUMBER(BJ32),BJ32,"")</f>
        <v>25</v>
      </c>
      <c r="BZ32" s="54">
        <f>IF(ISNUMBER(BK32),_xlfn.CONCAT(BK32,",",BL32),BJ32)</f>
        <v>25</v>
      </c>
      <c r="CA32" s="54">
        <f>IF(ISNUMBER(BN32),_xlfn.CONCAT(BN32,",",BO32),IF(OR(BM32=$BM$7,ISNUMBER(BM32)),BM32,""))</f>
        <v>24</v>
      </c>
      <c r="CB32" s="72">
        <f>IF(ISNUMBER(BQ32),_xlfn.CONCAT(BQ32,",",BR32),IF(OR(ISNUMBER(BP32),BP32=$BP$7),BP32,""))</f>
        <v>-26</v>
      </c>
      <c r="CC32" s="40" t="str">
        <f>_xlfn.CONCAT(AB32,AC32)</f>
        <v>64</v>
      </c>
      <c r="CD32" s="40" t="str">
        <f>_xlfn.CONCAT(AG32,AH32)</f>
        <v>94</v>
      </c>
      <c r="CE32" s="119">
        <f t="shared" si="24"/>
        <v>25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spans="1:114" ht="11.1" customHeight="1" x14ac:dyDescent="0.25">
      <c r="A33" s="3"/>
      <c r="B33" s="3"/>
      <c r="C33" s="3"/>
      <c r="D33" s="3"/>
      <c r="E33" s="3"/>
      <c r="F33" s="101">
        <v>7</v>
      </c>
      <c r="G33" s="101">
        <v>13</v>
      </c>
      <c r="H33" s="29" t="s">
        <v>8</v>
      </c>
      <c r="I33" s="30" t="s">
        <v>58</v>
      </c>
      <c r="J33" s="30">
        <v>1025.9090000000001</v>
      </c>
      <c r="K33" s="14"/>
      <c r="L33" s="27">
        <f t="shared" si="25"/>
        <v>875.08928115935691</v>
      </c>
      <c r="M33" s="14"/>
      <c r="N33" s="61">
        <f t="shared" si="4"/>
        <v>26</v>
      </c>
      <c r="O33" s="6">
        <f t="shared" si="5"/>
        <v>27</v>
      </c>
      <c r="P33" s="38" t="str">
        <f t="shared" si="6"/>
        <v/>
      </c>
      <c r="Q33" s="28">
        <f t="shared" si="7"/>
        <v>27</v>
      </c>
      <c r="R33" s="48">
        <f t="shared" si="8"/>
        <v>464909.78129999997</v>
      </c>
      <c r="S33" s="48">
        <f t="shared" si="9"/>
        <v>7609892.75</v>
      </c>
      <c r="T33" s="29"/>
      <c r="U33" s="30"/>
      <c r="V33" s="48">
        <f t="shared" si="10"/>
        <v>844</v>
      </c>
      <c r="W33" s="25">
        <f t="shared" si="11"/>
        <v>737.5</v>
      </c>
      <c r="X33" s="25">
        <f t="shared" si="12"/>
        <v>1962.5</v>
      </c>
      <c r="Y33" s="63">
        <f t="shared" si="13"/>
        <v>26</v>
      </c>
      <c r="Z33" s="27">
        <f t="shared" si="26"/>
        <v>12</v>
      </c>
      <c r="AA33" s="39">
        <f>IF(Z33&lt;0,MAX(AA$6:AA32)+1,0)</f>
        <v>0</v>
      </c>
      <c r="AB33" s="39">
        <f t="shared" si="14"/>
        <v>6</v>
      </c>
      <c r="AC33" s="39">
        <f t="shared" si="27"/>
        <v>5</v>
      </c>
      <c r="AD33" s="19"/>
      <c r="AE33" s="90">
        <f t="shared" si="57"/>
        <v>3</v>
      </c>
      <c r="AF33" s="90">
        <v>0</v>
      </c>
      <c r="AG33" s="39">
        <f t="shared" si="58"/>
        <v>9</v>
      </c>
      <c r="AH33" s="39">
        <f t="shared" si="59"/>
        <v>5</v>
      </c>
      <c r="AI33" s="16"/>
      <c r="AJ33" s="40">
        <f t="shared" si="46"/>
        <v>7614955.25</v>
      </c>
      <c r="AK33" s="40">
        <f t="shared" si="47"/>
        <v>7614180.25</v>
      </c>
      <c r="AL33" s="40">
        <f t="shared" si="48"/>
        <v>7613492.75</v>
      </c>
      <c r="AM33" s="40">
        <f t="shared" si="49"/>
        <v>7613092.75</v>
      </c>
      <c r="AN33" s="40">
        <f t="shared" si="50"/>
        <v>7609967.75</v>
      </c>
      <c r="AO33" s="40">
        <f t="shared" si="51"/>
        <v>7609892.75</v>
      </c>
      <c r="AP33" s="40">
        <f t="shared" si="52"/>
        <v>7607930.25</v>
      </c>
      <c r="AQ33" s="40" t="str">
        <f t="shared" si="53"/>
        <v>y</v>
      </c>
      <c r="AR33" s="40" t="str">
        <f t="shared" si="54"/>
        <v>y</v>
      </c>
      <c r="AS33" s="40" t="str">
        <f t="shared" si="55"/>
        <v>y</v>
      </c>
      <c r="AT33" s="91">
        <f t="shared" si="21"/>
        <v>2</v>
      </c>
      <c r="AU33" s="39">
        <v>26</v>
      </c>
      <c r="AV33" s="39">
        <v>0</v>
      </c>
      <c r="AW33" s="114">
        <v>464909.78129999997</v>
      </c>
      <c r="AX33" s="114">
        <v>7609892.75</v>
      </c>
      <c r="AY33" s="39">
        <v>2000</v>
      </c>
      <c r="AZ33" s="39">
        <v>12</v>
      </c>
      <c r="BA33" s="121">
        <v>9.0909091999999902E-4</v>
      </c>
      <c r="BB33" s="114">
        <v>844</v>
      </c>
      <c r="BC33" s="122">
        <f t="shared" si="30"/>
        <v>3</v>
      </c>
      <c r="BD33" s="121">
        <v>3.0000000000000001E-5</v>
      </c>
      <c r="BE33" s="121">
        <v>2.9999999999999898E-2</v>
      </c>
      <c r="BF33" s="54">
        <f t="shared" si="31"/>
        <v>2</v>
      </c>
      <c r="BG33" s="54">
        <v>1</v>
      </c>
      <c r="BH33" s="54">
        <v>0</v>
      </c>
      <c r="BI33" s="3"/>
      <c r="BJ33" s="96">
        <f>BJ32+1</f>
        <v>26</v>
      </c>
      <c r="BK33" s="54"/>
      <c r="BL33" s="54"/>
      <c r="BM33" s="40">
        <f t="shared" si="32"/>
        <v>25</v>
      </c>
      <c r="BN33" s="54"/>
      <c r="BO33" s="54"/>
      <c r="BP33" s="40">
        <f t="shared" si="45"/>
        <v>-27</v>
      </c>
      <c r="BQ33" s="72"/>
      <c r="BR33" s="72"/>
      <c r="BS33" s="59"/>
      <c r="BT33" s="110">
        <f t="shared" si="23"/>
        <v>26</v>
      </c>
      <c r="BU33" s="105">
        <f>IF(ISNUMBER(BN33),BN33,BM33)</f>
        <v>25</v>
      </c>
      <c r="BV33" s="105">
        <f>IF(ISNUMBER(BQ33),IF(ISNUMBER(BR33),BR33,BQ33),IF(BP33=$BP$7,"",BP33))</f>
        <v>-27</v>
      </c>
      <c r="BW33" s="105" t="str">
        <f>IF(ISNUMBER(BR33),BQ33,"")</f>
        <v/>
      </c>
      <c r="BX33" s="4"/>
      <c r="BY33" s="110">
        <f>IF(ISNUMBER(BJ33),BJ33,"")</f>
        <v>26</v>
      </c>
      <c r="BZ33" s="54">
        <f>IF(ISNUMBER(BK33),_xlfn.CONCAT(BK33,",",BL33),BJ33)</f>
        <v>26</v>
      </c>
      <c r="CA33" s="54">
        <f>IF(ISNUMBER(BN33),_xlfn.CONCAT(BN33,",",BO33),IF(OR(BM33=$BM$7,ISNUMBER(BM33)),BM33,""))</f>
        <v>25</v>
      </c>
      <c r="CB33" s="72">
        <f>IF(ISNUMBER(BQ33),_xlfn.CONCAT(BQ33,",",BR33),IF(OR(ISNUMBER(BP33),BP33=$BP$7),BP33,""))</f>
        <v>-27</v>
      </c>
      <c r="CC33" s="40" t="str">
        <f>_xlfn.CONCAT(AB33,AC33)</f>
        <v>65</v>
      </c>
      <c r="CD33" s="40" t="str">
        <f>_xlfn.CONCAT(AG33,AH33)</f>
        <v>95</v>
      </c>
      <c r="CE33" s="119">
        <f t="shared" si="24"/>
        <v>26</v>
      </c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spans="1:114" ht="11.1" customHeight="1" x14ac:dyDescent="0.25">
      <c r="A34" s="3"/>
      <c r="B34" s="3"/>
      <c r="C34" s="3"/>
      <c r="D34" s="3"/>
      <c r="E34" s="3"/>
      <c r="F34" s="101">
        <v>9</v>
      </c>
      <c r="G34" s="101">
        <v>14</v>
      </c>
      <c r="H34" s="29" t="s">
        <v>5</v>
      </c>
      <c r="I34" s="30" t="s">
        <v>63</v>
      </c>
      <c r="J34" s="30">
        <v>1037.5809999999899</v>
      </c>
      <c r="K34" s="14"/>
      <c r="L34" s="27">
        <f t="shared" si="25"/>
        <v>593.98021852583611</v>
      </c>
      <c r="M34" s="14"/>
      <c r="N34" s="61">
        <f t="shared" si="4"/>
        <v>27</v>
      </c>
      <c r="O34" s="6">
        <f t="shared" si="5"/>
        <v>28</v>
      </c>
      <c r="P34" s="38">
        <f t="shared" si="6"/>
        <v>28</v>
      </c>
      <c r="Q34" s="28">
        <f t="shared" si="7"/>
        <v>28</v>
      </c>
      <c r="R34" s="48">
        <f t="shared" si="8"/>
        <v>464822.28129999997</v>
      </c>
      <c r="S34" s="48">
        <f t="shared" si="9"/>
        <v>7609305.25</v>
      </c>
      <c r="T34" s="29"/>
      <c r="U34" s="30"/>
      <c r="V34" s="48">
        <f t="shared" si="10"/>
        <v>846</v>
      </c>
      <c r="W34" s="25">
        <f t="shared" si="11"/>
        <v>650</v>
      </c>
      <c r="X34" s="25">
        <f t="shared" si="12"/>
        <v>1375</v>
      </c>
      <c r="Y34" s="63">
        <f t="shared" si="13"/>
        <v>27</v>
      </c>
      <c r="Z34" s="27">
        <f t="shared" si="26"/>
        <v>-2</v>
      </c>
      <c r="AA34" s="39">
        <f>IF(Z34&lt;0,MAX(AA$6:AA33)+1,0)</f>
        <v>7</v>
      </c>
      <c r="AB34" s="39">
        <f t="shared" si="14"/>
        <v>7</v>
      </c>
      <c r="AC34" s="39">
        <f t="shared" si="27"/>
        <v>1</v>
      </c>
      <c r="AD34" s="19"/>
      <c r="AE34" s="90">
        <f t="shared" si="57"/>
        <v>3</v>
      </c>
      <c r="AF34" s="90">
        <v>0</v>
      </c>
      <c r="AG34" s="39">
        <f t="shared" si="58"/>
        <v>10</v>
      </c>
      <c r="AH34" s="39">
        <f t="shared" si="59"/>
        <v>1</v>
      </c>
      <c r="AI34" s="16"/>
      <c r="AJ34" s="40">
        <f t="shared" si="46"/>
        <v>7614955.25</v>
      </c>
      <c r="AK34" s="40">
        <f t="shared" si="47"/>
        <v>7614180.25</v>
      </c>
      <c r="AL34" s="40">
        <f t="shared" si="48"/>
        <v>7613492.75</v>
      </c>
      <c r="AM34" s="40">
        <f t="shared" si="49"/>
        <v>7613092.75</v>
      </c>
      <c r="AN34" s="40">
        <f t="shared" si="50"/>
        <v>7609967.75</v>
      </c>
      <c r="AO34" s="40">
        <f t="shared" si="51"/>
        <v>7609892.75</v>
      </c>
      <c r="AP34" s="40">
        <f t="shared" si="52"/>
        <v>7607930.25</v>
      </c>
      <c r="AQ34" s="40" t="str">
        <f t="shared" si="53"/>
        <v>y</v>
      </c>
      <c r="AR34" s="40" t="str">
        <f t="shared" si="54"/>
        <v>y</v>
      </c>
      <c r="AS34" s="40" t="str">
        <f t="shared" si="55"/>
        <v>y</v>
      </c>
      <c r="AT34" s="91">
        <f t="shared" si="21"/>
        <v>4</v>
      </c>
      <c r="AU34" s="39">
        <v>27</v>
      </c>
      <c r="AV34" s="39">
        <v>0</v>
      </c>
      <c r="AW34" s="114">
        <v>464822.28129999997</v>
      </c>
      <c r="AX34" s="114">
        <v>7609305.25</v>
      </c>
      <c r="AY34" s="39">
        <v>5000</v>
      </c>
      <c r="AZ34" s="39">
        <v>55</v>
      </c>
      <c r="BA34" s="121">
        <v>9.67741939999999E-4</v>
      </c>
      <c r="BB34" s="114">
        <v>846</v>
      </c>
      <c r="BC34" s="122">
        <f t="shared" si="30"/>
        <v>3</v>
      </c>
      <c r="BD34" s="121">
        <v>6.0000000000000002E-5</v>
      </c>
      <c r="BE34" s="121">
        <v>2.5000000000000001E-2</v>
      </c>
      <c r="BF34" s="54">
        <f t="shared" si="31"/>
        <v>3</v>
      </c>
      <c r="BG34" s="54">
        <v>1</v>
      </c>
      <c r="BH34" s="54">
        <v>0</v>
      </c>
      <c r="BI34" s="3"/>
      <c r="BJ34" s="103">
        <f>BJ33+1</f>
        <v>27</v>
      </c>
      <c r="BK34" s="102">
        <f>BJ28</f>
        <v>21</v>
      </c>
      <c r="BL34" s="106">
        <f>BJ33</f>
        <v>26</v>
      </c>
      <c r="BM34" s="40">
        <f t="shared" si="32"/>
        <v>26</v>
      </c>
      <c r="BN34" s="102">
        <f>BM28</f>
        <v>20</v>
      </c>
      <c r="BO34" s="106">
        <f>BM33</f>
        <v>25</v>
      </c>
      <c r="BP34" s="40">
        <f>BP32-2</f>
        <v>-28</v>
      </c>
      <c r="BQ34" s="118">
        <f>BP34</f>
        <v>-28</v>
      </c>
      <c r="BR34" s="106">
        <f>(BQ34+2)*-1</f>
        <v>26</v>
      </c>
      <c r="BS34" s="59"/>
      <c r="BT34" s="110">
        <f t="shared" si="23"/>
        <v>27</v>
      </c>
      <c r="BU34" s="105">
        <f>IF(ISNUMBER(BN34),BN34,BM34)</f>
        <v>20</v>
      </c>
      <c r="BV34" s="105">
        <f>IF(ISNUMBER(BQ34),IF(ISNUMBER(BR34),BR34,BQ34),IF(BP34=$BP$7,"",BP34))</f>
        <v>26</v>
      </c>
      <c r="BW34" s="105">
        <f>IF(ISNUMBER(BR34),BQ34,"")</f>
        <v>-28</v>
      </c>
      <c r="BX34" s="4"/>
      <c r="BY34" s="110">
        <f>IF(ISNUMBER(BJ34),BJ34,"")</f>
        <v>27</v>
      </c>
      <c r="BZ34" s="54" t="str">
        <f>IF(ISNUMBER(BK34),_xlfn.CONCAT(BK34,",",BL34),BJ34)</f>
        <v>21,26</v>
      </c>
      <c r="CA34" s="54" t="str">
        <f>IF(ISNUMBER(BN34),_xlfn.CONCAT(BN34,",",BO34),IF(OR(BM34=$BM$7,ISNUMBER(BM34)),BM34,""))</f>
        <v>20,25</v>
      </c>
      <c r="CB34" s="72" t="str">
        <f>IF(ISNUMBER(BQ34),_xlfn.CONCAT(BQ34,",",BR34),IF(OR(ISNUMBER(BP34),BP34=$BP$7),BP34,""))</f>
        <v>-28,26</v>
      </c>
      <c r="CC34" s="40" t="str">
        <f>_xlfn.CONCAT(AB34,AC34)</f>
        <v>71</v>
      </c>
      <c r="CD34" s="40" t="str">
        <f>_xlfn.CONCAT(AG34,AH34)</f>
        <v>101</v>
      </c>
      <c r="CE34" s="119">
        <f t="shared" si="24"/>
        <v>27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spans="1:114" ht="11.1" customHeight="1" x14ac:dyDescent="0.25">
      <c r="A35" s="3"/>
      <c r="B35" s="3"/>
      <c r="C35" s="3"/>
      <c r="D35" s="3"/>
      <c r="E35" s="3"/>
      <c r="F35" s="101">
        <v>8</v>
      </c>
      <c r="G35" s="101">
        <v>13</v>
      </c>
      <c r="H35" s="29" t="s">
        <v>4</v>
      </c>
      <c r="I35" s="30" t="s">
        <v>64</v>
      </c>
      <c r="J35" s="30">
        <v>1032.5</v>
      </c>
      <c r="K35" s="14"/>
      <c r="L35" s="27">
        <f t="shared" si="25"/>
        <v>1520.896117425513</v>
      </c>
      <c r="M35" s="14"/>
      <c r="N35" s="61">
        <f t="shared" si="4"/>
        <v>28</v>
      </c>
      <c r="O35" s="6">
        <f t="shared" si="5"/>
        <v>29</v>
      </c>
      <c r="P35" s="38">
        <f t="shared" si="6"/>
        <v>29</v>
      </c>
      <c r="Q35" s="28">
        <f t="shared" si="7"/>
        <v>29</v>
      </c>
      <c r="R35" s="48">
        <f t="shared" si="8"/>
        <v>464172.28129999997</v>
      </c>
      <c r="S35" s="48">
        <f t="shared" si="9"/>
        <v>7607930.25</v>
      </c>
      <c r="T35" s="29"/>
      <c r="U35" s="30"/>
      <c r="V35" s="48">
        <f t="shared" si="10"/>
        <v>842</v>
      </c>
      <c r="W35" s="25">
        <f t="shared" si="11"/>
        <v>0</v>
      </c>
      <c r="X35" s="25">
        <f t="shared" si="12"/>
        <v>0</v>
      </c>
      <c r="Y35" s="63">
        <f t="shared" si="13"/>
        <v>28</v>
      </c>
      <c r="Z35" s="27">
        <f t="shared" si="26"/>
        <v>4</v>
      </c>
      <c r="AA35" s="39">
        <f>IF(Z35&lt;0,MAX(AA$6:AA34)+1,0)</f>
        <v>0</v>
      </c>
      <c r="AB35" s="39">
        <f t="shared" si="14"/>
        <v>7</v>
      </c>
      <c r="AC35" s="39">
        <f t="shared" si="27"/>
        <v>2</v>
      </c>
      <c r="AD35" s="19"/>
      <c r="AE35" s="90">
        <f t="shared" si="57"/>
        <v>3</v>
      </c>
      <c r="AF35" s="90">
        <v>0</v>
      </c>
      <c r="AG35" s="39">
        <f t="shared" si="58"/>
        <v>10</v>
      </c>
      <c r="AH35" s="39">
        <f t="shared" si="59"/>
        <v>2</v>
      </c>
      <c r="AI35" s="16"/>
      <c r="AJ35" s="40">
        <f t="shared" si="46"/>
        <v>7614955.25</v>
      </c>
      <c r="AK35" s="40">
        <f t="shared" si="47"/>
        <v>7614180.25</v>
      </c>
      <c r="AL35" s="40">
        <f t="shared" si="48"/>
        <v>7613492.75</v>
      </c>
      <c r="AM35" s="40">
        <f t="shared" si="49"/>
        <v>7613092.75</v>
      </c>
      <c r="AN35" s="40">
        <f t="shared" si="50"/>
        <v>7609967.75</v>
      </c>
      <c r="AO35" s="40">
        <f t="shared" si="51"/>
        <v>7609892.75</v>
      </c>
      <c r="AP35" s="40">
        <f t="shared" si="52"/>
        <v>7607930.25</v>
      </c>
      <c r="AQ35" s="40" t="str">
        <f t="shared" si="53"/>
        <v>y</v>
      </c>
      <c r="AR35" s="40" t="str">
        <f t="shared" si="54"/>
        <v>y</v>
      </c>
      <c r="AS35" s="40" t="str">
        <f t="shared" si="55"/>
        <v>y</v>
      </c>
      <c r="AT35" s="91">
        <f t="shared" si="21"/>
        <v>0</v>
      </c>
      <c r="AU35" s="39">
        <v>28</v>
      </c>
      <c r="AV35" s="39">
        <v>0</v>
      </c>
      <c r="AW35" s="114">
        <v>464172.28129999997</v>
      </c>
      <c r="AX35" s="114">
        <v>7607930.25</v>
      </c>
      <c r="AY35" s="39">
        <v>5500</v>
      </c>
      <c r="AZ35" s="39">
        <v>55</v>
      </c>
      <c r="BA35" s="121">
        <v>9.67741939999999E-4</v>
      </c>
      <c r="BB35" s="114">
        <v>842</v>
      </c>
      <c r="BC35" s="122">
        <f t="shared" si="30"/>
        <v>3</v>
      </c>
      <c r="BD35" s="121">
        <v>6.0000000000000002E-5</v>
      </c>
      <c r="BE35" s="121">
        <v>2.5000000000000001E-2</v>
      </c>
      <c r="BF35" s="54">
        <f t="shared" si="31"/>
        <v>2</v>
      </c>
      <c r="BG35" s="54">
        <v>1</v>
      </c>
      <c r="BH35" s="54">
        <v>0</v>
      </c>
      <c r="BI35" s="3"/>
      <c r="BJ35" s="39">
        <f t="shared" si="44"/>
        <v>28</v>
      </c>
      <c r="BK35" s="54"/>
      <c r="BL35" s="54"/>
      <c r="BM35" s="40">
        <f t="shared" si="32"/>
        <v>27</v>
      </c>
      <c r="BN35" s="54"/>
      <c r="BO35" s="54"/>
      <c r="BP35" s="40">
        <f t="shared" si="45"/>
        <v>-29</v>
      </c>
      <c r="BQ35" s="72"/>
      <c r="BR35" s="72"/>
      <c r="BS35" s="59"/>
      <c r="BT35" s="110">
        <f t="shared" si="23"/>
        <v>28</v>
      </c>
      <c r="BU35" s="105">
        <f>IF(ISNUMBER(BN35),BN35,BM35)</f>
        <v>27</v>
      </c>
      <c r="BV35" s="105">
        <f>IF(ISNUMBER(BQ35),IF(ISNUMBER(BR35),BR35,BQ35),IF(BP35=$BP$7,"",BP35))</f>
        <v>-29</v>
      </c>
      <c r="BW35" s="105" t="str">
        <f>IF(ISNUMBER(BR35),BQ35,"")</f>
        <v/>
      </c>
      <c r="BX35" s="4"/>
      <c r="BY35" s="110">
        <f>IF(ISNUMBER(BJ35),BJ35,"")</f>
        <v>28</v>
      </c>
      <c r="BZ35" s="54">
        <f>IF(ISNUMBER(BK35),_xlfn.CONCAT(BK35,",",BL35),BJ35)</f>
        <v>28</v>
      </c>
      <c r="CA35" s="54">
        <f>IF(ISNUMBER(BN35),_xlfn.CONCAT(BN35,",",BO35),IF(OR(BM35=$BM$7,ISNUMBER(BM35)),BM35,""))</f>
        <v>27</v>
      </c>
      <c r="CB35" s="72">
        <f>IF(ISNUMBER(BQ35),_xlfn.CONCAT(BQ35,",",BR35),IF(OR(ISNUMBER(BP35),BP35=$BP$7),BP35,""))</f>
        <v>-29</v>
      </c>
      <c r="CC35" s="40" t="str">
        <f>_xlfn.CONCAT(AB35,AC35)</f>
        <v>72</v>
      </c>
      <c r="CD35" s="40" t="str">
        <f>_xlfn.CONCAT(AG35,AH35)</f>
        <v>102</v>
      </c>
      <c r="CE35" s="119">
        <f t="shared" si="24"/>
        <v>28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spans="1:114" ht="11.1" customHeight="1" x14ac:dyDescent="0.25">
      <c r="A36" s="3"/>
      <c r="B36" s="3"/>
      <c r="C36" s="3"/>
      <c r="D36" s="3"/>
      <c r="E36" s="3"/>
      <c r="F36" s="101">
        <v>7</v>
      </c>
      <c r="G36" s="101">
        <v>13</v>
      </c>
      <c r="H36" s="26"/>
      <c r="I36" s="10"/>
      <c r="J36" s="10">
        <v>1027.4190000000001</v>
      </c>
      <c r="K36" s="14"/>
      <c r="L36" s="27" t="str">
        <f t="shared" si="25"/>
        <v/>
      </c>
      <c r="M36" s="14"/>
      <c r="N36" s="61"/>
      <c r="O36" s="6"/>
      <c r="P36" s="38"/>
      <c r="Q36" s="28"/>
      <c r="R36" s="48"/>
      <c r="S36" s="48"/>
      <c r="T36" s="29"/>
      <c r="U36" s="30"/>
      <c r="V36" s="48">
        <f t="shared" si="10"/>
        <v>0</v>
      </c>
      <c r="W36" s="25" t="str">
        <f t="shared" si="11"/>
        <v/>
      </c>
      <c r="X36" s="25" t="str">
        <f t="shared" si="12"/>
        <v/>
      </c>
      <c r="Y36" s="63" t="str">
        <f t="shared" si="13"/>
        <v/>
      </c>
      <c r="Z36" s="27" t="str">
        <f t="shared" si="26"/>
        <v/>
      </c>
      <c r="AA36" s="82">
        <f>IF(Z36&lt;0,MAX(AA$6:AA35)+1,0)</f>
        <v>0</v>
      </c>
      <c r="AB36" s="39" t="str">
        <f t="shared" si="14"/>
        <v/>
      </c>
      <c r="AC36" s="39"/>
      <c r="AD36" s="19"/>
      <c r="AE36" s="90"/>
      <c r="AF36" s="90"/>
      <c r="AG36" s="39"/>
      <c r="AH36" s="39"/>
      <c r="AI36" s="16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1"/>
      <c r="AU36" s="39"/>
      <c r="AV36" s="39"/>
      <c r="AW36" s="114"/>
      <c r="AX36" s="114"/>
      <c r="AY36" s="39"/>
      <c r="AZ36" s="39"/>
      <c r="BA36" s="39"/>
      <c r="BB36" s="114"/>
      <c r="BC36" s="92"/>
      <c r="BD36" s="121"/>
      <c r="BE36" s="121"/>
      <c r="BF36" s="123"/>
      <c r="BG36" s="123"/>
      <c r="BH36" s="123"/>
      <c r="BI36" s="3"/>
      <c r="BJ36" s="39"/>
      <c r="BK36" s="39"/>
      <c r="BL36" s="39"/>
      <c r="BM36" s="39"/>
      <c r="BN36" s="39"/>
      <c r="BO36" s="39"/>
      <c r="BP36" s="39"/>
      <c r="BQ36" s="39"/>
      <c r="BR36" s="39"/>
      <c r="BS36" s="59"/>
      <c r="BT36" s="110"/>
      <c r="BU36" s="105"/>
      <c r="BV36" s="105"/>
      <c r="BW36" s="105"/>
      <c r="BX36" s="16"/>
      <c r="BY36" s="110" t="str">
        <f>IF(ISNUMBER(BJ36),BJ36,"")</f>
        <v/>
      </c>
      <c r="BZ36" s="54">
        <f>IF(ISNUMBER(BK36),_xlfn.CONCAT(BK36,",",BL36),BJ36)</f>
        <v>0</v>
      </c>
      <c r="CA36" s="54" t="str">
        <f>IF(ISNUMBER(BN36),_xlfn.CONCAT(BN36,",",BO36),IF(OR(BM36=$BM$7,ISNUMBER(BM36)),BM36,""))</f>
        <v/>
      </c>
      <c r="CB36" s="72" t="str">
        <f>IF(ISNUMBER(BQ36),_xlfn.CONCAT(BQ36,",",BR36),IF(OR(ISNUMBER(BP36),BP36=$BP$7),BP36,""))</f>
        <v/>
      </c>
      <c r="CC36" s="40" t="str">
        <f>_xlfn.CONCAT(AB36,AC36)</f>
        <v/>
      </c>
      <c r="CD36" s="40" t="str">
        <f>_xlfn.CONCAT(AG36,AH36)</f>
        <v/>
      </c>
      <c r="CE36" s="119" t="str">
        <f t="shared" si="24"/>
        <v/>
      </c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spans="1:114" ht="11.1" customHeight="1" x14ac:dyDescent="0.25">
      <c r="A37" s="3"/>
      <c r="B37" s="3"/>
      <c r="C37" s="3"/>
      <c r="D37" s="3"/>
      <c r="E37" s="3"/>
      <c r="F37" s="101">
        <v>6</v>
      </c>
      <c r="G37" s="101">
        <v>13</v>
      </c>
      <c r="H37" s="26"/>
      <c r="I37" s="10"/>
      <c r="J37" s="10">
        <v>1021.875</v>
      </c>
      <c r="K37" s="14"/>
      <c r="L37" s="27" t="str">
        <f t="shared" si="25"/>
        <v/>
      </c>
      <c r="M37" s="14"/>
      <c r="N37" s="61"/>
      <c r="O37" s="6"/>
      <c r="P37" s="38"/>
      <c r="Q37" s="28"/>
      <c r="R37" s="48"/>
      <c r="S37" s="48"/>
      <c r="T37" s="29"/>
      <c r="U37" s="30"/>
      <c r="V37" s="48">
        <f t="shared" si="10"/>
        <v>0</v>
      </c>
      <c r="W37" s="25" t="str">
        <f t="shared" si="11"/>
        <v/>
      </c>
      <c r="X37" s="25" t="str">
        <f t="shared" si="12"/>
        <v/>
      </c>
      <c r="Y37" s="63" t="str">
        <f t="shared" si="13"/>
        <v/>
      </c>
      <c r="Z37" s="27" t="str">
        <f t="shared" si="26"/>
        <v/>
      </c>
      <c r="AA37" s="82">
        <f>IF(Z37&lt;0,MAX(AA$6:AA36)+1,0)</f>
        <v>0</v>
      </c>
      <c r="AB37" s="39" t="str">
        <f t="shared" si="14"/>
        <v/>
      </c>
      <c r="AC37" s="39"/>
      <c r="AD37" s="19"/>
      <c r="AE37" s="90"/>
      <c r="AF37" s="90"/>
      <c r="AG37" s="39"/>
      <c r="AH37" s="39"/>
      <c r="AI37" s="16"/>
      <c r="AJ37" s="125">
        <f t="shared" ref="AJ37:AS37" si="60">COUNTIF($AB7:$AB42,"="&amp;AJ38)</f>
        <v>4</v>
      </c>
      <c r="AK37" s="125">
        <f t="shared" si="60"/>
        <v>4</v>
      </c>
      <c r="AL37" s="125">
        <f t="shared" si="60"/>
        <v>4</v>
      </c>
      <c r="AM37" s="125">
        <f t="shared" si="60"/>
        <v>4</v>
      </c>
      <c r="AN37" s="125">
        <f t="shared" si="60"/>
        <v>6</v>
      </c>
      <c r="AO37" s="125">
        <f t="shared" si="60"/>
        <v>5</v>
      </c>
      <c r="AP37" s="125">
        <f t="shared" si="60"/>
        <v>2</v>
      </c>
      <c r="AQ37" s="14">
        <f t="shared" si="60"/>
        <v>0</v>
      </c>
      <c r="AR37" s="14">
        <f t="shared" si="60"/>
        <v>0</v>
      </c>
      <c r="AS37" s="14">
        <f t="shared" si="60"/>
        <v>0</v>
      </c>
      <c r="AT37" s="91"/>
      <c r="AU37" s="39"/>
      <c r="AV37" s="39"/>
      <c r="AW37" s="114"/>
      <c r="AX37" s="114"/>
      <c r="AY37" s="39"/>
      <c r="AZ37" s="39"/>
      <c r="BA37" s="39"/>
      <c r="BB37" s="114"/>
      <c r="BC37" s="92"/>
      <c r="BD37" s="121"/>
      <c r="BE37" s="121"/>
      <c r="BF37" s="123"/>
      <c r="BG37" s="123"/>
      <c r="BH37" s="123"/>
      <c r="BI37" s="3"/>
      <c r="BJ37" s="39"/>
      <c r="BK37" s="39"/>
      <c r="BL37" s="39"/>
      <c r="BM37" s="39"/>
      <c r="BN37" s="39"/>
      <c r="BO37" s="39"/>
      <c r="BP37" s="39"/>
      <c r="BQ37" s="39"/>
      <c r="BR37" s="39"/>
      <c r="BS37" s="59"/>
      <c r="BT37" s="110"/>
      <c r="BU37" s="105"/>
      <c r="BV37" s="105"/>
      <c r="BW37" s="105"/>
      <c r="BX37" s="16"/>
      <c r="BY37" s="110" t="str">
        <f>IF(ISNUMBER(BJ37),BJ37,"")</f>
        <v/>
      </c>
      <c r="BZ37" s="54">
        <f>IF(ISNUMBER(BK37),_xlfn.CONCAT(BK37,",",BL37),BJ37)</f>
        <v>0</v>
      </c>
      <c r="CA37" s="54" t="str">
        <f>IF(ISNUMBER(BN37),_xlfn.CONCAT(BN37,",",BO37),IF(OR(BM37=$BM$7,ISNUMBER(BM37)),BM37,""))</f>
        <v/>
      </c>
      <c r="CB37" s="72" t="str">
        <f>IF(ISNUMBER(BQ37),_xlfn.CONCAT(BQ37,",",BR37),IF(OR(ISNUMBER(BP37),BP37=$BP$7),BP37,""))</f>
        <v/>
      </c>
      <c r="CC37" s="40" t="str">
        <f>_xlfn.CONCAT(AB37,AC37)</f>
        <v/>
      </c>
      <c r="CD37" s="40" t="str">
        <f>_xlfn.CONCAT(AG37,AH37)</f>
        <v/>
      </c>
      <c r="CE37" s="120" t="str">
        <f t="shared" si="24"/>
        <v/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spans="1:114" ht="11.1" customHeight="1" x14ac:dyDescent="0.25">
      <c r="A38" s="3"/>
      <c r="B38" s="3"/>
      <c r="C38" s="3"/>
      <c r="D38" s="3"/>
      <c r="E38" s="3"/>
      <c r="F38" s="101">
        <v>5</v>
      </c>
      <c r="G38" s="101">
        <v>13</v>
      </c>
      <c r="H38" s="26"/>
      <c r="I38" s="10"/>
      <c r="J38" s="10">
        <v>1015.625</v>
      </c>
      <c r="K38" s="14"/>
      <c r="L38" s="27" t="str">
        <f t="shared" si="25"/>
        <v/>
      </c>
      <c r="M38" s="14"/>
      <c r="N38" s="61"/>
      <c r="O38" s="6"/>
      <c r="P38" s="38"/>
      <c r="Q38" s="28"/>
      <c r="R38" s="48"/>
      <c r="S38" s="48"/>
      <c r="T38" s="29"/>
      <c r="U38" s="30"/>
      <c r="V38" s="48">
        <f t="shared" si="10"/>
        <v>0</v>
      </c>
      <c r="W38" s="25" t="str">
        <f t="shared" si="11"/>
        <v/>
      </c>
      <c r="X38" s="25" t="str">
        <f t="shared" si="12"/>
        <v/>
      </c>
      <c r="Y38" s="63" t="str">
        <f t="shared" si="13"/>
        <v/>
      </c>
      <c r="Z38" s="27" t="str">
        <f t="shared" si="26"/>
        <v/>
      </c>
      <c r="AA38" s="82">
        <f>IF(Z38&lt;0,MAX(AA$6:AA37)+1,0)</f>
        <v>0</v>
      </c>
      <c r="AB38" s="39" t="str">
        <f t="shared" si="14"/>
        <v/>
      </c>
      <c r="AC38" s="39"/>
      <c r="AD38" s="19"/>
      <c r="AE38" s="90"/>
      <c r="AF38" s="90"/>
      <c r="AG38" s="39"/>
      <c r="AH38" s="39"/>
      <c r="AI38" s="16"/>
      <c r="AJ38" s="83">
        <v>1</v>
      </c>
      <c r="AK38" s="83">
        <f t="shared" ref="AK38:AS38" si="61">AJ38+1</f>
        <v>2</v>
      </c>
      <c r="AL38" s="83">
        <f t="shared" si="61"/>
        <v>3</v>
      </c>
      <c r="AM38" s="83">
        <f t="shared" si="61"/>
        <v>4</v>
      </c>
      <c r="AN38" s="83">
        <f t="shared" si="61"/>
        <v>5</v>
      </c>
      <c r="AO38" s="83">
        <f t="shared" si="61"/>
        <v>6</v>
      </c>
      <c r="AP38" s="83">
        <f t="shared" si="61"/>
        <v>7</v>
      </c>
      <c r="AQ38" s="83">
        <f t="shared" si="61"/>
        <v>8</v>
      </c>
      <c r="AR38" s="83">
        <f t="shared" si="61"/>
        <v>9</v>
      </c>
      <c r="AS38" s="83">
        <f t="shared" si="61"/>
        <v>10</v>
      </c>
      <c r="AT38" s="91"/>
      <c r="AU38" s="39"/>
      <c r="AV38" s="39"/>
      <c r="AW38" s="114"/>
      <c r="AX38" s="114"/>
      <c r="AY38" s="39"/>
      <c r="AZ38" s="39"/>
      <c r="BA38" s="39"/>
      <c r="BB38" s="114"/>
      <c r="BC38" s="92"/>
      <c r="BD38" s="121"/>
      <c r="BE38" s="121"/>
      <c r="BF38" s="123"/>
      <c r="BG38" s="123"/>
      <c r="BH38" s="123"/>
      <c r="BI38" s="3"/>
      <c r="BJ38" s="39"/>
      <c r="BK38" s="39"/>
      <c r="BL38" s="39"/>
      <c r="BM38" s="39"/>
      <c r="BN38" s="39"/>
      <c r="BO38" s="39"/>
      <c r="BP38" s="39"/>
      <c r="BQ38" s="39"/>
      <c r="BR38" s="39"/>
      <c r="BS38" s="59"/>
      <c r="BT38" s="110"/>
      <c r="BU38" s="105"/>
      <c r="BV38" s="105"/>
      <c r="BW38" s="105"/>
      <c r="BX38" s="16"/>
      <c r="BY38" s="110" t="str">
        <f>IF(ISNUMBER(BJ38),BJ38,"")</f>
        <v/>
      </c>
      <c r="BZ38" s="54">
        <f>IF(ISNUMBER(BK38),_xlfn.CONCAT(BK38,",",BL38),BJ38)</f>
        <v>0</v>
      </c>
      <c r="CA38" s="54" t="str">
        <f>IF(ISNUMBER(BN38),_xlfn.CONCAT(BN38,",",BO38),IF(OR(BM38=$BM$7,ISNUMBER(BM38)),BM38,""))</f>
        <v/>
      </c>
      <c r="CB38" s="72" t="str">
        <f>IF(ISNUMBER(BQ38),_xlfn.CONCAT(BQ38,",",BR38),IF(OR(ISNUMBER(BP38),BP38=$BP$7),BP38,""))</f>
        <v/>
      </c>
      <c r="CC38" s="40" t="str">
        <f>_xlfn.CONCAT(AB38,AC38)</f>
        <v/>
      </c>
      <c r="CD38" s="40" t="str">
        <f>_xlfn.CONCAT(AG38,AH38)</f>
        <v/>
      </c>
      <c r="CE38" s="119" t="str">
        <f t="shared" si="24"/>
        <v/>
      </c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spans="1:114" ht="11.1" customHeight="1" x14ac:dyDescent="0.25">
      <c r="A39" s="3"/>
      <c r="B39" s="3"/>
      <c r="C39" s="3"/>
      <c r="D39" s="3"/>
      <c r="E39" s="3"/>
      <c r="F39" s="101">
        <v>4</v>
      </c>
      <c r="G39" s="101">
        <v>13</v>
      </c>
      <c r="H39" s="26"/>
      <c r="I39" s="10"/>
      <c r="J39" s="10">
        <v>1009.375</v>
      </c>
      <c r="K39" s="14"/>
      <c r="L39" s="27" t="str">
        <f t="shared" si="25"/>
        <v/>
      </c>
      <c r="M39" s="14"/>
      <c r="N39" s="61"/>
      <c r="O39" s="6"/>
      <c r="P39" s="38"/>
      <c r="Q39" s="28"/>
      <c r="R39" s="48"/>
      <c r="S39" s="48"/>
      <c r="T39" s="29"/>
      <c r="U39" s="30"/>
      <c r="V39" s="48">
        <f t="shared" si="10"/>
        <v>0</v>
      </c>
      <c r="W39" s="25" t="str">
        <f t="shared" si="11"/>
        <v/>
      </c>
      <c r="X39" s="25" t="str">
        <f t="shared" si="12"/>
        <v/>
      </c>
      <c r="Y39" s="63" t="str">
        <f t="shared" si="13"/>
        <v/>
      </c>
      <c r="Z39" s="27" t="str">
        <f t="shared" si="26"/>
        <v/>
      </c>
      <c r="AA39" s="82">
        <f>IF(Z39&lt;0,MAX(AA$6:AA38)+1,0)</f>
        <v>0</v>
      </c>
      <c r="AB39" s="39" t="str">
        <f t="shared" si="14"/>
        <v/>
      </c>
      <c r="AC39" s="39"/>
      <c r="AD39" s="19"/>
      <c r="AE39" s="90"/>
      <c r="AF39" s="90"/>
      <c r="AG39" s="39"/>
      <c r="AH39" s="39"/>
      <c r="AI39" s="16"/>
      <c r="AJ39" s="125">
        <f t="shared" ref="AJ39:AS39" si="62">MAX(AJ40:AJ52)</f>
        <v>4</v>
      </c>
      <c r="AK39" s="125">
        <f t="shared" si="62"/>
        <v>8</v>
      </c>
      <c r="AL39" s="125">
        <f t="shared" si="62"/>
        <v>12</v>
      </c>
      <c r="AM39" s="125">
        <f t="shared" si="62"/>
        <v>16</v>
      </c>
      <c r="AN39" s="125">
        <f t="shared" si="62"/>
        <v>22</v>
      </c>
      <c r="AO39" s="125">
        <f t="shared" si="62"/>
        <v>27</v>
      </c>
      <c r="AP39" s="125">
        <f t="shared" si="62"/>
        <v>29</v>
      </c>
      <c r="AQ39" s="89">
        <f t="shared" si="62"/>
        <v>0</v>
      </c>
      <c r="AR39" s="89">
        <f t="shared" si="62"/>
        <v>0</v>
      </c>
      <c r="AS39" s="89">
        <f t="shared" si="62"/>
        <v>0</v>
      </c>
      <c r="AT39" s="91"/>
      <c r="AU39" s="39"/>
      <c r="AV39" s="39"/>
      <c r="AW39" s="114"/>
      <c r="AX39" s="114"/>
      <c r="AY39" s="39"/>
      <c r="AZ39" s="39"/>
      <c r="BA39" s="39"/>
      <c r="BB39" s="114"/>
      <c r="BC39" s="92"/>
      <c r="BD39" s="121"/>
      <c r="BE39" s="121"/>
      <c r="BF39" s="123"/>
      <c r="BG39" s="123"/>
      <c r="BH39" s="123"/>
      <c r="BI39" s="3"/>
      <c r="BJ39" s="39"/>
      <c r="BK39" s="39"/>
      <c r="BL39" s="39"/>
      <c r="BM39" s="39"/>
      <c r="BN39" s="39"/>
      <c r="BO39" s="39"/>
      <c r="BP39" s="39"/>
      <c r="BQ39" s="39"/>
      <c r="BR39" s="39"/>
      <c r="BS39" s="59"/>
      <c r="BT39" s="110"/>
      <c r="BU39" s="105"/>
      <c r="BV39" s="105"/>
      <c r="BW39" s="105"/>
      <c r="BX39" s="16"/>
      <c r="BY39" s="110" t="str">
        <f>IF(ISNUMBER(BJ39),BJ39,"")</f>
        <v/>
      </c>
      <c r="BZ39" s="54">
        <f>IF(ISNUMBER(BK39),_xlfn.CONCAT(BK39,",",BL39),BJ39)</f>
        <v>0</v>
      </c>
      <c r="CA39" s="54" t="str">
        <f>IF(ISNUMBER(BN39),_xlfn.CONCAT(BN39,",",BO39),IF(OR(BM39=$BM$7,ISNUMBER(BM39)),BM39,""))</f>
        <v/>
      </c>
      <c r="CB39" s="72" t="str">
        <f>IF(ISNUMBER(BQ39),_xlfn.CONCAT(BQ39,",",BR39),IF(OR(ISNUMBER(BP39),BP39=$BP$7),BP39,""))</f>
        <v/>
      </c>
      <c r="CC39" s="40" t="str">
        <f>_xlfn.CONCAT(AB39,AC39)</f>
        <v/>
      </c>
      <c r="CD39" s="40" t="str">
        <f>_xlfn.CONCAT(AG39,AH39)</f>
        <v/>
      </c>
      <c r="CE39" s="119" t="str">
        <f t="shared" si="24"/>
        <v/>
      </c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1:114" ht="11.1" customHeight="1" x14ac:dyDescent="0.25">
      <c r="A40" s="3"/>
      <c r="B40" s="3"/>
      <c r="C40" s="3"/>
      <c r="D40" s="3"/>
      <c r="E40" s="3"/>
      <c r="F40" s="101">
        <v>3</v>
      </c>
      <c r="G40" s="101">
        <v>13</v>
      </c>
      <c r="H40" s="26"/>
      <c r="I40" s="10"/>
      <c r="J40" s="10">
        <v>1003.125</v>
      </c>
      <c r="K40" s="14"/>
      <c r="L40" s="27" t="str">
        <f t="shared" si="25"/>
        <v/>
      </c>
      <c r="M40" s="14"/>
      <c r="N40" s="61"/>
      <c r="O40" s="6"/>
      <c r="P40" s="38"/>
      <c r="Q40" s="28"/>
      <c r="R40" s="48"/>
      <c r="S40" s="48"/>
      <c r="T40" s="29"/>
      <c r="U40" s="30"/>
      <c r="V40" s="48">
        <f t="shared" si="10"/>
        <v>0</v>
      </c>
      <c r="W40" s="25" t="str">
        <f t="shared" si="11"/>
        <v/>
      </c>
      <c r="X40" s="25" t="str">
        <f t="shared" si="12"/>
        <v/>
      </c>
      <c r="Y40" s="63" t="str">
        <f t="shared" si="13"/>
        <v/>
      </c>
      <c r="Z40" s="27" t="str">
        <f t="shared" si="26"/>
        <v/>
      </c>
      <c r="AA40" s="82">
        <f>IF(Z40&lt;0,MAX(AA$6:AA39)+1,0)</f>
        <v>0</v>
      </c>
      <c r="AB40" s="39" t="str">
        <f t="shared" si="14"/>
        <v/>
      </c>
      <c r="AC40" s="39"/>
      <c r="AD40" s="19"/>
      <c r="AE40" s="90"/>
      <c r="AF40" s="90"/>
      <c r="AG40" s="39"/>
      <c r="AH40" s="39"/>
      <c r="AI40" s="16"/>
      <c r="AJ40" s="40">
        <f t="shared" ref="AJ40:AJ52" si="63">IF($O7&lt;=AJ$37,$O7+AD$6,"")</f>
        <v>1</v>
      </c>
      <c r="AK40" s="40">
        <f t="shared" ref="AK40:AS40" si="64">IF($O7&lt;=AK$37,$O7+AJ$39,"")</f>
        <v>5</v>
      </c>
      <c r="AL40" s="40">
        <f t="shared" si="64"/>
        <v>9</v>
      </c>
      <c r="AM40" s="40">
        <f t="shared" si="64"/>
        <v>13</v>
      </c>
      <c r="AN40" s="40">
        <f t="shared" si="64"/>
        <v>17</v>
      </c>
      <c r="AO40" s="40">
        <f t="shared" si="64"/>
        <v>23</v>
      </c>
      <c r="AP40" s="40">
        <f t="shared" si="64"/>
        <v>28</v>
      </c>
      <c r="AQ40" s="40" t="str">
        <f t="shared" si="64"/>
        <v/>
      </c>
      <c r="AR40" s="40" t="str">
        <f t="shared" si="64"/>
        <v/>
      </c>
      <c r="AS40" s="40" t="str">
        <f t="shared" si="64"/>
        <v/>
      </c>
      <c r="AT40" s="91"/>
      <c r="AU40" s="39"/>
      <c r="AV40" s="39"/>
      <c r="AW40" s="114"/>
      <c r="AX40" s="114"/>
      <c r="AY40" s="39"/>
      <c r="AZ40" s="39"/>
      <c r="BA40" s="39"/>
      <c r="BB40" s="114"/>
      <c r="BC40" s="92"/>
      <c r="BD40" s="121"/>
      <c r="BE40" s="121"/>
      <c r="BF40" s="123"/>
      <c r="BG40" s="123"/>
      <c r="BH40" s="123"/>
      <c r="BI40" s="3"/>
      <c r="BJ40" s="39"/>
      <c r="BK40" s="39"/>
      <c r="BL40" s="39"/>
      <c r="BM40" s="39"/>
      <c r="BN40" s="39"/>
      <c r="BO40" s="39"/>
      <c r="BP40" s="39"/>
      <c r="BQ40" s="39"/>
      <c r="BR40" s="39"/>
      <c r="BS40" s="59"/>
      <c r="BT40" s="110"/>
      <c r="BU40" s="105"/>
      <c r="BV40" s="105"/>
      <c r="BW40" s="105"/>
      <c r="BX40" s="16"/>
      <c r="BY40" s="110" t="str">
        <f>IF(ISNUMBER(BJ40),BJ40,"")</f>
        <v/>
      </c>
      <c r="BZ40" s="54">
        <f>IF(ISNUMBER(BK40),_xlfn.CONCAT(BK40,",",BL40),BJ40)</f>
        <v>0</v>
      </c>
      <c r="CA40" s="54" t="str">
        <f>IF(ISNUMBER(BN40),_xlfn.CONCAT(BN40,",",BO40),IF(OR(BM40=$BM$7,ISNUMBER(BM40)),BM40,""))</f>
        <v/>
      </c>
      <c r="CB40" s="72" t="str">
        <f>IF(ISNUMBER(BQ40),_xlfn.CONCAT(BQ40,",",BR40),IF(OR(ISNUMBER(BP40),BP40=$BP$7),BP40,""))</f>
        <v/>
      </c>
      <c r="CC40" s="40" t="str">
        <f>_xlfn.CONCAT(AB40,AC40)</f>
        <v/>
      </c>
      <c r="CD40" s="40" t="str">
        <f>_xlfn.CONCAT(AG40,AH40)</f>
        <v/>
      </c>
      <c r="CE40" s="119" t="str">
        <f t="shared" si="24"/>
        <v/>
      </c>
      <c r="CF40" s="3"/>
      <c r="CG40" s="3"/>
      <c r="CH40" s="3"/>
      <c r="CI40" s="3"/>
      <c r="CJ40" s="3"/>
      <c r="CK40" s="3"/>
      <c r="CL40" s="3"/>
      <c r="CM40" s="3"/>
      <c r="CN40" s="19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spans="1:114" ht="11.1" customHeight="1" x14ac:dyDescent="0.25">
      <c r="A41" s="3"/>
      <c r="B41" s="3"/>
      <c r="C41" s="3"/>
      <c r="D41" s="3"/>
      <c r="E41" s="3"/>
      <c r="F41" s="101">
        <v>2</v>
      </c>
      <c r="G41" s="101">
        <v>13</v>
      </c>
      <c r="H41" s="26"/>
      <c r="I41" s="10"/>
      <c r="J41" s="10">
        <v>996.875</v>
      </c>
      <c r="K41" s="14"/>
      <c r="L41" s="27" t="str">
        <f t="shared" si="25"/>
        <v/>
      </c>
      <c r="M41" s="14"/>
      <c r="N41" s="61"/>
      <c r="O41" s="6"/>
      <c r="P41" s="38"/>
      <c r="Q41" s="28"/>
      <c r="R41" s="48"/>
      <c r="S41" s="48"/>
      <c r="T41" s="29"/>
      <c r="U41" s="30"/>
      <c r="V41" s="48">
        <f t="shared" si="10"/>
        <v>0</v>
      </c>
      <c r="W41" s="25" t="str">
        <f t="shared" si="11"/>
        <v/>
      </c>
      <c r="X41" s="25" t="str">
        <f t="shared" si="12"/>
        <v/>
      </c>
      <c r="Y41" s="63" t="str">
        <f t="shared" si="13"/>
        <v/>
      </c>
      <c r="Z41" s="27" t="str">
        <f t="shared" si="26"/>
        <v/>
      </c>
      <c r="AA41" s="82">
        <f>IF(Z41&lt;0,MAX(AA$6:AA40)+1,0)</f>
        <v>0</v>
      </c>
      <c r="AB41" s="39" t="str">
        <f t="shared" si="14"/>
        <v/>
      </c>
      <c r="AC41" s="39"/>
      <c r="AD41" s="19"/>
      <c r="AE41" s="90"/>
      <c r="AF41" s="90"/>
      <c r="AG41" s="39"/>
      <c r="AH41" s="39"/>
      <c r="AI41" s="16"/>
      <c r="AJ41" s="40">
        <f t="shared" si="63"/>
        <v>2</v>
      </c>
      <c r="AK41" s="40">
        <f t="shared" ref="AK41:AS41" si="65">IF($O8&lt;=AK$37,$O8+AJ$39,"")</f>
        <v>6</v>
      </c>
      <c r="AL41" s="40">
        <f t="shared" si="65"/>
        <v>10</v>
      </c>
      <c r="AM41" s="40">
        <f t="shared" si="65"/>
        <v>14</v>
      </c>
      <c r="AN41" s="40">
        <f t="shared" si="65"/>
        <v>18</v>
      </c>
      <c r="AO41" s="40">
        <f t="shared" si="65"/>
        <v>24</v>
      </c>
      <c r="AP41" s="40">
        <f t="shared" si="65"/>
        <v>29</v>
      </c>
      <c r="AQ41" s="40" t="str">
        <f t="shared" si="65"/>
        <v/>
      </c>
      <c r="AR41" s="40" t="str">
        <f t="shared" si="65"/>
        <v/>
      </c>
      <c r="AS41" s="40" t="str">
        <f t="shared" si="65"/>
        <v/>
      </c>
      <c r="AT41" s="91"/>
      <c r="AU41" s="39"/>
      <c r="AV41" s="39"/>
      <c r="AW41" s="114"/>
      <c r="AX41" s="114"/>
      <c r="AY41" s="39"/>
      <c r="AZ41" s="39"/>
      <c r="BA41" s="39"/>
      <c r="BB41" s="114"/>
      <c r="BC41" s="92"/>
      <c r="BD41" s="121"/>
      <c r="BE41" s="121"/>
      <c r="BF41" s="123"/>
      <c r="BG41" s="123"/>
      <c r="BH41" s="123"/>
      <c r="BI41" s="3"/>
      <c r="BJ41" s="39"/>
      <c r="BK41" s="39"/>
      <c r="BL41" s="39"/>
      <c r="BM41" s="39"/>
      <c r="BN41" s="39"/>
      <c r="BO41" s="39"/>
      <c r="BP41" s="39"/>
      <c r="BQ41" s="39"/>
      <c r="BR41" s="39"/>
      <c r="BS41" s="59"/>
      <c r="BT41" s="110"/>
      <c r="BU41" s="105"/>
      <c r="BV41" s="105"/>
      <c r="BW41" s="105"/>
      <c r="BX41" s="16"/>
      <c r="BY41" s="110" t="str">
        <f>IF(ISNUMBER(BJ41),BJ41,"")</f>
        <v/>
      </c>
      <c r="BZ41" s="54">
        <f>IF(ISNUMBER(BK41),_xlfn.CONCAT(BK41,",",BL41),BJ41)</f>
        <v>0</v>
      </c>
      <c r="CA41" s="54" t="str">
        <f>IF(ISNUMBER(BN41),_xlfn.CONCAT(BN41,",",BO41),IF(OR(BM41=$BM$7,ISNUMBER(BM41)),BM41,""))</f>
        <v/>
      </c>
      <c r="CB41" s="72" t="str">
        <f>IF(ISNUMBER(BQ41),_xlfn.CONCAT(BQ41,",",BR41),IF(OR(ISNUMBER(BP41),BP41=$BP$7),BP41,""))</f>
        <v/>
      </c>
      <c r="CC41" s="40" t="str">
        <f>_xlfn.CONCAT(AB41,AC41)</f>
        <v/>
      </c>
      <c r="CD41" s="40" t="str">
        <f>_xlfn.CONCAT(AG41,AH41)</f>
        <v/>
      </c>
      <c r="CE41" s="119" t="str">
        <f t="shared" si="24"/>
        <v/>
      </c>
      <c r="CF41" s="3"/>
      <c r="CG41" s="3"/>
      <c r="CH41" s="3"/>
      <c r="CI41" s="3"/>
      <c r="CJ41" s="3"/>
      <c r="CK41" s="3"/>
      <c r="CL41" s="3"/>
      <c r="CM41" s="3"/>
      <c r="CN41" s="19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1:114" ht="11.1" customHeight="1" x14ac:dyDescent="0.25">
      <c r="A42" s="3"/>
      <c r="B42" s="3"/>
      <c r="C42" s="3"/>
      <c r="D42" s="3"/>
      <c r="E42" s="3"/>
      <c r="F42" s="101">
        <v>1</v>
      </c>
      <c r="G42" s="101">
        <v>13</v>
      </c>
      <c r="H42" s="26"/>
      <c r="I42" s="10"/>
      <c r="J42" s="10">
        <v>991.875</v>
      </c>
      <c r="K42" s="14"/>
      <c r="L42" s="27" t="str">
        <f t="shared" si="25"/>
        <v/>
      </c>
      <c r="M42" s="14"/>
      <c r="N42" s="61"/>
      <c r="O42" s="6"/>
      <c r="P42" s="38"/>
      <c r="Q42" s="28"/>
      <c r="R42" s="48"/>
      <c r="S42" s="48"/>
      <c r="T42" s="29"/>
      <c r="U42" s="30"/>
      <c r="V42" s="48">
        <f t="shared" si="10"/>
        <v>0</v>
      </c>
      <c r="W42" s="25" t="str">
        <f t="shared" si="11"/>
        <v/>
      </c>
      <c r="X42" s="25" t="str">
        <f t="shared" si="12"/>
        <v/>
      </c>
      <c r="Y42" s="63" t="str">
        <f t="shared" si="13"/>
        <v/>
      </c>
      <c r="Z42" s="27" t="str">
        <f t="shared" si="26"/>
        <v/>
      </c>
      <c r="AA42" s="82">
        <f>IF(Z42&lt;0,MAX(AA$6:AA41)+1,0)</f>
        <v>0</v>
      </c>
      <c r="AB42" s="39" t="str">
        <f t="shared" si="14"/>
        <v/>
      </c>
      <c r="AC42" s="39"/>
      <c r="AD42" s="19"/>
      <c r="AE42" s="90"/>
      <c r="AF42" s="90"/>
      <c r="AG42" s="39"/>
      <c r="AH42" s="39"/>
      <c r="AI42" s="16"/>
      <c r="AJ42" s="40">
        <f t="shared" si="63"/>
        <v>3</v>
      </c>
      <c r="AK42" s="40">
        <f t="shared" ref="AK42:AS42" si="66">IF($O9&lt;=AK$37,$O9+AJ$39,"")</f>
        <v>7</v>
      </c>
      <c r="AL42" s="40">
        <f t="shared" si="66"/>
        <v>11</v>
      </c>
      <c r="AM42" s="40">
        <f t="shared" si="66"/>
        <v>15</v>
      </c>
      <c r="AN42" s="40">
        <f t="shared" si="66"/>
        <v>19</v>
      </c>
      <c r="AO42" s="40">
        <f t="shared" si="66"/>
        <v>25</v>
      </c>
      <c r="AP42" s="40" t="str">
        <f t="shared" si="66"/>
        <v/>
      </c>
      <c r="AQ42" s="40" t="str">
        <f t="shared" si="66"/>
        <v/>
      </c>
      <c r="AR42" s="40" t="str">
        <f t="shared" si="66"/>
        <v/>
      </c>
      <c r="AS42" s="40" t="str">
        <f t="shared" si="66"/>
        <v/>
      </c>
      <c r="AT42" s="91"/>
      <c r="AU42" s="39"/>
      <c r="AV42" s="39"/>
      <c r="AW42" s="114"/>
      <c r="AX42" s="114"/>
      <c r="AY42" s="39"/>
      <c r="AZ42" s="39"/>
      <c r="BA42" s="39"/>
      <c r="BB42" s="114"/>
      <c r="BC42" s="92"/>
      <c r="BD42" s="93"/>
      <c r="BE42" s="39"/>
      <c r="BF42" s="123"/>
      <c r="BG42" s="123"/>
      <c r="BH42" s="123"/>
      <c r="BI42" s="3"/>
      <c r="BJ42" s="39"/>
      <c r="BK42" s="39"/>
      <c r="BL42" s="39"/>
      <c r="BM42" s="39"/>
      <c r="BN42" s="39"/>
      <c r="BO42" s="39"/>
      <c r="BP42" s="39"/>
      <c r="BQ42" s="39"/>
      <c r="BR42" s="39"/>
      <c r="BS42" s="59"/>
      <c r="BT42" s="110"/>
      <c r="BU42" s="105"/>
      <c r="BV42" s="105"/>
      <c r="BW42" s="105"/>
      <c r="BX42" s="16"/>
      <c r="BY42" s="110" t="str">
        <f>IF(ISNUMBER(BJ42),BJ42,"")</f>
        <v/>
      </c>
      <c r="BZ42" s="54">
        <f>IF(ISNUMBER(BK42),_xlfn.CONCAT(BK42,",",BL42),BJ42)</f>
        <v>0</v>
      </c>
      <c r="CA42" s="54" t="str">
        <f>IF(ISNUMBER(BN42),_xlfn.CONCAT(BN42,",",BO42),IF(OR(BM42=$BM$7,ISNUMBER(BM42)),BM42,""))</f>
        <v/>
      </c>
      <c r="CB42" s="72" t="str">
        <f>IF(ISNUMBER(BQ42),_xlfn.CONCAT(BQ42,",",BR42),IF(OR(ISNUMBER(BP42),BP42=$BP$7),BP42,""))</f>
        <v/>
      </c>
      <c r="CC42" s="40" t="str">
        <f>_xlfn.CONCAT(AB42,AC42)</f>
        <v/>
      </c>
      <c r="CD42" s="40" t="str">
        <f>_xlfn.CONCAT(AG42,AH42)</f>
        <v/>
      </c>
      <c r="CE42" s="119" t="str">
        <f t="shared" si="24"/>
        <v/>
      </c>
      <c r="CF42" s="3"/>
      <c r="CG42" s="3"/>
      <c r="CH42" s="3"/>
      <c r="CI42" s="3"/>
      <c r="CJ42" s="3"/>
      <c r="CK42" s="3"/>
      <c r="CL42" s="3"/>
      <c r="CM42" s="3"/>
      <c r="CN42" s="19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spans="1:114" ht="11.1" customHeight="1" x14ac:dyDescent="0.25">
      <c r="A43" s="3"/>
      <c r="B43" s="3"/>
      <c r="C43" s="3"/>
      <c r="D43" s="3"/>
      <c r="E43" s="3"/>
      <c r="F43" s="26"/>
      <c r="G43" s="26"/>
      <c r="H43" s="26"/>
      <c r="I43" s="10"/>
      <c r="J43" s="10"/>
      <c r="K43" s="14"/>
      <c r="L43" s="11"/>
      <c r="M43" s="14"/>
      <c r="N43" s="14"/>
      <c r="O43" s="4"/>
      <c r="P43" s="3"/>
      <c r="Q43" s="4"/>
      <c r="R43" s="3"/>
      <c r="S43" s="3"/>
      <c r="T43" s="3"/>
      <c r="U43" s="4"/>
      <c r="V43" s="4"/>
      <c r="W43" s="4"/>
      <c r="X43" s="4"/>
      <c r="Y43" s="4"/>
      <c r="Z43" s="11"/>
      <c r="AA43" s="15"/>
      <c r="AB43" s="15"/>
      <c r="AC43" s="15"/>
      <c r="AD43" s="16"/>
      <c r="AE43" s="64"/>
      <c r="AF43" s="64"/>
      <c r="AG43" s="16"/>
      <c r="AH43" s="16"/>
      <c r="AI43" s="16"/>
      <c r="AJ43" s="40">
        <f t="shared" si="63"/>
        <v>4</v>
      </c>
      <c r="AK43" s="40">
        <f t="shared" ref="AK43:AS43" si="67">IF($O10&lt;=AK$37,$O10+AJ$39,"")</f>
        <v>8</v>
      </c>
      <c r="AL43" s="40">
        <f t="shared" si="67"/>
        <v>12</v>
      </c>
      <c r="AM43" s="40">
        <f t="shared" si="67"/>
        <v>16</v>
      </c>
      <c r="AN43" s="40">
        <f t="shared" si="67"/>
        <v>20</v>
      </c>
      <c r="AO43" s="40">
        <f t="shared" si="67"/>
        <v>26</v>
      </c>
      <c r="AP43" s="40" t="str">
        <f t="shared" si="67"/>
        <v/>
      </c>
      <c r="AQ43" s="40" t="str">
        <f t="shared" si="67"/>
        <v/>
      </c>
      <c r="AR43" s="40" t="str">
        <f t="shared" si="67"/>
        <v/>
      </c>
      <c r="AS43" s="40" t="str">
        <f t="shared" si="67"/>
        <v/>
      </c>
      <c r="AT43" s="16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3"/>
      <c r="BJ43" s="3"/>
      <c r="BK43" s="3"/>
      <c r="BL43" s="3"/>
      <c r="BM43" s="3"/>
      <c r="BN43" s="66"/>
      <c r="BO43" s="66"/>
      <c r="BP43" s="66"/>
      <c r="BQ43" s="66"/>
      <c r="BR43" s="66"/>
      <c r="BS43" s="59"/>
      <c r="BT43" s="66"/>
      <c r="BU43" s="94"/>
      <c r="BV43" s="94"/>
      <c r="BW43" s="94"/>
      <c r="BX43" s="66"/>
      <c r="BY43" s="15"/>
      <c r="BZ43" s="15"/>
      <c r="CA43" s="15"/>
      <c r="CB43" s="29"/>
      <c r="CC43" s="29"/>
      <c r="CD43" s="29"/>
      <c r="CE43" s="29"/>
      <c r="CF43" s="3"/>
      <c r="CG43" s="3"/>
      <c r="CH43" s="3"/>
      <c r="CI43" s="3"/>
      <c r="CJ43" s="3"/>
      <c r="CK43" s="3"/>
      <c r="CL43" s="3"/>
      <c r="CM43" s="3"/>
      <c r="CN43" s="19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spans="1:114" ht="11.1" customHeight="1" x14ac:dyDescent="0.25">
      <c r="A44" s="3"/>
      <c r="B44" s="3"/>
      <c r="C44" s="3"/>
      <c r="D44" s="3"/>
      <c r="E44" s="3"/>
      <c r="F44" s="26"/>
      <c r="G44" s="26"/>
      <c r="H44" s="26"/>
      <c r="I44" s="10"/>
      <c r="J44" s="10"/>
      <c r="K44" s="14"/>
      <c r="L44" s="11"/>
      <c r="M44" s="14"/>
      <c r="N44" s="14"/>
      <c r="O44" s="4"/>
      <c r="P44" s="3"/>
      <c r="Q44" s="4"/>
      <c r="R44" s="3"/>
      <c r="S44" s="3"/>
      <c r="T44" s="3"/>
      <c r="U44" s="4"/>
      <c r="V44" s="4"/>
      <c r="W44" s="4"/>
      <c r="X44" s="4"/>
      <c r="Y44" s="4"/>
      <c r="Z44" s="11"/>
      <c r="AA44" s="15"/>
      <c r="AB44" s="15"/>
      <c r="AC44" s="15"/>
      <c r="AD44" s="16"/>
      <c r="AE44" s="64"/>
      <c r="AF44" s="64"/>
      <c r="AG44" s="16"/>
      <c r="AH44" s="16"/>
      <c r="AI44" s="16"/>
      <c r="AJ44" s="40" t="str">
        <f t="shared" si="63"/>
        <v/>
      </c>
      <c r="AK44" s="40" t="str">
        <f t="shared" ref="AK44:AS44" si="68">IF($O11&lt;=AK$37,$O11+AJ$39,"")</f>
        <v/>
      </c>
      <c r="AL44" s="40" t="str">
        <f t="shared" si="68"/>
        <v/>
      </c>
      <c r="AM44" s="40" t="str">
        <f t="shared" si="68"/>
        <v/>
      </c>
      <c r="AN44" s="40">
        <f t="shared" si="68"/>
        <v>21</v>
      </c>
      <c r="AO44" s="40">
        <f t="shared" si="68"/>
        <v>27</v>
      </c>
      <c r="AP44" s="40" t="str">
        <f t="shared" si="68"/>
        <v/>
      </c>
      <c r="AQ44" s="40" t="str">
        <f t="shared" si="68"/>
        <v/>
      </c>
      <c r="AR44" s="40" t="str">
        <f t="shared" si="68"/>
        <v/>
      </c>
      <c r="AS44" s="40" t="str">
        <f t="shared" si="68"/>
        <v/>
      </c>
      <c r="AT44" s="16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3"/>
      <c r="BJ44" s="3"/>
      <c r="BK44" s="3"/>
      <c r="BL44" s="3"/>
      <c r="BM44" s="3"/>
      <c r="BN44" s="66"/>
      <c r="BO44" s="66"/>
      <c r="BP44" s="66"/>
      <c r="BQ44" s="66"/>
      <c r="BR44" s="66"/>
      <c r="BS44" s="59"/>
      <c r="BT44" s="66"/>
      <c r="BU44" s="94"/>
      <c r="BV44" s="94"/>
      <c r="BW44" s="94"/>
      <c r="BX44" s="66"/>
      <c r="BY44" s="15"/>
      <c r="BZ44" s="15"/>
      <c r="CA44" s="15"/>
      <c r="CB44" s="29"/>
      <c r="CC44" s="29"/>
      <c r="CD44" s="29"/>
      <c r="CE44" s="29"/>
      <c r="CF44" s="3"/>
      <c r="CG44" s="3"/>
      <c r="CH44" s="3"/>
      <c r="CI44" s="3"/>
      <c r="CJ44" s="3"/>
      <c r="CK44" s="3"/>
      <c r="CL44" s="3"/>
      <c r="CM44" s="3"/>
      <c r="CN44" s="19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spans="1:114" ht="11.1" customHeight="1" x14ac:dyDescent="0.25">
      <c r="A45" s="3"/>
      <c r="B45" s="3"/>
      <c r="C45" s="3"/>
      <c r="D45" s="3"/>
      <c r="E45" s="3"/>
      <c r="F45" s="26"/>
      <c r="G45" s="26"/>
      <c r="H45" s="26"/>
      <c r="I45" s="10"/>
      <c r="J45" s="10"/>
      <c r="K45" s="14"/>
      <c r="L45" s="11"/>
      <c r="M45" s="14"/>
      <c r="N45" s="14"/>
      <c r="O45" s="4"/>
      <c r="P45" s="3"/>
      <c r="Q45" s="4"/>
      <c r="R45" s="3"/>
      <c r="S45" s="3"/>
      <c r="T45" s="3"/>
      <c r="U45" s="4"/>
      <c r="V45" s="4"/>
      <c r="W45" s="4"/>
      <c r="X45" s="4"/>
      <c r="Y45" s="4"/>
      <c r="Z45" s="11"/>
      <c r="AA45" s="15"/>
      <c r="AB45" s="15"/>
      <c r="AC45" s="15"/>
      <c r="AD45" s="16"/>
      <c r="AE45" s="64"/>
      <c r="AF45" s="64"/>
      <c r="AG45" s="16"/>
      <c r="AH45" s="16"/>
      <c r="AI45" s="16"/>
      <c r="AJ45" s="40" t="str">
        <f t="shared" si="63"/>
        <v/>
      </c>
      <c r="AK45" s="40" t="str">
        <f t="shared" ref="AK45:AS45" si="69">IF($O12&lt;=AK$37,$O12+AJ$39,"")</f>
        <v/>
      </c>
      <c r="AL45" s="40" t="str">
        <f t="shared" si="69"/>
        <v/>
      </c>
      <c r="AM45" s="40" t="str">
        <f t="shared" si="69"/>
        <v/>
      </c>
      <c r="AN45" s="40">
        <f t="shared" si="69"/>
        <v>22</v>
      </c>
      <c r="AO45" s="40" t="str">
        <f t="shared" si="69"/>
        <v/>
      </c>
      <c r="AP45" s="40" t="str">
        <f t="shared" si="69"/>
        <v/>
      </c>
      <c r="AQ45" s="40" t="str">
        <f t="shared" si="69"/>
        <v/>
      </c>
      <c r="AR45" s="40" t="str">
        <f t="shared" si="69"/>
        <v/>
      </c>
      <c r="AS45" s="40" t="str">
        <f t="shared" si="69"/>
        <v/>
      </c>
      <c r="AT45" s="16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3"/>
      <c r="BJ45" s="3"/>
      <c r="BK45" s="3"/>
      <c r="BL45" s="3"/>
      <c r="BM45" s="3"/>
      <c r="BN45" s="66"/>
      <c r="BO45" s="66"/>
      <c r="BP45" s="66"/>
      <c r="BQ45" s="66"/>
      <c r="BR45" s="66"/>
      <c r="BS45" s="66"/>
      <c r="BT45" s="66"/>
      <c r="BU45" s="94"/>
      <c r="BV45" s="94"/>
      <c r="BW45" s="94"/>
      <c r="BX45" s="66"/>
      <c r="BY45" s="15"/>
      <c r="BZ45" s="15"/>
      <c r="CA45" s="15"/>
      <c r="CB45" s="29"/>
      <c r="CC45" s="29"/>
      <c r="CD45" s="29"/>
      <c r="CE45" s="29"/>
      <c r="CF45" s="3"/>
      <c r="CG45" s="3"/>
      <c r="CH45" s="3"/>
      <c r="CI45" s="3"/>
      <c r="CJ45" s="3"/>
      <c r="CK45" s="3"/>
      <c r="CL45" s="3"/>
      <c r="CM45" s="3"/>
      <c r="CN45" s="19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spans="1:114" ht="11.1" customHeight="1" x14ac:dyDescent="0.25">
      <c r="A46" s="3"/>
      <c r="B46" s="3"/>
      <c r="C46" s="3"/>
      <c r="D46" s="3"/>
      <c r="E46" s="3"/>
      <c r="F46" s="26"/>
      <c r="G46" s="26"/>
      <c r="H46" s="26"/>
      <c r="I46" s="10"/>
      <c r="J46" s="10"/>
      <c r="K46" s="14"/>
      <c r="L46" s="11"/>
      <c r="M46" s="14"/>
      <c r="N46" s="14"/>
      <c r="O46" s="4"/>
      <c r="P46" s="3"/>
      <c r="Q46" s="4"/>
      <c r="R46" s="3"/>
      <c r="S46" s="3"/>
      <c r="T46" s="3"/>
      <c r="U46" s="4"/>
      <c r="V46" s="4"/>
      <c r="W46" s="4"/>
      <c r="X46" s="4"/>
      <c r="Y46" s="4"/>
      <c r="Z46" s="11"/>
      <c r="AA46" s="15"/>
      <c r="AB46" s="15"/>
      <c r="AC46" s="15"/>
      <c r="AD46" s="16"/>
      <c r="AE46" s="64"/>
      <c r="AF46" s="64"/>
      <c r="AG46" s="16"/>
      <c r="AH46" s="16"/>
      <c r="AI46" s="16"/>
      <c r="AJ46" s="40" t="str">
        <f t="shared" si="63"/>
        <v/>
      </c>
      <c r="AK46" s="40" t="str">
        <f t="shared" ref="AK46:AS46" si="70">IF($O13&lt;=AK$37,$O13+AJ$39,"")</f>
        <v/>
      </c>
      <c r="AL46" s="40" t="str">
        <f t="shared" si="70"/>
        <v/>
      </c>
      <c r="AM46" s="40" t="str">
        <f t="shared" si="70"/>
        <v/>
      </c>
      <c r="AN46" s="40" t="str">
        <f t="shared" si="70"/>
        <v/>
      </c>
      <c r="AO46" s="40" t="str">
        <f t="shared" si="70"/>
        <v/>
      </c>
      <c r="AP46" s="40" t="str">
        <f t="shared" si="70"/>
        <v/>
      </c>
      <c r="AQ46" s="40" t="str">
        <f t="shared" si="70"/>
        <v/>
      </c>
      <c r="AR46" s="40" t="str">
        <f t="shared" si="70"/>
        <v/>
      </c>
      <c r="AS46" s="40" t="str">
        <f t="shared" si="70"/>
        <v/>
      </c>
      <c r="AT46" s="16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3"/>
      <c r="BJ46" s="3"/>
      <c r="BK46" s="3"/>
      <c r="BL46" s="3"/>
      <c r="BM46" s="3"/>
      <c r="BN46" s="66"/>
      <c r="BO46" s="66"/>
      <c r="BP46" s="66"/>
      <c r="BQ46" s="66"/>
      <c r="BR46" s="66"/>
      <c r="BS46" s="66"/>
      <c r="BT46" s="66"/>
      <c r="BU46" s="94"/>
      <c r="BV46" s="94"/>
      <c r="BW46" s="94"/>
      <c r="BX46" s="66"/>
      <c r="BY46" s="15"/>
      <c r="BZ46" s="15"/>
      <c r="CA46" s="15"/>
      <c r="CB46" s="29"/>
      <c r="CC46" s="29"/>
      <c r="CD46" s="29"/>
      <c r="CE46" s="29"/>
      <c r="CF46" s="3"/>
      <c r="CG46" s="3"/>
      <c r="CH46" s="3"/>
      <c r="CI46" s="3"/>
      <c r="CJ46" s="3"/>
      <c r="CK46" s="3"/>
      <c r="CL46" s="3"/>
      <c r="CM46" s="3"/>
      <c r="CN46" s="19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spans="1:114" ht="11.1" customHeight="1" x14ac:dyDescent="0.25">
      <c r="A47" s="3"/>
      <c r="B47" s="3"/>
      <c r="C47" s="3"/>
      <c r="D47" s="3"/>
      <c r="E47" s="3"/>
      <c r="F47" s="26"/>
      <c r="G47" s="26"/>
      <c r="H47" s="26"/>
      <c r="I47" s="10"/>
      <c r="J47" s="10"/>
      <c r="K47" s="14"/>
      <c r="L47" s="11"/>
      <c r="M47" s="14"/>
      <c r="N47" s="14"/>
      <c r="O47" s="4"/>
      <c r="P47" s="3"/>
      <c r="Q47" s="4"/>
      <c r="R47" s="3"/>
      <c r="S47" s="3"/>
      <c r="T47" s="3"/>
      <c r="U47" s="4"/>
      <c r="V47" s="4"/>
      <c r="W47" s="4"/>
      <c r="X47" s="4"/>
      <c r="Y47" s="4"/>
      <c r="Z47" s="11"/>
      <c r="AA47" s="15"/>
      <c r="AB47" s="15"/>
      <c r="AC47" s="15"/>
      <c r="AD47" s="16"/>
      <c r="AE47" s="64"/>
      <c r="AF47" s="64"/>
      <c r="AG47" s="16"/>
      <c r="AH47" s="16"/>
      <c r="AI47" s="16"/>
      <c r="AJ47" s="40" t="str">
        <f t="shared" si="63"/>
        <v/>
      </c>
      <c r="AK47" s="40" t="str">
        <f t="shared" ref="AK47:AS47" si="71">IF($O14&lt;=AK$37,$O14+AJ$39,"")</f>
        <v/>
      </c>
      <c r="AL47" s="40" t="str">
        <f t="shared" si="71"/>
        <v/>
      </c>
      <c r="AM47" s="40" t="str">
        <f t="shared" si="71"/>
        <v/>
      </c>
      <c r="AN47" s="40" t="str">
        <f t="shared" si="71"/>
        <v/>
      </c>
      <c r="AO47" s="40" t="str">
        <f t="shared" si="71"/>
        <v/>
      </c>
      <c r="AP47" s="40" t="str">
        <f t="shared" si="71"/>
        <v/>
      </c>
      <c r="AQ47" s="40" t="str">
        <f t="shared" si="71"/>
        <v/>
      </c>
      <c r="AR47" s="40" t="str">
        <f t="shared" si="71"/>
        <v/>
      </c>
      <c r="AS47" s="40" t="str">
        <f t="shared" si="71"/>
        <v/>
      </c>
      <c r="AT47" s="50"/>
      <c r="AU47" s="50"/>
      <c r="AV47" s="50"/>
      <c r="AW47" s="50"/>
      <c r="AX47" s="50"/>
      <c r="AY47" s="50"/>
      <c r="AZ47" s="17"/>
      <c r="BA47" s="17"/>
      <c r="BB47" s="17"/>
      <c r="BC47" s="17"/>
      <c r="BD47" s="16"/>
      <c r="BE47" s="16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3"/>
      <c r="BR47" s="3"/>
      <c r="BS47" s="3"/>
      <c r="BT47" s="3"/>
      <c r="BU47" s="3"/>
      <c r="BV47" s="66"/>
      <c r="BW47" s="66"/>
      <c r="BX47" s="66"/>
      <c r="BY47" s="94"/>
      <c r="BZ47" s="94"/>
      <c r="CA47" s="94"/>
      <c r="CB47" s="66"/>
      <c r="CC47" s="66"/>
      <c r="CD47" s="66"/>
      <c r="CE47" s="66"/>
      <c r="CF47" s="3"/>
      <c r="CG47" s="19"/>
      <c r="CH47" s="19"/>
      <c r="CI47" s="3"/>
      <c r="CJ47" s="3"/>
      <c r="CK47" s="3"/>
      <c r="CL47" s="3"/>
      <c r="CM47" s="3"/>
      <c r="CN47" s="19"/>
      <c r="CO47" s="19"/>
      <c r="CP47" s="19"/>
      <c r="CQ47" s="19"/>
      <c r="CR47" s="19"/>
      <c r="CS47" s="19"/>
      <c r="CT47" s="19"/>
      <c r="CU47" s="19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</row>
    <row r="48" spans="1:114" ht="11.1" customHeight="1" x14ac:dyDescent="0.25">
      <c r="A48" s="3"/>
      <c r="B48" s="3"/>
      <c r="C48" s="3"/>
      <c r="D48" s="3"/>
      <c r="E48" s="3"/>
      <c r="F48" s="26"/>
      <c r="G48" s="26"/>
      <c r="H48" s="26"/>
      <c r="I48" s="10"/>
      <c r="J48" s="10"/>
      <c r="K48" s="14"/>
      <c r="L48" s="11"/>
      <c r="M48" s="14"/>
      <c r="N48" s="14"/>
      <c r="O48" s="4"/>
      <c r="P48" s="3"/>
      <c r="Q48" s="4"/>
      <c r="R48" s="3"/>
      <c r="S48" s="3"/>
      <c r="T48" s="3"/>
      <c r="U48" s="4"/>
      <c r="V48" s="4"/>
      <c r="W48" s="4"/>
      <c r="X48" s="4"/>
      <c r="Y48" s="4"/>
      <c r="Z48" s="11"/>
      <c r="AA48" s="15"/>
      <c r="AB48" s="15"/>
      <c r="AC48" s="15"/>
      <c r="AD48" s="16"/>
      <c r="AE48" s="64"/>
      <c r="AF48" s="64"/>
      <c r="AG48" s="16"/>
      <c r="AH48" s="16"/>
      <c r="AI48" s="16"/>
      <c r="AJ48" s="40" t="str">
        <f t="shared" si="63"/>
        <v/>
      </c>
      <c r="AK48" s="40" t="str">
        <f t="shared" ref="AK48:AS48" si="72">IF($O15&lt;=AK$37,$O15+AJ$39,"")</f>
        <v/>
      </c>
      <c r="AL48" s="40" t="str">
        <f t="shared" si="72"/>
        <v/>
      </c>
      <c r="AM48" s="40" t="str">
        <f t="shared" si="72"/>
        <v/>
      </c>
      <c r="AN48" s="40" t="str">
        <f t="shared" si="72"/>
        <v/>
      </c>
      <c r="AO48" s="40" t="str">
        <f t="shared" si="72"/>
        <v/>
      </c>
      <c r="AP48" s="40" t="str">
        <f t="shared" si="72"/>
        <v/>
      </c>
      <c r="AQ48" s="40" t="str">
        <f t="shared" si="72"/>
        <v/>
      </c>
      <c r="AR48" s="40" t="str">
        <f t="shared" si="72"/>
        <v/>
      </c>
      <c r="AS48" s="40" t="str">
        <f t="shared" si="72"/>
        <v/>
      </c>
      <c r="AT48" s="50"/>
      <c r="AU48" s="50"/>
      <c r="AV48" s="50"/>
      <c r="AW48" s="50"/>
      <c r="AX48" s="50"/>
      <c r="AY48" s="50"/>
      <c r="AZ48" s="17"/>
      <c r="BA48" s="17"/>
      <c r="BB48" s="17"/>
      <c r="BC48" s="17"/>
      <c r="BD48" s="16"/>
      <c r="BE48" s="16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3"/>
      <c r="BR48" s="3"/>
      <c r="BS48" s="3"/>
      <c r="BT48" s="3"/>
      <c r="BU48" s="3"/>
      <c r="BV48" s="66"/>
      <c r="BW48" s="66"/>
      <c r="BX48" s="66"/>
      <c r="BY48" s="94"/>
      <c r="BZ48" s="94"/>
      <c r="CA48" s="94"/>
      <c r="CB48" s="66"/>
      <c r="CC48" s="66"/>
      <c r="CD48" s="66"/>
      <c r="CE48" s="66"/>
      <c r="CF48" s="3"/>
      <c r="CG48" s="19"/>
      <c r="CH48" s="19"/>
      <c r="CI48" s="3"/>
      <c r="CJ48" s="3"/>
      <c r="CK48" s="3"/>
      <c r="CL48" s="3"/>
      <c r="CM48" s="3"/>
      <c r="CN48" s="19"/>
      <c r="CO48" s="19"/>
      <c r="CP48" s="19"/>
      <c r="CQ48" s="19"/>
      <c r="CR48" s="19"/>
      <c r="CS48" s="19"/>
      <c r="CT48" s="19"/>
      <c r="CU48" s="19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</row>
    <row r="49" spans="1:114" ht="11.1" customHeight="1" x14ac:dyDescent="0.25">
      <c r="A49" s="3"/>
      <c r="B49" s="3"/>
      <c r="C49" s="3"/>
      <c r="D49" s="3"/>
      <c r="E49" s="3"/>
      <c r="F49" s="26"/>
      <c r="G49" s="26"/>
      <c r="H49" s="26"/>
      <c r="I49" s="10"/>
      <c r="J49" s="10"/>
      <c r="K49" s="14"/>
      <c r="L49" s="11"/>
      <c r="M49" s="14"/>
      <c r="N49" s="14"/>
      <c r="O49" s="4"/>
      <c r="P49" s="3"/>
      <c r="Q49" s="4"/>
      <c r="R49" s="3"/>
      <c r="S49" s="3"/>
      <c r="T49" s="3"/>
      <c r="U49" s="4"/>
      <c r="V49" s="4"/>
      <c r="W49" s="4"/>
      <c r="X49" s="4"/>
      <c r="Y49" s="4"/>
      <c r="Z49" s="11"/>
      <c r="AA49" s="15"/>
      <c r="AB49" s="15"/>
      <c r="AC49" s="15"/>
      <c r="AD49" s="16"/>
      <c r="AE49" s="64"/>
      <c r="AF49" s="64"/>
      <c r="AG49" s="16"/>
      <c r="AH49" s="16"/>
      <c r="AI49" s="16"/>
      <c r="AJ49" s="40" t="str">
        <f t="shared" si="63"/>
        <v/>
      </c>
      <c r="AK49" s="40" t="str">
        <f t="shared" ref="AK49:AS49" si="73">IF($O16&lt;=AK$37,$O16+AJ$39,"")</f>
        <v/>
      </c>
      <c r="AL49" s="40" t="str">
        <f t="shared" si="73"/>
        <v/>
      </c>
      <c r="AM49" s="40" t="str">
        <f t="shared" si="73"/>
        <v/>
      </c>
      <c r="AN49" s="40" t="str">
        <f t="shared" si="73"/>
        <v/>
      </c>
      <c r="AO49" s="40" t="str">
        <f t="shared" si="73"/>
        <v/>
      </c>
      <c r="AP49" s="40" t="str">
        <f t="shared" si="73"/>
        <v/>
      </c>
      <c r="AQ49" s="40" t="str">
        <f t="shared" si="73"/>
        <v/>
      </c>
      <c r="AR49" s="40" t="str">
        <f t="shared" si="73"/>
        <v/>
      </c>
      <c r="AS49" s="40" t="str">
        <f t="shared" si="73"/>
        <v/>
      </c>
      <c r="AT49" s="50"/>
      <c r="AU49" s="50"/>
      <c r="AV49" s="50"/>
      <c r="AW49" s="50"/>
      <c r="AX49" s="50"/>
      <c r="AY49" s="50"/>
      <c r="AZ49" s="17"/>
      <c r="BA49" s="17"/>
      <c r="BB49" s="17"/>
      <c r="BC49" s="17"/>
      <c r="BD49" s="16"/>
      <c r="BE49" s="16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3"/>
      <c r="BR49" s="3"/>
      <c r="BS49" s="3"/>
      <c r="BT49" s="3"/>
      <c r="BU49" s="3"/>
      <c r="BV49" s="66"/>
      <c r="BW49" s="66"/>
      <c r="BX49" s="66"/>
      <c r="BY49" s="94"/>
      <c r="BZ49" s="94"/>
      <c r="CA49" s="94"/>
      <c r="CB49" s="66"/>
      <c r="CC49" s="66"/>
      <c r="CD49" s="66"/>
      <c r="CE49" s="66"/>
      <c r="CF49" s="3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</row>
    <row r="50" spans="1:114" ht="11.1" customHeight="1" x14ac:dyDescent="0.25">
      <c r="A50" s="3"/>
      <c r="B50" s="3"/>
      <c r="C50" s="3"/>
      <c r="D50" s="3"/>
      <c r="E50" s="3"/>
      <c r="F50" s="26"/>
      <c r="G50" s="26"/>
      <c r="H50" s="26"/>
      <c r="I50" s="10"/>
      <c r="J50" s="10"/>
      <c r="K50" s="14"/>
      <c r="L50" s="11"/>
      <c r="M50" s="14"/>
      <c r="N50" s="14"/>
      <c r="O50" s="4"/>
      <c r="P50" s="3"/>
      <c r="Q50" s="4"/>
      <c r="R50" s="3"/>
      <c r="S50" s="3"/>
      <c r="T50" s="3"/>
      <c r="U50" s="4"/>
      <c r="V50" s="4"/>
      <c r="W50" s="4"/>
      <c r="X50" s="4"/>
      <c r="Y50" s="4"/>
      <c r="Z50" s="11"/>
      <c r="AA50" s="15"/>
      <c r="AB50" s="15"/>
      <c r="AC50" s="15"/>
      <c r="AD50" s="16"/>
      <c r="AE50" s="64"/>
      <c r="AF50" s="64"/>
      <c r="AG50" s="16"/>
      <c r="AH50" s="16"/>
      <c r="AI50" s="16"/>
      <c r="AJ50" s="40" t="str">
        <f t="shared" si="63"/>
        <v/>
      </c>
      <c r="AK50" s="40" t="str">
        <f t="shared" ref="AK50:AS50" si="74">IF($O17&lt;=AK$37,$O17+AJ$39,"")</f>
        <v/>
      </c>
      <c r="AL50" s="40" t="str">
        <f t="shared" si="74"/>
        <v/>
      </c>
      <c r="AM50" s="40" t="str">
        <f t="shared" si="74"/>
        <v/>
      </c>
      <c r="AN50" s="40" t="str">
        <f t="shared" si="74"/>
        <v/>
      </c>
      <c r="AO50" s="40" t="str">
        <f t="shared" si="74"/>
        <v/>
      </c>
      <c r="AP50" s="40" t="str">
        <f t="shared" si="74"/>
        <v/>
      </c>
      <c r="AQ50" s="40" t="str">
        <f t="shared" si="74"/>
        <v/>
      </c>
      <c r="AR50" s="40" t="str">
        <f t="shared" si="74"/>
        <v/>
      </c>
      <c r="AS50" s="40" t="str">
        <f t="shared" si="74"/>
        <v/>
      </c>
      <c r="AT50" s="50"/>
      <c r="AU50" s="50"/>
      <c r="AV50" s="50"/>
      <c r="AW50" s="50"/>
      <c r="AX50" s="50"/>
      <c r="AY50" s="50"/>
      <c r="AZ50" s="17"/>
      <c r="BA50" s="17"/>
      <c r="BB50" s="17"/>
      <c r="BC50" s="17"/>
      <c r="BD50" s="16"/>
      <c r="BE50" s="16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3"/>
      <c r="BR50" s="69"/>
      <c r="BS50" s="69"/>
      <c r="BT50" s="69"/>
      <c r="BU50" s="69"/>
      <c r="BV50" s="66"/>
      <c r="BW50" s="66"/>
      <c r="BX50" s="66"/>
      <c r="BY50" s="94"/>
      <c r="BZ50" s="94"/>
      <c r="CA50" s="94"/>
      <c r="CB50" s="66"/>
      <c r="CC50" s="66"/>
      <c r="CD50" s="66"/>
      <c r="CE50" s="66"/>
      <c r="CF50" s="3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</row>
    <row r="51" spans="1:114" ht="11.1" customHeight="1" x14ac:dyDescent="0.25">
      <c r="A51" s="3"/>
      <c r="B51" s="3"/>
      <c r="C51" s="3"/>
      <c r="D51" s="3"/>
      <c r="E51" s="3"/>
      <c r="F51" s="26"/>
      <c r="G51" s="26"/>
      <c r="H51" s="26"/>
      <c r="I51" s="10"/>
      <c r="J51" s="10"/>
      <c r="K51" s="14"/>
      <c r="L51" s="11"/>
      <c r="M51" s="14"/>
      <c r="N51" s="14"/>
      <c r="O51" s="4"/>
      <c r="P51" s="3"/>
      <c r="Q51" s="4"/>
      <c r="R51" s="3"/>
      <c r="S51" s="3"/>
      <c r="T51" s="3"/>
      <c r="U51" s="4"/>
      <c r="V51" s="4"/>
      <c r="W51" s="4"/>
      <c r="X51" s="4"/>
      <c r="Y51" s="4"/>
      <c r="Z51" s="11"/>
      <c r="AA51" s="15"/>
      <c r="AB51" s="15"/>
      <c r="AC51" s="15"/>
      <c r="AD51" s="16"/>
      <c r="AE51" s="64"/>
      <c r="AF51" s="64"/>
      <c r="AG51" s="16"/>
      <c r="AH51" s="16"/>
      <c r="AI51" s="16"/>
      <c r="AJ51" s="40" t="str">
        <f t="shared" si="63"/>
        <v/>
      </c>
      <c r="AK51" s="40" t="str">
        <f t="shared" ref="AK51:AS51" si="75">IF($O18&lt;=AK$37,$O18+AJ$39,"")</f>
        <v/>
      </c>
      <c r="AL51" s="40" t="str">
        <f t="shared" si="75"/>
        <v/>
      </c>
      <c r="AM51" s="40" t="str">
        <f t="shared" si="75"/>
        <v/>
      </c>
      <c r="AN51" s="40" t="str">
        <f t="shared" si="75"/>
        <v/>
      </c>
      <c r="AO51" s="40" t="str">
        <f t="shared" si="75"/>
        <v/>
      </c>
      <c r="AP51" s="40" t="str">
        <f t="shared" si="75"/>
        <v/>
      </c>
      <c r="AQ51" s="40" t="str">
        <f t="shared" si="75"/>
        <v/>
      </c>
      <c r="AR51" s="40" t="str">
        <f t="shared" si="75"/>
        <v/>
      </c>
      <c r="AS51" s="40" t="str">
        <f t="shared" si="75"/>
        <v/>
      </c>
      <c r="AT51" s="50"/>
      <c r="AU51" s="50"/>
      <c r="AV51" s="50"/>
      <c r="AW51" s="50"/>
      <c r="AX51" s="50"/>
      <c r="AY51" s="50"/>
      <c r="AZ51" s="17"/>
      <c r="BA51" s="17"/>
      <c r="BB51" s="17"/>
      <c r="BC51" s="17"/>
      <c r="BD51" s="16"/>
      <c r="BE51" s="16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3"/>
      <c r="BR51" s="69"/>
      <c r="BS51" s="69"/>
      <c r="BT51" s="69"/>
      <c r="BU51" s="69"/>
      <c r="BV51" s="66"/>
      <c r="BW51" s="66"/>
      <c r="BX51" s="66"/>
      <c r="BY51" s="94"/>
      <c r="BZ51" s="94"/>
      <c r="CA51" s="94"/>
      <c r="CB51" s="66"/>
      <c r="CC51" s="66"/>
      <c r="CD51" s="66"/>
      <c r="CE51" s="66"/>
      <c r="CF51" s="3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</row>
    <row r="52" spans="1:114" ht="11.1" customHeight="1" x14ac:dyDescent="0.25">
      <c r="A52" s="3"/>
      <c r="B52" s="4"/>
      <c r="C52" s="3"/>
      <c r="D52" s="3"/>
      <c r="E52" s="14"/>
      <c r="F52" s="26"/>
      <c r="G52" s="26"/>
      <c r="H52" s="26"/>
      <c r="I52" s="10"/>
      <c r="J52" s="10"/>
      <c r="K52" s="14"/>
      <c r="L52" s="11"/>
      <c r="M52" s="14"/>
      <c r="N52" s="14"/>
      <c r="O52" s="4"/>
      <c r="P52" s="3"/>
      <c r="Q52" s="4"/>
      <c r="R52" s="3"/>
      <c r="S52" s="3"/>
      <c r="T52" s="3"/>
      <c r="U52" s="4"/>
      <c r="V52" s="4"/>
      <c r="W52" s="4"/>
      <c r="X52" s="4"/>
      <c r="Y52" s="4"/>
      <c r="Z52" s="11"/>
      <c r="AA52" s="15"/>
      <c r="AB52" s="15"/>
      <c r="AC52" s="15"/>
      <c r="AD52" s="16"/>
      <c r="AE52" s="16"/>
      <c r="AF52" s="16"/>
      <c r="AG52" s="16"/>
      <c r="AH52" s="16"/>
      <c r="AI52" s="16"/>
      <c r="AJ52" s="40" t="str">
        <f t="shared" si="63"/>
        <v/>
      </c>
      <c r="AK52" s="40" t="str">
        <f t="shared" ref="AK52:AS52" si="76">IF($O19&lt;=AK$37,$O19+AJ$39,"")</f>
        <v/>
      </c>
      <c r="AL52" s="40" t="str">
        <f t="shared" si="76"/>
        <v/>
      </c>
      <c r="AM52" s="40" t="str">
        <f t="shared" si="76"/>
        <v/>
      </c>
      <c r="AN52" s="40" t="str">
        <f t="shared" si="76"/>
        <v/>
      </c>
      <c r="AO52" s="40" t="str">
        <f t="shared" si="76"/>
        <v/>
      </c>
      <c r="AP52" s="40" t="str">
        <f t="shared" si="76"/>
        <v/>
      </c>
      <c r="AQ52" s="40" t="str">
        <f t="shared" si="76"/>
        <v/>
      </c>
      <c r="AR52" s="40" t="str">
        <f t="shared" si="76"/>
        <v/>
      </c>
      <c r="AS52" s="40" t="str">
        <f t="shared" si="76"/>
        <v/>
      </c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6"/>
      <c r="BE52" s="16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3"/>
      <c r="BR52" s="69"/>
      <c r="BS52" s="69"/>
      <c r="BT52" s="69"/>
      <c r="BU52" s="69"/>
      <c r="BV52" s="66"/>
      <c r="BW52" s="66"/>
      <c r="BX52" s="66"/>
      <c r="BY52" s="94"/>
      <c r="BZ52" s="94"/>
      <c r="CA52" s="94"/>
      <c r="CB52" s="66"/>
      <c r="CC52" s="66"/>
      <c r="CD52" s="66"/>
      <c r="CE52" s="66"/>
      <c r="CF52" s="3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</row>
    <row r="53" spans="1:114" ht="11.1" customHeight="1" x14ac:dyDescent="0.25">
      <c r="A53" s="3"/>
      <c r="B53" s="3"/>
      <c r="C53" s="3"/>
      <c r="D53" s="3"/>
      <c r="E53" s="3"/>
      <c r="F53" s="26"/>
      <c r="G53" s="26"/>
      <c r="H53" s="26"/>
      <c r="I53" s="10"/>
      <c r="J53" s="10"/>
      <c r="K53" s="14"/>
      <c r="L53" s="11"/>
      <c r="M53" s="14"/>
      <c r="N53" s="14"/>
      <c r="O53" s="4"/>
      <c r="P53" s="3"/>
      <c r="Q53" s="4"/>
      <c r="R53" s="3"/>
      <c r="S53" s="3"/>
      <c r="T53" s="3"/>
      <c r="U53" s="4"/>
      <c r="V53" s="4"/>
      <c r="W53" s="4"/>
      <c r="X53" s="4"/>
      <c r="Y53" s="4"/>
      <c r="Z53" s="11"/>
      <c r="AA53" s="15"/>
      <c r="AB53" s="15"/>
      <c r="AC53" s="15"/>
      <c r="AD53" s="16"/>
      <c r="AE53" s="64"/>
      <c r="AF53" s="64"/>
      <c r="AG53" s="16"/>
      <c r="AH53" s="16"/>
      <c r="AI53" s="16"/>
      <c r="AJ53" s="90"/>
      <c r="AK53" s="90"/>
      <c r="AL53" s="90"/>
      <c r="AM53" s="90"/>
      <c r="AN53" s="90"/>
      <c r="AO53" s="90"/>
      <c r="AP53" s="19"/>
      <c r="AQ53" s="19"/>
      <c r="AR53" s="19"/>
      <c r="AS53" s="19"/>
      <c r="AT53" s="50"/>
      <c r="AU53" s="50"/>
      <c r="AV53" s="50"/>
      <c r="AW53" s="50"/>
      <c r="AX53" s="50"/>
      <c r="AY53" s="50"/>
      <c r="AZ53" s="17"/>
      <c r="BA53" s="17"/>
      <c r="BB53" s="17"/>
      <c r="BC53" s="17"/>
      <c r="BD53" s="16"/>
      <c r="BE53" s="16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3"/>
      <c r="BR53" s="3"/>
      <c r="BS53" s="3"/>
      <c r="BT53" s="3"/>
      <c r="BU53" s="3"/>
      <c r="BV53" s="66"/>
      <c r="BW53" s="66"/>
      <c r="BX53" s="66"/>
      <c r="BY53" s="94"/>
      <c r="BZ53" s="94"/>
      <c r="CA53" s="94"/>
      <c r="CB53" s="66"/>
      <c r="CC53" s="66"/>
      <c r="CD53" s="66"/>
      <c r="CE53" s="66"/>
      <c r="CF53" s="3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</row>
    <row r="54" spans="1:114" ht="11.1" customHeight="1" x14ac:dyDescent="0.25">
      <c r="A54" s="3"/>
      <c r="B54" s="3"/>
      <c r="C54" s="3"/>
      <c r="D54" s="3"/>
      <c r="E54" s="3"/>
      <c r="F54" s="26"/>
      <c r="G54" s="26"/>
      <c r="H54" s="26"/>
      <c r="I54" s="10"/>
      <c r="J54" s="10"/>
      <c r="K54" s="14"/>
      <c r="L54" s="11"/>
      <c r="M54" s="14"/>
      <c r="N54" s="14"/>
      <c r="O54" s="4"/>
      <c r="P54" s="3"/>
      <c r="Q54" s="4"/>
      <c r="R54" s="3"/>
      <c r="S54" s="3"/>
      <c r="T54" s="3"/>
      <c r="U54" s="4"/>
      <c r="V54" s="4"/>
      <c r="W54" s="4"/>
      <c r="X54" s="4"/>
      <c r="Y54" s="4"/>
      <c r="Z54" s="11"/>
      <c r="AA54" s="15"/>
      <c r="AB54" s="15"/>
      <c r="AC54" s="15"/>
      <c r="AD54" s="16"/>
      <c r="AE54" s="64"/>
      <c r="AF54" s="64"/>
      <c r="AG54" s="16"/>
      <c r="AH54" s="16"/>
      <c r="AI54" s="16"/>
      <c r="AJ54" s="40">
        <f t="shared" ref="AJ54:AS54" si="77">AJ40</f>
        <v>1</v>
      </c>
      <c r="AK54" s="40">
        <f t="shared" si="77"/>
        <v>5</v>
      </c>
      <c r="AL54" s="40">
        <f t="shared" si="77"/>
        <v>9</v>
      </c>
      <c r="AM54" s="40">
        <f t="shared" si="77"/>
        <v>13</v>
      </c>
      <c r="AN54" s="40">
        <f t="shared" si="77"/>
        <v>17</v>
      </c>
      <c r="AO54" s="40">
        <f t="shared" si="77"/>
        <v>23</v>
      </c>
      <c r="AP54" s="40">
        <f t="shared" si="77"/>
        <v>28</v>
      </c>
      <c r="AQ54" s="40" t="str">
        <f t="shared" si="77"/>
        <v/>
      </c>
      <c r="AR54" s="40" t="str">
        <f t="shared" si="77"/>
        <v/>
      </c>
      <c r="AS54" s="40" t="str">
        <f t="shared" si="77"/>
        <v/>
      </c>
      <c r="AT54" s="50"/>
      <c r="AU54" s="50"/>
      <c r="AV54" s="50"/>
      <c r="AW54" s="50"/>
      <c r="AX54" s="50"/>
      <c r="AY54" s="50"/>
      <c r="AZ54" s="17"/>
      <c r="BA54" s="17"/>
      <c r="BB54" s="17"/>
      <c r="BC54" s="17"/>
      <c r="BD54" s="16"/>
      <c r="BE54" s="16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3"/>
      <c r="BR54" s="3"/>
      <c r="BS54" s="3"/>
      <c r="BT54" s="3"/>
      <c r="BU54" s="3"/>
      <c r="BV54" s="66"/>
      <c r="BW54" s="66"/>
      <c r="BX54" s="66"/>
      <c r="BY54" s="94"/>
      <c r="BZ54" s="94"/>
      <c r="CA54" s="94"/>
      <c r="CB54" s="66"/>
      <c r="CC54" s="66"/>
      <c r="CD54" s="66"/>
      <c r="CE54" s="66"/>
      <c r="CF54" s="3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</row>
    <row r="55" spans="1:114" ht="11.1" customHeight="1" x14ac:dyDescent="0.25">
      <c r="A55" s="3"/>
      <c r="B55" s="3"/>
      <c r="C55" s="3"/>
      <c r="D55" s="3"/>
      <c r="E55" s="3"/>
      <c r="F55" s="26"/>
      <c r="G55" s="26"/>
      <c r="H55" s="26"/>
      <c r="I55" s="10"/>
      <c r="J55" s="10"/>
      <c r="K55" s="14"/>
      <c r="L55" s="11"/>
      <c r="M55" s="14"/>
      <c r="N55" s="14"/>
      <c r="O55" s="4"/>
      <c r="P55" s="3"/>
      <c r="Q55" s="4"/>
      <c r="R55" s="3"/>
      <c r="S55" s="3"/>
      <c r="T55" s="3"/>
      <c r="U55" s="4"/>
      <c r="V55" s="4"/>
      <c r="W55" s="4"/>
      <c r="X55" s="4"/>
      <c r="Y55" s="4"/>
      <c r="Z55" s="11"/>
      <c r="AA55" s="15"/>
      <c r="AB55" s="15"/>
      <c r="AC55" s="15"/>
      <c r="AD55" s="16"/>
      <c r="AE55" s="64"/>
      <c r="AF55" s="64"/>
      <c r="AG55" s="16"/>
      <c r="AH55" s="16"/>
      <c r="AI55" s="16"/>
      <c r="AJ55" s="40">
        <f t="shared" ref="AJ55:AS55" si="78">AJ41</f>
        <v>2</v>
      </c>
      <c r="AK55" s="40">
        <f t="shared" si="78"/>
        <v>6</v>
      </c>
      <c r="AL55" s="40">
        <f t="shared" si="78"/>
        <v>10</v>
      </c>
      <c r="AM55" s="40">
        <f t="shared" si="78"/>
        <v>14</v>
      </c>
      <c r="AN55" s="40">
        <f t="shared" si="78"/>
        <v>18</v>
      </c>
      <c r="AO55" s="40">
        <f t="shared" si="78"/>
        <v>24</v>
      </c>
      <c r="AP55" s="40">
        <f t="shared" si="78"/>
        <v>29</v>
      </c>
      <c r="AQ55" s="40" t="str">
        <f t="shared" si="78"/>
        <v/>
      </c>
      <c r="AR55" s="40" t="str">
        <f t="shared" si="78"/>
        <v/>
      </c>
      <c r="AS55" s="40" t="str">
        <f t="shared" si="78"/>
        <v/>
      </c>
      <c r="AT55" s="50"/>
      <c r="AU55" s="50"/>
      <c r="AV55" s="50"/>
      <c r="AW55" s="50"/>
      <c r="AX55" s="50"/>
      <c r="AY55" s="50"/>
      <c r="AZ55" s="17"/>
      <c r="BA55" s="17"/>
      <c r="BB55" s="17"/>
      <c r="BC55" s="17"/>
      <c r="BD55" s="16"/>
      <c r="BE55" s="16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3"/>
      <c r="BR55" s="3"/>
      <c r="BS55" s="3"/>
      <c r="BT55" s="3"/>
      <c r="BU55" s="3"/>
      <c r="BV55" s="66"/>
      <c r="BW55" s="66"/>
      <c r="BX55" s="66"/>
      <c r="BY55" s="94"/>
      <c r="BZ55" s="94"/>
      <c r="CA55" s="94"/>
      <c r="CB55" s="66"/>
      <c r="CC55" s="66"/>
      <c r="CD55" s="66"/>
      <c r="CE55" s="66"/>
      <c r="CF55" s="3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</row>
    <row r="56" spans="1:114" ht="11.1" customHeight="1" x14ac:dyDescent="0.25">
      <c r="A56" s="3"/>
      <c r="B56" s="3"/>
      <c r="C56" s="3"/>
      <c r="D56" s="3"/>
      <c r="E56" s="3"/>
      <c r="F56" s="26"/>
      <c r="G56" s="26"/>
      <c r="H56" s="26"/>
      <c r="I56" s="10"/>
      <c r="J56" s="10"/>
      <c r="K56" s="14"/>
      <c r="L56" s="11"/>
      <c r="M56" s="14"/>
      <c r="N56" s="14"/>
      <c r="O56" s="4"/>
      <c r="P56" s="3"/>
      <c r="Q56" s="4"/>
      <c r="R56" s="3"/>
      <c r="S56" s="3"/>
      <c r="T56" s="3"/>
      <c r="U56" s="4"/>
      <c r="V56" s="4"/>
      <c r="W56" s="4"/>
      <c r="X56" s="4"/>
      <c r="Y56" s="4"/>
      <c r="Z56" s="11"/>
      <c r="AA56" s="15"/>
      <c r="AB56" s="15"/>
      <c r="AC56" s="15"/>
      <c r="AD56" s="16"/>
      <c r="AE56" s="64"/>
      <c r="AF56" s="64"/>
      <c r="AG56" s="16"/>
      <c r="AH56" s="16"/>
      <c r="AI56" s="16"/>
      <c r="AJ56" s="40">
        <f t="shared" ref="AJ56:AS56" si="79">AJ42</f>
        <v>3</v>
      </c>
      <c r="AK56" s="40">
        <f t="shared" si="79"/>
        <v>7</v>
      </c>
      <c r="AL56" s="40">
        <f t="shared" si="79"/>
        <v>11</v>
      </c>
      <c r="AM56" s="40">
        <f t="shared" si="79"/>
        <v>15</v>
      </c>
      <c r="AN56" s="40">
        <f t="shared" si="79"/>
        <v>19</v>
      </c>
      <c r="AO56" s="40">
        <f t="shared" si="79"/>
        <v>25</v>
      </c>
      <c r="AP56" s="40" t="str">
        <f t="shared" si="79"/>
        <v/>
      </c>
      <c r="AQ56" s="40" t="str">
        <f t="shared" si="79"/>
        <v/>
      </c>
      <c r="AR56" s="40" t="str">
        <f t="shared" si="79"/>
        <v/>
      </c>
      <c r="AS56" s="40" t="str">
        <f t="shared" si="79"/>
        <v/>
      </c>
      <c r="AT56" s="50"/>
      <c r="AU56" s="50"/>
      <c r="AV56" s="50"/>
      <c r="AW56" s="50"/>
      <c r="AX56" s="50"/>
      <c r="AY56" s="50"/>
      <c r="AZ56" s="17"/>
      <c r="BA56" s="17"/>
      <c r="BB56" s="17"/>
      <c r="BC56" s="17"/>
      <c r="BD56" s="16"/>
      <c r="BE56" s="16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3"/>
      <c r="BR56" s="3"/>
      <c r="BS56" s="3"/>
      <c r="BT56" s="3"/>
      <c r="BU56" s="3"/>
      <c r="BV56" s="29"/>
      <c r="BW56" s="29"/>
      <c r="BX56" s="29"/>
      <c r="BY56" s="94"/>
      <c r="BZ56" s="94"/>
      <c r="CA56" s="94"/>
      <c r="CB56" s="29"/>
      <c r="CC56" s="29"/>
      <c r="CD56" s="29"/>
      <c r="CE56" s="29"/>
      <c r="CF56" s="3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</row>
    <row r="57" spans="1:114" ht="11.1" customHeight="1" x14ac:dyDescent="0.25">
      <c r="A57" s="3"/>
      <c r="B57" s="3"/>
      <c r="C57" s="3"/>
      <c r="D57" s="3"/>
      <c r="E57" s="3"/>
      <c r="F57" s="26"/>
      <c r="G57" s="26"/>
      <c r="H57" s="26"/>
      <c r="I57" s="10"/>
      <c r="J57" s="10"/>
      <c r="K57" s="14"/>
      <c r="L57" s="11"/>
      <c r="M57" s="14"/>
      <c r="N57" s="14"/>
      <c r="O57" s="4"/>
      <c r="P57" s="3"/>
      <c r="Q57" s="4"/>
      <c r="R57" s="3"/>
      <c r="S57" s="3"/>
      <c r="T57" s="3"/>
      <c r="U57" s="4"/>
      <c r="V57" s="4"/>
      <c r="W57" s="4"/>
      <c r="X57" s="4"/>
      <c r="Y57" s="4"/>
      <c r="Z57" s="11"/>
      <c r="AA57" s="15"/>
      <c r="AB57" s="15"/>
      <c r="AC57" s="15"/>
      <c r="AD57" s="16"/>
      <c r="AE57" s="64"/>
      <c r="AF57" s="64"/>
      <c r="AG57" s="16"/>
      <c r="AH57" s="16"/>
      <c r="AI57" s="16"/>
      <c r="AJ57" s="40">
        <f t="shared" ref="AJ57:AS57" si="80">AJ43</f>
        <v>4</v>
      </c>
      <c r="AK57" s="40">
        <f t="shared" si="80"/>
        <v>8</v>
      </c>
      <c r="AL57" s="40">
        <f t="shared" si="80"/>
        <v>12</v>
      </c>
      <c r="AM57" s="40">
        <f t="shared" si="80"/>
        <v>16</v>
      </c>
      <c r="AN57" s="40">
        <f t="shared" si="80"/>
        <v>20</v>
      </c>
      <c r="AO57" s="40">
        <f t="shared" si="80"/>
        <v>26</v>
      </c>
      <c r="AP57" s="40" t="str">
        <f t="shared" si="80"/>
        <v/>
      </c>
      <c r="AQ57" s="40" t="str">
        <f t="shared" si="80"/>
        <v/>
      </c>
      <c r="AR57" s="40" t="str">
        <f t="shared" si="80"/>
        <v/>
      </c>
      <c r="AS57" s="40" t="str">
        <f t="shared" si="80"/>
        <v/>
      </c>
      <c r="AT57" s="50"/>
      <c r="AU57" s="50"/>
      <c r="AV57" s="50"/>
      <c r="AW57" s="50"/>
      <c r="AX57" s="50"/>
      <c r="AY57" s="50"/>
      <c r="AZ57" s="17"/>
      <c r="BA57" s="17"/>
      <c r="BB57" s="17"/>
      <c r="BC57" s="17"/>
      <c r="BD57" s="16"/>
      <c r="BE57" s="16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3"/>
      <c r="BR57" s="3"/>
      <c r="BS57" s="3"/>
      <c r="BT57" s="3"/>
      <c r="BU57" s="3"/>
      <c r="BV57" s="29"/>
      <c r="BW57" s="29"/>
      <c r="BX57" s="29"/>
      <c r="BY57" s="94"/>
      <c r="BZ57" s="94"/>
      <c r="CA57" s="94"/>
      <c r="CB57" s="29"/>
      <c r="CC57" s="29"/>
      <c r="CD57" s="29"/>
      <c r="CE57" s="29"/>
      <c r="CF57" s="3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</row>
    <row r="58" spans="1:114" ht="11.1" customHeight="1" x14ac:dyDescent="0.25">
      <c r="A58" s="3"/>
      <c r="B58" s="3"/>
      <c r="C58" s="3"/>
      <c r="D58" s="3"/>
      <c r="E58" s="3"/>
      <c r="F58" s="26"/>
      <c r="G58" s="26"/>
      <c r="H58" s="26"/>
      <c r="I58" s="10"/>
      <c r="J58" s="10"/>
      <c r="K58" s="14"/>
      <c r="L58" s="11"/>
      <c r="M58" s="14"/>
      <c r="N58" s="14"/>
      <c r="O58" s="4"/>
      <c r="P58" s="3"/>
      <c r="Q58" s="4"/>
      <c r="R58" s="3"/>
      <c r="S58" s="3"/>
      <c r="T58" s="3"/>
      <c r="U58" s="4"/>
      <c r="V58" s="4"/>
      <c r="W58" s="4"/>
      <c r="X58" s="4"/>
      <c r="Y58" s="4"/>
      <c r="Z58" s="11"/>
      <c r="AA58" s="15"/>
      <c r="AB58" s="15"/>
      <c r="AC58" s="15"/>
      <c r="AD58" s="16"/>
      <c r="AE58" s="64"/>
      <c r="AF58" s="64"/>
      <c r="AG58" s="16"/>
      <c r="AH58" s="16"/>
      <c r="AI58" s="16"/>
      <c r="AJ58" s="40" t="str">
        <f t="shared" ref="AJ58:AS58" si="81">AJ44</f>
        <v/>
      </c>
      <c r="AK58" s="40" t="str">
        <f t="shared" si="81"/>
        <v/>
      </c>
      <c r="AL58" s="40" t="str">
        <f t="shared" si="81"/>
        <v/>
      </c>
      <c r="AM58" s="40" t="str">
        <f t="shared" si="81"/>
        <v/>
      </c>
      <c r="AN58" s="40">
        <f t="shared" si="81"/>
        <v>21</v>
      </c>
      <c r="AO58" s="40">
        <f t="shared" si="81"/>
        <v>27</v>
      </c>
      <c r="AP58" s="40" t="str">
        <f t="shared" si="81"/>
        <v/>
      </c>
      <c r="AQ58" s="40" t="str">
        <f t="shared" si="81"/>
        <v/>
      </c>
      <c r="AR58" s="40" t="str">
        <f t="shared" si="81"/>
        <v/>
      </c>
      <c r="AS58" s="40" t="str">
        <f t="shared" si="81"/>
        <v/>
      </c>
      <c r="AT58" s="50"/>
      <c r="AU58" s="50"/>
      <c r="AV58" s="50"/>
      <c r="AW58" s="50"/>
      <c r="AX58" s="50"/>
      <c r="AY58" s="50"/>
      <c r="AZ58" s="17"/>
      <c r="BA58" s="17"/>
      <c r="BB58" s="17"/>
      <c r="BC58" s="17"/>
      <c r="BD58" s="16"/>
      <c r="BE58" s="16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3"/>
      <c r="BR58" s="3"/>
      <c r="BS58" s="3"/>
      <c r="BT58" s="3"/>
      <c r="BU58" s="3"/>
      <c r="BV58" s="29"/>
      <c r="BW58" s="29"/>
      <c r="BX58" s="29"/>
      <c r="BY58" s="94"/>
      <c r="BZ58" s="94"/>
      <c r="CA58" s="94"/>
      <c r="CB58" s="29"/>
      <c r="CC58" s="29"/>
      <c r="CD58" s="29"/>
      <c r="CE58" s="29"/>
      <c r="CF58" s="3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</row>
    <row r="59" spans="1:114" ht="11.1" customHeight="1" x14ac:dyDescent="0.25">
      <c r="A59" s="3"/>
      <c r="B59" s="3"/>
      <c r="C59" s="3"/>
      <c r="D59" s="3"/>
      <c r="E59" s="3"/>
      <c r="F59" s="26"/>
      <c r="G59" s="26"/>
      <c r="H59" s="26"/>
      <c r="I59" s="10"/>
      <c r="J59" s="10"/>
      <c r="K59" s="14"/>
      <c r="L59" s="11"/>
      <c r="M59" s="14"/>
      <c r="N59" s="14"/>
      <c r="O59" s="4"/>
      <c r="P59" s="3"/>
      <c r="Q59" s="4"/>
      <c r="R59" s="3"/>
      <c r="S59" s="3"/>
      <c r="T59" s="3"/>
      <c r="U59" s="4"/>
      <c r="V59" s="4"/>
      <c r="W59" s="4"/>
      <c r="X59" s="4"/>
      <c r="Y59" s="4"/>
      <c r="Z59" s="11"/>
      <c r="AA59" s="15"/>
      <c r="AB59" s="15"/>
      <c r="AC59" s="15"/>
      <c r="AD59" s="16"/>
      <c r="AE59" s="64"/>
      <c r="AF59" s="64"/>
      <c r="AG59" s="16"/>
      <c r="AH59" s="16"/>
      <c r="AI59" s="16"/>
      <c r="AJ59" s="40" t="str">
        <f t="shared" ref="AJ59:AS59" si="82">AJ45</f>
        <v/>
      </c>
      <c r="AK59" s="40" t="str">
        <f t="shared" si="82"/>
        <v/>
      </c>
      <c r="AL59" s="40" t="str">
        <f t="shared" si="82"/>
        <v/>
      </c>
      <c r="AM59" s="40" t="str">
        <f t="shared" si="82"/>
        <v/>
      </c>
      <c r="AN59" s="40">
        <f t="shared" si="82"/>
        <v>22</v>
      </c>
      <c r="AO59" s="40" t="str">
        <f t="shared" si="82"/>
        <v/>
      </c>
      <c r="AP59" s="40" t="str">
        <f t="shared" si="82"/>
        <v/>
      </c>
      <c r="AQ59" s="40" t="str">
        <f t="shared" si="82"/>
        <v/>
      </c>
      <c r="AR59" s="40" t="str">
        <f t="shared" si="82"/>
        <v/>
      </c>
      <c r="AS59" s="40" t="str">
        <f t="shared" si="82"/>
        <v/>
      </c>
      <c r="AT59" s="50"/>
      <c r="AU59" s="50"/>
      <c r="AV59" s="50"/>
      <c r="AW59" s="50"/>
      <c r="AX59" s="50"/>
      <c r="AY59" s="50"/>
      <c r="AZ59" s="17"/>
      <c r="BA59" s="17"/>
      <c r="BB59" s="17"/>
      <c r="BC59" s="17"/>
      <c r="BD59" s="16"/>
      <c r="BE59" s="16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3"/>
      <c r="BR59" s="3"/>
      <c r="BS59" s="3"/>
      <c r="BT59" s="3"/>
      <c r="BU59" s="3"/>
      <c r="BV59" s="29"/>
      <c r="BW59" s="29"/>
      <c r="BX59" s="29"/>
      <c r="BY59" s="94"/>
      <c r="BZ59" s="94"/>
      <c r="CA59" s="94"/>
      <c r="CB59" s="29"/>
      <c r="CC59" s="29"/>
      <c r="CD59" s="29"/>
      <c r="CE59" s="29"/>
      <c r="CF59" s="3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</row>
    <row r="60" spans="1:114" ht="11.1" customHeight="1" x14ac:dyDescent="0.25">
      <c r="A60" s="3"/>
      <c r="B60" s="3"/>
      <c r="C60" s="3"/>
      <c r="D60" s="3"/>
      <c r="E60" s="3"/>
      <c r="F60" s="26"/>
      <c r="G60" s="26"/>
      <c r="H60" s="26"/>
      <c r="I60" s="10"/>
      <c r="J60" s="10"/>
      <c r="K60" s="14"/>
      <c r="L60" s="11"/>
      <c r="M60" s="14"/>
      <c r="N60" s="14"/>
      <c r="O60" s="4"/>
      <c r="P60" s="3"/>
      <c r="Q60" s="4"/>
      <c r="R60" s="3"/>
      <c r="S60" s="3"/>
      <c r="T60" s="3"/>
      <c r="U60" s="4"/>
      <c r="V60" s="4"/>
      <c r="W60" s="4"/>
      <c r="X60" s="4"/>
      <c r="Y60" s="4"/>
      <c r="Z60" s="11"/>
      <c r="AA60" s="15"/>
      <c r="AB60" s="15"/>
      <c r="AC60" s="15"/>
      <c r="AD60" s="16"/>
      <c r="AE60" s="64"/>
      <c r="AF60" s="64"/>
      <c r="AG60" s="16"/>
      <c r="AH60" s="16"/>
      <c r="AI60" s="16"/>
      <c r="AJ60" s="40" t="str">
        <f t="shared" ref="AJ60:AS60" si="83">AJ46</f>
        <v/>
      </c>
      <c r="AK60" s="40" t="str">
        <f t="shared" si="83"/>
        <v/>
      </c>
      <c r="AL60" s="40" t="str">
        <f t="shared" si="83"/>
        <v/>
      </c>
      <c r="AM60" s="40" t="str">
        <f t="shared" si="83"/>
        <v/>
      </c>
      <c r="AN60" s="40" t="str">
        <f t="shared" si="83"/>
        <v/>
      </c>
      <c r="AO60" s="40" t="str">
        <f t="shared" si="83"/>
        <v/>
      </c>
      <c r="AP60" s="40" t="str">
        <f t="shared" si="83"/>
        <v/>
      </c>
      <c r="AQ60" s="40" t="str">
        <f t="shared" si="83"/>
        <v/>
      </c>
      <c r="AR60" s="40" t="str">
        <f t="shared" si="83"/>
        <v/>
      </c>
      <c r="AS60" s="40" t="str">
        <f t="shared" si="83"/>
        <v/>
      </c>
      <c r="AT60" s="50"/>
      <c r="AU60" s="50"/>
      <c r="AV60" s="50"/>
      <c r="AW60" s="50"/>
      <c r="AX60" s="50"/>
      <c r="AY60" s="50"/>
      <c r="AZ60" s="17"/>
      <c r="BA60" s="17"/>
      <c r="BB60" s="17"/>
      <c r="BC60" s="17"/>
      <c r="BD60" s="16"/>
      <c r="BE60" s="16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3"/>
      <c r="BR60" s="3"/>
      <c r="BS60" s="3"/>
      <c r="BT60" s="3"/>
      <c r="BU60" s="3"/>
      <c r="BV60" s="29"/>
      <c r="BW60" s="29"/>
      <c r="BX60" s="29"/>
      <c r="BY60" s="94"/>
      <c r="BZ60" s="94"/>
      <c r="CA60" s="94"/>
      <c r="CB60" s="29"/>
      <c r="CC60" s="29"/>
      <c r="CD60" s="29"/>
      <c r="CE60" s="29"/>
      <c r="CF60" s="3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</row>
    <row r="61" spans="1:114" ht="11.1" customHeight="1" x14ac:dyDescent="0.25">
      <c r="A61" s="3"/>
      <c r="B61" s="3"/>
      <c r="C61" s="3"/>
      <c r="D61" s="3"/>
      <c r="E61" s="3"/>
      <c r="F61" s="26"/>
      <c r="G61" s="26"/>
      <c r="H61" s="26"/>
      <c r="I61" s="10"/>
      <c r="J61" s="10"/>
      <c r="K61" s="14"/>
      <c r="L61" s="11"/>
      <c r="M61" s="14"/>
      <c r="N61" s="14"/>
      <c r="O61" s="4"/>
      <c r="P61" s="3"/>
      <c r="Q61" s="4"/>
      <c r="R61" s="3"/>
      <c r="S61" s="3"/>
      <c r="T61" s="3"/>
      <c r="U61" s="4"/>
      <c r="V61" s="4"/>
      <c r="W61" s="4"/>
      <c r="X61" s="4"/>
      <c r="Y61" s="4"/>
      <c r="Z61" s="11"/>
      <c r="AA61" s="15"/>
      <c r="AB61" s="15"/>
      <c r="AC61" s="15"/>
      <c r="AD61" s="16"/>
      <c r="AE61" s="64"/>
      <c r="AF61" s="64"/>
      <c r="AG61" s="16"/>
      <c r="AH61" s="16"/>
      <c r="AI61" s="16"/>
      <c r="AJ61" s="40" t="str">
        <f t="shared" ref="AJ61:AS61" si="84">AJ47</f>
        <v/>
      </c>
      <c r="AK61" s="40" t="str">
        <f t="shared" si="84"/>
        <v/>
      </c>
      <c r="AL61" s="40" t="str">
        <f t="shared" si="84"/>
        <v/>
      </c>
      <c r="AM61" s="40" t="str">
        <f t="shared" si="84"/>
        <v/>
      </c>
      <c r="AN61" s="40" t="str">
        <f t="shared" si="84"/>
        <v/>
      </c>
      <c r="AO61" s="40" t="str">
        <f t="shared" si="84"/>
        <v/>
      </c>
      <c r="AP61" s="40" t="str">
        <f t="shared" si="84"/>
        <v/>
      </c>
      <c r="AQ61" s="40" t="str">
        <f t="shared" si="84"/>
        <v/>
      </c>
      <c r="AR61" s="40" t="str">
        <f t="shared" si="84"/>
        <v/>
      </c>
      <c r="AS61" s="40" t="str">
        <f t="shared" si="84"/>
        <v/>
      </c>
      <c r="AT61" s="50"/>
      <c r="AU61" s="50"/>
      <c r="AV61" s="50"/>
      <c r="AW61" s="50"/>
      <c r="AX61" s="50"/>
      <c r="AY61" s="50"/>
      <c r="AZ61" s="17"/>
      <c r="BA61" s="17"/>
      <c r="BB61" s="17"/>
      <c r="BC61" s="17"/>
      <c r="BD61" s="16"/>
      <c r="BE61" s="16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3"/>
      <c r="BR61" s="3"/>
      <c r="BS61" s="3"/>
      <c r="BT61" s="3"/>
      <c r="BU61" s="3"/>
      <c r="BV61" s="29"/>
      <c r="BW61" s="29"/>
      <c r="BX61" s="29"/>
      <c r="BY61" s="94"/>
      <c r="BZ61" s="94"/>
      <c r="CA61" s="94"/>
      <c r="CB61" s="29"/>
      <c r="CC61" s="29"/>
      <c r="CD61" s="29"/>
      <c r="CE61" s="29"/>
      <c r="CF61" s="3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</row>
    <row r="62" spans="1:114" ht="11.1" customHeight="1" x14ac:dyDescent="0.25">
      <c r="A62" s="3"/>
      <c r="B62" s="3"/>
      <c r="C62" s="3"/>
      <c r="D62" s="3"/>
      <c r="E62" s="3"/>
      <c r="F62" s="26"/>
      <c r="G62" s="26"/>
      <c r="H62" s="26"/>
      <c r="I62" s="10"/>
      <c r="J62" s="10"/>
      <c r="K62" s="14"/>
      <c r="L62" s="11"/>
      <c r="M62" s="14"/>
      <c r="N62" s="14"/>
      <c r="O62" s="4"/>
      <c r="P62" s="3"/>
      <c r="Q62" s="4"/>
      <c r="R62" s="3"/>
      <c r="S62" s="3"/>
      <c r="T62" s="3"/>
      <c r="U62" s="4"/>
      <c r="V62" s="4"/>
      <c r="W62" s="4"/>
      <c r="X62" s="4"/>
      <c r="Y62" s="4"/>
      <c r="Z62" s="11"/>
      <c r="AA62" s="15"/>
      <c r="AB62" s="15"/>
      <c r="AC62" s="15"/>
      <c r="AD62" s="16"/>
      <c r="AE62" s="64"/>
      <c r="AF62" s="64"/>
      <c r="AG62" s="16"/>
      <c r="AH62" s="16"/>
      <c r="AI62" s="16"/>
      <c r="AJ62" s="40" t="str">
        <f t="shared" ref="AJ62:AS62" si="85">AJ48</f>
        <v/>
      </c>
      <c r="AK62" s="40" t="str">
        <f t="shared" si="85"/>
        <v/>
      </c>
      <c r="AL62" s="40" t="str">
        <f t="shared" si="85"/>
        <v/>
      </c>
      <c r="AM62" s="40" t="str">
        <f t="shared" si="85"/>
        <v/>
      </c>
      <c r="AN62" s="40" t="str">
        <f t="shared" si="85"/>
        <v/>
      </c>
      <c r="AO62" s="40" t="str">
        <f t="shared" si="85"/>
        <v/>
      </c>
      <c r="AP62" s="40" t="str">
        <f t="shared" si="85"/>
        <v/>
      </c>
      <c r="AQ62" s="40" t="str">
        <f t="shared" si="85"/>
        <v/>
      </c>
      <c r="AR62" s="40" t="str">
        <f t="shared" si="85"/>
        <v/>
      </c>
      <c r="AS62" s="40" t="str">
        <f t="shared" si="85"/>
        <v/>
      </c>
      <c r="AT62" s="50"/>
      <c r="AU62" s="50"/>
      <c r="AV62" s="50"/>
      <c r="AW62" s="50"/>
      <c r="AX62" s="50"/>
      <c r="AY62" s="50"/>
      <c r="AZ62" s="17"/>
      <c r="BA62" s="17"/>
      <c r="BB62" s="17"/>
      <c r="BC62" s="17"/>
      <c r="BD62" s="16"/>
      <c r="BE62" s="16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3"/>
      <c r="BR62" s="3"/>
      <c r="BS62" s="3"/>
      <c r="BT62" s="3"/>
      <c r="BU62" s="3"/>
      <c r="BV62" s="29"/>
      <c r="BW62" s="29"/>
      <c r="BX62" s="29"/>
      <c r="BY62" s="94"/>
      <c r="BZ62" s="94"/>
      <c r="CA62" s="94"/>
      <c r="CB62" s="29"/>
      <c r="CC62" s="29"/>
      <c r="CD62" s="29"/>
      <c r="CE62" s="29"/>
      <c r="CF62" s="3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</row>
    <row r="63" spans="1:114" ht="11.1" customHeight="1" x14ac:dyDescent="0.25">
      <c r="A63" s="3"/>
      <c r="B63" s="3"/>
      <c r="C63" s="3"/>
      <c r="D63" s="3"/>
      <c r="E63" s="3"/>
      <c r="F63" s="26"/>
      <c r="G63" s="26"/>
      <c r="H63" s="26"/>
      <c r="I63" s="10"/>
      <c r="J63" s="10"/>
      <c r="K63" s="14"/>
      <c r="L63" s="11"/>
      <c r="M63" s="14"/>
      <c r="N63" s="14"/>
      <c r="O63" s="4"/>
      <c r="P63" s="3"/>
      <c r="Q63" s="4"/>
      <c r="R63" s="3"/>
      <c r="S63" s="3"/>
      <c r="T63" s="3"/>
      <c r="U63" s="4"/>
      <c r="V63" s="4"/>
      <c r="W63" s="4"/>
      <c r="X63" s="4"/>
      <c r="Y63" s="4"/>
      <c r="Z63" s="11"/>
      <c r="AA63" s="15"/>
      <c r="AB63" s="15"/>
      <c r="AC63" s="15"/>
      <c r="AD63" s="16"/>
      <c r="AE63" s="64"/>
      <c r="AF63" s="64"/>
      <c r="AG63" s="16"/>
      <c r="AH63" s="16"/>
      <c r="AI63" s="16"/>
      <c r="AJ63" s="40" t="str">
        <f t="shared" ref="AJ63:AS63" si="86">AJ49</f>
        <v/>
      </c>
      <c r="AK63" s="40" t="str">
        <f t="shared" si="86"/>
        <v/>
      </c>
      <c r="AL63" s="40" t="str">
        <f t="shared" si="86"/>
        <v/>
      </c>
      <c r="AM63" s="40" t="str">
        <f t="shared" si="86"/>
        <v/>
      </c>
      <c r="AN63" s="40" t="str">
        <f t="shared" si="86"/>
        <v/>
      </c>
      <c r="AO63" s="40" t="str">
        <f t="shared" si="86"/>
        <v/>
      </c>
      <c r="AP63" s="40" t="str">
        <f t="shared" si="86"/>
        <v/>
      </c>
      <c r="AQ63" s="40" t="str">
        <f t="shared" si="86"/>
        <v/>
      </c>
      <c r="AR63" s="40" t="str">
        <f t="shared" si="86"/>
        <v/>
      </c>
      <c r="AS63" s="40" t="str">
        <f t="shared" si="86"/>
        <v/>
      </c>
      <c r="AT63" s="50"/>
      <c r="AU63" s="50"/>
      <c r="AV63" s="50"/>
      <c r="AW63" s="50"/>
      <c r="AX63" s="50"/>
      <c r="AY63" s="50"/>
      <c r="AZ63" s="17"/>
      <c r="BA63" s="17"/>
      <c r="BB63" s="17"/>
      <c r="BC63" s="17"/>
      <c r="BD63" s="16"/>
      <c r="BE63" s="16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3"/>
      <c r="BR63" s="3"/>
      <c r="BS63" s="3"/>
      <c r="BT63" s="3"/>
      <c r="BU63" s="3"/>
      <c r="BV63" s="29"/>
      <c r="BW63" s="29"/>
      <c r="BX63" s="29"/>
      <c r="BY63" s="94"/>
      <c r="BZ63" s="94"/>
      <c r="CA63" s="94"/>
      <c r="CB63" s="29"/>
      <c r="CC63" s="29"/>
      <c r="CD63" s="29"/>
      <c r="CE63" s="29"/>
      <c r="CF63" s="3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</row>
    <row r="64" spans="1:114" ht="11.1" customHeight="1" x14ac:dyDescent="0.25">
      <c r="A64" s="3"/>
      <c r="B64" s="3"/>
      <c r="C64" s="3"/>
      <c r="D64" s="3"/>
      <c r="E64" s="3"/>
      <c r="F64" s="26"/>
      <c r="G64" s="26"/>
      <c r="H64" s="26"/>
      <c r="I64" s="10"/>
      <c r="J64" s="10"/>
      <c r="K64" s="14"/>
      <c r="L64" s="11"/>
      <c r="M64" s="14"/>
      <c r="N64" s="14"/>
      <c r="O64" s="4"/>
      <c r="P64" s="3"/>
      <c r="Q64" s="4"/>
      <c r="R64" s="3"/>
      <c r="S64" s="3"/>
      <c r="T64" s="3"/>
      <c r="U64" s="4"/>
      <c r="V64" s="4"/>
      <c r="W64" s="4"/>
      <c r="X64" s="4"/>
      <c r="Y64" s="4"/>
      <c r="Z64" s="11"/>
      <c r="AA64" s="15"/>
      <c r="AB64" s="15"/>
      <c r="AC64" s="15"/>
      <c r="AD64" s="16"/>
      <c r="AE64" s="64"/>
      <c r="AF64" s="64"/>
      <c r="AG64" s="16"/>
      <c r="AH64" s="16"/>
      <c r="AI64" s="16"/>
      <c r="AJ64" s="40" t="str">
        <f t="shared" ref="AJ64:AS64" si="87">AJ50</f>
        <v/>
      </c>
      <c r="AK64" s="40" t="str">
        <f t="shared" si="87"/>
        <v/>
      </c>
      <c r="AL64" s="40" t="str">
        <f t="shared" si="87"/>
        <v/>
      </c>
      <c r="AM64" s="40" t="str">
        <f t="shared" si="87"/>
        <v/>
      </c>
      <c r="AN64" s="40" t="str">
        <f t="shared" si="87"/>
        <v/>
      </c>
      <c r="AO64" s="40" t="str">
        <f t="shared" si="87"/>
        <v/>
      </c>
      <c r="AP64" s="40" t="str">
        <f t="shared" si="87"/>
        <v/>
      </c>
      <c r="AQ64" s="40" t="str">
        <f t="shared" si="87"/>
        <v/>
      </c>
      <c r="AR64" s="40" t="str">
        <f t="shared" si="87"/>
        <v/>
      </c>
      <c r="AS64" s="40" t="str">
        <f t="shared" si="87"/>
        <v/>
      </c>
      <c r="AT64" s="50"/>
      <c r="AU64" s="50"/>
      <c r="AV64" s="50"/>
      <c r="AW64" s="50"/>
      <c r="AX64" s="50"/>
      <c r="AY64" s="50"/>
      <c r="AZ64" s="17"/>
      <c r="BA64" s="17"/>
      <c r="BB64" s="17"/>
      <c r="BC64" s="17"/>
      <c r="BD64" s="16"/>
      <c r="BE64" s="16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3"/>
      <c r="BR64" s="3"/>
      <c r="BS64" s="3"/>
      <c r="BT64" s="3"/>
      <c r="BU64" s="3"/>
      <c r="BV64" s="29"/>
      <c r="BW64" s="29"/>
      <c r="BX64" s="29"/>
      <c r="BY64" s="94"/>
      <c r="BZ64" s="94"/>
      <c r="CA64" s="94"/>
      <c r="CB64" s="29"/>
      <c r="CC64" s="29"/>
      <c r="CD64" s="29"/>
      <c r="CE64" s="29"/>
      <c r="CF64" s="3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</row>
    <row r="65" spans="1:114" ht="11.1" customHeight="1" x14ac:dyDescent="0.25">
      <c r="A65" s="3"/>
      <c r="B65" s="3"/>
      <c r="C65" s="3"/>
      <c r="D65" s="3"/>
      <c r="E65" s="3"/>
      <c r="F65" s="26"/>
      <c r="G65" s="26"/>
      <c r="H65" s="26"/>
      <c r="I65" s="10"/>
      <c r="J65" s="10"/>
      <c r="K65" s="14"/>
      <c r="L65" s="11"/>
      <c r="M65" s="14"/>
      <c r="N65" s="14"/>
      <c r="O65" s="4"/>
      <c r="P65" s="3"/>
      <c r="Q65" s="4"/>
      <c r="R65" s="3"/>
      <c r="S65" s="3"/>
      <c r="T65" s="3"/>
      <c r="U65" s="4"/>
      <c r="V65" s="4"/>
      <c r="W65" s="4"/>
      <c r="X65" s="4"/>
      <c r="Y65" s="4"/>
      <c r="Z65" s="11"/>
      <c r="AA65" s="15"/>
      <c r="AB65" s="15"/>
      <c r="AC65" s="15"/>
      <c r="AD65" s="16"/>
      <c r="AE65" s="64"/>
      <c r="AF65" s="64"/>
      <c r="AG65" s="16"/>
      <c r="AH65" s="16"/>
      <c r="AI65" s="16"/>
      <c r="AJ65" s="40" t="str">
        <f t="shared" ref="AJ65:AS65" si="88">AJ51</f>
        <v/>
      </c>
      <c r="AK65" s="40" t="str">
        <f t="shared" si="88"/>
        <v/>
      </c>
      <c r="AL65" s="40" t="str">
        <f t="shared" si="88"/>
        <v/>
      </c>
      <c r="AM65" s="40" t="str">
        <f t="shared" si="88"/>
        <v/>
      </c>
      <c r="AN65" s="40" t="str">
        <f t="shared" si="88"/>
        <v/>
      </c>
      <c r="AO65" s="40" t="str">
        <f t="shared" si="88"/>
        <v/>
      </c>
      <c r="AP65" s="40" t="str">
        <f t="shared" si="88"/>
        <v/>
      </c>
      <c r="AQ65" s="40" t="str">
        <f t="shared" si="88"/>
        <v/>
      </c>
      <c r="AR65" s="40" t="str">
        <f t="shared" si="88"/>
        <v/>
      </c>
      <c r="AS65" s="40" t="str">
        <f t="shared" si="88"/>
        <v/>
      </c>
      <c r="AT65" s="50"/>
      <c r="AU65" s="50"/>
      <c r="AV65" s="50"/>
      <c r="AW65" s="50"/>
      <c r="AX65" s="50"/>
      <c r="AY65" s="50"/>
      <c r="AZ65" s="17"/>
      <c r="BA65" s="17"/>
      <c r="BB65" s="17"/>
      <c r="BC65" s="17"/>
      <c r="BD65" s="16"/>
      <c r="BE65" s="16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3"/>
      <c r="BR65" s="3"/>
      <c r="BS65" s="3"/>
      <c r="BT65" s="3"/>
      <c r="BU65" s="3"/>
      <c r="BV65" s="29"/>
      <c r="BW65" s="29"/>
      <c r="BX65" s="29"/>
      <c r="BY65" s="94"/>
      <c r="BZ65" s="94"/>
      <c r="CA65" s="94"/>
      <c r="CB65" s="29"/>
      <c r="CC65" s="29"/>
      <c r="CD65" s="29"/>
      <c r="CE65" s="29"/>
      <c r="CF65" s="3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</row>
    <row r="66" spans="1:114" ht="11.1" customHeight="1" x14ac:dyDescent="0.25">
      <c r="A66" s="3"/>
      <c r="B66" s="3"/>
      <c r="C66" s="3"/>
      <c r="D66" s="3"/>
      <c r="E66" s="3"/>
      <c r="F66" s="26"/>
      <c r="G66" s="26"/>
      <c r="H66" s="26"/>
      <c r="I66" s="10"/>
      <c r="J66" s="10"/>
      <c r="K66" s="14"/>
      <c r="L66" s="11"/>
      <c r="M66" s="14"/>
      <c r="N66" s="14"/>
      <c r="O66" s="4"/>
      <c r="P66" s="3"/>
      <c r="Q66" s="4"/>
      <c r="R66" s="3"/>
      <c r="S66" s="3"/>
      <c r="T66" s="3"/>
      <c r="U66" s="4"/>
      <c r="V66" s="4"/>
      <c r="W66" s="4"/>
      <c r="X66" s="4"/>
      <c r="Y66" s="4"/>
      <c r="Z66" s="11"/>
      <c r="AA66" s="15"/>
      <c r="AB66" s="15"/>
      <c r="AC66" s="15"/>
      <c r="AD66" s="16"/>
      <c r="AE66" s="64"/>
      <c r="AF66" s="64"/>
      <c r="AG66" s="16"/>
      <c r="AH66" s="16"/>
      <c r="AI66" s="16"/>
      <c r="AJ66" s="40" t="str">
        <f t="shared" ref="AJ66:AS66" si="89">AJ52</f>
        <v/>
      </c>
      <c r="AK66" s="40" t="str">
        <f t="shared" si="89"/>
        <v/>
      </c>
      <c r="AL66" s="40" t="str">
        <f t="shared" si="89"/>
        <v/>
      </c>
      <c r="AM66" s="40" t="str">
        <f t="shared" si="89"/>
        <v/>
      </c>
      <c r="AN66" s="40" t="str">
        <f t="shared" si="89"/>
        <v/>
      </c>
      <c r="AO66" s="40" t="str">
        <f t="shared" si="89"/>
        <v/>
      </c>
      <c r="AP66" s="40" t="str">
        <f t="shared" si="89"/>
        <v/>
      </c>
      <c r="AQ66" s="40" t="str">
        <f t="shared" si="89"/>
        <v/>
      </c>
      <c r="AR66" s="40" t="str">
        <f t="shared" si="89"/>
        <v/>
      </c>
      <c r="AS66" s="40" t="str">
        <f t="shared" si="89"/>
        <v/>
      </c>
      <c r="AT66" s="50"/>
      <c r="AU66" s="50"/>
      <c r="AV66" s="50"/>
      <c r="AW66" s="50"/>
      <c r="AX66" s="50"/>
      <c r="AY66" s="50"/>
      <c r="AZ66" s="17"/>
      <c r="BA66" s="17"/>
      <c r="BB66" s="17"/>
      <c r="BC66" s="17"/>
      <c r="BD66" s="16"/>
      <c r="BE66" s="16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3"/>
      <c r="BR66" s="3"/>
      <c r="BS66" s="3"/>
      <c r="BT66" s="3"/>
      <c r="BU66" s="3"/>
      <c r="BV66" s="29"/>
      <c r="BW66" s="29"/>
      <c r="BX66" s="29"/>
      <c r="BY66" s="94"/>
      <c r="BZ66" s="94"/>
      <c r="CA66" s="94"/>
      <c r="CB66" s="29"/>
      <c r="CC66" s="29"/>
      <c r="CD66" s="29"/>
      <c r="CE66" s="29"/>
      <c r="CF66" s="3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</row>
    <row r="67" spans="1:114" ht="11.1" customHeight="1" x14ac:dyDescent="0.25">
      <c r="A67" s="3"/>
      <c r="B67" s="3"/>
      <c r="C67" s="3"/>
      <c r="D67" s="3"/>
      <c r="E67" s="3"/>
      <c r="F67" s="26"/>
      <c r="G67" s="26"/>
      <c r="H67" s="26"/>
      <c r="I67" s="10"/>
      <c r="J67" s="10"/>
      <c r="K67" s="14"/>
      <c r="L67" s="11"/>
      <c r="M67" s="14"/>
      <c r="N67" s="14"/>
      <c r="O67" s="4"/>
      <c r="P67" s="3"/>
      <c r="Q67" s="4"/>
      <c r="R67" s="3"/>
      <c r="S67" s="3"/>
      <c r="T67" s="3"/>
      <c r="U67" s="4"/>
      <c r="V67" s="4"/>
      <c r="W67" s="4"/>
      <c r="X67" s="4"/>
      <c r="Y67" s="4"/>
      <c r="Z67" s="11"/>
      <c r="AA67" s="15"/>
      <c r="AB67" s="15"/>
      <c r="AC67" s="15"/>
      <c r="AD67" s="16"/>
      <c r="AE67" s="64"/>
      <c r="AF67" s="64"/>
      <c r="AG67" s="16"/>
      <c r="AH67" s="16"/>
      <c r="AI67" s="16"/>
      <c r="AJ67" s="90"/>
      <c r="AK67" s="90"/>
      <c r="AL67" s="90"/>
      <c r="AM67" s="90"/>
      <c r="AN67" s="90"/>
      <c r="AO67" s="90"/>
      <c r="AP67" s="19"/>
      <c r="AQ67" s="19"/>
      <c r="AR67" s="19"/>
      <c r="AS67" s="19"/>
      <c r="AT67" s="50"/>
      <c r="AU67" s="50"/>
      <c r="AV67" s="50"/>
      <c r="AW67" s="50"/>
      <c r="AX67" s="50"/>
      <c r="AY67" s="50"/>
      <c r="AZ67" s="17"/>
      <c r="BA67" s="17"/>
      <c r="BB67" s="17"/>
      <c r="BC67" s="17"/>
      <c r="BD67" s="16"/>
      <c r="BE67" s="16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3"/>
      <c r="BR67" s="3"/>
      <c r="BS67" s="3"/>
      <c r="BT67" s="3"/>
      <c r="BU67" s="3"/>
      <c r="BV67" s="29"/>
      <c r="BW67" s="29"/>
      <c r="BX67" s="29"/>
      <c r="BY67" s="94"/>
      <c r="BZ67" s="94"/>
      <c r="CA67" s="94"/>
      <c r="CB67" s="29"/>
      <c r="CC67" s="29"/>
      <c r="CD67" s="29"/>
      <c r="CE67" s="29"/>
      <c r="CF67" s="3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</row>
    <row r="68" spans="1:114" ht="11.1" customHeight="1" x14ac:dyDescent="0.25">
      <c r="A68" s="3"/>
      <c r="B68" s="3"/>
      <c r="C68" s="3"/>
      <c r="D68" s="3"/>
      <c r="E68" s="3"/>
      <c r="F68" s="26"/>
      <c r="G68" s="26"/>
      <c r="H68" s="26"/>
      <c r="I68" s="10"/>
      <c r="J68" s="10"/>
      <c r="K68" s="14"/>
      <c r="L68" s="11"/>
      <c r="M68" s="14"/>
      <c r="N68" s="14"/>
      <c r="O68" s="4"/>
      <c r="P68" s="3"/>
      <c r="Q68" s="4"/>
      <c r="R68" s="3"/>
      <c r="S68" s="3"/>
      <c r="T68" s="3"/>
      <c r="U68" s="4"/>
      <c r="V68" s="4"/>
      <c r="W68" s="4"/>
      <c r="X68" s="4"/>
      <c r="Y68" s="4"/>
      <c r="Z68" s="11"/>
      <c r="AA68" s="15"/>
      <c r="AB68" s="15"/>
      <c r="AC68" s="15"/>
      <c r="AD68" s="16"/>
      <c r="AE68" s="64"/>
      <c r="AF68" s="64"/>
      <c r="AG68" s="16"/>
      <c r="AH68" s="16"/>
      <c r="AI68" s="16"/>
      <c r="AJ68" s="40">
        <f t="shared" ref="AJ68:AJ80" si="90">IF(AND(ISNUMBER(AJ40),(ISNUMBER(O$5))),INDEX($Y$7:$Y$42,AJ40,1),"")</f>
        <v>0</v>
      </c>
      <c r="AK68" s="40">
        <f t="shared" ref="AK68:AK80" si="91">IF(AND(ISNUMBER(AK40),(ISNUMBER(P$5))),INDEX($Y$7:$Y$42,AK40,1),"")</f>
        <v>4</v>
      </c>
      <c r="AL68" s="40">
        <f t="shared" ref="AL68:AL80" si="92">IF(AND(ISNUMBER(AL40),(ISNUMBER(Q$5))),INDEX($Y$7:$Y$42,AL40,1),"")</f>
        <v>8</v>
      </c>
      <c r="AM68" s="40">
        <f t="shared" ref="AM68:AM80" si="93">IF(AND(ISNUMBER(AM40),(ISNUMBER(R$5))),INDEX($Y$7:$Y$42,AM40,1),"")</f>
        <v>12</v>
      </c>
      <c r="AN68" s="40">
        <f t="shared" ref="AN68:AN80" si="94">IF(AND(ISNUMBER(AN40),(ISNUMBER(S$5))),INDEX($Y$7:$Y$42,AN40,1),"")</f>
        <v>16</v>
      </c>
      <c r="AO68" s="40">
        <f t="shared" ref="AO68:AO80" si="95">IF(AND(ISNUMBER(AO40),(ISNUMBER(T$5))),INDEX($Y$7:$Y$42,AO40,1),"")</f>
        <v>22</v>
      </c>
      <c r="AP68" s="40">
        <f t="shared" ref="AP68:AP80" si="96">IF(AND(ISNUMBER(AP40),(ISNUMBER(U$5))),INDEX($Y$7:$Y$42,AP40,1),"")</f>
        <v>27</v>
      </c>
      <c r="AQ68" s="40" t="str">
        <f t="shared" ref="AQ68:AQ80" si="97">IF(AND(ISNUMBER(AQ40),(ISNUMBER(V$5))),INDEX($Y$7:$Y$42,AQ40,1),"")</f>
        <v/>
      </c>
      <c r="AR68" s="40" t="str">
        <f t="shared" ref="AR68:AR80" si="98">IF(AND(ISNUMBER(AR40),(ISNUMBER(W$5))),INDEX($Y$7:$Y$42,AR40,1),"")</f>
        <v/>
      </c>
      <c r="AS68" s="40" t="str">
        <f t="shared" ref="AS68:AS80" si="99">IF(AND(ISNUMBER(AS40),(ISNUMBER(X$5))),INDEX($Y$7:$Y$42,AS40,1),"")</f>
        <v/>
      </c>
      <c r="AT68" s="50"/>
      <c r="AU68" s="50"/>
      <c r="AV68" s="50"/>
      <c r="AW68" s="50"/>
      <c r="AX68" s="50"/>
      <c r="AY68" s="50"/>
      <c r="AZ68" s="17"/>
      <c r="BA68" s="17"/>
      <c r="BB68" s="17"/>
      <c r="BC68" s="17"/>
      <c r="BD68" s="16"/>
      <c r="BE68" s="16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3"/>
      <c r="BR68" s="3"/>
      <c r="BS68" s="3"/>
      <c r="BT68" s="3"/>
      <c r="BU68" s="3"/>
      <c r="BV68" s="29"/>
      <c r="BW68" s="29"/>
      <c r="BX68" s="29"/>
      <c r="BY68" s="94"/>
      <c r="BZ68" s="94"/>
      <c r="CA68" s="94"/>
      <c r="CB68" s="29"/>
      <c r="CC68" s="29"/>
      <c r="CD68" s="29"/>
      <c r="CE68" s="29"/>
      <c r="CF68" s="3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</row>
    <row r="69" spans="1:114" ht="11.1" customHeight="1" x14ac:dyDescent="0.25">
      <c r="A69" s="3"/>
      <c r="B69" s="3"/>
      <c r="C69" s="3"/>
      <c r="D69" s="3"/>
      <c r="E69" s="3"/>
      <c r="F69" s="26"/>
      <c r="G69" s="26"/>
      <c r="H69" s="26"/>
      <c r="I69" s="10"/>
      <c r="J69" s="10"/>
      <c r="K69" s="14"/>
      <c r="L69" s="11"/>
      <c r="M69" s="14"/>
      <c r="N69" s="14"/>
      <c r="O69" s="4"/>
      <c r="P69" s="3"/>
      <c r="Q69" s="4"/>
      <c r="R69" s="3"/>
      <c r="S69" s="3"/>
      <c r="T69" s="3"/>
      <c r="U69" s="4"/>
      <c r="V69" s="4"/>
      <c r="W69" s="4"/>
      <c r="X69" s="4"/>
      <c r="Y69" s="4"/>
      <c r="Z69" s="11"/>
      <c r="AA69" s="15"/>
      <c r="AB69" s="15"/>
      <c r="AC69" s="15"/>
      <c r="AD69" s="16"/>
      <c r="AE69" s="64"/>
      <c r="AF69" s="64"/>
      <c r="AG69" s="16"/>
      <c r="AH69" s="16"/>
      <c r="AI69" s="16"/>
      <c r="AJ69" s="40">
        <f t="shared" si="90"/>
        <v>1</v>
      </c>
      <c r="AK69" s="40">
        <f t="shared" si="91"/>
        <v>5</v>
      </c>
      <c r="AL69" s="40">
        <f t="shared" si="92"/>
        <v>9</v>
      </c>
      <c r="AM69" s="40">
        <f t="shared" si="93"/>
        <v>13</v>
      </c>
      <c r="AN69" s="40">
        <f t="shared" si="94"/>
        <v>17</v>
      </c>
      <c r="AO69" s="40">
        <f t="shared" si="95"/>
        <v>23</v>
      </c>
      <c r="AP69" s="40">
        <f t="shared" si="96"/>
        <v>28</v>
      </c>
      <c r="AQ69" s="40" t="str">
        <f t="shared" si="97"/>
        <v/>
      </c>
      <c r="AR69" s="40" t="str">
        <f t="shared" si="98"/>
        <v/>
      </c>
      <c r="AS69" s="40" t="str">
        <f t="shared" si="99"/>
        <v/>
      </c>
      <c r="AT69" s="50"/>
      <c r="AU69" s="50"/>
      <c r="AV69" s="50"/>
      <c r="AW69" s="50"/>
      <c r="AX69" s="50"/>
      <c r="AY69" s="50"/>
      <c r="AZ69" s="17"/>
      <c r="BA69" s="17"/>
      <c r="BB69" s="17"/>
      <c r="BC69" s="17"/>
      <c r="BD69" s="16"/>
      <c r="BE69" s="16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3"/>
      <c r="BR69" s="3"/>
      <c r="BS69" s="3"/>
      <c r="BT69" s="3"/>
      <c r="BU69" s="3"/>
      <c r="BV69" s="29"/>
      <c r="BW69" s="29"/>
      <c r="BX69" s="29"/>
      <c r="BY69" s="94"/>
      <c r="BZ69" s="94"/>
      <c r="CA69" s="94"/>
      <c r="CB69" s="29"/>
      <c r="CC69" s="29"/>
      <c r="CD69" s="29"/>
      <c r="CE69" s="29"/>
      <c r="CF69" s="3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</row>
    <row r="70" spans="1:114" ht="11.1" customHeight="1" x14ac:dyDescent="0.25">
      <c r="A70" s="3"/>
      <c r="B70" s="3"/>
      <c r="C70" s="3"/>
      <c r="D70" s="3"/>
      <c r="E70" s="3"/>
      <c r="F70" s="26"/>
      <c r="G70" s="26"/>
      <c r="H70" s="26"/>
      <c r="I70" s="10"/>
      <c r="J70" s="10"/>
      <c r="K70" s="14"/>
      <c r="L70" s="11"/>
      <c r="M70" s="14"/>
      <c r="N70" s="14"/>
      <c r="O70" s="4"/>
      <c r="P70" s="3"/>
      <c r="Q70" s="4"/>
      <c r="R70" s="3"/>
      <c r="S70" s="3"/>
      <c r="T70" s="3"/>
      <c r="U70" s="4"/>
      <c r="V70" s="4"/>
      <c r="W70" s="4"/>
      <c r="X70" s="4"/>
      <c r="Y70" s="4"/>
      <c r="Z70" s="11"/>
      <c r="AA70" s="15"/>
      <c r="AB70" s="15"/>
      <c r="AC70" s="15"/>
      <c r="AD70" s="16"/>
      <c r="AE70" s="64"/>
      <c r="AF70" s="64"/>
      <c r="AG70" s="16"/>
      <c r="AH70" s="16"/>
      <c r="AI70" s="16"/>
      <c r="AJ70" s="40">
        <f t="shared" si="90"/>
        <v>2</v>
      </c>
      <c r="AK70" s="40">
        <f t="shared" si="91"/>
        <v>6</v>
      </c>
      <c r="AL70" s="40">
        <f t="shared" si="92"/>
        <v>10</v>
      </c>
      <c r="AM70" s="40">
        <f t="shared" si="93"/>
        <v>14</v>
      </c>
      <c r="AN70" s="40">
        <f t="shared" si="94"/>
        <v>18</v>
      </c>
      <c r="AO70" s="40">
        <f t="shared" si="95"/>
        <v>24</v>
      </c>
      <c r="AP70" s="40" t="str">
        <f t="shared" si="96"/>
        <v/>
      </c>
      <c r="AQ70" s="40" t="str">
        <f t="shared" si="97"/>
        <v/>
      </c>
      <c r="AR70" s="40" t="str">
        <f t="shared" si="98"/>
        <v/>
      </c>
      <c r="AS70" s="40" t="str">
        <f t="shared" si="99"/>
        <v/>
      </c>
      <c r="AT70" s="50"/>
      <c r="AU70" s="50"/>
      <c r="AV70" s="50"/>
      <c r="AW70" s="50"/>
      <c r="AX70" s="50"/>
      <c r="AY70" s="50"/>
      <c r="AZ70" s="17"/>
      <c r="BA70" s="17"/>
      <c r="BB70" s="17"/>
      <c r="BC70" s="17"/>
      <c r="BD70" s="16"/>
      <c r="BE70" s="16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3"/>
      <c r="BR70" s="3"/>
      <c r="BS70" s="3"/>
      <c r="BT70" s="3"/>
      <c r="BU70" s="3"/>
      <c r="BV70" s="29"/>
      <c r="BW70" s="29"/>
      <c r="BX70" s="29"/>
      <c r="BY70" s="94"/>
      <c r="BZ70" s="94"/>
      <c r="CA70" s="94"/>
      <c r="CB70" s="29"/>
      <c r="CC70" s="29"/>
      <c r="CD70" s="29"/>
      <c r="CE70" s="29"/>
      <c r="CF70" s="3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</row>
    <row r="71" spans="1:114" ht="11.1" customHeight="1" x14ac:dyDescent="0.25">
      <c r="A71" s="3"/>
      <c r="B71" s="3"/>
      <c r="C71" s="3"/>
      <c r="D71" s="3"/>
      <c r="E71" s="3"/>
      <c r="F71" s="26"/>
      <c r="G71" s="26"/>
      <c r="H71" s="26"/>
      <c r="I71" s="10"/>
      <c r="J71" s="10"/>
      <c r="K71" s="14"/>
      <c r="L71" s="11"/>
      <c r="M71" s="14"/>
      <c r="N71" s="14"/>
      <c r="O71" s="4"/>
      <c r="P71" s="3"/>
      <c r="Q71" s="4"/>
      <c r="R71" s="3"/>
      <c r="S71" s="3"/>
      <c r="T71" s="3"/>
      <c r="U71" s="4"/>
      <c r="V71" s="4"/>
      <c r="W71" s="4"/>
      <c r="X71" s="4"/>
      <c r="Y71" s="4"/>
      <c r="Z71" s="11"/>
      <c r="AA71" s="15"/>
      <c r="AB71" s="15"/>
      <c r="AC71" s="15"/>
      <c r="AD71" s="16"/>
      <c r="AE71" s="64"/>
      <c r="AF71" s="64"/>
      <c r="AG71" s="16"/>
      <c r="AH71" s="16"/>
      <c r="AI71" s="16"/>
      <c r="AJ71" s="40">
        <f t="shared" si="90"/>
        <v>3</v>
      </c>
      <c r="AK71" s="40">
        <f t="shared" si="91"/>
        <v>7</v>
      </c>
      <c r="AL71" s="40">
        <f t="shared" si="92"/>
        <v>11</v>
      </c>
      <c r="AM71" s="40">
        <f t="shared" si="93"/>
        <v>15</v>
      </c>
      <c r="AN71" s="40">
        <f t="shared" si="94"/>
        <v>19</v>
      </c>
      <c r="AO71" s="40">
        <f t="shared" si="95"/>
        <v>25</v>
      </c>
      <c r="AP71" s="40" t="str">
        <f t="shared" si="96"/>
        <v/>
      </c>
      <c r="AQ71" s="40" t="str">
        <f t="shared" si="97"/>
        <v/>
      </c>
      <c r="AR71" s="40" t="str">
        <f t="shared" si="98"/>
        <v/>
      </c>
      <c r="AS71" s="40" t="str">
        <f t="shared" si="99"/>
        <v/>
      </c>
      <c r="AT71" s="50"/>
      <c r="AU71" s="50"/>
      <c r="AV71" s="50"/>
      <c r="AW71" s="50"/>
      <c r="AX71" s="50"/>
      <c r="AY71" s="50"/>
      <c r="AZ71" s="17"/>
      <c r="BA71" s="17"/>
      <c r="BB71" s="17"/>
      <c r="BC71" s="17"/>
      <c r="BD71" s="16"/>
      <c r="BE71" s="16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3"/>
      <c r="BR71" s="3"/>
      <c r="BS71" s="3"/>
      <c r="BT71" s="3"/>
      <c r="BU71" s="3"/>
      <c r="BV71" s="29"/>
      <c r="BW71" s="29"/>
      <c r="BX71" s="29"/>
      <c r="BY71" s="94"/>
      <c r="BZ71" s="94"/>
      <c r="CA71" s="94"/>
      <c r="CB71" s="29"/>
      <c r="CC71" s="29"/>
      <c r="CD71" s="29"/>
      <c r="CE71" s="29"/>
      <c r="CF71" s="3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</row>
    <row r="72" spans="1:114" ht="11.1" customHeight="1" x14ac:dyDescent="0.25">
      <c r="A72" s="3"/>
      <c r="B72" s="3"/>
      <c r="C72" s="3"/>
      <c r="D72" s="3"/>
      <c r="E72" s="3"/>
      <c r="F72" s="26"/>
      <c r="G72" s="26"/>
      <c r="H72" s="26"/>
      <c r="I72" s="10"/>
      <c r="J72" s="10"/>
      <c r="K72" s="14"/>
      <c r="L72" s="11"/>
      <c r="M72" s="14"/>
      <c r="N72" s="14"/>
      <c r="O72" s="4"/>
      <c r="P72" s="3"/>
      <c r="Q72" s="4"/>
      <c r="R72" s="3"/>
      <c r="S72" s="3"/>
      <c r="T72" s="3"/>
      <c r="U72" s="4"/>
      <c r="V72" s="4"/>
      <c r="W72" s="4"/>
      <c r="X72" s="4"/>
      <c r="Y72" s="4"/>
      <c r="Z72" s="11"/>
      <c r="AA72" s="15"/>
      <c r="AB72" s="15"/>
      <c r="AC72" s="15"/>
      <c r="AD72" s="16"/>
      <c r="AE72" s="64"/>
      <c r="AF72" s="64"/>
      <c r="AG72" s="16"/>
      <c r="AH72" s="16"/>
      <c r="AI72" s="16"/>
      <c r="AJ72" s="40" t="str">
        <f t="shared" si="90"/>
        <v/>
      </c>
      <c r="AK72" s="40" t="str">
        <f t="shared" si="91"/>
        <v/>
      </c>
      <c r="AL72" s="40" t="str">
        <f t="shared" si="92"/>
        <v/>
      </c>
      <c r="AM72" s="40" t="str">
        <f t="shared" si="93"/>
        <v/>
      </c>
      <c r="AN72" s="40">
        <f t="shared" si="94"/>
        <v>20</v>
      </c>
      <c r="AO72" s="40">
        <f t="shared" si="95"/>
        <v>26</v>
      </c>
      <c r="AP72" s="40" t="str">
        <f t="shared" si="96"/>
        <v/>
      </c>
      <c r="AQ72" s="40" t="str">
        <f t="shared" si="97"/>
        <v/>
      </c>
      <c r="AR72" s="40" t="str">
        <f t="shared" si="98"/>
        <v/>
      </c>
      <c r="AS72" s="40" t="str">
        <f t="shared" si="99"/>
        <v/>
      </c>
      <c r="AT72" s="50"/>
      <c r="AU72" s="50"/>
      <c r="AV72" s="50"/>
      <c r="AW72" s="50"/>
      <c r="AX72" s="50"/>
      <c r="AY72" s="50"/>
      <c r="AZ72" s="17"/>
      <c r="BA72" s="17"/>
      <c r="BB72" s="17"/>
      <c r="BC72" s="17"/>
      <c r="BD72" s="16"/>
      <c r="BE72" s="16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3"/>
      <c r="BR72" s="3"/>
      <c r="BS72" s="3"/>
      <c r="BT72" s="3"/>
      <c r="BU72" s="3"/>
      <c r="BV72" s="29"/>
      <c r="BW72" s="29"/>
      <c r="BX72" s="29"/>
      <c r="BY72" s="94"/>
      <c r="BZ72" s="94"/>
      <c r="CA72" s="94"/>
      <c r="CB72" s="29"/>
      <c r="CC72" s="29"/>
      <c r="CD72" s="29"/>
      <c r="CE72" s="29"/>
      <c r="CF72" s="3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</row>
    <row r="73" spans="1:114" ht="11.1" customHeight="1" x14ac:dyDescent="0.25">
      <c r="A73" s="3"/>
      <c r="B73" s="3"/>
      <c r="C73" s="3"/>
      <c r="D73" s="3"/>
      <c r="E73" s="3"/>
      <c r="F73" s="26"/>
      <c r="G73" s="26"/>
      <c r="H73" s="26"/>
      <c r="I73" s="10"/>
      <c r="J73" s="10"/>
      <c r="K73" s="14"/>
      <c r="L73" s="11"/>
      <c r="M73" s="14"/>
      <c r="N73" s="14"/>
      <c r="O73" s="4"/>
      <c r="P73" s="3"/>
      <c r="Q73" s="4"/>
      <c r="R73" s="3"/>
      <c r="S73" s="3"/>
      <c r="T73" s="3"/>
      <c r="U73" s="4"/>
      <c r="V73" s="4"/>
      <c r="W73" s="4"/>
      <c r="X73" s="4"/>
      <c r="Y73" s="4"/>
      <c r="Z73" s="11"/>
      <c r="AA73" s="15"/>
      <c r="AB73" s="15"/>
      <c r="AC73" s="15"/>
      <c r="AD73" s="16"/>
      <c r="AE73" s="64"/>
      <c r="AF73" s="64"/>
      <c r="AG73" s="16"/>
      <c r="AH73" s="16"/>
      <c r="AI73" s="16"/>
      <c r="AJ73" s="40" t="str">
        <f t="shared" si="90"/>
        <v/>
      </c>
      <c r="AK73" s="40" t="str">
        <f t="shared" si="91"/>
        <v/>
      </c>
      <c r="AL73" s="40" t="str">
        <f t="shared" si="92"/>
        <v/>
      </c>
      <c r="AM73" s="40" t="str">
        <f t="shared" si="93"/>
        <v/>
      </c>
      <c r="AN73" s="40">
        <f t="shared" si="94"/>
        <v>21</v>
      </c>
      <c r="AO73" s="40" t="str">
        <f t="shared" si="95"/>
        <v/>
      </c>
      <c r="AP73" s="40" t="str">
        <f t="shared" si="96"/>
        <v/>
      </c>
      <c r="AQ73" s="40" t="str">
        <f t="shared" si="97"/>
        <v/>
      </c>
      <c r="AR73" s="40" t="str">
        <f t="shared" si="98"/>
        <v/>
      </c>
      <c r="AS73" s="40" t="str">
        <f t="shared" si="99"/>
        <v/>
      </c>
      <c r="AT73" s="50"/>
      <c r="AU73" s="50"/>
      <c r="AV73" s="50"/>
      <c r="AW73" s="50"/>
      <c r="AX73" s="50"/>
      <c r="AY73" s="50"/>
      <c r="AZ73" s="17"/>
      <c r="BA73" s="17"/>
      <c r="BB73" s="17"/>
      <c r="BC73" s="17"/>
      <c r="BD73" s="16"/>
      <c r="BE73" s="16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3"/>
      <c r="BR73" s="3"/>
      <c r="BS73" s="3"/>
      <c r="BT73" s="3"/>
      <c r="BU73" s="3"/>
      <c r="BV73" s="29"/>
      <c r="BW73" s="29"/>
      <c r="BX73" s="29"/>
      <c r="BY73" s="94"/>
      <c r="BZ73" s="94"/>
      <c r="CA73" s="94"/>
      <c r="CB73" s="29"/>
      <c r="CC73" s="29"/>
      <c r="CD73" s="29"/>
      <c r="CE73" s="29"/>
      <c r="CF73" s="3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</row>
    <row r="74" spans="1:114" ht="11.1" customHeight="1" x14ac:dyDescent="0.25">
      <c r="A74" s="3"/>
      <c r="B74" s="3"/>
      <c r="C74" s="3"/>
      <c r="D74" s="3"/>
      <c r="E74" s="3"/>
      <c r="F74" s="26"/>
      <c r="G74" s="26"/>
      <c r="H74" s="26"/>
      <c r="I74" s="10"/>
      <c r="J74" s="10"/>
      <c r="K74" s="14"/>
      <c r="L74" s="11"/>
      <c r="M74" s="14"/>
      <c r="N74" s="14"/>
      <c r="O74" s="4"/>
      <c r="P74" s="3"/>
      <c r="Q74" s="4"/>
      <c r="R74" s="3"/>
      <c r="S74" s="3"/>
      <c r="T74" s="3"/>
      <c r="U74" s="4"/>
      <c r="V74" s="4"/>
      <c r="W74" s="4"/>
      <c r="X74" s="4"/>
      <c r="Y74" s="4"/>
      <c r="Z74" s="11"/>
      <c r="AA74" s="15"/>
      <c r="AB74" s="15"/>
      <c r="AC74" s="15"/>
      <c r="AD74" s="16"/>
      <c r="AE74" s="64"/>
      <c r="AF74" s="64"/>
      <c r="AG74" s="16"/>
      <c r="AH74" s="16"/>
      <c r="AI74" s="16"/>
      <c r="AJ74" s="40" t="str">
        <f t="shared" si="90"/>
        <v/>
      </c>
      <c r="AK74" s="40" t="str">
        <f t="shared" si="91"/>
        <v/>
      </c>
      <c r="AL74" s="40" t="str">
        <f t="shared" si="92"/>
        <v/>
      </c>
      <c r="AM74" s="40" t="str">
        <f t="shared" si="93"/>
        <v/>
      </c>
      <c r="AN74" s="40" t="str">
        <f t="shared" si="94"/>
        <v/>
      </c>
      <c r="AO74" s="40" t="str">
        <f t="shared" si="95"/>
        <v/>
      </c>
      <c r="AP74" s="40" t="str">
        <f t="shared" si="96"/>
        <v/>
      </c>
      <c r="AQ74" s="40" t="str">
        <f t="shared" si="97"/>
        <v/>
      </c>
      <c r="AR74" s="40" t="str">
        <f t="shared" si="98"/>
        <v/>
      </c>
      <c r="AS74" s="40" t="str">
        <f t="shared" si="99"/>
        <v/>
      </c>
      <c r="AT74" s="50"/>
      <c r="AU74" s="50"/>
      <c r="AV74" s="50"/>
      <c r="AW74" s="50"/>
      <c r="AX74" s="50"/>
      <c r="AY74" s="50"/>
      <c r="AZ74" s="17"/>
      <c r="BA74" s="17"/>
      <c r="BB74" s="17"/>
      <c r="BC74" s="17"/>
      <c r="BD74" s="16"/>
      <c r="BE74" s="16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3"/>
      <c r="BR74" s="3"/>
      <c r="BS74" s="3"/>
      <c r="BT74" s="3"/>
      <c r="BU74" s="3"/>
      <c r="BV74" s="29"/>
      <c r="BW74" s="29"/>
      <c r="BX74" s="29"/>
      <c r="BY74" s="94"/>
      <c r="BZ74" s="94"/>
      <c r="CA74" s="94"/>
      <c r="CB74" s="29"/>
      <c r="CC74" s="29"/>
      <c r="CD74" s="29"/>
      <c r="CE74" s="29"/>
      <c r="CF74" s="3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</row>
    <row r="75" spans="1:114" ht="11.1" customHeight="1" x14ac:dyDescent="0.25">
      <c r="A75" s="3"/>
      <c r="B75" s="3"/>
      <c r="C75" s="3"/>
      <c r="D75" s="3"/>
      <c r="E75" s="3"/>
      <c r="F75" s="26"/>
      <c r="G75" s="26"/>
      <c r="H75" s="26"/>
      <c r="I75" s="10"/>
      <c r="J75" s="10"/>
      <c r="K75" s="14"/>
      <c r="L75" s="11"/>
      <c r="M75" s="14"/>
      <c r="N75" s="14"/>
      <c r="O75" s="4"/>
      <c r="P75" s="3"/>
      <c r="Q75" s="4"/>
      <c r="R75" s="3"/>
      <c r="S75" s="3"/>
      <c r="T75" s="3"/>
      <c r="U75" s="4"/>
      <c r="V75" s="4"/>
      <c r="W75" s="4"/>
      <c r="X75" s="4"/>
      <c r="Y75" s="4"/>
      <c r="Z75" s="11"/>
      <c r="AA75" s="15"/>
      <c r="AB75" s="15"/>
      <c r="AC75" s="15"/>
      <c r="AD75" s="16"/>
      <c r="AE75" s="64"/>
      <c r="AF75" s="64"/>
      <c r="AG75" s="16"/>
      <c r="AH75" s="16"/>
      <c r="AI75" s="16"/>
      <c r="AJ75" s="40" t="str">
        <f t="shared" si="90"/>
        <v/>
      </c>
      <c r="AK75" s="40" t="str">
        <f t="shared" si="91"/>
        <v/>
      </c>
      <c r="AL75" s="40" t="str">
        <f t="shared" si="92"/>
        <v/>
      </c>
      <c r="AM75" s="40" t="str">
        <f t="shared" si="93"/>
        <v/>
      </c>
      <c r="AN75" s="40" t="str">
        <f t="shared" si="94"/>
        <v/>
      </c>
      <c r="AO75" s="40" t="str">
        <f t="shared" si="95"/>
        <v/>
      </c>
      <c r="AP75" s="40" t="str">
        <f t="shared" si="96"/>
        <v/>
      </c>
      <c r="AQ75" s="40" t="str">
        <f t="shared" si="97"/>
        <v/>
      </c>
      <c r="AR75" s="40" t="str">
        <f t="shared" si="98"/>
        <v/>
      </c>
      <c r="AS75" s="40" t="str">
        <f t="shared" si="99"/>
        <v/>
      </c>
      <c r="AT75" s="50"/>
      <c r="AU75" s="50"/>
      <c r="AV75" s="50"/>
      <c r="AW75" s="50"/>
      <c r="AX75" s="50"/>
      <c r="AY75" s="50"/>
      <c r="AZ75" s="17"/>
      <c r="BA75" s="17"/>
      <c r="BB75" s="17"/>
      <c r="BC75" s="17"/>
      <c r="BD75" s="16"/>
      <c r="BE75" s="16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3"/>
      <c r="BR75" s="3"/>
      <c r="BS75" s="3"/>
      <c r="BT75" s="3"/>
      <c r="BU75" s="3"/>
      <c r="BV75" s="29"/>
      <c r="BW75" s="29"/>
      <c r="BX75" s="29"/>
      <c r="BY75" s="94"/>
      <c r="BZ75" s="94"/>
      <c r="CA75" s="94"/>
      <c r="CB75" s="29"/>
      <c r="CC75" s="29"/>
      <c r="CD75" s="29"/>
      <c r="CE75" s="29"/>
      <c r="CF75" s="3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</row>
    <row r="76" spans="1:114" ht="11.1" customHeight="1" x14ac:dyDescent="0.25">
      <c r="A76" s="3"/>
      <c r="B76" s="3"/>
      <c r="C76" s="3"/>
      <c r="D76" s="3"/>
      <c r="E76" s="3"/>
      <c r="F76" s="26"/>
      <c r="G76" s="26"/>
      <c r="H76" s="26"/>
      <c r="I76" s="10"/>
      <c r="J76" s="10"/>
      <c r="K76" s="14"/>
      <c r="L76" s="11"/>
      <c r="M76" s="14"/>
      <c r="N76" s="14"/>
      <c r="O76" s="4"/>
      <c r="P76" s="3"/>
      <c r="Q76" s="4"/>
      <c r="R76" s="3"/>
      <c r="S76" s="3"/>
      <c r="T76" s="3"/>
      <c r="U76" s="4"/>
      <c r="V76" s="4"/>
      <c r="W76" s="4"/>
      <c r="X76" s="4"/>
      <c r="Y76" s="4"/>
      <c r="Z76" s="11"/>
      <c r="AA76" s="15"/>
      <c r="AB76" s="15"/>
      <c r="AC76" s="15"/>
      <c r="AD76" s="16"/>
      <c r="AE76" s="64"/>
      <c r="AF76" s="64"/>
      <c r="AG76" s="16"/>
      <c r="AH76" s="16"/>
      <c r="AI76" s="16"/>
      <c r="AJ76" s="40" t="str">
        <f t="shared" si="90"/>
        <v/>
      </c>
      <c r="AK76" s="40" t="str">
        <f t="shared" si="91"/>
        <v/>
      </c>
      <c r="AL76" s="40" t="str">
        <f t="shared" si="92"/>
        <v/>
      </c>
      <c r="AM76" s="40" t="str">
        <f t="shared" si="93"/>
        <v/>
      </c>
      <c r="AN76" s="40" t="str">
        <f t="shared" si="94"/>
        <v/>
      </c>
      <c r="AO76" s="40" t="str">
        <f t="shared" si="95"/>
        <v/>
      </c>
      <c r="AP76" s="40" t="str">
        <f t="shared" si="96"/>
        <v/>
      </c>
      <c r="AQ76" s="40" t="str">
        <f t="shared" si="97"/>
        <v/>
      </c>
      <c r="AR76" s="40" t="str">
        <f t="shared" si="98"/>
        <v/>
      </c>
      <c r="AS76" s="40" t="str">
        <f t="shared" si="99"/>
        <v/>
      </c>
      <c r="AT76" s="50"/>
      <c r="AU76" s="50"/>
      <c r="AV76" s="50"/>
      <c r="AW76" s="50"/>
      <c r="AX76" s="50"/>
      <c r="AY76" s="50"/>
      <c r="AZ76" s="17"/>
      <c r="BA76" s="17"/>
      <c r="BB76" s="17"/>
      <c r="BC76" s="17"/>
      <c r="BD76" s="16"/>
      <c r="BE76" s="16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3"/>
      <c r="BR76" s="3"/>
      <c r="BS76" s="3"/>
      <c r="BT76" s="3"/>
      <c r="BU76" s="3"/>
      <c r="BV76" s="29"/>
      <c r="BW76" s="29"/>
      <c r="BX76" s="29"/>
      <c r="BY76" s="94"/>
      <c r="BZ76" s="94"/>
      <c r="CA76" s="94"/>
      <c r="CB76" s="29"/>
      <c r="CC76" s="29"/>
      <c r="CD76" s="29"/>
      <c r="CE76" s="29"/>
      <c r="CF76" s="3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</row>
    <row r="77" spans="1:114" ht="11.1" customHeight="1" x14ac:dyDescent="0.25">
      <c r="A77" s="3"/>
      <c r="B77" s="3"/>
      <c r="C77" s="3"/>
      <c r="D77" s="3"/>
      <c r="E77" s="3"/>
      <c r="F77" s="26"/>
      <c r="G77" s="26"/>
      <c r="H77" s="26"/>
      <c r="I77" s="10"/>
      <c r="J77" s="10"/>
      <c r="K77" s="14"/>
      <c r="L77" s="11"/>
      <c r="M77" s="14"/>
      <c r="N77" s="14"/>
      <c r="O77" s="4"/>
      <c r="P77" s="3"/>
      <c r="Q77" s="4"/>
      <c r="R77" s="3"/>
      <c r="S77" s="3"/>
      <c r="T77" s="3"/>
      <c r="U77" s="4"/>
      <c r="V77" s="4"/>
      <c r="W77" s="4"/>
      <c r="X77" s="4"/>
      <c r="Y77" s="4"/>
      <c r="Z77" s="11"/>
      <c r="AA77" s="15"/>
      <c r="AB77" s="15"/>
      <c r="AC77" s="15"/>
      <c r="AD77" s="16"/>
      <c r="AE77" s="64"/>
      <c r="AF77" s="64"/>
      <c r="AG77" s="16"/>
      <c r="AH77" s="16"/>
      <c r="AI77" s="16"/>
      <c r="AJ77" s="40" t="str">
        <f t="shared" si="90"/>
        <v/>
      </c>
      <c r="AK77" s="40" t="str">
        <f t="shared" si="91"/>
        <v/>
      </c>
      <c r="AL77" s="40" t="str">
        <f t="shared" si="92"/>
        <v/>
      </c>
      <c r="AM77" s="40" t="str">
        <f t="shared" si="93"/>
        <v/>
      </c>
      <c r="AN77" s="40" t="str">
        <f t="shared" si="94"/>
        <v/>
      </c>
      <c r="AO77" s="40" t="str">
        <f t="shared" si="95"/>
        <v/>
      </c>
      <c r="AP77" s="40" t="str">
        <f t="shared" si="96"/>
        <v/>
      </c>
      <c r="AQ77" s="40" t="str">
        <f t="shared" si="97"/>
        <v/>
      </c>
      <c r="AR77" s="40" t="str">
        <f t="shared" si="98"/>
        <v/>
      </c>
      <c r="AS77" s="40" t="str">
        <f t="shared" si="99"/>
        <v/>
      </c>
      <c r="AT77" s="50"/>
      <c r="AU77" s="50"/>
      <c r="AV77" s="50"/>
      <c r="AW77" s="50"/>
      <c r="AX77" s="50"/>
      <c r="AY77" s="50"/>
      <c r="AZ77" s="17"/>
      <c r="BA77" s="17"/>
      <c r="BB77" s="17"/>
      <c r="BC77" s="17"/>
      <c r="BD77" s="16"/>
      <c r="BE77" s="16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3"/>
      <c r="BR77" s="3"/>
      <c r="BS77" s="3"/>
      <c r="BT77" s="3"/>
      <c r="BU77" s="3"/>
      <c r="BV77" s="29"/>
      <c r="BW77" s="29"/>
      <c r="BX77" s="29"/>
      <c r="BY77" s="94"/>
      <c r="BZ77" s="94"/>
      <c r="CA77" s="94"/>
      <c r="CB77" s="29"/>
      <c r="CC77" s="29"/>
      <c r="CD77" s="29"/>
      <c r="CE77" s="29"/>
      <c r="CF77" s="3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</row>
    <row r="78" spans="1:114" ht="11.1" customHeight="1" x14ac:dyDescent="0.25">
      <c r="A78" s="3"/>
      <c r="B78" s="3"/>
      <c r="C78" s="3"/>
      <c r="D78" s="3"/>
      <c r="E78" s="3"/>
      <c r="F78" s="26"/>
      <c r="G78" s="26"/>
      <c r="H78" s="26"/>
      <c r="I78" s="10"/>
      <c r="J78" s="10"/>
      <c r="K78" s="14"/>
      <c r="L78" s="11"/>
      <c r="M78" s="14"/>
      <c r="N78" s="14"/>
      <c r="O78" s="4"/>
      <c r="P78" s="3"/>
      <c r="Q78" s="4"/>
      <c r="R78" s="3"/>
      <c r="S78" s="3"/>
      <c r="T78" s="3"/>
      <c r="U78" s="4"/>
      <c r="V78" s="4"/>
      <c r="W78" s="4"/>
      <c r="X78" s="4"/>
      <c r="Y78" s="4"/>
      <c r="Z78" s="11"/>
      <c r="AA78" s="15"/>
      <c r="AB78" s="15"/>
      <c r="AC78" s="15"/>
      <c r="AD78" s="16"/>
      <c r="AE78" s="64"/>
      <c r="AF78" s="64"/>
      <c r="AG78" s="16"/>
      <c r="AH78" s="16"/>
      <c r="AI78" s="16"/>
      <c r="AJ78" s="40" t="str">
        <f t="shared" si="90"/>
        <v/>
      </c>
      <c r="AK78" s="40" t="str">
        <f t="shared" si="91"/>
        <v/>
      </c>
      <c r="AL78" s="40" t="str">
        <f t="shared" si="92"/>
        <v/>
      </c>
      <c r="AM78" s="40" t="str">
        <f t="shared" si="93"/>
        <v/>
      </c>
      <c r="AN78" s="40" t="str">
        <f t="shared" si="94"/>
        <v/>
      </c>
      <c r="AO78" s="40" t="str">
        <f t="shared" si="95"/>
        <v/>
      </c>
      <c r="AP78" s="40" t="str">
        <f t="shared" si="96"/>
        <v/>
      </c>
      <c r="AQ78" s="40" t="str">
        <f t="shared" si="97"/>
        <v/>
      </c>
      <c r="AR78" s="40" t="str">
        <f t="shared" si="98"/>
        <v/>
      </c>
      <c r="AS78" s="40" t="str">
        <f t="shared" si="99"/>
        <v/>
      </c>
      <c r="AT78" s="50"/>
      <c r="AU78" s="50"/>
      <c r="AV78" s="50"/>
      <c r="AW78" s="50"/>
      <c r="AX78" s="50"/>
      <c r="AY78" s="50"/>
      <c r="AZ78" s="17"/>
      <c r="BA78" s="17"/>
      <c r="BB78" s="17"/>
      <c r="BC78" s="17"/>
      <c r="BD78" s="16"/>
      <c r="BE78" s="16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3"/>
      <c r="BR78" s="3"/>
      <c r="BS78" s="3"/>
      <c r="BT78" s="3"/>
      <c r="BU78" s="3"/>
      <c r="BV78" s="29"/>
      <c r="BW78" s="29"/>
      <c r="BX78" s="29"/>
      <c r="BY78" s="94"/>
      <c r="BZ78" s="94"/>
      <c r="CA78" s="94"/>
      <c r="CB78" s="29"/>
      <c r="CC78" s="29"/>
      <c r="CD78" s="29"/>
      <c r="CE78" s="29"/>
      <c r="CF78" s="3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</row>
    <row r="79" spans="1:114" ht="11.1" customHeight="1" x14ac:dyDescent="0.25">
      <c r="A79" s="3"/>
      <c r="B79" s="3"/>
      <c r="C79" s="3"/>
      <c r="D79" s="3"/>
      <c r="E79" s="3"/>
      <c r="F79" s="26"/>
      <c r="G79" s="26"/>
      <c r="H79" s="26"/>
      <c r="I79" s="10"/>
      <c r="J79" s="10"/>
      <c r="K79" s="14"/>
      <c r="L79" s="11"/>
      <c r="M79" s="14"/>
      <c r="N79" s="14"/>
      <c r="O79" s="4"/>
      <c r="P79" s="3"/>
      <c r="Q79" s="4"/>
      <c r="R79" s="3"/>
      <c r="S79" s="3"/>
      <c r="T79" s="3"/>
      <c r="U79" s="4"/>
      <c r="V79" s="4"/>
      <c r="W79" s="4"/>
      <c r="X79" s="4"/>
      <c r="Y79" s="4"/>
      <c r="Z79" s="11"/>
      <c r="AA79" s="15"/>
      <c r="AB79" s="15"/>
      <c r="AC79" s="15"/>
      <c r="AD79" s="16"/>
      <c r="AE79" s="64"/>
      <c r="AF79" s="64"/>
      <c r="AG79" s="16"/>
      <c r="AH79" s="16"/>
      <c r="AI79" s="16"/>
      <c r="AJ79" s="40" t="str">
        <f t="shared" si="90"/>
        <v/>
      </c>
      <c r="AK79" s="40" t="str">
        <f t="shared" si="91"/>
        <v/>
      </c>
      <c r="AL79" s="40" t="str">
        <f t="shared" si="92"/>
        <v/>
      </c>
      <c r="AM79" s="40" t="str">
        <f t="shared" si="93"/>
        <v/>
      </c>
      <c r="AN79" s="40" t="str">
        <f t="shared" si="94"/>
        <v/>
      </c>
      <c r="AO79" s="40" t="str">
        <f t="shared" si="95"/>
        <v/>
      </c>
      <c r="AP79" s="40" t="str">
        <f t="shared" si="96"/>
        <v/>
      </c>
      <c r="AQ79" s="40" t="str">
        <f t="shared" si="97"/>
        <v/>
      </c>
      <c r="AR79" s="40" t="str">
        <f t="shared" si="98"/>
        <v/>
      </c>
      <c r="AS79" s="40" t="str">
        <f t="shared" si="99"/>
        <v/>
      </c>
      <c r="AT79" s="50"/>
      <c r="AU79" s="50"/>
      <c r="AV79" s="50"/>
      <c r="AW79" s="50"/>
      <c r="AX79" s="50"/>
      <c r="AY79" s="50"/>
      <c r="AZ79" s="17"/>
      <c r="BA79" s="17"/>
      <c r="BB79" s="17"/>
      <c r="BC79" s="17"/>
      <c r="BD79" s="16"/>
      <c r="BE79" s="16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3"/>
      <c r="BR79" s="3"/>
      <c r="BS79" s="3"/>
      <c r="BT79" s="3"/>
      <c r="BU79" s="3"/>
      <c r="BV79" s="29"/>
      <c r="BW79" s="29"/>
      <c r="BX79" s="29"/>
      <c r="BY79" s="94"/>
      <c r="BZ79" s="94"/>
      <c r="CA79" s="94"/>
      <c r="CB79" s="29"/>
      <c r="CC79" s="29"/>
      <c r="CD79" s="29"/>
      <c r="CE79" s="29"/>
      <c r="CF79" s="3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</row>
    <row r="80" spans="1:114" ht="11.1" customHeight="1" x14ac:dyDescent="0.25">
      <c r="A80" s="3"/>
      <c r="B80" s="3"/>
      <c r="C80" s="3"/>
      <c r="D80" s="3"/>
      <c r="E80" s="3"/>
      <c r="F80" s="26"/>
      <c r="G80" s="26"/>
      <c r="H80" s="26"/>
      <c r="I80" s="10"/>
      <c r="J80" s="10"/>
      <c r="K80" s="14"/>
      <c r="L80" s="11"/>
      <c r="M80" s="14"/>
      <c r="N80" s="14"/>
      <c r="O80" s="4"/>
      <c r="P80" s="3"/>
      <c r="Q80" s="4"/>
      <c r="R80" s="3"/>
      <c r="S80" s="3"/>
      <c r="T80" s="3"/>
      <c r="U80" s="4"/>
      <c r="V80" s="4"/>
      <c r="W80" s="4"/>
      <c r="X80" s="4"/>
      <c r="Y80" s="4"/>
      <c r="Z80" s="11"/>
      <c r="AA80" s="15"/>
      <c r="AB80" s="15"/>
      <c r="AC80" s="15"/>
      <c r="AD80" s="16"/>
      <c r="AE80" s="64"/>
      <c r="AF80" s="64"/>
      <c r="AG80" s="16"/>
      <c r="AH80" s="16"/>
      <c r="AI80" s="16"/>
      <c r="AJ80" s="40" t="str">
        <f t="shared" si="90"/>
        <v/>
      </c>
      <c r="AK80" s="40" t="str">
        <f t="shared" si="91"/>
        <v/>
      </c>
      <c r="AL80" s="40" t="str">
        <f t="shared" si="92"/>
        <v/>
      </c>
      <c r="AM80" s="40" t="str">
        <f t="shared" si="93"/>
        <v/>
      </c>
      <c r="AN80" s="40" t="str">
        <f t="shared" si="94"/>
        <v/>
      </c>
      <c r="AO80" s="40" t="str">
        <f t="shared" si="95"/>
        <v/>
      </c>
      <c r="AP80" s="40" t="str">
        <f t="shared" si="96"/>
        <v/>
      </c>
      <c r="AQ80" s="40" t="str">
        <f t="shared" si="97"/>
        <v/>
      </c>
      <c r="AR80" s="40" t="str">
        <f t="shared" si="98"/>
        <v/>
      </c>
      <c r="AS80" s="40" t="str">
        <f t="shared" si="99"/>
        <v/>
      </c>
      <c r="AT80" s="50"/>
      <c r="AU80" s="50"/>
      <c r="AV80" s="50"/>
      <c r="AW80" s="50"/>
      <c r="AX80" s="50"/>
      <c r="AY80" s="50"/>
      <c r="AZ80" s="17"/>
      <c r="BA80" s="17"/>
      <c r="BB80" s="17"/>
      <c r="BC80" s="17"/>
      <c r="BD80" s="16"/>
      <c r="BE80" s="16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3"/>
      <c r="BR80" s="3"/>
      <c r="BS80" s="3"/>
      <c r="BT80" s="3"/>
      <c r="BU80" s="3"/>
      <c r="BV80" s="29"/>
      <c r="BW80" s="29"/>
      <c r="BX80" s="29"/>
      <c r="BY80" s="94"/>
      <c r="BZ80" s="94"/>
      <c r="CA80" s="94"/>
      <c r="CB80" s="29"/>
      <c r="CC80" s="29"/>
      <c r="CD80" s="29"/>
      <c r="CE80" s="29"/>
      <c r="CF80" s="3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</row>
    <row r="81" spans="1:114" ht="11.1" customHeight="1" x14ac:dyDescent="0.25">
      <c r="A81" s="3"/>
      <c r="B81" s="3"/>
      <c r="C81" s="3"/>
      <c r="D81" s="3"/>
      <c r="E81" s="3"/>
      <c r="F81" s="26"/>
      <c r="G81" s="26"/>
      <c r="H81" s="26"/>
      <c r="I81" s="10"/>
      <c r="J81" s="10"/>
      <c r="K81" s="14"/>
      <c r="L81" s="11"/>
      <c r="M81" s="14"/>
      <c r="N81" s="14"/>
      <c r="O81" s="4"/>
      <c r="P81" s="3"/>
      <c r="Q81" s="4"/>
      <c r="R81" s="3"/>
      <c r="S81" s="3"/>
      <c r="T81" s="3"/>
      <c r="U81" s="4"/>
      <c r="V81" s="4"/>
      <c r="W81" s="4"/>
      <c r="X81" s="4"/>
      <c r="Y81" s="4"/>
      <c r="Z81" s="11"/>
      <c r="AA81" s="15"/>
      <c r="AB81" s="15"/>
      <c r="AC81" s="15"/>
      <c r="AD81" s="16"/>
      <c r="AE81" s="64"/>
      <c r="AF81" s="64"/>
      <c r="AG81" s="16"/>
      <c r="AH81" s="16"/>
      <c r="AI81" s="16"/>
      <c r="AJ81" s="90"/>
      <c r="AK81" s="90"/>
      <c r="AL81" s="90"/>
      <c r="AM81" s="90"/>
      <c r="AN81" s="90"/>
      <c r="AO81" s="90"/>
      <c r="AP81" s="19"/>
      <c r="AQ81" s="19"/>
      <c r="AR81" s="19"/>
      <c r="AS81" s="19"/>
      <c r="AT81" s="50"/>
      <c r="AU81" s="50"/>
      <c r="AV81" s="50"/>
      <c r="AW81" s="50"/>
      <c r="AX81" s="50"/>
      <c r="AY81" s="50"/>
      <c r="AZ81" s="17"/>
      <c r="BA81" s="17"/>
      <c r="BB81" s="17"/>
      <c r="BC81" s="17"/>
      <c r="BD81" s="16"/>
      <c r="BE81" s="16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3"/>
      <c r="BR81" s="3"/>
      <c r="BS81" s="3"/>
      <c r="BT81" s="3"/>
      <c r="BU81" s="3"/>
      <c r="BV81" s="29"/>
      <c r="BW81" s="29"/>
      <c r="BX81" s="29"/>
      <c r="BY81" s="94"/>
      <c r="BZ81" s="94"/>
      <c r="CA81" s="94"/>
      <c r="CB81" s="29"/>
      <c r="CC81" s="29"/>
      <c r="CD81" s="29"/>
      <c r="CE81" s="29"/>
      <c r="CF81" s="3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</row>
    <row r="82" spans="1:114" ht="11.1" customHeight="1" x14ac:dyDescent="0.25">
      <c r="A82" s="3"/>
      <c r="B82" s="3"/>
      <c r="C82" s="3"/>
      <c r="D82" s="3"/>
      <c r="E82" s="3"/>
      <c r="F82" s="26"/>
      <c r="G82" s="26"/>
      <c r="H82" s="26"/>
      <c r="I82" s="10"/>
      <c r="J82" s="10"/>
      <c r="K82" s="14"/>
      <c r="L82" s="11"/>
      <c r="M82" s="14"/>
      <c r="N82" s="14"/>
      <c r="O82" s="4"/>
      <c r="P82" s="3"/>
      <c r="Q82" s="4"/>
      <c r="R82" s="3"/>
      <c r="S82" s="3"/>
      <c r="T82" s="3"/>
      <c r="U82" s="4"/>
      <c r="V82" s="4"/>
      <c r="W82" s="4"/>
      <c r="X82" s="4"/>
      <c r="Y82" s="4"/>
      <c r="Z82" s="11"/>
      <c r="AA82" s="15"/>
      <c r="AB82" s="15"/>
      <c r="AC82" s="15"/>
      <c r="AD82" s="16"/>
      <c r="AE82" s="64"/>
      <c r="AF82" s="64"/>
      <c r="AG82" s="16"/>
      <c r="AH82" s="16"/>
      <c r="AI82" s="16"/>
      <c r="AJ82" s="15"/>
      <c r="AK82" s="15"/>
      <c r="AL82" s="15"/>
      <c r="AM82" s="15"/>
      <c r="AN82" s="15"/>
      <c r="AO82" s="15"/>
      <c r="AP82" s="3"/>
      <c r="AQ82" s="3"/>
      <c r="AR82" s="3"/>
      <c r="AS82" s="3"/>
      <c r="AT82" s="50"/>
      <c r="AU82" s="50"/>
      <c r="AV82" s="50"/>
      <c r="AW82" s="50"/>
      <c r="AX82" s="50"/>
      <c r="AY82" s="50"/>
      <c r="AZ82" s="17"/>
      <c r="BA82" s="17"/>
      <c r="BB82" s="17"/>
      <c r="BC82" s="17"/>
      <c r="BD82" s="16"/>
      <c r="BE82" s="16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3"/>
      <c r="BR82" s="3"/>
      <c r="BS82" s="3"/>
      <c r="BT82" s="3"/>
      <c r="BU82" s="3"/>
      <c r="BV82" s="29"/>
      <c r="BW82" s="29"/>
      <c r="BX82" s="29"/>
      <c r="BY82" s="94"/>
      <c r="BZ82" s="94"/>
      <c r="CA82" s="94"/>
      <c r="CB82" s="29"/>
      <c r="CC82" s="29"/>
      <c r="CD82" s="29"/>
      <c r="CE82" s="29"/>
      <c r="CF82" s="3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</row>
    <row r="83" spans="1:114" ht="11.1" customHeight="1" x14ac:dyDescent="0.25">
      <c r="A83" s="3"/>
      <c r="B83" s="3"/>
      <c r="C83" s="3"/>
      <c r="D83" s="3"/>
      <c r="E83" s="3"/>
      <c r="F83" s="26"/>
      <c r="G83" s="26"/>
      <c r="H83" s="26"/>
      <c r="I83" s="10"/>
      <c r="J83" s="10"/>
      <c r="K83" s="14"/>
      <c r="L83" s="11"/>
      <c r="M83" s="14"/>
      <c r="N83" s="14"/>
      <c r="O83" s="4"/>
      <c r="P83" s="3"/>
      <c r="Q83" s="4"/>
      <c r="R83" s="3"/>
      <c r="S83" s="3"/>
      <c r="T83" s="3"/>
      <c r="U83" s="4"/>
      <c r="V83" s="4"/>
      <c r="W83" s="4"/>
      <c r="X83" s="4"/>
      <c r="Y83" s="4"/>
      <c r="Z83" s="11"/>
      <c r="AA83" s="15"/>
      <c r="AB83" s="15"/>
      <c r="AC83" s="15"/>
      <c r="AD83" s="16"/>
      <c r="AE83" s="64"/>
      <c r="AF83" s="64"/>
      <c r="AG83" s="16"/>
      <c r="AH83" s="16"/>
      <c r="AI83" s="16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50"/>
      <c r="AU83" s="50"/>
      <c r="AV83" s="50"/>
      <c r="AW83" s="50"/>
      <c r="AX83" s="50"/>
      <c r="AY83" s="50"/>
      <c r="AZ83" s="17"/>
      <c r="BA83" s="17"/>
      <c r="BB83" s="17"/>
      <c r="BC83" s="17"/>
      <c r="BD83" s="16"/>
      <c r="BE83" s="16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3"/>
      <c r="BR83" s="3"/>
      <c r="BS83" s="3"/>
      <c r="BT83" s="3"/>
      <c r="BU83" s="3"/>
      <c r="BV83" s="29"/>
      <c r="BW83" s="29"/>
      <c r="BX83" s="29"/>
      <c r="BY83" s="94"/>
      <c r="BZ83" s="94"/>
      <c r="CA83" s="94"/>
      <c r="CB83" s="29"/>
      <c r="CC83" s="29"/>
      <c r="CD83" s="29"/>
      <c r="CE83" s="29"/>
      <c r="CF83" s="3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</row>
    <row r="84" spans="1:114" ht="11.1" customHeight="1" x14ac:dyDescent="0.25">
      <c r="A84" s="3"/>
      <c r="B84" s="3"/>
      <c r="C84" s="3"/>
      <c r="D84" s="3"/>
      <c r="E84" s="3"/>
      <c r="F84" s="26"/>
      <c r="G84" s="26"/>
      <c r="H84" s="26"/>
      <c r="I84" s="10"/>
      <c r="J84" s="10"/>
      <c r="K84" s="14"/>
      <c r="L84" s="11"/>
      <c r="M84" s="14"/>
      <c r="N84" s="14"/>
      <c r="O84" s="4"/>
      <c r="P84" s="3"/>
      <c r="Q84" s="4"/>
      <c r="R84" s="3"/>
      <c r="S84" s="3"/>
      <c r="T84" s="3"/>
      <c r="U84" s="4"/>
      <c r="V84" s="4"/>
      <c r="W84" s="4"/>
      <c r="X84" s="4"/>
      <c r="Y84" s="4"/>
      <c r="Z84" s="11"/>
      <c r="AA84" s="15"/>
      <c r="AB84" s="15"/>
      <c r="AC84" s="15"/>
      <c r="AD84" s="16"/>
      <c r="AE84" s="64"/>
      <c r="AF84" s="64"/>
      <c r="AG84" s="16"/>
      <c r="AH84" s="16"/>
      <c r="AI84" s="16"/>
      <c r="AJ84" s="15"/>
      <c r="AK84" s="15"/>
      <c r="AL84" s="15"/>
      <c r="AM84" s="15"/>
      <c r="AN84" s="15"/>
      <c r="AO84" s="15"/>
      <c r="AP84" s="3"/>
      <c r="AQ84" s="3"/>
      <c r="AR84" s="3"/>
      <c r="AS84" s="3"/>
      <c r="AT84" s="50"/>
      <c r="AU84" s="50"/>
      <c r="AV84" s="50"/>
      <c r="AW84" s="50"/>
      <c r="AX84" s="50"/>
      <c r="AY84" s="50"/>
      <c r="AZ84" s="17"/>
      <c r="BA84" s="17"/>
      <c r="BB84" s="17"/>
      <c r="BC84" s="17"/>
      <c r="BD84" s="16"/>
      <c r="BE84" s="16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3"/>
      <c r="BR84" s="3"/>
      <c r="BS84" s="3"/>
      <c r="BT84" s="3"/>
      <c r="BU84" s="3"/>
      <c r="BV84" s="29"/>
      <c r="BW84" s="29"/>
      <c r="BX84" s="29"/>
      <c r="BY84" s="94"/>
      <c r="BZ84" s="94"/>
      <c r="CA84" s="94"/>
      <c r="CB84" s="29"/>
      <c r="CC84" s="29"/>
      <c r="CD84" s="29"/>
      <c r="CE84" s="29"/>
      <c r="CF84" s="3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</row>
    <row r="85" spans="1:114" ht="11.1" customHeight="1" x14ac:dyDescent="0.25">
      <c r="A85" s="3"/>
      <c r="B85" s="3"/>
      <c r="C85" s="3"/>
      <c r="D85" s="3"/>
      <c r="E85" s="3"/>
      <c r="F85" s="26"/>
      <c r="G85" s="26"/>
      <c r="H85" s="26"/>
      <c r="I85" s="10"/>
      <c r="J85" s="10"/>
      <c r="K85" s="14"/>
      <c r="L85" s="11"/>
      <c r="M85" s="14"/>
      <c r="N85" s="14"/>
      <c r="O85" s="4"/>
      <c r="P85" s="3"/>
      <c r="Q85" s="4"/>
      <c r="R85" s="3"/>
      <c r="S85" s="3"/>
      <c r="T85" s="3"/>
      <c r="U85" s="4"/>
      <c r="V85" s="4"/>
      <c r="W85" s="4"/>
      <c r="X85" s="4"/>
      <c r="Y85" s="4"/>
      <c r="Z85" s="11"/>
      <c r="AA85" s="15"/>
      <c r="AB85" s="15"/>
      <c r="AC85" s="15"/>
      <c r="AD85" s="16"/>
      <c r="AE85" s="64"/>
      <c r="AF85" s="64"/>
      <c r="AG85" s="16"/>
      <c r="AH85" s="16"/>
      <c r="AI85" s="16"/>
      <c r="AJ85" s="15"/>
      <c r="AK85" s="15"/>
      <c r="AL85" s="15"/>
      <c r="AM85" s="15"/>
      <c r="AN85" s="15"/>
      <c r="AO85" s="15"/>
      <c r="AP85" s="3"/>
      <c r="AQ85" s="3"/>
      <c r="AR85" s="3"/>
      <c r="AS85" s="3"/>
      <c r="AT85" s="50"/>
      <c r="AU85" s="50"/>
      <c r="AV85" s="50"/>
      <c r="AW85" s="50"/>
      <c r="AX85" s="50"/>
      <c r="AY85" s="50"/>
      <c r="AZ85" s="17"/>
      <c r="BA85" s="17"/>
      <c r="BB85" s="17"/>
      <c r="BC85" s="17"/>
      <c r="BD85" s="16"/>
      <c r="BE85" s="16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3"/>
      <c r="BR85" s="3"/>
      <c r="BS85" s="3"/>
      <c r="BT85" s="3"/>
      <c r="BU85" s="3"/>
      <c r="BV85" s="29"/>
      <c r="BW85" s="29"/>
      <c r="BX85" s="29"/>
      <c r="BY85" s="94"/>
      <c r="BZ85" s="94"/>
      <c r="CA85" s="94"/>
      <c r="CB85" s="29"/>
      <c r="CC85" s="29"/>
      <c r="CD85" s="29"/>
      <c r="CE85" s="29"/>
      <c r="CF85" s="3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</row>
    <row r="86" spans="1:114" ht="11.1" customHeight="1" x14ac:dyDescent="0.25">
      <c r="A86" s="3"/>
      <c r="B86" s="3"/>
      <c r="C86" s="3"/>
      <c r="D86" s="3"/>
      <c r="E86" s="3"/>
      <c r="F86" s="26"/>
      <c r="G86" s="26"/>
      <c r="H86" s="26"/>
      <c r="I86" s="10"/>
      <c r="J86" s="10"/>
      <c r="K86" s="14"/>
      <c r="L86" s="11"/>
      <c r="M86" s="14"/>
      <c r="N86" s="14"/>
      <c r="O86" s="4"/>
      <c r="P86" s="3"/>
      <c r="Q86" s="4"/>
      <c r="R86" s="3"/>
      <c r="S86" s="3"/>
      <c r="T86" s="3"/>
      <c r="U86" s="4"/>
      <c r="V86" s="4"/>
      <c r="W86" s="4"/>
      <c r="X86" s="4"/>
      <c r="Y86" s="4"/>
      <c r="Z86" s="11"/>
      <c r="AA86" s="15"/>
      <c r="AB86" s="15"/>
      <c r="AC86" s="15"/>
      <c r="AD86" s="16"/>
      <c r="AE86" s="64"/>
      <c r="AF86" s="64"/>
      <c r="AG86" s="16"/>
      <c r="AH86" s="16"/>
      <c r="AI86" s="16"/>
      <c r="AJ86" s="15"/>
      <c r="AK86" s="15"/>
      <c r="AL86" s="15"/>
      <c r="AM86" s="15"/>
      <c r="AN86" s="15"/>
      <c r="AO86" s="15"/>
      <c r="AP86" s="3"/>
      <c r="AQ86" s="3"/>
      <c r="AR86" s="3"/>
      <c r="AS86" s="3"/>
      <c r="AT86" s="50"/>
      <c r="AU86" s="50"/>
      <c r="AV86" s="50"/>
      <c r="AW86" s="50"/>
      <c r="AX86" s="50"/>
      <c r="AY86" s="50"/>
      <c r="AZ86" s="17"/>
      <c r="BA86" s="17"/>
      <c r="BB86" s="17"/>
      <c r="BC86" s="17"/>
      <c r="BD86" s="16"/>
      <c r="BE86" s="16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3"/>
      <c r="BR86" s="3"/>
      <c r="BS86" s="3"/>
      <c r="BT86" s="3"/>
      <c r="BU86" s="3"/>
      <c r="BV86" s="29"/>
      <c r="BW86" s="29"/>
      <c r="BX86" s="29"/>
      <c r="BY86" s="94"/>
      <c r="BZ86" s="94"/>
      <c r="CA86" s="94"/>
      <c r="CB86" s="29"/>
      <c r="CC86" s="29"/>
      <c r="CD86" s="29"/>
      <c r="CE86" s="29"/>
      <c r="CF86" s="3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</row>
    <row r="87" spans="1:114" ht="11.1" customHeight="1" x14ac:dyDescent="0.25">
      <c r="A87" s="3"/>
      <c r="B87" s="3"/>
      <c r="C87" s="3"/>
      <c r="D87" s="3"/>
      <c r="E87" s="3"/>
      <c r="F87" s="26"/>
      <c r="G87" s="26"/>
      <c r="H87" s="26"/>
      <c r="I87" s="10"/>
      <c r="J87" s="10"/>
      <c r="K87" s="14"/>
      <c r="L87" s="11"/>
      <c r="M87" s="14"/>
      <c r="N87" s="14"/>
      <c r="O87" s="4"/>
      <c r="P87" s="3"/>
      <c r="Q87" s="4"/>
      <c r="R87" s="3"/>
      <c r="S87" s="3"/>
      <c r="T87" s="3"/>
      <c r="U87" s="4"/>
      <c r="V87" s="4"/>
      <c r="W87" s="4"/>
      <c r="X87" s="4"/>
      <c r="Y87" s="4"/>
      <c r="Z87" s="11"/>
      <c r="AA87" s="15"/>
      <c r="AB87" s="15"/>
      <c r="AC87" s="15"/>
      <c r="AD87" s="16"/>
      <c r="AE87" s="64"/>
      <c r="AF87" s="64"/>
      <c r="AG87" s="16"/>
      <c r="AH87" s="16"/>
      <c r="AI87" s="16"/>
      <c r="AJ87" s="15"/>
      <c r="AK87" s="15"/>
      <c r="AL87" s="15"/>
      <c r="AM87" s="15"/>
      <c r="AN87" s="15"/>
      <c r="AO87" s="15"/>
      <c r="AP87" s="3"/>
      <c r="AQ87" s="3"/>
      <c r="AR87" s="3"/>
      <c r="AS87" s="3"/>
      <c r="AT87" s="50"/>
      <c r="AU87" s="50"/>
      <c r="AV87" s="50"/>
      <c r="AW87" s="50"/>
      <c r="AX87" s="50"/>
      <c r="AY87" s="50"/>
      <c r="AZ87" s="17"/>
      <c r="BA87" s="17"/>
      <c r="BB87" s="17"/>
      <c r="BC87" s="17"/>
      <c r="BD87" s="16"/>
      <c r="BE87" s="16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3"/>
      <c r="BR87" s="3"/>
      <c r="BS87" s="3"/>
      <c r="BT87" s="3"/>
      <c r="BU87" s="3"/>
      <c r="BV87" s="29"/>
      <c r="BW87" s="29"/>
      <c r="BX87" s="29"/>
      <c r="BY87" s="94"/>
      <c r="BZ87" s="94"/>
      <c r="CA87" s="94"/>
      <c r="CB87" s="29"/>
      <c r="CC87" s="29"/>
      <c r="CD87" s="29"/>
      <c r="CE87" s="29"/>
      <c r="CF87" s="3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</row>
    <row r="88" spans="1:114" ht="11.1" customHeight="1" x14ac:dyDescent="0.25">
      <c r="A88" s="3"/>
      <c r="B88" s="3"/>
      <c r="C88" s="3"/>
      <c r="D88" s="3"/>
      <c r="E88" s="3"/>
      <c r="F88" s="26"/>
      <c r="G88" s="26"/>
      <c r="H88" s="26"/>
      <c r="I88" s="10"/>
      <c r="J88" s="10"/>
      <c r="K88" s="14"/>
      <c r="L88" s="11"/>
      <c r="M88" s="14"/>
      <c r="N88" s="14"/>
      <c r="O88" s="4"/>
      <c r="P88" s="3"/>
      <c r="Q88" s="4"/>
      <c r="R88" s="3"/>
      <c r="S88" s="3"/>
      <c r="T88" s="3"/>
      <c r="U88" s="4"/>
      <c r="V88" s="4"/>
      <c r="W88" s="4"/>
      <c r="X88" s="4"/>
      <c r="Y88" s="4"/>
      <c r="Z88" s="11"/>
      <c r="AA88" s="15"/>
      <c r="AB88" s="15"/>
      <c r="AC88" s="15"/>
      <c r="AD88" s="16"/>
      <c r="AE88" s="64"/>
      <c r="AF88" s="64"/>
      <c r="AG88" s="16"/>
      <c r="AH88" s="16"/>
      <c r="AI88" s="16"/>
      <c r="AJ88" s="15"/>
      <c r="AK88" s="15"/>
      <c r="AL88" s="15"/>
      <c r="AM88" s="15"/>
      <c r="AN88" s="15"/>
      <c r="AO88" s="15"/>
      <c r="AP88" s="3"/>
      <c r="AQ88" s="3"/>
      <c r="AR88" s="3"/>
      <c r="AS88" s="3"/>
      <c r="AT88" s="50"/>
      <c r="AU88" s="50"/>
      <c r="AV88" s="50"/>
      <c r="AW88" s="50"/>
      <c r="AX88" s="50"/>
      <c r="AY88" s="50"/>
      <c r="AZ88" s="17"/>
      <c r="BA88" s="17"/>
      <c r="BB88" s="17"/>
      <c r="BC88" s="17"/>
      <c r="BD88" s="16"/>
      <c r="BE88" s="16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3"/>
      <c r="BR88" s="3"/>
      <c r="BS88" s="3"/>
      <c r="BT88" s="3"/>
      <c r="BU88" s="3"/>
      <c r="BV88" s="29"/>
      <c r="BW88" s="29"/>
      <c r="BX88" s="29"/>
      <c r="BY88" s="94"/>
      <c r="BZ88" s="94"/>
      <c r="CA88" s="94"/>
      <c r="CB88" s="29"/>
      <c r="CC88" s="29"/>
      <c r="CD88" s="29"/>
      <c r="CE88" s="29"/>
      <c r="CF88" s="3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89" spans="1:114" ht="11.1" customHeight="1" x14ac:dyDescent="0.25">
      <c r="A89" s="3"/>
      <c r="B89" s="3"/>
      <c r="C89" s="3"/>
      <c r="D89" s="3"/>
      <c r="E89" s="3"/>
      <c r="F89" s="26"/>
      <c r="G89" s="26"/>
      <c r="H89" s="26"/>
      <c r="I89" s="10"/>
      <c r="J89" s="10"/>
      <c r="K89" s="14"/>
      <c r="L89" s="11"/>
      <c r="M89" s="14"/>
      <c r="N89" s="14"/>
      <c r="O89" s="4"/>
      <c r="P89" s="3"/>
      <c r="Q89" s="4"/>
      <c r="R89" s="3"/>
      <c r="S89" s="3"/>
      <c r="T89" s="3"/>
      <c r="U89" s="4"/>
      <c r="V89" s="4"/>
      <c r="W89" s="4"/>
      <c r="X89" s="4"/>
      <c r="Y89" s="4"/>
      <c r="Z89" s="11"/>
      <c r="AA89" s="15"/>
      <c r="AB89" s="15"/>
      <c r="AC89" s="15"/>
      <c r="AD89" s="16"/>
      <c r="AE89" s="64"/>
      <c r="AF89" s="64"/>
      <c r="AG89" s="16"/>
      <c r="AH89" s="16"/>
      <c r="AI89" s="16"/>
      <c r="AJ89" s="15"/>
      <c r="AK89" s="15"/>
      <c r="AL89" s="15"/>
      <c r="AM89" s="15"/>
      <c r="AN89" s="15"/>
      <c r="AO89" s="15"/>
      <c r="AP89" s="3"/>
      <c r="AQ89" s="3"/>
      <c r="AR89" s="3"/>
      <c r="AS89" s="3"/>
      <c r="AT89" s="50"/>
      <c r="AU89" s="50"/>
      <c r="AV89" s="50"/>
      <c r="AW89" s="50"/>
      <c r="AX89" s="50"/>
      <c r="AY89" s="50"/>
      <c r="AZ89" s="17"/>
      <c r="BA89" s="17"/>
      <c r="BB89" s="17"/>
      <c r="BC89" s="17"/>
      <c r="BD89" s="16"/>
      <c r="BE89" s="16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3"/>
      <c r="BR89" s="3"/>
      <c r="BS89" s="3"/>
      <c r="BT89" s="3"/>
      <c r="BU89" s="3"/>
      <c r="BV89" s="29"/>
      <c r="BW89" s="29"/>
      <c r="BX89" s="29"/>
      <c r="BY89" s="94"/>
      <c r="BZ89" s="94"/>
      <c r="CA89" s="94"/>
      <c r="CB89" s="29"/>
      <c r="CC89" s="29"/>
      <c r="CD89" s="29"/>
      <c r="CE89" s="29"/>
      <c r="CF89" s="3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</row>
    <row r="90" spans="1:114" ht="11.1" customHeight="1" x14ac:dyDescent="0.25">
      <c r="A90" s="3"/>
      <c r="B90" s="3"/>
      <c r="C90" s="3"/>
      <c r="D90" s="3"/>
      <c r="E90" s="3"/>
      <c r="F90" s="26"/>
      <c r="G90" s="26"/>
      <c r="H90" s="26"/>
      <c r="I90" s="10"/>
      <c r="J90" s="10"/>
      <c r="K90" s="14"/>
      <c r="L90" s="11"/>
      <c r="M90" s="14"/>
      <c r="N90" s="14"/>
      <c r="O90" s="4"/>
      <c r="P90" s="3"/>
      <c r="Q90" s="4"/>
      <c r="R90" s="3"/>
      <c r="S90" s="3"/>
      <c r="T90" s="3"/>
      <c r="U90" s="4"/>
      <c r="V90" s="4"/>
      <c r="W90" s="4"/>
      <c r="X90" s="4"/>
      <c r="Y90" s="4"/>
      <c r="Z90" s="11"/>
      <c r="AA90" s="15"/>
      <c r="AB90" s="15"/>
      <c r="AC90" s="15"/>
      <c r="AD90" s="16"/>
      <c r="AE90" s="64"/>
      <c r="AF90" s="64"/>
      <c r="AG90" s="16"/>
      <c r="AH90" s="16"/>
      <c r="AI90" s="16"/>
      <c r="AJ90" s="15"/>
      <c r="AK90" s="15"/>
      <c r="AL90" s="15"/>
      <c r="AM90" s="15"/>
      <c r="AN90" s="15"/>
      <c r="AO90" s="15"/>
      <c r="AP90" s="3"/>
      <c r="AQ90" s="3"/>
      <c r="AR90" s="3"/>
      <c r="AS90" s="3"/>
      <c r="AT90" s="50"/>
      <c r="AU90" s="50"/>
      <c r="AV90" s="50"/>
      <c r="AW90" s="50"/>
      <c r="AX90" s="50"/>
      <c r="AY90" s="50"/>
      <c r="AZ90" s="17"/>
      <c r="BA90" s="17"/>
      <c r="BB90" s="17"/>
      <c r="BC90" s="17"/>
      <c r="BD90" s="16"/>
      <c r="BE90" s="16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3"/>
      <c r="BR90" s="3"/>
      <c r="BS90" s="3"/>
      <c r="BT90" s="3"/>
      <c r="BU90" s="3"/>
      <c r="BV90" s="29"/>
      <c r="BW90" s="29"/>
      <c r="BX90" s="29"/>
      <c r="BY90" s="94"/>
      <c r="BZ90" s="94"/>
      <c r="CA90" s="94"/>
      <c r="CB90" s="29"/>
      <c r="CC90" s="29"/>
      <c r="CD90" s="29"/>
      <c r="CE90" s="29"/>
      <c r="CF90" s="3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</row>
    <row r="91" spans="1:114" ht="11.1" customHeight="1" x14ac:dyDescent="0.25">
      <c r="A91" s="3"/>
      <c r="B91" s="3"/>
      <c r="C91" s="3"/>
      <c r="D91" s="3"/>
      <c r="E91" s="3"/>
      <c r="F91" s="26"/>
      <c r="G91" s="26"/>
      <c r="H91" s="26"/>
      <c r="I91" s="10"/>
      <c r="J91" s="10"/>
      <c r="K91" s="14"/>
      <c r="L91" s="11"/>
      <c r="M91" s="14"/>
      <c r="N91" s="14"/>
      <c r="O91" s="4"/>
      <c r="P91" s="3"/>
      <c r="Q91" s="4"/>
      <c r="R91" s="3"/>
      <c r="S91" s="3"/>
      <c r="T91" s="3"/>
      <c r="U91" s="4"/>
      <c r="V91" s="4"/>
      <c r="W91" s="4"/>
      <c r="X91" s="4"/>
      <c r="Y91" s="4"/>
      <c r="Z91" s="11"/>
      <c r="AA91" s="15"/>
      <c r="AB91" s="15"/>
      <c r="AC91" s="15"/>
      <c r="AD91" s="16"/>
      <c r="AE91" s="64"/>
      <c r="AF91" s="64"/>
      <c r="AG91" s="16"/>
      <c r="AH91" s="16"/>
      <c r="AI91" s="16"/>
      <c r="AJ91" s="15"/>
      <c r="AK91" s="15"/>
      <c r="AL91" s="15"/>
      <c r="AM91" s="15"/>
      <c r="AN91" s="15"/>
      <c r="AO91" s="15"/>
      <c r="AP91" s="3"/>
      <c r="AQ91" s="3"/>
      <c r="AR91" s="3"/>
      <c r="AS91" s="3"/>
      <c r="AT91" s="50"/>
      <c r="AU91" s="50"/>
      <c r="AV91" s="50"/>
      <c r="AW91" s="50"/>
      <c r="AX91" s="50"/>
      <c r="AY91" s="50"/>
      <c r="AZ91" s="17"/>
      <c r="BA91" s="17"/>
      <c r="BB91" s="17"/>
      <c r="BC91" s="17"/>
      <c r="BD91" s="16"/>
      <c r="BE91" s="16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3"/>
      <c r="BR91" s="3"/>
      <c r="BS91" s="3"/>
      <c r="BT91" s="3"/>
      <c r="BU91" s="3"/>
      <c r="BV91" s="29"/>
      <c r="BW91" s="29"/>
      <c r="BX91" s="29"/>
      <c r="BY91" s="94"/>
      <c r="BZ91" s="94"/>
      <c r="CA91" s="94"/>
      <c r="CB91" s="29"/>
      <c r="CC91" s="29"/>
      <c r="CD91" s="29"/>
      <c r="CE91" s="29"/>
      <c r="CF91" s="3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</row>
    <row r="92" spans="1:114" ht="11.1" customHeight="1" x14ac:dyDescent="0.25">
      <c r="A92" s="3"/>
      <c r="B92" s="3"/>
      <c r="C92" s="3"/>
      <c r="D92" s="3"/>
      <c r="E92" s="3"/>
      <c r="F92" s="26"/>
      <c r="G92" s="26"/>
      <c r="H92" s="26"/>
      <c r="I92" s="10"/>
      <c r="J92" s="10"/>
      <c r="K92" s="14"/>
      <c r="L92" s="11"/>
      <c r="M92" s="14"/>
      <c r="N92" s="14"/>
      <c r="O92" s="4"/>
      <c r="P92" s="3"/>
      <c r="Q92" s="4"/>
      <c r="R92" s="3"/>
      <c r="S92" s="3"/>
      <c r="T92" s="3"/>
      <c r="U92" s="4"/>
      <c r="V92" s="4"/>
      <c r="W92" s="4"/>
      <c r="X92" s="4"/>
      <c r="Y92" s="4"/>
      <c r="Z92" s="11"/>
      <c r="AA92" s="15"/>
      <c r="AB92" s="15"/>
      <c r="AC92" s="15"/>
      <c r="AD92" s="16"/>
      <c r="AE92" s="64"/>
      <c r="AF92" s="64"/>
      <c r="AG92" s="16"/>
      <c r="AH92" s="16"/>
      <c r="AI92" s="16"/>
      <c r="AJ92" s="15"/>
      <c r="AK92" s="15"/>
      <c r="AL92" s="15"/>
      <c r="AM92" s="15"/>
      <c r="AN92" s="15"/>
      <c r="AO92" s="15"/>
      <c r="AP92" s="3"/>
      <c r="AQ92" s="3"/>
      <c r="AR92" s="3"/>
      <c r="AS92" s="3"/>
      <c r="AT92" s="50"/>
      <c r="AU92" s="50"/>
      <c r="AV92" s="50"/>
      <c r="AW92" s="50"/>
      <c r="AX92" s="50"/>
      <c r="AY92" s="50"/>
      <c r="AZ92" s="17"/>
      <c r="BA92" s="17"/>
      <c r="BB92" s="17"/>
      <c r="BC92" s="17"/>
      <c r="BD92" s="16"/>
      <c r="BE92" s="16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3"/>
      <c r="BR92" s="3"/>
      <c r="BS92" s="3"/>
      <c r="BT92" s="3"/>
      <c r="BU92" s="3"/>
      <c r="BV92" s="29"/>
      <c r="BW92" s="29"/>
      <c r="BX92" s="29"/>
      <c r="BY92" s="94"/>
      <c r="BZ92" s="94"/>
      <c r="CA92" s="94"/>
      <c r="CB92" s="29"/>
      <c r="CC92" s="29"/>
      <c r="CD92" s="29"/>
      <c r="CE92" s="29"/>
      <c r="CF92" s="3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</row>
    <row r="93" spans="1:114" ht="11.1" customHeight="1" x14ac:dyDescent="0.25">
      <c r="A93" s="3"/>
      <c r="B93" s="3"/>
      <c r="C93" s="3"/>
      <c r="D93" s="3"/>
      <c r="E93" s="3"/>
      <c r="F93" s="26"/>
      <c r="G93" s="26"/>
      <c r="H93" s="26"/>
      <c r="I93" s="10"/>
      <c r="J93" s="10"/>
      <c r="K93" s="14"/>
      <c r="L93" s="11"/>
      <c r="M93" s="14"/>
      <c r="N93" s="14"/>
      <c r="O93" s="4"/>
      <c r="P93" s="3"/>
      <c r="Q93" s="4"/>
      <c r="R93" s="3"/>
      <c r="S93" s="3"/>
      <c r="T93" s="3"/>
      <c r="U93" s="4"/>
      <c r="V93" s="4"/>
      <c r="W93" s="4"/>
      <c r="X93" s="4"/>
      <c r="Y93" s="4"/>
      <c r="Z93" s="11"/>
      <c r="AA93" s="15"/>
      <c r="AB93" s="15"/>
      <c r="AC93" s="15"/>
      <c r="AD93" s="16"/>
      <c r="AE93" s="64"/>
      <c r="AF93" s="64"/>
      <c r="AG93" s="16"/>
      <c r="AH93" s="16"/>
      <c r="AI93" s="16"/>
      <c r="AJ93" s="15"/>
      <c r="AK93" s="15"/>
      <c r="AL93" s="15"/>
      <c r="AM93" s="15"/>
      <c r="AN93" s="15"/>
      <c r="AO93" s="15"/>
      <c r="AP93" s="3"/>
      <c r="AQ93" s="3"/>
      <c r="AR93" s="3"/>
      <c r="AS93" s="3"/>
      <c r="AT93" s="50"/>
      <c r="AU93" s="50"/>
      <c r="AV93" s="50"/>
      <c r="AW93" s="50"/>
      <c r="AX93" s="50"/>
      <c r="AY93" s="50"/>
      <c r="AZ93" s="17"/>
      <c r="BA93" s="17"/>
      <c r="BB93" s="17"/>
      <c r="BC93" s="17"/>
      <c r="BD93" s="16"/>
      <c r="BE93" s="16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3"/>
      <c r="BR93" s="3"/>
      <c r="BS93" s="3"/>
      <c r="BT93" s="3"/>
      <c r="BU93" s="3"/>
      <c r="BV93" s="29"/>
      <c r="BW93" s="29"/>
      <c r="BX93" s="29"/>
      <c r="BY93" s="94"/>
      <c r="BZ93" s="94"/>
      <c r="CA93" s="94"/>
      <c r="CB93" s="29"/>
      <c r="CC93" s="29"/>
      <c r="CD93" s="29"/>
      <c r="CE93" s="29"/>
      <c r="CF93" s="3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</row>
    <row r="94" spans="1:114" ht="11.1" customHeight="1" x14ac:dyDescent="0.25">
      <c r="A94" s="3"/>
      <c r="B94" s="3"/>
      <c r="C94" s="3"/>
      <c r="D94" s="3"/>
      <c r="E94" s="3"/>
      <c r="F94" s="26"/>
      <c r="G94" s="26"/>
      <c r="H94" s="26"/>
      <c r="I94" s="10"/>
      <c r="J94" s="10"/>
      <c r="K94" s="14"/>
      <c r="L94" s="11"/>
      <c r="M94" s="14"/>
      <c r="N94" s="14"/>
      <c r="O94" s="4"/>
      <c r="P94" s="3"/>
      <c r="Q94" s="4"/>
      <c r="R94" s="3"/>
      <c r="S94" s="3"/>
      <c r="T94" s="3"/>
      <c r="U94" s="4"/>
      <c r="V94" s="4"/>
      <c r="W94" s="4"/>
      <c r="X94" s="4"/>
      <c r="Y94" s="4"/>
      <c r="Z94" s="11"/>
      <c r="AA94" s="15"/>
      <c r="AB94" s="15"/>
      <c r="AC94" s="15"/>
      <c r="AD94" s="16"/>
      <c r="AE94" s="64"/>
      <c r="AF94" s="64"/>
      <c r="AG94" s="16"/>
      <c r="AH94" s="16"/>
      <c r="AI94" s="16"/>
      <c r="AJ94" s="15"/>
      <c r="AK94" s="15"/>
      <c r="AL94" s="15"/>
      <c r="AM94" s="15"/>
      <c r="AN94" s="15"/>
      <c r="AO94" s="15"/>
      <c r="AP94" s="3"/>
      <c r="AQ94" s="3"/>
      <c r="AR94" s="3"/>
      <c r="AS94" s="3"/>
      <c r="AT94" s="50"/>
      <c r="AU94" s="50"/>
      <c r="AV94" s="50"/>
      <c r="AW94" s="50"/>
      <c r="AX94" s="50"/>
      <c r="AY94" s="50"/>
      <c r="AZ94" s="17"/>
      <c r="BA94" s="17"/>
      <c r="BB94" s="17"/>
      <c r="BC94" s="17"/>
      <c r="BD94" s="16"/>
      <c r="BE94" s="16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3"/>
      <c r="BR94" s="3"/>
      <c r="BS94" s="3"/>
      <c r="BT94" s="3"/>
      <c r="BU94" s="3"/>
      <c r="BV94" s="29"/>
      <c r="BW94" s="29"/>
      <c r="BX94" s="29"/>
      <c r="BY94" s="94"/>
      <c r="BZ94" s="94"/>
      <c r="CA94" s="94"/>
      <c r="CB94" s="29"/>
      <c r="CC94" s="29"/>
      <c r="CD94" s="29"/>
      <c r="CE94" s="29"/>
      <c r="CF94" s="3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</row>
    <row r="95" spans="1:114" ht="11.1" customHeight="1" x14ac:dyDescent="0.25">
      <c r="A95" s="3"/>
      <c r="B95" s="3"/>
      <c r="C95" s="3"/>
      <c r="D95" s="3"/>
      <c r="E95" s="3"/>
      <c r="F95" s="26"/>
      <c r="G95" s="26"/>
      <c r="H95" s="26"/>
      <c r="I95" s="10"/>
      <c r="J95" s="10"/>
      <c r="K95" s="14"/>
      <c r="L95" s="11"/>
      <c r="M95" s="14"/>
      <c r="N95" s="14"/>
      <c r="O95" s="4"/>
      <c r="P95" s="3"/>
      <c r="Q95" s="4"/>
      <c r="R95" s="3"/>
      <c r="S95" s="3"/>
      <c r="T95" s="3"/>
      <c r="U95" s="4"/>
      <c r="V95" s="4"/>
      <c r="W95" s="4"/>
      <c r="X95" s="4"/>
      <c r="Y95" s="4"/>
      <c r="Z95" s="11"/>
      <c r="AA95" s="15"/>
      <c r="AB95" s="15"/>
      <c r="AC95" s="15"/>
      <c r="AD95" s="16"/>
      <c r="AE95" s="64"/>
      <c r="AF95" s="64"/>
      <c r="AG95" s="16"/>
      <c r="AH95" s="16"/>
      <c r="AI95" s="16"/>
      <c r="AJ95" s="15"/>
      <c r="AK95" s="15"/>
      <c r="AL95" s="15"/>
      <c r="AM95" s="15"/>
      <c r="AN95" s="15"/>
      <c r="AO95" s="15"/>
      <c r="AP95" s="3"/>
      <c r="AQ95" s="3"/>
      <c r="AR95" s="3"/>
      <c r="AS95" s="3"/>
      <c r="AT95" s="50"/>
      <c r="AU95" s="50"/>
      <c r="AV95" s="50"/>
      <c r="AW95" s="50"/>
      <c r="AX95" s="50"/>
      <c r="AY95" s="50"/>
      <c r="AZ95" s="17"/>
      <c r="BA95" s="17"/>
      <c r="BB95" s="17"/>
      <c r="BC95" s="17"/>
      <c r="BD95" s="16"/>
      <c r="BE95" s="16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3"/>
      <c r="BR95" s="3"/>
      <c r="BS95" s="3"/>
      <c r="BT95" s="3"/>
      <c r="BU95" s="3"/>
      <c r="BV95" s="29"/>
      <c r="BW95" s="29"/>
      <c r="BX95" s="29"/>
      <c r="BY95" s="94"/>
      <c r="BZ95" s="94"/>
      <c r="CA95" s="94"/>
      <c r="CB95" s="29"/>
      <c r="CC95" s="29"/>
      <c r="CD95" s="29"/>
      <c r="CE95" s="29"/>
      <c r="CF95" s="3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</row>
    <row r="96" spans="1:114" ht="11.1" customHeight="1" x14ac:dyDescent="0.25">
      <c r="A96" s="3"/>
      <c r="B96" s="3"/>
      <c r="C96" s="3"/>
      <c r="D96" s="3"/>
      <c r="E96" s="3"/>
      <c r="F96" s="26"/>
      <c r="G96" s="26"/>
      <c r="H96" s="26"/>
      <c r="I96" s="10"/>
      <c r="J96" s="10"/>
      <c r="K96" s="14"/>
      <c r="L96" s="11"/>
      <c r="M96" s="14"/>
      <c r="N96" s="14"/>
      <c r="O96" s="4"/>
      <c r="P96" s="3"/>
      <c r="Q96" s="4"/>
      <c r="R96" s="3"/>
      <c r="S96" s="3"/>
      <c r="T96" s="3"/>
      <c r="U96" s="4"/>
      <c r="V96" s="4"/>
      <c r="W96" s="4"/>
      <c r="X96" s="4"/>
      <c r="Y96" s="4"/>
      <c r="Z96" s="11"/>
      <c r="AA96" s="15"/>
      <c r="AB96" s="15"/>
      <c r="AC96" s="15"/>
      <c r="AD96" s="16"/>
      <c r="AE96" s="64"/>
      <c r="AF96" s="64"/>
      <c r="AG96" s="16"/>
      <c r="AH96" s="16"/>
      <c r="AI96" s="16"/>
      <c r="AJ96" s="15"/>
      <c r="AK96" s="15"/>
      <c r="AL96" s="15"/>
      <c r="AM96" s="15"/>
      <c r="AN96" s="15"/>
      <c r="AO96" s="15"/>
      <c r="AP96" s="3"/>
      <c r="AQ96" s="3"/>
      <c r="AR96" s="3"/>
      <c r="AS96" s="3"/>
      <c r="AT96" s="50"/>
      <c r="AU96" s="50"/>
      <c r="AV96" s="50"/>
      <c r="AW96" s="50"/>
      <c r="AX96" s="50"/>
      <c r="AY96" s="50"/>
      <c r="AZ96" s="17"/>
      <c r="BA96" s="17"/>
      <c r="BB96" s="17"/>
      <c r="BC96" s="17"/>
      <c r="BD96" s="16"/>
      <c r="BE96" s="16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3"/>
      <c r="BR96" s="3"/>
      <c r="BS96" s="3"/>
      <c r="BT96" s="3"/>
      <c r="BU96" s="3"/>
      <c r="BV96" s="29"/>
      <c r="BW96" s="29"/>
      <c r="BX96" s="29"/>
      <c r="BY96" s="94"/>
      <c r="BZ96" s="94"/>
      <c r="CA96" s="94"/>
      <c r="CB96" s="29"/>
      <c r="CC96" s="29"/>
      <c r="CD96" s="29"/>
      <c r="CE96" s="29"/>
      <c r="CF96" s="3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</row>
    <row r="97" spans="1:114" ht="11.1" customHeight="1" x14ac:dyDescent="0.25">
      <c r="A97" s="3"/>
      <c r="B97" s="3"/>
      <c r="C97" s="3"/>
      <c r="D97" s="3"/>
      <c r="E97" s="3"/>
      <c r="F97" s="26"/>
      <c r="G97" s="26"/>
      <c r="H97" s="26"/>
      <c r="I97" s="10"/>
      <c r="J97" s="10"/>
      <c r="K97" s="14"/>
      <c r="L97" s="11"/>
      <c r="M97" s="14"/>
      <c r="N97" s="14"/>
      <c r="O97" s="4"/>
      <c r="P97" s="3"/>
      <c r="Q97" s="4"/>
      <c r="R97" s="3"/>
      <c r="S97" s="3"/>
      <c r="T97" s="3"/>
      <c r="U97" s="4"/>
      <c r="V97" s="4"/>
      <c r="W97" s="4"/>
      <c r="X97" s="4"/>
      <c r="Y97" s="4"/>
      <c r="Z97" s="11"/>
      <c r="AA97" s="15"/>
      <c r="AB97" s="15"/>
      <c r="AC97" s="15"/>
      <c r="AD97" s="16"/>
      <c r="AE97" s="64"/>
      <c r="AF97" s="64"/>
      <c r="AG97" s="16"/>
      <c r="AH97" s="16"/>
      <c r="AI97" s="16"/>
      <c r="AJ97" s="15"/>
      <c r="AK97" s="15"/>
      <c r="AL97" s="15"/>
      <c r="AM97" s="15"/>
      <c r="AN97" s="15"/>
      <c r="AO97" s="15"/>
      <c r="AP97" s="3"/>
      <c r="AQ97" s="3"/>
      <c r="AR97" s="3"/>
      <c r="AS97" s="3"/>
      <c r="AT97" s="50"/>
      <c r="AU97" s="50"/>
      <c r="AV97" s="50"/>
      <c r="AW97" s="50"/>
      <c r="AX97" s="50"/>
      <c r="AY97" s="50"/>
      <c r="AZ97" s="17"/>
      <c r="BA97" s="17"/>
      <c r="BB97" s="17"/>
      <c r="BC97" s="17"/>
      <c r="BD97" s="16"/>
      <c r="BE97" s="16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3"/>
      <c r="BR97" s="3"/>
      <c r="BS97" s="3"/>
      <c r="BT97" s="3"/>
      <c r="BU97" s="3"/>
      <c r="BV97" s="29"/>
      <c r="BW97" s="29"/>
      <c r="BX97" s="29"/>
      <c r="BY97" s="94"/>
      <c r="BZ97" s="94"/>
      <c r="CA97" s="94"/>
      <c r="CB97" s="29"/>
      <c r="CC97" s="29"/>
      <c r="CD97" s="29"/>
      <c r="CE97" s="29"/>
      <c r="CF97" s="3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</row>
    <row r="98" spans="1:114" ht="11.1" customHeight="1" x14ac:dyDescent="0.25">
      <c r="A98" s="3"/>
      <c r="B98" s="3"/>
      <c r="C98" s="3"/>
      <c r="D98" s="3"/>
      <c r="E98" s="3"/>
      <c r="F98" s="26"/>
      <c r="G98" s="26"/>
      <c r="H98" s="26"/>
      <c r="I98" s="10"/>
      <c r="J98" s="10"/>
      <c r="K98" s="14"/>
      <c r="L98" s="11"/>
      <c r="M98" s="14"/>
      <c r="N98" s="14"/>
      <c r="O98" s="4"/>
      <c r="P98" s="3"/>
      <c r="Q98" s="4"/>
      <c r="R98" s="3"/>
      <c r="S98" s="3"/>
      <c r="T98" s="3"/>
      <c r="U98" s="4"/>
      <c r="V98" s="4"/>
      <c r="W98" s="4"/>
      <c r="X98" s="4"/>
      <c r="Y98" s="4"/>
      <c r="Z98" s="11"/>
      <c r="AA98" s="15"/>
      <c r="AB98" s="15"/>
      <c r="AC98" s="15"/>
      <c r="AD98" s="16"/>
      <c r="AE98" s="64"/>
      <c r="AF98" s="64"/>
      <c r="AG98" s="16"/>
      <c r="AH98" s="16"/>
      <c r="AI98" s="16"/>
      <c r="AJ98" s="15"/>
      <c r="AK98" s="15"/>
      <c r="AL98" s="15"/>
      <c r="AM98" s="15"/>
      <c r="AN98" s="15"/>
      <c r="AO98" s="15"/>
      <c r="AP98" s="3"/>
      <c r="AQ98" s="3"/>
      <c r="AR98" s="3"/>
      <c r="AS98" s="3"/>
      <c r="AT98" s="50"/>
      <c r="AU98" s="50"/>
      <c r="AV98" s="50"/>
      <c r="AW98" s="50"/>
      <c r="AX98" s="50"/>
      <c r="AY98" s="50"/>
      <c r="AZ98" s="17"/>
      <c r="BA98" s="17"/>
      <c r="BB98" s="17"/>
      <c r="BC98" s="17"/>
      <c r="BD98" s="16"/>
      <c r="BE98" s="16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3"/>
      <c r="BR98" s="3"/>
      <c r="BS98" s="3"/>
      <c r="BT98" s="3"/>
      <c r="BU98" s="3"/>
      <c r="BV98" s="29"/>
      <c r="BW98" s="29"/>
      <c r="BX98" s="29"/>
      <c r="BY98" s="94"/>
      <c r="BZ98" s="94"/>
      <c r="CA98" s="94"/>
      <c r="CB98" s="29"/>
      <c r="CC98" s="29"/>
      <c r="CD98" s="29"/>
      <c r="CE98" s="29"/>
      <c r="CF98" s="3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</row>
    <row r="99" spans="1:114" ht="11.1" customHeight="1" x14ac:dyDescent="0.25">
      <c r="A99" s="3"/>
      <c r="B99" s="3"/>
      <c r="C99" s="3"/>
      <c r="D99" s="3"/>
      <c r="E99" s="3"/>
      <c r="F99" s="26"/>
      <c r="G99" s="26"/>
      <c r="H99" s="26"/>
      <c r="I99" s="10"/>
      <c r="J99" s="10"/>
      <c r="K99" s="14"/>
      <c r="L99" s="11"/>
      <c r="M99" s="14"/>
      <c r="N99" s="14"/>
      <c r="O99" s="4"/>
      <c r="P99" s="3"/>
      <c r="Q99" s="4"/>
      <c r="R99" s="3"/>
      <c r="S99" s="3"/>
      <c r="T99" s="3"/>
      <c r="U99" s="4"/>
      <c r="V99" s="4"/>
      <c r="W99" s="4"/>
      <c r="X99" s="4"/>
      <c r="Y99" s="4"/>
      <c r="Z99" s="11"/>
      <c r="AA99" s="15"/>
      <c r="AB99" s="15"/>
      <c r="AC99" s="15"/>
      <c r="AD99" s="16"/>
      <c r="AE99" s="64"/>
      <c r="AF99" s="64"/>
      <c r="AG99" s="16"/>
      <c r="AH99" s="16"/>
      <c r="AI99" s="16"/>
      <c r="AJ99" s="15"/>
      <c r="AK99" s="15"/>
      <c r="AL99" s="15"/>
      <c r="AM99" s="15"/>
      <c r="AN99" s="15"/>
      <c r="AO99" s="15"/>
      <c r="AP99" s="3"/>
      <c r="AQ99" s="3"/>
      <c r="AR99" s="3"/>
      <c r="AS99" s="3"/>
      <c r="AT99" s="50"/>
      <c r="AU99" s="50"/>
      <c r="AV99" s="50"/>
      <c r="AW99" s="50"/>
      <c r="AX99" s="50"/>
      <c r="AY99" s="50"/>
      <c r="AZ99" s="17"/>
      <c r="BA99" s="17"/>
      <c r="BB99" s="17"/>
      <c r="BC99" s="17"/>
      <c r="BD99" s="16"/>
      <c r="BE99" s="16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29"/>
      <c r="BW99" s="29"/>
      <c r="BX99" s="29"/>
      <c r="BY99" s="94"/>
      <c r="BZ99" s="94"/>
      <c r="CA99" s="94"/>
      <c r="CB99" s="29"/>
      <c r="CC99" s="29"/>
      <c r="CD99" s="29"/>
      <c r="CE99" s="29"/>
      <c r="CF99" s="3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</row>
    <row r="100" spans="1:114" ht="11.1" customHeight="1" x14ac:dyDescent="0.25">
      <c r="A100" s="3"/>
      <c r="B100" s="3"/>
      <c r="C100" s="3"/>
      <c r="D100" s="3"/>
      <c r="E100" s="3"/>
      <c r="F100" s="26"/>
      <c r="G100" s="26"/>
      <c r="H100" s="26"/>
      <c r="I100" s="10"/>
      <c r="J100" s="10"/>
      <c r="K100" s="14"/>
      <c r="L100" s="11"/>
      <c r="M100" s="14"/>
      <c r="N100" s="14"/>
      <c r="O100" s="4"/>
      <c r="P100" s="3"/>
      <c r="Q100" s="4"/>
      <c r="R100" s="3"/>
      <c r="S100" s="3"/>
      <c r="T100" s="3"/>
      <c r="U100" s="4"/>
      <c r="V100" s="4"/>
      <c r="W100" s="4"/>
      <c r="X100" s="4"/>
      <c r="Y100" s="4"/>
      <c r="Z100" s="11"/>
      <c r="AA100" s="15"/>
      <c r="AB100" s="15"/>
      <c r="AC100" s="15"/>
      <c r="AD100" s="16"/>
      <c r="AE100" s="64"/>
      <c r="AF100" s="64"/>
      <c r="AG100" s="16"/>
      <c r="AH100" s="16"/>
      <c r="AI100" s="16"/>
      <c r="AJ100" s="15"/>
      <c r="AK100" s="15"/>
      <c r="AL100" s="15"/>
      <c r="AM100" s="15"/>
      <c r="AN100" s="15"/>
      <c r="AO100" s="15"/>
      <c r="AP100" s="3"/>
      <c r="AQ100" s="3"/>
      <c r="AR100" s="3"/>
      <c r="AS100" s="3"/>
      <c r="AT100" s="50"/>
      <c r="AU100" s="50"/>
      <c r="AV100" s="50"/>
      <c r="AW100" s="50"/>
      <c r="AX100" s="50"/>
      <c r="AY100" s="50"/>
      <c r="AZ100" s="17"/>
      <c r="BA100" s="17"/>
      <c r="BB100" s="17"/>
      <c r="BC100" s="17"/>
      <c r="BD100" s="16"/>
      <c r="BE100" s="16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29"/>
      <c r="BW100" s="29"/>
      <c r="BX100" s="29"/>
      <c r="BY100" s="94"/>
      <c r="BZ100" s="94"/>
      <c r="CA100" s="94"/>
      <c r="CB100" s="29"/>
      <c r="CC100" s="29"/>
      <c r="CD100" s="29"/>
      <c r="CE100" s="29"/>
      <c r="CF100" s="3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</row>
    <row r="101" spans="1:114" ht="11.1" customHeight="1" x14ac:dyDescent="0.25">
      <c r="A101" s="3"/>
      <c r="B101" s="3"/>
      <c r="C101" s="3"/>
      <c r="D101" s="3"/>
      <c r="E101" s="3"/>
      <c r="F101" s="26"/>
      <c r="G101" s="26"/>
      <c r="H101" s="26"/>
      <c r="I101" s="10"/>
      <c r="J101" s="10"/>
      <c r="K101" s="14"/>
      <c r="L101" s="11"/>
      <c r="M101" s="14"/>
      <c r="N101" s="14"/>
      <c r="O101" s="4"/>
      <c r="P101" s="3"/>
      <c r="Q101" s="4"/>
      <c r="R101" s="3"/>
      <c r="S101" s="3"/>
      <c r="T101" s="3"/>
      <c r="U101" s="4"/>
      <c r="V101" s="4"/>
      <c r="W101" s="4"/>
      <c r="X101" s="4"/>
      <c r="Y101" s="4"/>
      <c r="Z101" s="11"/>
      <c r="AA101" s="15"/>
      <c r="AB101" s="15"/>
      <c r="AC101" s="15"/>
      <c r="AD101" s="16"/>
      <c r="AE101" s="64"/>
      <c r="AF101" s="64"/>
      <c r="AG101" s="16"/>
      <c r="AH101" s="16"/>
      <c r="AI101" s="16"/>
      <c r="AJ101" s="15"/>
      <c r="AK101" s="15"/>
      <c r="AL101" s="15"/>
      <c r="AM101" s="15"/>
      <c r="AN101" s="15"/>
      <c r="AO101" s="15"/>
      <c r="AP101" s="3"/>
      <c r="AQ101" s="3"/>
      <c r="AR101" s="3"/>
      <c r="AS101" s="3"/>
      <c r="AT101" s="50"/>
      <c r="AU101" s="50"/>
      <c r="AV101" s="50"/>
      <c r="AW101" s="50"/>
      <c r="AX101" s="50"/>
      <c r="AY101" s="50"/>
      <c r="AZ101" s="17"/>
      <c r="BA101" s="17"/>
      <c r="BB101" s="17"/>
      <c r="BC101" s="17"/>
      <c r="BD101" s="16"/>
      <c r="BE101" s="16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29"/>
      <c r="BW101" s="29"/>
      <c r="BX101" s="29"/>
      <c r="BY101" s="94"/>
      <c r="BZ101" s="94"/>
      <c r="CA101" s="94"/>
      <c r="CB101" s="29"/>
      <c r="CC101" s="29"/>
      <c r="CD101" s="29"/>
      <c r="CE101" s="29"/>
      <c r="CF101" s="3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</row>
    <row r="102" spans="1:114" ht="11.1" customHeight="1" x14ac:dyDescent="0.25">
      <c r="A102" s="3"/>
      <c r="B102" s="3"/>
      <c r="C102" s="3"/>
      <c r="D102" s="3"/>
      <c r="E102" s="3"/>
      <c r="F102" s="26"/>
      <c r="G102" s="26"/>
      <c r="H102" s="26"/>
      <c r="I102" s="10"/>
      <c r="J102" s="10"/>
      <c r="K102" s="14"/>
      <c r="L102" s="11"/>
      <c r="M102" s="14"/>
      <c r="N102" s="14"/>
      <c r="O102" s="4"/>
      <c r="P102" s="3"/>
      <c r="Q102" s="4"/>
      <c r="R102" s="3"/>
      <c r="S102" s="3"/>
      <c r="T102" s="3"/>
      <c r="U102" s="4"/>
      <c r="V102" s="4"/>
      <c r="W102" s="4"/>
      <c r="X102" s="4"/>
      <c r="Y102" s="4"/>
      <c r="Z102" s="11"/>
      <c r="AA102" s="15"/>
      <c r="AB102" s="15"/>
      <c r="AC102" s="15"/>
      <c r="AD102" s="16"/>
      <c r="AE102" s="64"/>
      <c r="AF102" s="64"/>
      <c r="AG102" s="16"/>
      <c r="AH102" s="16"/>
      <c r="AI102" s="16"/>
      <c r="AJ102" s="15"/>
      <c r="AK102" s="15"/>
      <c r="AL102" s="15"/>
      <c r="AM102" s="15"/>
      <c r="AN102" s="15"/>
      <c r="AO102" s="15"/>
      <c r="AP102" s="3"/>
      <c r="AQ102" s="3"/>
      <c r="AR102" s="3"/>
      <c r="AS102" s="3"/>
      <c r="AT102" s="50"/>
      <c r="AU102" s="50"/>
      <c r="AV102" s="50"/>
      <c r="AW102" s="50"/>
      <c r="AX102" s="50"/>
      <c r="AY102" s="50"/>
      <c r="AZ102" s="17"/>
      <c r="BA102" s="17"/>
      <c r="BB102" s="17"/>
      <c r="BC102" s="17"/>
      <c r="BD102" s="16"/>
      <c r="BE102" s="16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29"/>
      <c r="BW102" s="29"/>
      <c r="BX102" s="29"/>
      <c r="BY102" s="94"/>
      <c r="BZ102" s="94"/>
      <c r="CA102" s="94"/>
      <c r="CB102" s="29"/>
      <c r="CC102" s="29"/>
      <c r="CD102" s="29"/>
      <c r="CE102" s="29"/>
      <c r="CF102" s="3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</row>
    <row r="103" spans="1:114" ht="11.1" customHeight="1" x14ac:dyDescent="0.25">
      <c r="A103" s="3"/>
      <c r="B103" s="3"/>
      <c r="C103" s="3"/>
      <c r="D103" s="3"/>
      <c r="E103" s="3"/>
      <c r="F103" s="26"/>
      <c r="G103" s="26"/>
      <c r="H103" s="26"/>
      <c r="I103" s="10"/>
      <c r="J103" s="10"/>
      <c r="K103" s="14"/>
      <c r="L103" s="11"/>
      <c r="M103" s="14"/>
      <c r="N103" s="14"/>
      <c r="O103" s="4"/>
      <c r="P103" s="3"/>
      <c r="Q103" s="4"/>
      <c r="R103" s="3"/>
      <c r="S103" s="3"/>
      <c r="T103" s="3"/>
      <c r="U103" s="4"/>
      <c r="V103" s="4"/>
      <c r="W103" s="4"/>
      <c r="X103" s="4"/>
      <c r="Y103" s="4"/>
      <c r="Z103" s="11"/>
      <c r="AA103" s="15"/>
      <c r="AB103" s="15"/>
      <c r="AC103" s="15"/>
      <c r="AD103" s="16"/>
      <c r="AE103" s="64"/>
      <c r="AF103" s="64"/>
      <c r="AG103" s="16"/>
      <c r="AH103" s="16"/>
      <c r="AI103" s="16"/>
      <c r="AJ103" s="15"/>
      <c r="AK103" s="15"/>
      <c r="AL103" s="15"/>
      <c r="AM103" s="15"/>
      <c r="AN103" s="15"/>
      <c r="AO103" s="15"/>
      <c r="AP103" s="3"/>
      <c r="AQ103" s="3"/>
      <c r="AR103" s="3"/>
      <c r="AS103" s="3"/>
      <c r="AT103" s="50"/>
      <c r="AU103" s="50"/>
      <c r="AV103" s="50"/>
      <c r="AW103" s="50"/>
      <c r="AX103" s="50"/>
      <c r="AY103" s="50"/>
      <c r="AZ103" s="17"/>
      <c r="BA103" s="17"/>
      <c r="BB103" s="17"/>
      <c r="BC103" s="17"/>
      <c r="BD103" s="16"/>
      <c r="BE103" s="16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29"/>
      <c r="BW103" s="29"/>
      <c r="BX103" s="29"/>
      <c r="BY103" s="94"/>
      <c r="BZ103" s="94"/>
      <c r="CA103" s="94"/>
      <c r="CB103" s="29"/>
      <c r="CC103" s="29"/>
      <c r="CD103" s="29"/>
      <c r="CE103" s="29"/>
      <c r="CF103" s="3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</row>
    <row r="104" spans="1:114" ht="11.1" customHeight="1" x14ac:dyDescent="0.25">
      <c r="A104" s="3"/>
      <c r="B104" s="3"/>
      <c r="C104" s="3"/>
      <c r="D104" s="3"/>
      <c r="E104" s="3"/>
      <c r="F104" s="26"/>
      <c r="G104" s="26"/>
      <c r="H104" s="26"/>
      <c r="I104" s="10"/>
      <c r="J104" s="10"/>
      <c r="K104" s="14"/>
      <c r="L104" s="11"/>
      <c r="M104" s="14"/>
      <c r="N104" s="14"/>
      <c r="O104" s="4"/>
      <c r="P104" s="3"/>
      <c r="Q104" s="4"/>
      <c r="R104" s="3"/>
      <c r="S104" s="3"/>
      <c r="T104" s="3"/>
      <c r="U104" s="4"/>
      <c r="V104" s="4"/>
      <c r="W104" s="4"/>
      <c r="X104" s="4"/>
      <c r="Y104" s="4"/>
      <c r="Z104" s="11"/>
      <c r="AA104" s="15"/>
      <c r="AB104" s="15"/>
      <c r="AC104" s="15"/>
      <c r="AD104" s="16"/>
      <c r="AE104" s="64"/>
      <c r="AF104" s="64"/>
      <c r="AG104" s="16"/>
      <c r="AH104" s="16"/>
      <c r="AI104" s="16"/>
      <c r="AJ104" s="15"/>
      <c r="AK104" s="15"/>
      <c r="AL104" s="15"/>
      <c r="AM104" s="15"/>
      <c r="AN104" s="15"/>
      <c r="AO104" s="15"/>
      <c r="AP104" s="3"/>
      <c r="AQ104" s="3"/>
      <c r="AR104" s="3"/>
      <c r="AS104" s="3"/>
      <c r="AT104" s="50"/>
      <c r="AU104" s="50"/>
      <c r="AV104" s="50"/>
      <c r="AW104" s="50"/>
      <c r="AX104" s="50"/>
      <c r="AY104" s="50"/>
      <c r="AZ104" s="17"/>
      <c r="BA104" s="17"/>
      <c r="BB104" s="17"/>
      <c r="BC104" s="17"/>
      <c r="BD104" s="16"/>
      <c r="BE104" s="16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29"/>
      <c r="BW104" s="29"/>
      <c r="BX104" s="29"/>
      <c r="BY104" s="94"/>
      <c r="BZ104" s="94"/>
      <c r="CA104" s="94"/>
      <c r="CB104" s="29"/>
      <c r="CC104" s="29"/>
      <c r="CD104" s="29"/>
      <c r="CE104" s="29"/>
      <c r="CF104" s="3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</row>
    <row r="105" spans="1:114" ht="11.1" customHeight="1" x14ac:dyDescent="0.25">
      <c r="A105" s="3"/>
      <c r="B105" s="3"/>
      <c r="C105" s="3"/>
      <c r="D105" s="3"/>
      <c r="E105" s="3"/>
      <c r="F105" s="26"/>
      <c r="G105" s="26"/>
      <c r="H105" s="26"/>
      <c r="I105" s="10"/>
      <c r="J105" s="10"/>
      <c r="K105" s="14"/>
      <c r="L105" s="11"/>
      <c r="M105" s="14"/>
      <c r="N105" s="14"/>
      <c r="O105" s="4"/>
      <c r="P105" s="3"/>
      <c r="Q105" s="4"/>
      <c r="R105" s="3"/>
      <c r="S105" s="3"/>
      <c r="T105" s="3"/>
      <c r="U105" s="4"/>
      <c r="V105" s="4"/>
      <c r="W105" s="4"/>
      <c r="X105" s="4"/>
      <c r="Y105" s="4"/>
      <c r="Z105" s="11"/>
      <c r="AA105" s="15"/>
      <c r="AB105" s="15"/>
      <c r="AC105" s="15"/>
      <c r="AD105" s="16"/>
      <c r="AE105" s="64"/>
      <c r="AF105" s="64"/>
      <c r="AG105" s="16"/>
      <c r="AH105" s="16"/>
      <c r="AI105" s="16"/>
      <c r="AJ105" s="15"/>
      <c r="AK105" s="15"/>
      <c r="AL105" s="15"/>
      <c r="AM105" s="15"/>
      <c r="AN105" s="15"/>
      <c r="AO105" s="15"/>
      <c r="AP105" s="3"/>
      <c r="AQ105" s="3"/>
      <c r="AR105" s="3"/>
      <c r="AS105" s="3"/>
      <c r="AT105" s="50"/>
      <c r="AU105" s="50"/>
      <c r="AV105" s="50"/>
      <c r="AW105" s="50"/>
      <c r="AX105" s="50"/>
      <c r="AY105" s="50"/>
      <c r="AZ105" s="17"/>
      <c r="BA105" s="17"/>
      <c r="BB105" s="17"/>
      <c r="BC105" s="17"/>
      <c r="BD105" s="16"/>
      <c r="BE105" s="16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29"/>
      <c r="BW105" s="29"/>
      <c r="BX105" s="29"/>
      <c r="BY105" s="94"/>
      <c r="BZ105" s="94"/>
      <c r="CA105" s="94"/>
      <c r="CB105" s="29"/>
      <c r="CC105" s="29"/>
      <c r="CD105" s="29"/>
      <c r="CE105" s="29"/>
      <c r="CF105" s="3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</row>
    <row r="106" spans="1:114" ht="11.1" customHeight="1" x14ac:dyDescent="0.25">
      <c r="A106" s="3"/>
      <c r="B106" s="3"/>
      <c r="C106" s="3"/>
      <c r="D106" s="3"/>
      <c r="E106" s="3"/>
      <c r="F106" s="26"/>
      <c r="G106" s="26"/>
      <c r="H106" s="26"/>
      <c r="I106" s="10"/>
      <c r="J106" s="10"/>
      <c r="K106" s="14"/>
      <c r="L106" s="11"/>
      <c r="M106" s="14"/>
      <c r="N106" s="14"/>
      <c r="O106" s="4"/>
      <c r="P106" s="3"/>
      <c r="Q106" s="4"/>
      <c r="R106" s="3"/>
      <c r="S106" s="3"/>
      <c r="T106" s="3"/>
      <c r="U106" s="4"/>
      <c r="V106" s="4"/>
      <c r="W106" s="4"/>
      <c r="X106" s="4"/>
      <c r="Y106" s="4"/>
      <c r="Z106" s="11"/>
      <c r="AA106" s="15"/>
      <c r="AB106" s="15"/>
      <c r="AC106" s="15"/>
      <c r="AD106" s="16"/>
      <c r="AE106" s="64"/>
      <c r="AF106" s="64"/>
      <c r="AG106" s="16"/>
      <c r="AH106" s="16"/>
      <c r="AI106" s="16"/>
      <c r="AJ106" s="15"/>
      <c r="AK106" s="15"/>
      <c r="AL106" s="15"/>
      <c r="AM106" s="15"/>
      <c r="AN106" s="15"/>
      <c r="AO106" s="15"/>
      <c r="AP106" s="3"/>
      <c r="AQ106" s="3"/>
      <c r="AR106" s="3"/>
      <c r="AS106" s="3"/>
      <c r="AT106" s="50"/>
      <c r="AU106" s="50"/>
      <c r="AV106" s="50"/>
      <c r="AW106" s="50"/>
      <c r="AX106" s="50"/>
      <c r="AY106" s="50"/>
      <c r="AZ106" s="17"/>
      <c r="BA106" s="17"/>
      <c r="BB106" s="17"/>
      <c r="BC106" s="17"/>
      <c r="BD106" s="16"/>
      <c r="BE106" s="16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29"/>
      <c r="BW106" s="29"/>
      <c r="BX106" s="29"/>
      <c r="BY106" s="94"/>
      <c r="BZ106" s="94"/>
      <c r="CA106" s="94"/>
      <c r="CB106" s="29"/>
      <c r="CC106" s="29"/>
      <c r="CD106" s="29"/>
      <c r="CE106" s="29"/>
      <c r="CF106" s="3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</row>
    <row r="107" spans="1:114" ht="11.1" customHeight="1" x14ac:dyDescent="0.25">
      <c r="A107" s="3"/>
      <c r="B107" s="3"/>
      <c r="C107" s="3"/>
      <c r="D107" s="3"/>
      <c r="E107" s="3"/>
      <c r="F107" s="26"/>
      <c r="G107" s="26"/>
      <c r="H107" s="26"/>
      <c r="I107" s="10"/>
      <c r="J107" s="10"/>
      <c r="K107" s="14"/>
      <c r="L107" s="11"/>
      <c r="M107" s="14"/>
      <c r="N107" s="14"/>
      <c r="O107" s="4"/>
      <c r="P107" s="3"/>
      <c r="Q107" s="4"/>
      <c r="R107" s="3"/>
      <c r="S107" s="3"/>
      <c r="T107" s="3"/>
      <c r="U107" s="4"/>
      <c r="V107" s="4"/>
      <c r="W107" s="4"/>
      <c r="X107" s="4"/>
      <c r="Y107" s="4"/>
      <c r="Z107" s="11"/>
      <c r="AA107" s="15"/>
      <c r="AB107" s="15"/>
      <c r="AC107" s="15"/>
      <c r="AD107" s="16"/>
      <c r="AE107" s="64"/>
      <c r="AF107" s="64"/>
      <c r="AG107" s="16"/>
      <c r="AH107" s="16"/>
      <c r="AI107" s="16"/>
      <c r="AJ107" s="15"/>
      <c r="AK107" s="15"/>
      <c r="AL107" s="15"/>
      <c r="AM107" s="15"/>
      <c r="AN107" s="15"/>
      <c r="AO107" s="15"/>
      <c r="AP107" s="3"/>
      <c r="AQ107" s="3"/>
      <c r="AR107" s="3"/>
      <c r="AS107" s="3"/>
      <c r="AT107" s="50"/>
      <c r="AU107" s="50"/>
      <c r="AV107" s="50"/>
      <c r="AW107" s="50"/>
      <c r="AX107" s="50"/>
      <c r="AY107" s="50"/>
      <c r="AZ107" s="17"/>
      <c r="BA107" s="17"/>
      <c r="BB107" s="17"/>
      <c r="BC107" s="17"/>
      <c r="BD107" s="16"/>
      <c r="BE107" s="16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29"/>
      <c r="BW107" s="29"/>
      <c r="BX107" s="29"/>
      <c r="BY107" s="94"/>
      <c r="BZ107" s="94"/>
      <c r="CA107" s="94"/>
      <c r="CB107" s="29"/>
      <c r="CC107" s="29"/>
      <c r="CD107" s="29"/>
      <c r="CE107" s="29"/>
      <c r="CF107" s="3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</row>
    <row r="108" spans="1:114" ht="11.1" customHeight="1" x14ac:dyDescent="0.25">
      <c r="A108" s="3"/>
      <c r="B108" s="3"/>
      <c r="C108" s="3"/>
      <c r="D108" s="3"/>
      <c r="E108" s="3"/>
      <c r="F108" s="26"/>
      <c r="G108" s="26"/>
      <c r="H108" s="26"/>
      <c r="I108" s="10"/>
      <c r="J108" s="10"/>
      <c r="K108" s="14"/>
      <c r="L108" s="11"/>
      <c r="M108" s="14"/>
      <c r="N108" s="14"/>
      <c r="O108" s="4"/>
      <c r="P108" s="3"/>
      <c r="Q108" s="4"/>
      <c r="R108" s="3"/>
      <c r="S108" s="3"/>
      <c r="T108" s="3"/>
      <c r="U108" s="4"/>
      <c r="V108" s="4"/>
      <c r="W108" s="4"/>
      <c r="X108" s="4"/>
      <c r="Y108" s="4"/>
      <c r="Z108" s="11"/>
      <c r="AA108" s="15"/>
      <c r="AB108" s="15"/>
      <c r="AC108" s="15"/>
      <c r="AD108" s="16"/>
      <c r="AE108" s="64"/>
      <c r="AF108" s="64"/>
      <c r="AG108" s="16"/>
      <c r="AH108" s="16"/>
      <c r="AI108" s="16"/>
      <c r="AJ108" s="15"/>
      <c r="AK108" s="15"/>
      <c r="AL108" s="15"/>
      <c r="AM108" s="15"/>
      <c r="AN108" s="15"/>
      <c r="AO108" s="15"/>
      <c r="AP108" s="3"/>
      <c r="AQ108" s="3"/>
      <c r="AR108" s="3"/>
      <c r="AS108" s="3"/>
      <c r="AT108" s="50"/>
      <c r="AU108" s="50"/>
      <c r="AV108" s="50"/>
      <c r="AW108" s="50"/>
      <c r="AX108" s="50"/>
      <c r="AY108" s="50"/>
      <c r="AZ108" s="17"/>
      <c r="BA108" s="17"/>
      <c r="BB108" s="17"/>
      <c r="BC108" s="17"/>
      <c r="BD108" s="16"/>
      <c r="BE108" s="16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29"/>
      <c r="BW108" s="29"/>
      <c r="BX108" s="29"/>
      <c r="BY108" s="94"/>
      <c r="BZ108" s="94"/>
      <c r="CA108" s="94"/>
      <c r="CB108" s="29"/>
      <c r="CC108" s="29"/>
      <c r="CD108" s="29"/>
      <c r="CE108" s="29"/>
      <c r="CF108" s="3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</row>
    <row r="109" spans="1:114" ht="11.1" customHeight="1" x14ac:dyDescent="0.25">
      <c r="A109" s="3"/>
      <c r="B109" s="3"/>
      <c r="C109" s="3"/>
      <c r="D109" s="3"/>
      <c r="E109" s="3"/>
      <c r="F109" s="26"/>
      <c r="G109" s="26"/>
      <c r="H109" s="26"/>
      <c r="I109" s="10"/>
      <c r="J109" s="10"/>
      <c r="K109" s="14"/>
      <c r="L109" s="11"/>
      <c r="M109" s="14"/>
      <c r="N109" s="14"/>
      <c r="O109" s="4"/>
      <c r="P109" s="3"/>
      <c r="Q109" s="4"/>
      <c r="R109" s="3"/>
      <c r="S109" s="3"/>
      <c r="T109" s="3"/>
      <c r="U109" s="4"/>
      <c r="V109" s="4"/>
      <c r="W109" s="4"/>
      <c r="X109" s="4"/>
      <c r="Y109" s="4"/>
      <c r="Z109" s="11"/>
      <c r="AA109" s="15"/>
      <c r="AB109" s="15"/>
      <c r="AC109" s="15"/>
      <c r="AD109" s="16"/>
      <c r="AE109" s="64"/>
      <c r="AF109" s="64"/>
      <c r="AG109" s="16"/>
      <c r="AH109" s="16"/>
      <c r="AI109" s="16"/>
      <c r="AJ109" s="15"/>
      <c r="AK109" s="15"/>
      <c r="AL109" s="15"/>
      <c r="AM109" s="15"/>
      <c r="AN109" s="15"/>
      <c r="AO109" s="15"/>
      <c r="AP109" s="3"/>
      <c r="AQ109" s="3"/>
      <c r="AR109" s="3"/>
      <c r="AS109" s="3"/>
      <c r="AT109" s="50"/>
      <c r="AU109" s="50"/>
      <c r="AV109" s="50"/>
      <c r="AW109" s="50"/>
      <c r="AX109" s="50"/>
      <c r="AY109" s="50"/>
      <c r="AZ109" s="17"/>
      <c r="BA109" s="17"/>
      <c r="BB109" s="17"/>
      <c r="BC109" s="17"/>
      <c r="BD109" s="16"/>
      <c r="BE109" s="16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29"/>
      <c r="BW109" s="29"/>
      <c r="BX109" s="29"/>
      <c r="BY109" s="94"/>
      <c r="BZ109" s="94"/>
      <c r="CA109" s="94"/>
      <c r="CB109" s="29"/>
      <c r="CC109" s="29"/>
      <c r="CD109" s="29"/>
      <c r="CE109" s="29"/>
      <c r="CF109" s="3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</row>
    <row r="110" spans="1:114" ht="11.1" customHeight="1" x14ac:dyDescent="0.25">
      <c r="A110" s="3"/>
      <c r="B110" s="3"/>
      <c r="C110" s="3"/>
      <c r="D110" s="3"/>
      <c r="E110" s="3"/>
      <c r="F110" s="26"/>
      <c r="G110" s="26"/>
      <c r="H110" s="26"/>
      <c r="I110" s="10"/>
      <c r="J110" s="10"/>
      <c r="K110" s="14"/>
      <c r="L110" s="11"/>
      <c r="M110" s="14"/>
      <c r="N110" s="14"/>
      <c r="O110" s="4"/>
      <c r="P110" s="3"/>
      <c r="Q110" s="4"/>
      <c r="R110" s="3"/>
      <c r="S110" s="3"/>
      <c r="T110" s="3"/>
      <c r="U110" s="4"/>
      <c r="V110" s="4"/>
      <c r="W110" s="4"/>
      <c r="X110" s="4"/>
      <c r="Y110" s="4"/>
      <c r="Z110" s="11"/>
      <c r="AA110" s="15"/>
      <c r="AB110" s="15"/>
      <c r="AC110" s="15"/>
      <c r="AD110" s="16"/>
      <c r="AE110" s="64"/>
      <c r="AF110" s="64"/>
      <c r="AG110" s="16"/>
      <c r="AH110" s="16"/>
      <c r="AI110" s="16"/>
      <c r="AJ110" s="15"/>
      <c r="AK110" s="15"/>
      <c r="AL110" s="15"/>
      <c r="AM110" s="15"/>
      <c r="AN110" s="15"/>
      <c r="AO110" s="15"/>
      <c r="AP110" s="3"/>
      <c r="AQ110" s="3"/>
      <c r="AR110" s="3"/>
      <c r="AS110" s="3"/>
      <c r="AT110" s="50"/>
      <c r="AU110" s="50"/>
      <c r="AV110" s="50"/>
      <c r="AW110" s="50"/>
      <c r="AX110" s="50"/>
      <c r="AY110" s="50"/>
      <c r="AZ110" s="17"/>
      <c r="BA110" s="17"/>
      <c r="BB110" s="17"/>
      <c r="BC110" s="17"/>
      <c r="BD110" s="16"/>
      <c r="BE110" s="16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29"/>
      <c r="BW110" s="29"/>
      <c r="BX110" s="29"/>
      <c r="BY110" s="94"/>
      <c r="BZ110" s="94"/>
      <c r="CA110" s="94"/>
      <c r="CB110" s="29"/>
      <c r="CC110" s="29"/>
      <c r="CD110" s="29"/>
      <c r="CE110" s="29"/>
      <c r="CF110" s="3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</row>
    <row r="111" spans="1:114" ht="11.1" customHeight="1" x14ac:dyDescent="0.25">
      <c r="A111" s="3"/>
      <c r="B111" s="3"/>
      <c r="C111" s="3"/>
      <c r="D111" s="3"/>
      <c r="E111" s="3"/>
      <c r="F111" s="26"/>
      <c r="G111" s="26"/>
      <c r="H111" s="26"/>
      <c r="I111" s="10"/>
      <c r="J111" s="10"/>
      <c r="K111" s="14"/>
      <c r="L111" s="11"/>
      <c r="M111" s="14"/>
      <c r="N111" s="14"/>
      <c r="O111" s="4"/>
      <c r="P111" s="3"/>
      <c r="Q111" s="4"/>
      <c r="R111" s="3"/>
      <c r="S111" s="3"/>
      <c r="T111" s="3"/>
      <c r="U111" s="4"/>
      <c r="V111" s="4"/>
      <c r="W111" s="4"/>
      <c r="X111" s="4"/>
      <c r="Y111" s="4"/>
      <c r="Z111" s="11"/>
      <c r="AA111" s="15"/>
      <c r="AB111" s="15"/>
      <c r="AC111" s="15"/>
      <c r="AD111" s="16"/>
      <c r="AE111" s="64"/>
      <c r="AF111" s="64"/>
      <c r="AG111" s="16"/>
      <c r="AH111" s="16"/>
      <c r="AI111" s="16"/>
      <c r="AJ111" s="15"/>
      <c r="AK111" s="15"/>
      <c r="AL111" s="15"/>
      <c r="AM111" s="15"/>
      <c r="AN111" s="15"/>
      <c r="AO111" s="15"/>
      <c r="AP111" s="3"/>
      <c r="AQ111" s="3"/>
      <c r="AR111" s="3"/>
      <c r="AS111" s="3"/>
      <c r="AT111" s="50"/>
      <c r="AU111" s="50"/>
      <c r="AV111" s="50"/>
      <c r="AW111" s="50"/>
      <c r="AX111" s="50"/>
      <c r="AY111" s="50"/>
      <c r="AZ111" s="17"/>
      <c r="BA111" s="17"/>
      <c r="BB111" s="17"/>
      <c r="BC111" s="17"/>
      <c r="BD111" s="16"/>
      <c r="BE111" s="16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29"/>
      <c r="BW111" s="29"/>
      <c r="BX111" s="29"/>
      <c r="BY111" s="94"/>
      <c r="BZ111" s="94"/>
      <c r="CA111" s="94"/>
      <c r="CB111" s="29"/>
      <c r="CC111" s="29"/>
      <c r="CD111" s="29"/>
      <c r="CE111" s="29"/>
      <c r="CF111" s="3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</row>
    <row r="112" spans="1:114" ht="11.1" customHeight="1" x14ac:dyDescent="0.25">
      <c r="A112" s="3"/>
      <c r="B112" s="3"/>
      <c r="C112" s="3"/>
      <c r="D112" s="3"/>
      <c r="E112" s="3"/>
      <c r="F112" s="26"/>
      <c r="G112" s="26"/>
      <c r="H112" s="26"/>
      <c r="I112" s="10"/>
      <c r="J112" s="10"/>
      <c r="K112" s="14"/>
      <c r="L112" s="11"/>
      <c r="M112" s="14"/>
      <c r="N112" s="14"/>
      <c r="O112" s="4"/>
      <c r="P112" s="3"/>
      <c r="Q112" s="4"/>
      <c r="R112" s="3"/>
      <c r="S112" s="3"/>
      <c r="T112" s="3"/>
      <c r="U112" s="4"/>
      <c r="V112" s="4"/>
      <c r="W112" s="4"/>
      <c r="X112" s="4"/>
      <c r="Y112" s="4"/>
      <c r="Z112" s="11"/>
      <c r="AA112" s="15"/>
      <c r="AB112" s="15"/>
      <c r="AC112" s="15"/>
      <c r="AD112" s="16"/>
      <c r="AE112" s="64"/>
      <c r="AF112" s="64"/>
      <c r="AG112" s="16"/>
      <c r="AH112" s="16"/>
      <c r="AI112" s="16"/>
      <c r="AJ112" s="15"/>
      <c r="AK112" s="15"/>
      <c r="AL112" s="15"/>
      <c r="AM112" s="15"/>
      <c r="AN112" s="15"/>
      <c r="AO112" s="15"/>
      <c r="AP112" s="3"/>
      <c r="AQ112" s="3"/>
      <c r="AR112" s="3"/>
      <c r="AS112" s="3"/>
      <c r="AT112" s="50"/>
      <c r="AU112" s="50"/>
      <c r="AV112" s="50"/>
      <c r="AW112" s="50"/>
      <c r="AX112" s="50"/>
      <c r="AY112" s="50"/>
      <c r="AZ112" s="17"/>
      <c r="BA112" s="17"/>
      <c r="BB112" s="17"/>
      <c r="BC112" s="17"/>
      <c r="BD112" s="16"/>
      <c r="BE112" s="16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29"/>
      <c r="BW112" s="29"/>
      <c r="BX112" s="29"/>
      <c r="BY112" s="94"/>
      <c r="BZ112" s="94"/>
      <c r="CA112" s="94"/>
      <c r="CB112" s="29"/>
      <c r="CC112" s="29"/>
      <c r="CD112" s="29"/>
      <c r="CE112" s="29"/>
      <c r="CF112" s="3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</row>
    <row r="113" spans="1:114" ht="11.1" customHeight="1" x14ac:dyDescent="0.25">
      <c r="A113" s="3"/>
      <c r="B113" s="3"/>
      <c r="C113" s="3"/>
      <c r="D113" s="3"/>
      <c r="E113" s="3"/>
      <c r="F113" s="26"/>
      <c r="G113" s="26"/>
      <c r="H113" s="26"/>
      <c r="I113" s="10"/>
      <c r="J113" s="10"/>
      <c r="K113" s="14"/>
      <c r="L113" s="11"/>
      <c r="M113" s="14"/>
      <c r="N113" s="14"/>
      <c r="O113" s="4"/>
      <c r="P113" s="3"/>
      <c r="Q113" s="4"/>
      <c r="R113" s="3"/>
      <c r="S113" s="3"/>
      <c r="T113" s="3"/>
      <c r="U113" s="4"/>
      <c r="V113" s="4"/>
      <c r="W113" s="4"/>
      <c r="X113" s="4"/>
      <c r="Y113" s="4"/>
      <c r="Z113" s="11"/>
      <c r="AA113" s="15"/>
      <c r="AB113" s="15"/>
      <c r="AC113" s="15"/>
      <c r="AD113" s="16"/>
      <c r="AE113" s="64"/>
      <c r="AF113" s="64"/>
      <c r="AG113" s="16"/>
      <c r="AH113" s="16"/>
      <c r="AI113" s="16"/>
      <c r="AJ113" s="15"/>
      <c r="AK113" s="15"/>
      <c r="AL113" s="15"/>
      <c r="AM113" s="15"/>
      <c r="AN113" s="15"/>
      <c r="AO113" s="15"/>
      <c r="AP113" s="3"/>
      <c r="AQ113" s="3"/>
      <c r="AR113" s="3"/>
      <c r="AS113" s="3"/>
      <c r="AT113" s="50"/>
      <c r="AU113" s="50"/>
      <c r="AV113" s="50"/>
      <c r="AW113" s="50"/>
      <c r="AX113" s="50"/>
      <c r="AY113" s="50"/>
      <c r="AZ113" s="17"/>
      <c r="BA113" s="17"/>
      <c r="BB113" s="17"/>
      <c r="BC113" s="17"/>
      <c r="BD113" s="16"/>
      <c r="BE113" s="16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29"/>
      <c r="BW113" s="29"/>
      <c r="BX113" s="29"/>
      <c r="BY113" s="94"/>
      <c r="BZ113" s="94"/>
      <c r="CA113" s="94"/>
      <c r="CB113" s="29"/>
      <c r="CC113" s="29"/>
      <c r="CD113" s="29"/>
      <c r="CE113" s="29"/>
      <c r="CF113" s="3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</row>
    <row r="114" spans="1:114" ht="11.1" customHeight="1" x14ac:dyDescent="0.25">
      <c r="A114" s="3"/>
      <c r="B114" s="3"/>
      <c r="C114" s="3"/>
      <c r="D114" s="3"/>
      <c r="E114" s="3"/>
      <c r="F114" s="26"/>
      <c r="G114" s="26"/>
      <c r="H114" s="26"/>
      <c r="I114" s="10"/>
      <c r="J114" s="10"/>
      <c r="K114" s="14"/>
      <c r="L114" s="11"/>
      <c r="M114" s="14"/>
      <c r="N114" s="14"/>
      <c r="O114" s="4"/>
      <c r="P114" s="3"/>
      <c r="Q114" s="4"/>
      <c r="R114" s="3"/>
      <c r="S114" s="3"/>
      <c r="T114" s="3"/>
      <c r="U114" s="4"/>
      <c r="V114" s="4"/>
      <c r="W114" s="4"/>
      <c r="X114" s="4"/>
      <c r="Y114" s="4"/>
      <c r="Z114" s="11"/>
      <c r="AA114" s="15"/>
      <c r="AB114" s="15"/>
      <c r="AC114" s="15"/>
      <c r="AD114" s="16"/>
      <c r="AE114" s="64"/>
      <c r="AF114" s="64"/>
      <c r="AG114" s="16"/>
      <c r="AH114" s="16"/>
      <c r="AI114" s="16"/>
      <c r="AJ114" s="15"/>
      <c r="AK114" s="15"/>
      <c r="AL114" s="15"/>
      <c r="AM114" s="15"/>
      <c r="AN114" s="15"/>
      <c r="AO114" s="15"/>
      <c r="AP114" s="3"/>
      <c r="AQ114" s="3"/>
      <c r="AR114" s="3"/>
      <c r="AS114" s="3"/>
      <c r="AT114" s="50"/>
      <c r="AU114" s="50"/>
      <c r="AV114" s="50"/>
      <c r="AW114" s="50"/>
      <c r="AX114" s="50"/>
      <c r="AY114" s="50"/>
      <c r="AZ114" s="17"/>
      <c r="BA114" s="17"/>
      <c r="BB114" s="17"/>
      <c r="BC114" s="17"/>
      <c r="BD114" s="16"/>
      <c r="BE114" s="16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29"/>
      <c r="BW114" s="29"/>
      <c r="BX114" s="29"/>
      <c r="BY114" s="94"/>
      <c r="BZ114" s="94"/>
      <c r="CA114" s="94"/>
      <c r="CB114" s="29"/>
      <c r="CC114" s="29"/>
      <c r="CD114" s="29"/>
      <c r="CE114" s="29"/>
      <c r="CF114" s="3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</row>
    <row r="115" spans="1:114" ht="11.1" customHeight="1" x14ac:dyDescent="0.25">
      <c r="A115" s="3"/>
      <c r="B115" s="3"/>
      <c r="C115" s="3"/>
      <c r="D115" s="3"/>
      <c r="E115" s="3"/>
      <c r="F115" s="26"/>
      <c r="G115" s="26"/>
      <c r="H115" s="26"/>
      <c r="I115" s="10"/>
      <c r="J115" s="10"/>
      <c r="K115" s="14"/>
      <c r="L115" s="11"/>
      <c r="M115" s="14"/>
      <c r="N115" s="14"/>
      <c r="O115" s="4"/>
      <c r="P115" s="3"/>
      <c r="Q115" s="4"/>
      <c r="R115" s="3"/>
      <c r="S115" s="3"/>
      <c r="T115" s="3"/>
      <c r="U115" s="4"/>
      <c r="V115" s="4"/>
      <c r="W115" s="4"/>
      <c r="X115" s="4"/>
      <c r="Y115" s="4"/>
      <c r="Z115" s="11"/>
      <c r="AA115" s="15"/>
      <c r="AB115" s="15"/>
      <c r="AC115" s="15"/>
      <c r="AD115" s="16"/>
      <c r="AE115" s="64"/>
      <c r="AF115" s="64"/>
      <c r="AG115" s="16"/>
      <c r="AH115" s="16"/>
      <c r="AI115" s="16"/>
      <c r="AJ115" s="15"/>
      <c r="AK115" s="15"/>
      <c r="AL115" s="15"/>
      <c r="AM115" s="15"/>
      <c r="AN115" s="15"/>
      <c r="AO115" s="15"/>
      <c r="AP115" s="3"/>
      <c r="AQ115" s="3"/>
      <c r="AR115" s="3"/>
      <c r="AS115" s="3"/>
      <c r="AT115" s="50"/>
      <c r="AU115" s="50"/>
      <c r="AV115" s="50"/>
      <c r="AW115" s="50"/>
      <c r="AX115" s="50"/>
      <c r="AY115" s="50"/>
      <c r="AZ115" s="17"/>
      <c r="BA115" s="17"/>
      <c r="BB115" s="17"/>
      <c r="BC115" s="17"/>
      <c r="BD115" s="16"/>
      <c r="BE115" s="16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29"/>
      <c r="BW115" s="29"/>
      <c r="BX115" s="29"/>
      <c r="BY115" s="94"/>
      <c r="BZ115" s="94"/>
      <c r="CA115" s="94"/>
      <c r="CB115" s="29"/>
      <c r="CC115" s="29"/>
      <c r="CD115" s="29"/>
      <c r="CE115" s="29"/>
      <c r="CF115" s="3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</row>
    <row r="116" spans="1:114" ht="11.1" customHeight="1" x14ac:dyDescent="0.25">
      <c r="A116" s="3"/>
      <c r="B116" s="3"/>
      <c r="C116" s="3"/>
      <c r="D116" s="3"/>
      <c r="E116" s="3"/>
      <c r="F116" s="26"/>
      <c r="G116" s="26"/>
      <c r="H116" s="26"/>
      <c r="I116" s="10"/>
      <c r="J116" s="10"/>
      <c r="K116" s="14"/>
      <c r="L116" s="11"/>
      <c r="M116" s="14"/>
      <c r="N116" s="14"/>
      <c r="O116" s="4"/>
      <c r="P116" s="3"/>
      <c r="Q116" s="4"/>
      <c r="R116" s="3"/>
      <c r="S116" s="3"/>
      <c r="T116" s="3"/>
      <c r="U116" s="4"/>
      <c r="V116" s="4"/>
      <c r="W116" s="4"/>
      <c r="X116" s="4"/>
      <c r="Y116" s="4"/>
      <c r="Z116" s="11"/>
      <c r="AA116" s="15"/>
      <c r="AB116" s="15"/>
      <c r="AC116" s="15"/>
      <c r="AD116" s="16"/>
      <c r="AE116" s="64"/>
      <c r="AF116" s="64"/>
      <c r="AG116" s="16"/>
      <c r="AH116" s="16"/>
      <c r="AI116" s="16"/>
      <c r="AJ116" s="15"/>
      <c r="AK116" s="15"/>
      <c r="AL116" s="15"/>
      <c r="AM116" s="15"/>
      <c r="AN116" s="15"/>
      <c r="AO116" s="15"/>
      <c r="AP116" s="3"/>
      <c r="AQ116" s="3"/>
      <c r="AR116" s="3"/>
      <c r="AS116" s="3"/>
      <c r="AT116" s="50"/>
      <c r="AU116" s="50"/>
      <c r="AV116" s="50"/>
      <c r="AW116" s="50"/>
      <c r="AX116" s="50"/>
      <c r="AY116" s="50"/>
      <c r="AZ116" s="17"/>
      <c r="BA116" s="17"/>
      <c r="BB116" s="17"/>
      <c r="BC116" s="17"/>
      <c r="BD116" s="16"/>
      <c r="BE116" s="16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29"/>
      <c r="BW116" s="29"/>
      <c r="BX116" s="29"/>
      <c r="BY116" s="94"/>
      <c r="BZ116" s="94"/>
      <c r="CA116" s="94"/>
      <c r="CB116" s="29"/>
      <c r="CC116" s="29"/>
      <c r="CD116" s="29"/>
      <c r="CE116" s="29"/>
      <c r="CF116" s="3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</row>
    <row r="117" spans="1:114" ht="11.1" customHeight="1" x14ac:dyDescent="0.25">
      <c r="A117" s="3"/>
      <c r="B117" s="3"/>
      <c r="C117" s="3"/>
      <c r="D117" s="3"/>
      <c r="E117" s="3"/>
      <c r="F117" s="26"/>
      <c r="G117" s="26"/>
      <c r="H117" s="26"/>
      <c r="I117" s="10"/>
      <c r="J117" s="10"/>
      <c r="K117" s="14"/>
      <c r="L117" s="11"/>
      <c r="M117" s="14"/>
      <c r="N117" s="14"/>
      <c r="O117" s="4"/>
      <c r="P117" s="3"/>
      <c r="Q117" s="4"/>
      <c r="R117" s="3"/>
      <c r="S117" s="3"/>
      <c r="T117" s="3"/>
      <c r="U117" s="4"/>
      <c r="V117" s="4"/>
      <c r="W117" s="4"/>
      <c r="X117" s="4"/>
      <c r="Y117" s="4"/>
      <c r="Z117" s="11"/>
      <c r="AA117" s="15"/>
      <c r="AB117" s="15"/>
      <c r="AC117" s="15"/>
      <c r="AD117" s="16"/>
      <c r="AE117" s="64"/>
      <c r="AF117" s="64"/>
      <c r="AG117" s="16"/>
      <c r="AH117" s="16"/>
      <c r="AI117" s="16"/>
      <c r="AJ117" s="15"/>
      <c r="AK117" s="15"/>
      <c r="AL117" s="15"/>
      <c r="AM117" s="15"/>
      <c r="AN117" s="15"/>
      <c r="AO117" s="15"/>
      <c r="AP117" s="3"/>
      <c r="AQ117" s="3"/>
      <c r="AR117" s="3"/>
      <c r="AS117" s="3"/>
      <c r="AT117" s="50"/>
      <c r="AU117" s="50"/>
      <c r="AV117" s="50"/>
      <c r="AW117" s="50"/>
      <c r="AX117" s="50"/>
      <c r="AY117" s="50"/>
      <c r="AZ117" s="17"/>
      <c r="BA117" s="17"/>
      <c r="BB117" s="17"/>
      <c r="BC117" s="17"/>
      <c r="BD117" s="16"/>
      <c r="BE117" s="16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29"/>
      <c r="BW117" s="29"/>
      <c r="BX117" s="29"/>
      <c r="BY117" s="94"/>
      <c r="BZ117" s="94"/>
      <c r="CA117" s="94"/>
      <c r="CB117" s="29"/>
      <c r="CC117" s="29"/>
      <c r="CD117" s="29"/>
      <c r="CE117" s="29"/>
      <c r="CF117" s="3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</row>
    <row r="118" spans="1:114" ht="11.1" customHeight="1" x14ac:dyDescent="0.25">
      <c r="A118" s="3"/>
      <c r="B118" s="3"/>
      <c r="C118" s="3"/>
      <c r="D118" s="3"/>
      <c r="E118" s="3"/>
      <c r="F118" s="26"/>
      <c r="G118" s="26"/>
      <c r="H118" s="26"/>
      <c r="I118" s="10"/>
      <c r="J118" s="10"/>
      <c r="K118" s="14"/>
      <c r="L118" s="11"/>
      <c r="M118" s="14"/>
      <c r="N118" s="14"/>
      <c r="O118" s="4"/>
      <c r="P118" s="3"/>
      <c r="Q118" s="4"/>
      <c r="R118" s="3"/>
      <c r="S118" s="3"/>
      <c r="T118" s="3"/>
      <c r="U118" s="4"/>
      <c r="V118" s="4"/>
      <c r="W118" s="4"/>
      <c r="X118" s="4"/>
      <c r="Y118" s="4"/>
      <c r="Z118" s="11"/>
      <c r="AA118" s="15"/>
      <c r="AB118" s="15"/>
      <c r="AC118" s="15"/>
      <c r="AD118" s="16"/>
      <c r="AE118" s="64"/>
      <c r="AF118" s="64"/>
      <c r="AG118" s="16"/>
      <c r="AH118" s="16"/>
      <c r="AI118" s="16"/>
      <c r="AJ118" s="15"/>
      <c r="AK118" s="15"/>
      <c r="AL118" s="15"/>
      <c r="AM118" s="15"/>
      <c r="AN118" s="15"/>
      <c r="AO118" s="15"/>
      <c r="AP118" s="3"/>
      <c r="AQ118" s="3"/>
      <c r="AR118" s="3"/>
      <c r="AS118" s="3"/>
      <c r="AT118" s="50"/>
      <c r="AU118" s="50"/>
      <c r="AV118" s="50"/>
      <c r="AW118" s="50"/>
      <c r="AX118" s="50"/>
      <c r="AY118" s="50"/>
      <c r="AZ118" s="17"/>
      <c r="BA118" s="17"/>
      <c r="BB118" s="17"/>
      <c r="BC118" s="17"/>
      <c r="BD118" s="16"/>
      <c r="BE118" s="16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29"/>
      <c r="BW118" s="29"/>
      <c r="BX118" s="29"/>
      <c r="BY118" s="94"/>
      <c r="BZ118" s="94"/>
      <c r="CA118" s="94"/>
      <c r="CB118" s="29"/>
      <c r="CC118" s="29"/>
      <c r="CD118" s="29"/>
      <c r="CE118" s="29"/>
      <c r="CF118" s="3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</row>
    <row r="119" spans="1:114" ht="11.1" customHeight="1" x14ac:dyDescent="0.25">
      <c r="A119" s="3"/>
      <c r="B119" s="3"/>
      <c r="C119" s="3"/>
      <c r="D119" s="3"/>
      <c r="E119" s="3"/>
      <c r="F119" s="26"/>
      <c r="G119" s="26"/>
      <c r="H119" s="26"/>
      <c r="I119" s="10"/>
      <c r="J119" s="10"/>
      <c r="K119" s="14"/>
      <c r="L119" s="11"/>
      <c r="M119" s="14"/>
      <c r="N119" s="14"/>
      <c r="O119" s="4"/>
      <c r="P119" s="3"/>
      <c r="Q119" s="4"/>
      <c r="R119" s="3"/>
      <c r="S119" s="3"/>
      <c r="T119" s="3"/>
      <c r="U119" s="4"/>
      <c r="V119" s="4"/>
      <c r="W119" s="4"/>
      <c r="X119" s="4"/>
      <c r="Y119" s="4"/>
      <c r="Z119" s="11"/>
      <c r="AA119" s="15"/>
      <c r="AB119" s="15"/>
      <c r="AC119" s="15"/>
      <c r="AD119" s="16"/>
      <c r="AE119" s="64"/>
      <c r="AF119" s="64"/>
      <c r="AG119" s="16"/>
      <c r="AH119" s="16"/>
      <c r="AI119" s="16"/>
      <c r="AJ119" s="15"/>
      <c r="AK119" s="15"/>
      <c r="AL119" s="15"/>
      <c r="AM119" s="15"/>
      <c r="AN119" s="15"/>
      <c r="AO119" s="15"/>
      <c r="AP119" s="3"/>
      <c r="AQ119" s="3"/>
      <c r="AR119" s="3"/>
      <c r="AS119" s="3"/>
      <c r="AT119" s="50"/>
      <c r="AU119" s="50"/>
      <c r="AV119" s="50"/>
      <c r="AW119" s="50"/>
      <c r="AX119" s="50"/>
      <c r="AY119" s="50"/>
      <c r="AZ119" s="17"/>
      <c r="BA119" s="17"/>
      <c r="BB119" s="17"/>
      <c r="BC119" s="17"/>
      <c r="BD119" s="16"/>
      <c r="BE119" s="16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29"/>
      <c r="BW119" s="29"/>
      <c r="BX119" s="29"/>
      <c r="BY119" s="94"/>
      <c r="BZ119" s="94"/>
      <c r="CA119" s="94"/>
      <c r="CB119" s="29"/>
      <c r="CC119" s="29"/>
      <c r="CD119" s="29"/>
      <c r="CE119" s="29"/>
      <c r="CF119" s="3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</row>
    <row r="120" spans="1:114" ht="11.1" customHeight="1" x14ac:dyDescent="0.25">
      <c r="A120" s="3"/>
      <c r="B120" s="3"/>
      <c r="C120" s="3"/>
      <c r="D120" s="3"/>
      <c r="E120" s="3"/>
      <c r="F120" s="26"/>
      <c r="G120" s="26"/>
      <c r="H120" s="26"/>
      <c r="I120" s="10"/>
      <c r="J120" s="10"/>
      <c r="K120" s="14"/>
      <c r="L120" s="11"/>
      <c r="M120" s="14"/>
      <c r="N120" s="14"/>
      <c r="O120" s="4"/>
      <c r="P120" s="3"/>
      <c r="Q120" s="4"/>
      <c r="R120" s="3"/>
      <c r="S120" s="3"/>
      <c r="T120" s="3"/>
      <c r="U120" s="4"/>
      <c r="V120" s="4"/>
      <c r="W120" s="4"/>
      <c r="X120" s="4"/>
      <c r="Y120" s="4"/>
      <c r="Z120" s="11"/>
      <c r="AA120" s="15"/>
      <c r="AB120" s="15"/>
      <c r="AC120" s="15"/>
      <c r="AD120" s="16"/>
      <c r="AE120" s="64"/>
      <c r="AF120" s="64"/>
      <c r="AG120" s="16"/>
      <c r="AH120" s="16"/>
      <c r="AI120" s="16"/>
      <c r="AJ120" s="15"/>
      <c r="AK120" s="15"/>
      <c r="AL120" s="15"/>
      <c r="AM120" s="15"/>
      <c r="AN120" s="15"/>
      <c r="AO120" s="15"/>
      <c r="AP120" s="3"/>
      <c r="AQ120" s="3"/>
      <c r="AR120" s="3"/>
      <c r="AS120" s="3"/>
      <c r="AT120" s="50"/>
      <c r="AU120" s="50"/>
      <c r="AV120" s="50"/>
      <c r="AW120" s="50"/>
      <c r="AX120" s="50"/>
      <c r="AY120" s="50"/>
      <c r="AZ120" s="17"/>
      <c r="BA120" s="17"/>
      <c r="BB120" s="17"/>
      <c r="BC120" s="17"/>
      <c r="BD120" s="16"/>
      <c r="BE120" s="16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29"/>
      <c r="BW120" s="29"/>
      <c r="BX120" s="29"/>
      <c r="BY120" s="94"/>
      <c r="BZ120" s="94"/>
      <c r="CA120" s="94"/>
      <c r="CB120" s="29"/>
      <c r="CC120" s="29"/>
      <c r="CD120" s="29"/>
      <c r="CE120" s="29"/>
      <c r="CF120" s="3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</row>
    <row r="121" spans="1:114" ht="11.1" customHeight="1" x14ac:dyDescent="0.25">
      <c r="A121" s="3"/>
      <c r="B121" s="3"/>
      <c r="C121" s="3"/>
      <c r="D121" s="3"/>
      <c r="E121" s="3"/>
      <c r="F121" s="26"/>
      <c r="G121" s="26"/>
      <c r="H121" s="26"/>
      <c r="I121" s="10"/>
      <c r="J121" s="10"/>
      <c r="K121" s="14"/>
      <c r="L121" s="11"/>
      <c r="M121" s="14"/>
      <c r="N121" s="14"/>
      <c r="O121" s="4"/>
      <c r="P121" s="3"/>
      <c r="Q121" s="4"/>
      <c r="R121" s="3"/>
      <c r="S121" s="3"/>
      <c r="T121" s="3"/>
      <c r="U121" s="4"/>
      <c r="V121" s="4"/>
      <c r="W121" s="4"/>
      <c r="X121" s="4"/>
      <c r="Y121" s="4"/>
      <c r="Z121" s="11"/>
      <c r="AA121" s="15"/>
      <c r="AB121" s="15"/>
      <c r="AC121" s="15"/>
      <c r="AD121" s="16"/>
      <c r="AE121" s="64"/>
      <c r="AF121" s="64"/>
      <c r="AG121" s="16"/>
      <c r="AH121" s="16"/>
      <c r="AI121" s="16"/>
      <c r="AJ121" s="15"/>
      <c r="AK121" s="15"/>
      <c r="AL121" s="15"/>
      <c r="AM121" s="15"/>
      <c r="AN121" s="15"/>
      <c r="AO121" s="15"/>
      <c r="AP121" s="3"/>
      <c r="AQ121" s="3"/>
      <c r="AR121" s="3"/>
      <c r="AS121" s="3"/>
      <c r="AT121" s="50"/>
      <c r="AU121" s="50"/>
      <c r="AV121" s="50"/>
      <c r="AW121" s="50"/>
      <c r="AX121" s="50"/>
      <c r="AY121" s="50"/>
      <c r="AZ121" s="17"/>
      <c r="BA121" s="17"/>
      <c r="BB121" s="17"/>
      <c r="BC121" s="17"/>
      <c r="BD121" s="16"/>
      <c r="BE121" s="16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29"/>
      <c r="BW121" s="29"/>
      <c r="BX121" s="29"/>
      <c r="BY121" s="94"/>
      <c r="BZ121" s="94"/>
      <c r="CA121" s="94"/>
      <c r="CB121" s="29"/>
      <c r="CC121" s="29"/>
      <c r="CD121" s="29"/>
      <c r="CE121" s="29"/>
      <c r="CF121" s="3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</row>
    <row r="122" spans="1:114" ht="11.1" customHeight="1" x14ac:dyDescent="0.25">
      <c r="A122" s="3"/>
      <c r="B122" s="3"/>
      <c r="C122" s="3"/>
      <c r="D122" s="3"/>
      <c r="E122" s="3"/>
      <c r="F122" s="26"/>
      <c r="G122" s="26"/>
      <c r="H122" s="26"/>
      <c r="I122" s="10"/>
      <c r="J122" s="10"/>
      <c r="K122" s="14"/>
      <c r="L122" s="11"/>
      <c r="M122" s="14"/>
      <c r="N122" s="14"/>
      <c r="O122" s="4"/>
      <c r="P122" s="3"/>
      <c r="Q122" s="4"/>
      <c r="R122" s="3"/>
      <c r="S122" s="3"/>
      <c r="T122" s="3"/>
      <c r="U122" s="4"/>
      <c r="V122" s="4"/>
      <c r="W122" s="4"/>
      <c r="X122" s="4"/>
      <c r="Y122" s="4"/>
      <c r="Z122" s="11"/>
      <c r="AA122" s="15"/>
      <c r="AB122" s="15"/>
      <c r="AC122" s="15"/>
      <c r="AD122" s="16"/>
      <c r="AE122" s="64"/>
      <c r="AF122" s="64"/>
      <c r="AG122" s="16"/>
      <c r="AH122" s="16"/>
      <c r="AI122" s="16"/>
      <c r="AJ122" s="15"/>
      <c r="AK122" s="15"/>
      <c r="AL122" s="15"/>
      <c r="AM122" s="15"/>
      <c r="AN122" s="15"/>
      <c r="AO122" s="15"/>
      <c r="AP122" s="3"/>
      <c r="AQ122" s="3"/>
      <c r="AR122" s="3"/>
      <c r="AS122" s="3"/>
      <c r="AT122" s="50"/>
      <c r="AU122" s="50"/>
      <c r="AV122" s="50"/>
      <c r="AW122" s="50"/>
      <c r="AX122" s="50"/>
      <c r="AY122" s="50"/>
      <c r="AZ122" s="17"/>
      <c r="BA122" s="17"/>
      <c r="BB122" s="17"/>
      <c r="BC122" s="17"/>
      <c r="BD122" s="16"/>
      <c r="BE122" s="16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29"/>
      <c r="BW122" s="29"/>
      <c r="BX122" s="29"/>
      <c r="BY122" s="94"/>
      <c r="BZ122" s="94"/>
      <c r="CA122" s="94"/>
      <c r="CB122" s="29"/>
      <c r="CC122" s="29"/>
      <c r="CD122" s="29"/>
      <c r="CE122" s="29"/>
      <c r="CF122" s="3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</row>
    <row r="123" spans="1:114" ht="11.1" customHeight="1" x14ac:dyDescent="0.25">
      <c r="A123" s="3"/>
      <c r="B123" s="3"/>
      <c r="C123" s="3"/>
      <c r="D123" s="3"/>
      <c r="E123" s="3"/>
      <c r="F123" s="26"/>
      <c r="G123" s="26"/>
      <c r="H123" s="26"/>
      <c r="I123" s="10"/>
      <c r="J123" s="10"/>
      <c r="K123" s="14"/>
      <c r="L123" s="11"/>
      <c r="M123" s="14"/>
      <c r="N123" s="14"/>
      <c r="O123" s="4"/>
      <c r="P123" s="3"/>
      <c r="Q123" s="4"/>
      <c r="R123" s="3"/>
      <c r="S123" s="3"/>
      <c r="T123" s="3"/>
      <c r="U123" s="4"/>
      <c r="V123" s="4"/>
      <c r="W123" s="4"/>
      <c r="X123" s="4"/>
      <c r="Y123" s="4"/>
      <c r="Z123" s="11"/>
      <c r="AA123" s="15"/>
      <c r="AB123" s="15"/>
      <c r="AC123" s="15"/>
      <c r="AD123" s="16"/>
      <c r="AE123" s="64"/>
      <c r="AF123" s="64"/>
      <c r="AG123" s="16"/>
      <c r="AH123" s="16"/>
      <c r="AI123" s="16"/>
      <c r="AJ123" s="15"/>
      <c r="AK123" s="15"/>
      <c r="AL123" s="15"/>
      <c r="AM123" s="15"/>
      <c r="AN123" s="15"/>
      <c r="AO123" s="15"/>
      <c r="AP123" s="3"/>
      <c r="AQ123" s="3"/>
      <c r="AR123" s="3"/>
      <c r="AS123" s="3"/>
      <c r="AT123" s="50"/>
      <c r="AU123" s="50"/>
      <c r="AV123" s="50"/>
      <c r="AW123" s="50"/>
      <c r="AX123" s="50"/>
      <c r="AY123" s="50"/>
      <c r="AZ123" s="17"/>
      <c r="BA123" s="17"/>
      <c r="BB123" s="17"/>
      <c r="BC123" s="17"/>
      <c r="BD123" s="16"/>
      <c r="BE123" s="16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29"/>
      <c r="BW123" s="29"/>
      <c r="BX123" s="29"/>
      <c r="BY123" s="94"/>
      <c r="BZ123" s="94"/>
      <c r="CA123" s="94"/>
      <c r="CB123" s="29"/>
      <c r="CC123" s="29"/>
      <c r="CD123" s="29"/>
      <c r="CE123" s="29"/>
      <c r="CF123" s="3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</row>
    <row r="124" spans="1:114" ht="11.1" customHeight="1" x14ac:dyDescent="0.25">
      <c r="A124" s="3"/>
      <c r="B124" s="3"/>
      <c r="C124" s="3"/>
      <c r="D124" s="3"/>
      <c r="E124" s="3"/>
      <c r="F124" s="26"/>
      <c r="G124" s="26"/>
      <c r="H124" s="26"/>
      <c r="I124" s="10"/>
      <c r="J124" s="10"/>
      <c r="K124" s="14"/>
      <c r="L124" s="11"/>
      <c r="M124" s="14"/>
      <c r="N124" s="14"/>
      <c r="O124" s="4"/>
      <c r="P124" s="3"/>
      <c r="Q124" s="4"/>
      <c r="R124" s="3"/>
      <c r="S124" s="3"/>
      <c r="T124" s="3"/>
      <c r="U124" s="4"/>
      <c r="V124" s="4"/>
      <c r="W124" s="4"/>
      <c r="X124" s="4"/>
      <c r="Y124" s="4"/>
      <c r="Z124" s="11"/>
      <c r="AA124" s="15"/>
      <c r="AB124" s="15"/>
      <c r="AC124" s="15"/>
      <c r="AD124" s="16"/>
      <c r="AE124" s="64"/>
      <c r="AF124" s="64"/>
      <c r="AG124" s="16"/>
      <c r="AH124" s="16"/>
      <c r="AI124" s="16"/>
      <c r="AJ124" s="15"/>
      <c r="AK124" s="15"/>
      <c r="AL124" s="15"/>
      <c r="AM124" s="15"/>
      <c r="AN124" s="15"/>
      <c r="AO124" s="15"/>
      <c r="AP124" s="3"/>
      <c r="AQ124" s="3"/>
      <c r="AR124" s="3"/>
      <c r="AS124" s="3"/>
      <c r="AT124" s="50"/>
      <c r="AU124" s="50"/>
      <c r="AV124" s="50"/>
      <c r="AW124" s="50"/>
      <c r="AX124" s="50"/>
      <c r="AY124" s="50"/>
      <c r="AZ124" s="17"/>
      <c r="BA124" s="17"/>
      <c r="BB124" s="17"/>
      <c r="BC124" s="17"/>
      <c r="BD124" s="16"/>
      <c r="BE124" s="16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29"/>
      <c r="BW124" s="29"/>
      <c r="BX124" s="29"/>
      <c r="BY124" s="94"/>
      <c r="BZ124" s="94"/>
      <c r="CA124" s="94"/>
      <c r="CB124" s="29"/>
      <c r="CC124" s="29"/>
      <c r="CD124" s="29"/>
      <c r="CE124" s="29"/>
      <c r="CF124" s="3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</row>
    <row r="125" spans="1:114" ht="11.1" customHeight="1" x14ac:dyDescent="0.25">
      <c r="A125" s="3"/>
      <c r="B125" s="3"/>
      <c r="C125" s="3"/>
      <c r="D125" s="3"/>
      <c r="E125" s="3"/>
      <c r="F125" s="26"/>
      <c r="G125" s="26"/>
      <c r="H125" s="26"/>
      <c r="I125" s="10"/>
      <c r="J125" s="10"/>
      <c r="K125" s="14"/>
      <c r="L125" s="11"/>
      <c r="M125" s="14"/>
      <c r="N125" s="14"/>
      <c r="O125" s="4"/>
      <c r="P125" s="3"/>
      <c r="Q125" s="4"/>
      <c r="R125" s="3"/>
      <c r="S125" s="3"/>
      <c r="T125" s="3"/>
      <c r="U125" s="4"/>
      <c r="V125" s="4"/>
      <c r="W125" s="4"/>
      <c r="X125" s="4"/>
      <c r="Y125" s="4"/>
      <c r="Z125" s="11"/>
      <c r="AA125" s="15"/>
      <c r="AB125" s="15"/>
      <c r="AC125" s="15"/>
      <c r="AD125" s="16"/>
      <c r="AE125" s="64"/>
      <c r="AF125" s="64"/>
      <c r="AG125" s="16"/>
      <c r="AH125" s="16"/>
      <c r="AI125" s="16"/>
      <c r="AJ125" s="15"/>
      <c r="AK125" s="15"/>
      <c r="AL125" s="15"/>
      <c r="AM125" s="15"/>
      <c r="AN125" s="15"/>
      <c r="AO125" s="15"/>
      <c r="AP125" s="3"/>
      <c r="AQ125" s="3"/>
      <c r="AR125" s="3"/>
      <c r="AS125" s="3"/>
      <c r="AT125" s="50"/>
      <c r="AU125" s="50"/>
      <c r="AV125" s="50"/>
      <c r="AW125" s="50"/>
      <c r="AX125" s="50"/>
      <c r="AY125" s="50"/>
      <c r="AZ125" s="17"/>
      <c r="BA125" s="17"/>
      <c r="BB125" s="17"/>
      <c r="BC125" s="17"/>
      <c r="BD125" s="16"/>
      <c r="BE125" s="16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29"/>
      <c r="BW125" s="29"/>
      <c r="BX125" s="29"/>
      <c r="BY125" s="94"/>
      <c r="BZ125" s="94"/>
      <c r="CA125" s="94"/>
      <c r="CB125" s="29"/>
      <c r="CC125" s="29"/>
      <c r="CD125" s="29"/>
      <c r="CE125" s="29"/>
      <c r="CF125" s="3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</row>
    <row r="126" spans="1:114" ht="11.1" customHeight="1" x14ac:dyDescent="0.25">
      <c r="A126" s="3"/>
      <c r="B126" s="3"/>
      <c r="C126" s="3"/>
      <c r="D126" s="3"/>
      <c r="E126" s="3"/>
      <c r="F126" s="26"/>
      <c r="G126" s="26"/>
      <c r="H126" s="26"/>
      <c r="I126" s="10"/>
      <c r="J126" s="10"/>
      <c r="K126" s="14"/>
      <c r="L126" s="11"/>
      <c r="M126" s="14"/>
      <c r="N126" s="14"/>
      <c r="O126" s="4"/>
      <c r="P126" s="3"/>
      <c r="Q126" s="4"/>
      <c r="R126" s="3"/>
      <c r="S126" s="3"/>
      <c r="T126" s="3"/>
      <c r="U126" s="4"/>
      <c r="V126" s="4"/>
      <c r="W126" s="4"/>
      <c r="X126" s="4"/>
      <c r="Y126" s="4"/>
      <c r="Z126" s="11"/>
      <c r="AA126" s="15"/>
      <c r="AB126" s="15"/>
      <c r="AC126" s="15"/>
      <c r="AD126" s="16"/>
      <c r="AE126" s="64"/>
      <c r="AF126" s="64"/>
      <c r="AG126" s="16"/>
      <c r="AH126" s="16"/>
      <c r="AI126" s="16"/>
      <c r="AJ126" s="15"/>
      <c r="AK126" s="15"/>
      <c r="AL126" s="15"/>
      <c r="AM126" s="15"/>
      <c r="AN126" s="15"/>
      <c r="AO126" s="15"/>
      <c r="AP126" s="3"/>
      <c r="AQ126" s="3"/>
      <c r="AR126" s="3"/>
      <c r="AS126" s="3"/>
      <c r="AT126" s="50"/>
      <c r="AU126" s="50"/>
      <c r="AV126" s="50"/>
      <c r="AW126" s="50"/>
      <c r="AX126" s="50"/>
      <c r="AY126" s="50"/>
      <c r="AZ126" s="17"/>
      <c r="BA126" s="17"/>
      <c r="BB126" s="17"/>
      <c r="BC126" s="17"/>
      <c r="BD126" s="16"/>
      <c r="BE126" s="16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29"/>
      <c r="BW126" s="29"/>
      <c r="BX126" s="29"/>
      <c r="BY126" s="94"/>
      <c r="BZ126" s="94"/>
      <c r="CA126" s="94"/>
      <c r="CB126" s="29"/>
      <c r="CC126" s="29"/>
      <c r="CD126" s="29"/>
      <c r="CE126" s="29"/>
      <c r="CF126" s="3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</row>
    <row r="127" spans="1:114" ht="11.1" customHeight="1" x14ac:dyDescent="0.25">
      <c r="A127" s="3"/>
      <c r="B127" s="3"/>
      <c r="C127" s="3"/>
      <c r="D127" s="3"/>
      <c r="E127" s="3"/>
      <c r="F127" s="26"/>
      <c r="G127" s="26"/>
      <c r="H127" s="26"/>
      <c r="I127" s="10"/>
      <c r="J127" s="10"/>
      <c r="K127" s="14"/>
      <c r="L127" s="11"/>
      <c r="M127" s="14"/>
      <c r="N127" s="14"/>
      <c r="O127" s="4"/>
      <c r="P127" s="3"/>
      <c r="Q127" s="4"/>
      <c r="R127" s="3"/>
      <c r="S127" s="3"/>
      <c r="T127" s="3"/>
      <c r="U127" s="4"/>
      <c r="V127" s="4"/>
      <c r="W127" s="4"/>
      <c r="X127" s="4"/>
      <c r="Y127" s="4"/>
      <c r="Z127" s="11"/>
      <c r="AA127" s="15"/>
      <c r="AB127" s="15"/>
      <c r="AC127" s="15"/>
      <c r="AD127" s="16"/>
      <c r="AE127" s="64"/>
      <c r="AF127" s="64"/>
      <c r="AG127" s="16"/>
      <c r="AH127" s="16"/>
      <c r="AI127" s="16"/>
      <c r="AJ127" s="15"/>
      <c r="AK127" s="15"/>
      <c r="AL127" s="15"/>
      <c r="AM127" s="15"/>
      <c r="AN127" s="15"/>
      <c r="AO127" s="15"/>
      <c r="AP127" s="3"/>
      <c r="AQ127" s="3"/>
      <c r="AR127" s="3"/>
      <c r="AS127" s="3"/>
      <c r="AT127" s="50"/>
      <c r="AU127" s="50"/>
      <c r="AV127" s="50"/>
      <c r="AW127" s="50"/>
      <c r="AX127" s="50"/>
      <c r="AY127" s="50"/>
      <c r="AZ127" s="17"/>
      <c r="BA127" s="17"/>
      <c r="BB127" s="17"/>
      <c r="BC127" s="17"/>
      <c r="BD127" s="16"/>
      <c r="BE127" s="16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29"/>
      <c r="BW127" s="29"/>
      <c r="BX127" s="29"/>
      <c r="BY127" s="94"/>
      <c r="BZ127" s="94"/>
      <c r="CA127" s="94"/>
      <c r="CB127" s="29"/>
      <c r="CC127" s="29"/>
      <c r="CD127" s="29"/>
      <c r="CE127" s="29"/>
      <c r="CF127" s="3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</row>
    <row r="128" spans="1:114" ht="11.1" customHeight="1" x14ac:dyDescent="0.25">
      <c r="A128" s="3"/>
      <c r="B128" s="3"/>
      <c r="C128" s="3"/>
      <c r="D128" s="3"/>
      <c r="E128" s="3"/>
      <c r="F128" s="26"/>
      <c r="G128" s="26"/>
      <c r="H128" s="26"/>
      <c r="I128" s="10"/>
      <c r="J128" s="10"/>
      <c r="K128" s="14"/>
      <c r="L128" s="11"/>
      <c r="M128" s="14"/>
      <c r="N128" s="14"/>
      <c r="O128" s="4"/>
      <c r="P128" s="3"/>
      <c r="Q128" s="4"/>
      <c r="R128" s="3"/>
      <c r="S128" s="3"/>
      <c r="T128" s="3"/>
      <c r="U128" s="4"/>
      <c r="V128" s="4"/>
      <c r="W128" s="4"/>
      <c r="X128" s="4"/>
      <c r="Y128" s="4"/>
      <c r="Z128" s="11"/>
      <c r="AA128" s="15"/>
      <c r="AB128" s="15"/>
      <c r="AC128" s="15"/>
      <c r="AD128" s="16"/>
      <c r="AE128" s="64"/>
      <c r="AF128" s="64"/>
      <c r="AG128" s="16"/>
      <c r="AH128" s="16"/>
      <c r="AI128" s="16"/>
      <c r="AJ128" s="15"/>
      <c r="AK128" s="15"/>
      <c r="AL128" s="15"/>
      <c r="AM128" s="15"/>
      <c r="AN128" s="15"/>
      <c r="AO128" s="15"/>
      <c r="AP128" s="3"/>
      <c r="AQ128" s="3"/>
      <c r="AR128" s="3"/>
      <c r="AS128" s="3"/>
      <c r="AT128" s="50"/>
      <c r="AU128" s="50"/>
      <c r="AV128" s="50"/>
      <c r="AW128" s="50"/>
      <c r="AX128" s="50"/>
      <c r="AY128" s="50"/>
      <c r="AZ128" s="17"/>
      <c r="BA128" s="17"/>
      <c r="BB128" s="17"/>
      <c r="BC128" s="17"/>
      <c r="BD128" s="16"/>
      <c r="BE128" s="16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29"/>
      <c r="BW128" s="29"/>
      <c r="BX128" s="29"/>
      <c r="BY128" s="94"/>
      <c r="BZ128" s="94"/>
      <c r="CA128" s="94"/>
      <c r="CB128" s="29"/>
      <c r="CC128" s="29"/>
      <c r="CD128" s="29"/>
      <c r="CE128" s="29"/>
      <c r="CF128" s="3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</row>
    <row r="129" spans="1:114" ht="11.1" customHeight="1" x14ac:dyDescent="0.25">
      <c r="A129" s="3"/>
      <c r="B129" s="3"/>
      <c r="C129" s="3"/>
      <c r="D129" s="3"/>
      <c r="E129" s="3"/>
      <c r="F129" s="26"/>
      <c r="G129" s="26"/>
      <c r="H129" s="26"/>
      <c r="I129" s="10"/>
      <c r="J129" s="10"/>
      <c r="K129" s="14"/>
      <c r="L129" s="11"/>
      <c r="M129" s="14"/>
      <c r="N129" s="14"/>
      <c r="O129" s="4"/>
      <c r="P129" s="3"/>
      <c r="Q129" s="4"/>
      <c r="R129" s="3"/>
      <c r="S129" s="3"/>
      <c r="T129" s="3"/>
      <c r="U129" s="4"/>
      <c r="V129" s="4"/>
      <c r="W129" s="4"/>
      <c r="X129" s="4"/>
      <c r="Y129" s="4"/>
      <c r="Z129" s="11"/>
      <c r="AA129" s="15"/>
      <c r="AB129" s="15"/>
      <c r="AC129" s="15"/>
      <c r="AD129" s="16"/>
      <c r="AE129" s="64"/>
      <c r="AF129" s="64"/>
      <c r="AG129" s="16"/>
      <c r="AH129" s="16"/>
      <c r="AI129" s="16"/>
      <c r="AJ129" s="15"/>
      <c r="AK129" s="15"/>
      <c r="AL129" s="15"/>
      <c r="AM129" s="15"/>
      <c r="AN129" s="15"/>
      <c r="AO129" s="15"/>
      <c r="AP129" s="3"/>
      <c r="AQ129" s="3"/>
      <c r="AR129" s="3"/>
      <c r="AS129" s="3"/>
      <c r="AT129" s="50"/>
      <c r="AU129" s="50"/>
      <c r="AV129" s="50"/>
      <c r="AW129" s="50"/>
      <c r="AX129" s="50"/>
      <c r="AY129" s="50"/>
      <c r="AZ129" s="17"/>
      <c r="BA129" s="17"/>
      <c r="BB129" s="17"/>
      <c r="BC129" s="17"/>
      <c r="BD129" s="16"/>
      <c r="BE129" s="16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29"/>
      <c r="BW129" s="29"/>
      <c r="BX129" s="29"/>
      <c r="BY129" s="94"/>
      <c r="BZ129" s="94"/>
      <c r="CA129" s="94"/>
      <c r="CB129" s="29"/>
      <c r="CC129" s="29"/>
      <c r="CD129" s="29"/>
      <c r="CE129" s="29"/>
      <c r="CF129" s="3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</row>
    <row r="130" spans="1:114" ht="11.1" customHeight="1" x14ac:dyDescent="0.25">
      <c r="A130" s="3"/>
      <c r="B130" s="3"/>
      <c r="C130" s="3"/>
      <c r="D130" s="3"/>
      <c r="E130" s="3"/>
      <c r="F130" s="26"/>
      <c r="G130" s="26"/>
      <c r="H130" s="26"/>
      <c r="I130" s="10"/>
      <c r="J130" s="10"/>
      <c r="K130" s="14"/>
      <c r="L130" s="11"/>
      <c r="M130" s="14"/>
      <c r="N130" s="14"/>
      <c r="O130" s="4"/>
      <c r="P130" s="3"/>
      <c r="Q130" s="4"/>
      <c r="R130" s="3"/>
      <c r="S130" s="3"/>
      <c r="T130" s="3"/>
      <c r="U130" s="4"/>
      <c r="V130" s="4"/>
      <c r="W130" s="4"/>
      <c r="X130" s="4"/>
      <c r="Y130" s="4"/>
      <c r="Z130" s="11"/>
      <c r="AA130" s="15"/>
      <c r="AB130" s="15"/>
      <c r="AC130" s="15"/>
      <c r="AD130" s="16"/>
      <c r="AE130" s="64"/>
      <c r="AF130" s="64"/>
      <c r="AG130" s="16"/>
      <c r="AH130" s="16"/>
      <c r="AI130" s="16"/>
      <c r="AJ130" s="15"/>
      <c r="AK130" s="15"/>
      <c r="AL130" s="15"/>
      <c r="AM130" s="15"/>
      <c r="AN130" s="15"/>
      <c r="AO130" s="15"/>
      <c r="AP130" s="3"/>
      <c r="AQ130" s="3"/>
      <c r="AR130" s="3"/>
      <c r="AS130" s="3"/>
      <c r="AT130" s="50"/>
      <c r="AU130" s="50"/>
      <c r="AV130" s="50"/>
      <c r="AW130" s="50"/>
      <c r="AX130" s="50"/>
      <c r="AY130" s="50"/>
      <c r="AZ130" s="17"/>
      <c r="BA130" s="17"/>
      <c r="BB130" s="17"/>
      <c r="BC130" s="17"/>
      <c r="BD130" s="16"/>
      <c r="BE130" s="16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29"/>
      <c r="BW130" s="29"/>
      <c r="BX130" s="29"/>
      <c r="BY130" s="94"/>
      <c r="BZ130" s="94"/>
      <c r="CA130" s="94"/>
      <c r="CB130" s="29"/>
      <c r="CC130" s="29"/>
      <c r="CD130" s="29"/>
      <c r="CE130" s="29"/>
      <c r="CF130" s="3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</row>
    <row r="131" spans="1:114" ht="11.1" customHeight="1" x14ac:dyDescent="0.25">
      <c r="A131" s="3"/>
      <c r="B131" s="3"/>
      <c r="C131" s="3"/>
      <c r="D131" s="3"/>
      <c r="E131" s="3"/>
      <c r="F131" s="26"/>
      <c r="G131" s="26"/>
      <c r="H131" s="26"/>
      <c r="I131" s="10"/>
      <c r="J131" s="10"/>
      <c r="K131" s="14"/>
      <c r="L131" s="11"/>
      <c r="M131" s="14"/>
      <c r="N131" s="14"/>
      <c r="O131" s="4"/>
      <c r="P131" s="3"/>
      <c r="Q131" s="4"/>
      <c r="R131" s="3"/>
      <c r="S131" s="3"/>
      <c r="T131" s="3"/>
      <c r="U131" s="4"/>
      <c r="V131" s="4"/>
      <c r="W131" s="4"/>
      <c r="X131" s="4"/>
      <c r="Y131" s="4"/>
      <c r="Z131" s="11"/>
      <c r="AA131" s="15"/>
      <c r="AB131" s="15"/>
      <c r="AC131" s="15"/>
      <c r="AD131" s="16"/>
      <c r="AE131" s="64"/>
      <c r="AF131" s="64"/>
      <c r="AG131" s="16"/>
      <c r="AH131" s="16"/>
      <c r="AI131" s="16"/>
      <c r="AJ131" s="15"/>
      <c r="AK131" s="15"/>
      <c r="AL131" s="15"/>
      <c r="AM131" s="15"/>
      <c r="AN131" s="15"/>
      <c r="AO131" s="15"/>
      <c r="AP131" s="3"/>
      <c r="AQ131" s="3"/>
      <c r="AR131" s="3"/>
      <c r="AS131" s="3"/>
      <c r="AT131" s="50"/>
      <c r="AU131" s="50"/>
      <c r="AV131" s="50"/>
      <c r="AW131" s="50"/>
      <c r="AX131" s="50"/>
      <c r="AY131" s="50"/>
      <c r="AZ131" s="17"/>
      <c r="BA131" s="17"/>
      <c r="BB131" s="17"/>
      <c r="BC131" s="17"/>
      <c r="BD131" s="16"/>
      <c r="BE131" s="16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29"/>
      <c r="BW131" s="29"/>
      <c r="BX131" s="29"/>
      <c r="BY131" s="94"/>
      <c r="BZ131" s="94"/>
      <c r="CA131" s="94"/>
      <c r="CB131" s="29"/>
      <c r="CC131" s="29"/>
      <c r="CD131" s="29"/>
      <c r="CE131" s="29"/>
      <c r="CF131" s="3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</row>
    <row r="132" spans="1:114" ht="11.1" customHeight="1" x14ac:dyDescent="0.25">
      <c r="A132" s="3"/>
      <c r="B132" s="3"/>
      <c r="C132" s="3"/>
      <c r="D132" s="3"/>
      <c r="E132" s="3"/>
      <c r="F132" s="26"/>
      <c r="G132" s="26"/>
      <c r="H132" s="26"/>
      <c r="I132" s="10"/>
      <c r="J132" s="10"/>
      <c r="K132" s="14"/>
      <c r="L132" s="11"/>
      <c r="M132" s="14"/>
      <c r="N132" s="14"/>
      <c r="O132" s="4"/>
      <c r="P132" s="3"/>
      <c r="Q132" s="4"/>
      <c r="R132" s="3"/>
      <c r="S132" s="3"/>
      <c r="T132" s="3"/>
      <c r="U132" s="4"/>
      <c r="V132" s="4"/>
      <c r="W132" s="4"/>
      <c r="X132" s="4"/>
      <c r="Y132" s="4"/>
      <c r="Z132" s="11"/>
      <c r="AA132" s="15"/>
      <c r="AB132" s="15"/>
      <c r="AC132" s="15"/>
      <c r="AD132" s="16"/>
      <c r="AE132" s="64"/>
      <c r="AF132" s="64"/>
      <c r="AG132" s="16"/>
      <c r="AH132" s="16"/>
      <c r="AI132" s="16"/>
      <c r="AJ132" s="15"/>
      <c r="AK132" s="15"/>
      <c r="AL132" s="15"/>
      <c r="AM132" s="15"/>
      <c r="AN132" s="15"/>
      <c r="AO132" s="15"/>
      <c r="AP132" s="3"/>
      <c r="AQ132" s="3"/>
      <c r="AR132" s="3"/>
      <c r="AS132" s="3"/>
      <c r="AT132" s="50"/>
      <c r="AU132" s="50"/>
      <c r="AV132" s="50"/>
      <c r="AW132" s="50"/>
      <c r="AX132" s="50"/>
      <c r="AY132" s="50"/>
      <c r="AZ132" s="17"/>
      <c r="BA132" s="17"/>
      <c r="BB132" s="17"/>
      <c r="BC132" s="17"/>
      <c r="BD132" s="16"/>
      <c r="BE132" s="16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29"/>
      <c r="BW132" s="29"/>
      <c r="BX132" s="29"/>
      <c r="BY132" s="94"/>
      <c r="BZ132" s="94"/>
      <c r="CA132" s="94"/>
      <c r="CB132" s="29"/>
      <c r="CC132" s="29"/>
      <c r="CD132" s="29"/>
      <c r="CE132" s="29"/>
      <c r="CF132" s="3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</row>
    <row r="133" spans="1:114" ht="11.1" customHeight="1" x14ac:dyDescent="0.25">
      <c r="A133" s="3"/>
      <c r="B133" s="3"/>
      <c r="C133" s="3"/>
      <c r="D133" s="3"/>
      <c r="E133" s="3"/>
      <c r="F133" s="26"/>
      <c r="G133" s="26"/>
      <c r="H133" s="26"/>
      <c r="I133" s="10"/>
      <c r="J133" s="10"/>
      <c r="K133" s="14"/>
      <c r="L133" s="11"/>
      <c r="M133" s="14"/>
      <c r="N133" s="14"/>
      <c r="O133" s="4"/>
      <c r="P133" s="3"/>
      <c r="Q133" s="4"/>
      <c r="R133" s="3"/>
      <c r="S133" s="3"/>
      <c r="T133" s="3"/>
      <c r="U133" s="4"/>
      <c r="V133" s="4"/>
      <c r="W133" s="4"/>
      <c r="X133" s="4"/>
      <c r="Y133" s="4"/>
      <c r="Z133" s="11"/>
      <c r="AA133" s="15"/>
      <c r="AB133" s="15"/>
      <c r="AC133" s="15"/>
      <c r="AD133" s="16"/>
      <c r="AE133" s="64"/>
      <c r="AF133" s="64"/>
      <c r="AG133" s="16"/>
      <c r="AH133" s="16"/>
      <c r="AI133" s="16"/>
      <c r="AJ133" s="15"/>
      <c r="AK133" s="15"/>
      <c r="AL133" s="15"/>
      <c r="AM133" s="15"/>
      <c r="AN133" s="15"/>
      <c r="AO133" s="15"/>
      <c r="AP133" s="3"/>
      <c r="AQ133" s="3"/>
      <c r="AR133" s="3"/>
      <c r="AS133" s="3"/>
      <c r="AT133" s="50"/>
      <c r="AU133" s="50"/>
      <c r="AV133" s="50"/>
      <c r="AW133" s="50"/>
      <c r="AX133" s="50"/>
      <c r="AY133" s="50"/>
      <c r="AZ133" s="17"/>
      <c r="BA133" s="17"/>
      <c r="BB133" s="17"/>
      <c r="BC133" s="17"/>
      <c r="BD133" s="16"/>
      <c r="BE133" s="16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29"/>
      <c r="BW133" s="29"/>
      <c r="BX133" s="29"/>
      <c r="BY133" s="94"/>
      <c r="BZ133" s="94"/>
      <c r="CA133" s="94"/>
      <c r="CB133" s="29"/>
      <c r="CC133" s="29"/>
      <c r="CD133" s="29"/>
      <c r="CE133" s="29"/>
      <c r="CF133" s="3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</row>
    <row r="134" spans="1:114" ht="11.1" customHeight="1" x14ac:dyDescent="0.25">
      <c r="A134" s="3"/>
      <c r="B134" s="3"/>
      <c r="C134" s="3"/>
      <c r="D134" s="3"/>
      <c r="E134" s="3"/>
      <c r="F134" s="26"/>
      <c r="G134" s="26"/>
      <c r="H134" s="26"/>
      <c r="I134" s="10"/>
      <c r="J134" s="10"/>
      <c r="K134" s="14"/>
      <c r="L134" s="11"/>
      <c r="M134" s="14"/>
      <c r="N134" s="14"/>
      <c r="O134" s="4"/>
      <c r="P134" s="3"/>
      <c r="Q134" s="4"/>
      <c r="R134" s="3"/>
      <c r="S134" s="3"/>
      <c r="T134" s="3"/>
      <c r="U134" s="4"/>
      <c r="V134" s="4"/>
      <c r="W134" s="4"/>
      <c r="X134" s="4"/>
      <c r="Y134" s="4"/>
      <c r="Z134" s="11"/>
      <c r="AA134" s="15"/>
      <c r="AB134" s="15"/>
      <c r="AC134" s="15"/>
      <c r="AD134" s="16"/>
      <c r="AE134" s="64"/>
      <c r="AF134" s="64"/>
      <c r="AG134" s="16"/>
      <c r="AH134" s="16"/>
      <c r="AI134" s="16"/>
      <c r="AJ134" s="15"/>
      <c r="AK134" s="15"/>
      <c r="AL134" s="15"/>
      <c r="AM134" s="15"/>
      <c r="AN134" s="15"/>
      <c r="AO134" s="15"/>
      <c r="AP134" s="3"/>
      <c r="AQ134" s="3"/>
      <c r="AR134" s="3"/>
      <c r="AS134" s="3"/>
      <c r="AT134" s="50"/>
      <c r="AU134" s="50"/>
      <c r="AV134" s="50"/>
      <c r="AW134" s="50"/>
      <c r="AX134" s="50"/>
      <c r="AY134" s="50"/>
      <c r="AZ134" s="17"/>
      <c r="BA134" s="17"/>
      <c r="BB134" s="17"/>
      <c r="BC134" s="17"/>
      <c r="BD134" s="16"/>
      <c r="BE134" s="16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29"/>
      <c r="BW134" s="29"/>
      <c r="BX134" s="29"/>
      <c r="BY134" s="94"/>
      <c r="BZ134" s="94"/>
      <c r="CA134" s="94"/>
      <c r="CB134" s="29"/>
      <c r="CC134" s="29"/>
      <c r="CD134" s="29"/>
      <c r="CE134" s="29"/>
      <c r="CF134" s="3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</row>
    <row r="135" spans="1:114" ht="11.1" customHeight="1" x14ac:dyDescent="0.25">
      <c r="A135" s="3"/>
      <c r="B135" s="3"/>
      <c r="C135" s="3"/>
      <c r="D135" s="3"/>
      <c r="E135" s="3"/>
      <c r="F135" s="26"/>
      <c r="G135" s="26"/>
      <c r="H135" s="26"/>
      <c r="I135" s="10"/>
      <c r="J135" s="10"/>
      <c r="K135" s="14"/>
      <c r="L135" s="11"/>
      <c r="M135" s="14"/>
      <c r="N135" s="14"/>
      <c r="O135" s="4"/>
      <c r="P135" s="3"/>
      <c r="Q135" s="4"/>
      <c r="R135" s="3"/>
      <c r="S135" s="3"/>
      <c r="T135" s="3"/>
      <c r="U135" s="4"/>
      <c r="V135" s="4"/>
      <c r="W135" s="4"/>
      <c r="X135" s="4"/>
      <c r="Y135" s="4"/>
      <c r="Z135" s="11"/>
      <c r="AA135" s="15"/>
      <c r="AB135" s="15"/>
      <c r="AC135" s="15"/>
      <c r="AD135" s="16"/>
      <c r="AE135" s="64"/>
      <c r="AF135" s="64"/>
      <c r="AG135" s="16"/>
      <c r="AH135" s="16"/>
      <c r="AI135" s="16"/>
      <c r="AJ135" s="15"/>
      <c r="AK135" s="15"/>
      <c r="AL135" s="15"/>
      <c r="AM135" s="15"/>
      <c r="AN135" s="15"/>
      <c r="AO135" s="15"/>
      <c r="AP135" s="3"/>
      <c r="AQ135" s="3"/>
      <c r="AR135" s="3"/>
      <c r="AS135" s="3"/>
      <c r="AT135" s="50"/>
      <c r="AU135" s="50"/>
      <c r="AV135" s="50"/>
      <c r="AW135" s="50"/>
      <c r="AX135" s="50"/>
      <c r="AY135" s="50"/>
      <c r="AZ135" s="17"/>
      <c r="BA135" s="17"/>
      <c r="BB135" s="17"/>
      <c r="BC135" s="17"/>
      <c r="BD135" s="16"/>
      <c r="BE135" s="16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29"/>
      <c r="BW135" s="29"/>
      <c r="BX135" s="29"/>
      <c r="BY135" s="94"/>
      <c r="BZ135" s="94"/>
      <c r="CA135" s="94"/>
      <c r="CB135" s="29"/>
      <c r="CC135" s="29"/>
      <c r="CD135" s="29"/>
      <c r="CE135" s="29"/>
      <c r="CF135" s="3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</row>
    <row r="136" spans="1:114" ht="11.1" customHeight="1" x14ac:dyDescent="0.25">
      <c r="A136" s="3"/>
      <c r="B136" s="3"/>
      <c r="C136" s="3"/>
      <c r="D136" s="3"/>
      <c r="E136" s="3"/>
      <c r="F136" s="26"/>
      <c r="G136" s="26"/>
      <c r="H136" s="26"/>
      <c r="I136" s="10"/>
      <c r="J136" s="10"/>
      <c r="K136" s="14"/>
      <c r="L136" s="11"/>
      <c r="M136" s="14"/>
      <c r="N136" s="14"/>
      <c r="O136" s="4"/>
      <c r="P136" s="3"/>
      <c r="Q136" s="4"/>
      <c r="R136" s="3"/>
      <c r="S136" s="3"/>
      <c r="T136" s="3"/>
      <c r="U136" s="4"/>
      <c r="V136" s="4"/>
      <c r="W136" s="4"/>
      <c r="X136" s="4"/>
      <c r="Y136" s="4"/>
      <c r="Z136" s="11"/>
      <c r="AA136" s="15"/>
      <c r="AB136" s="15"/>
      <c r="AC136" s="15"/>
      <c r="AD136" s="16"/>
      <c r="AE136" s="64"/>
      <c r="AF136" s="64"/>
      <c r="AG136" s="16"/>
      <c r="AH136" s="16"/>
      <c r="AI136" s="16"/>
      <c r="AJ136" s="15"/>
      <c r="AK136" s="15"/>
      <c r="AL136" s="15"/>
      <c r="AM136" s="15"/>
      <c r="AN136" s="15"/>
      <c r="AO136" s="15"/>
      <c r="AP136" s="3"/>
      <c r="AQ136" s="3"/>
      <c r="AR136" s="3"/>
      <c r="AS136" s="3"/>
      <c r="AT136" s="50"/>
      <c r="AU136" s="50"/>
      <c r="AV136" s="50"/>
      <c r="AW136" s="50"/>
      <c r="AX136" s="50"/>
      <c r="AY136" s="50"/>
      <c r="AZ136" s="17"/>
      <c r="BA136" s="17"/>
      <c r="BB136" s="17"/>
      <c r="BC136" s="17"/>
      <c r="BD136" s="16"/>
      <c r="BE136" s="16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29"/>
      <c r="BW136" s="29"/>
      <c r="BX136" s="29"/>
      <c r="BY136" s="94"/>
      <c r="BZ136" s="94"/>
      <c r="CA136" s="94"/>
      <c r="CB136" s="29"/>
      <c r="CC136" s="29"/>
      <c r="CD136" s="29"/>
      <c r="CE136" s="29"/>
      <c r="CF136" s="3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</row>
    <row r="137" spans="1:114" ht="11.1" customHeight="1" x14ac:dyDescent="0.25">
      <c r="A137" s="3"/>
      <c r="B137" s="3"/>
      <c r="C137" s="3"/>
      <c r="D137" s="3"/>
      <c r="E137" s="3"/>
      <c r="F137" s="26"/>
      <c r="G137" s="26"/>
      <c r="H137" s="26"/>
      <c r="I137" s="10"/>
      <c r="J137" s="10"/>
      <c r="K137" s="14"/>
      <c r="L137" s="11"/>
      <c r="M137" s="14"/>
      <c r="N137" s="14"/>
      <c r="O137" s="4"/>
      <c r="P137" s="3"/>
      <c r="Q137" s="4"/>
      <c r="R137" s="3"/>
      <c r="S137" s="3"/>
      <c r="T137" s="3"/>
      <c r="U137" s="4"/>
      <c r="V137" s="4"/>
      <c r="W137" s="4"/>
      <c r="X137" s="4"/>
      <c r="Y137" s="4"/>
      <c r="Z137" s="11"/>
      <c r="AA137" s="15"/>
      <c r="AB137" s="15"/>
      <c r="AC137" s="15"/>
      <c r="AD137" s="16"/>
      <c r="AE137" s="64"/>
      <c r="AF137" s="64"/>
      <c r="AG137" s="16"/>
      <c r="AH137" s="16"/>
      <c r="AI137" s="16"/>
      <c r="AJ137" s="15"/>
      <c r="AK137" s="15"/>
      <c r="AL137" s="15"/>
      <c r="AM137" s="15"/>
      <c r="AN137" s="15"/>
      <c r="AO137" s="15"/>
      <c r="AP137" s="3"/>
      <c r="AQ137" s="3"/>
      <c r="AR137" s="3"/>
      <c r="AS137" s="3"/>
      <c r="AT137" s="50"/>
      <c r="AU137" s="50"/>
      <c r="AV137" s="50"/>
      <c r="AW137" s="50"/>
      <c r="AX137" s="50"/>
      <c r="AY137" s="50"/>
      <c r="AZ137" s="17"/>
      <c r="BA137" s="17"/>
      <c r="BB137" s="17"/>
      <c r="BC137" s="17"/>
      <c r="BD137" s="16"/>
      <c r="BE137" s="16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29"/>
      <c r="BW137" s="29"/>
      <c r="BX137" s="29"/>
      <c r="BY137" s="94"/>
      <c r="BZ137" s="94"/>
      <c r="CA137" s="94"/>
      <c r="CB137" s="29"/>
      <c r="CC137" s="29"/>
      <c r="CD137" s="29"/>
      <c r="CE137" s="29"/>
      <c r="CF137" s="3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</row>
    <row r="138" spans="1:114" ht="11.1" customHeight="1" x14ac:dyDescent="0.25">
      <c r="A138" s="3"/>
      <c r="B138" s="3"/>
      <c r="C138" s="3"/>
      <c r="D138" s="3"/>
      <c r="E138" s="3"/>
      <c r="F138" s="26"/>
      <c r="G138" s="26"/>
      <c r="H138" s="26"/>
      <c r="I138" s="10"/>
      <c r="J138" s="10"/>
      <c r="K138" s="14"/>
      <c r="L138" s="11"/>
      <c r="M138" s="14"/>
      <c r="N138" s="14"/>
      <c r="O138" s="4"/>
      <c r="P138" s="3"/>
      <c r="Q138" s="4"/>
      <c r="R138" s="3"/>
      <c r="S138" s="3"/>
      <c r="T138" s="3"/>
      <c r="U138" s="4"/>
      <c r="V138" s="4"/>
      <c r="W138" s="4"/>
      <c r="X138" s="4"/>
      <c r="Y138" s="4"/>
      <c r="Z138" s="11"/>
      <c r="AA138" s="15"/>
      <c r="AB138" s="15"/>
      <c r="AC138" s="15"/>
      <c r="AD138" s="16"/>
      <c r="AE138" s="64"/>
      <c r="AF138" s="64"/>
      <c r="AG138" s="16"/>
      <c r="AH138" s="16"/>
      <c r="AI138" s="16"/>
      <c r="AJ138" s="15"/>
      <c r="AK138" s="15"/>
      <c r="AL138" s="15"/>
      <c r="AM138" s="15"/>
      <c r="AN138" s="15"/>
      <c r="AO138" s="15"/>
      <c r="AP138" s="3"/>
      <c r="AQ138" s="3"/>
      <c r="AR138" s="3"/>
      <c r="AS138" s="3"/>
      <c r="AT138" s="50"/>
      <c r="AU138" s="50"/>
      <c r="AV138" s="50"/>
      <c r="AW138" s="50"/>
      <c r="AX138" s="50"/>
      <c r="AY138" s="50"/>
      <c r="AZ138" s="17"/>
      <c r="BA138" s="17"/>
      <c r="BB138" s="17"/>
      <c r="BC138" s="17"/>
      <c r="BD138" s="16"/>
      <c r="BE138" s="16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29"/>
      <c r="BW138" s="29"/>
      <c r="BX138" s="29"/>
      <c r="BY138" s="94"/>
      <c r="BZ138" s="94"/>
      <c r="CA138" s="94"/>
      <c r="CB138" s="29"/>
      <c r="CC138" s="29"/>
      <c r="CD138" s="29"/>
      <c r="CE138" s="29"/>
      <c r="CF138" s="3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</row>
    <row r="139" spans="1:114" ht="11.1" customHeight="1" x14ac:dyDescent="0.25">
      <c r="A139" s="3"/>
      <c r="B139" s="3"/>
      <c r="C139" s="3"/>
      <c r="D139" s="3"/>
      <c r="E139" s="3"/>
      <c r="F139" s="26"/>
      <c r="G139" s="26"/>
      <c r="H139" s="26"/>
      <c r="I139" s="10"/>
      <c r="J139" s="10"/>
      <c r="K139" s="14"/>
      <c r="L139" s="11"/>
      <c r="M139" s="14"/>
      <c r="N139" s="14"/>
      <c r="O139" s="4"/>
      <c r="P139" s="3"/>
      <c r="Q139" s="4"/>
      <c r="R139" s="3"/>
      <c r="S139" s="3"/>
      <c r="T139" s="3"/>
      <c r="U139" s="4"/>
      <c r="V139" s="4"/>
      <c r="W139" s="4"/>
      <c r="X139" s="4"/>
      <c r="Y139" s="4"/>
      <c r="Z139" s="11"/>
      <c r="AA139" s="15"/>
      <c r="AB139" s="15"/>
      <c r="AC139" s="15"/>
      <c r="AD139" s="16"/>
      <c r="AE139" s="64"/>
      <c r="AF139" s="64"/>
      <c r="AG139" s="16"/>
      <c r="AH139" s="16"/>
      <c r="AI139" s="16"/>
      <c r="AJ139" s="15"/>
      <c r="AK139" s="15"/>
      <c r="AL139" s="15"/>
      <c r="AM139" s="15"/>
      <c r="AN139" s="15"/>
      <c r="AO139" s="15"/>
      <c r="AP139" s="3"/>
      <c r="AQ139" s="3"/>
      <c r="AR139" s="3"/>
      <c r="AS139" s="3"/>
      <c r="AT139" s="50"/>
      <c r="AU139" s="50"/>
      <c r="AV139" s="50"/>
      <c r="AW139" s="50"/>
      <c r="AX139" s="50"/>
      <c r="AY139" s="50"/>
      <c r="AZ139" s="17"/>
      <c r="BA139" s="17"/>
      <c r="BB139" s="17"/>
      <c r="BC139" s="17"/>
      <c r="BD139" s="16"/>
      <c r="BE139" s="16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29"/>
      <c r="BW139" s="29"/>
      <c r="BX139" s="29"/>
      <c r="BY139" s="94"/>
      <c r="BZ139" s="94"/>
      <c r="CA139" s="94"/>
      <c r="CB139" s="29"/>
      <c r="CC139" s="29"/>
      <c r="CD139" s="29"/>
      <c r="CE139" s="29"/>
      <c r="CF139" s="3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</row>
    <row r="140" spans="1:114" ht="11.1" customHeight="1" x14ac:dyDescent="0.25">
      <c r="A140" s="3"/>
      <c r="B140" s="3"/>
      <c r="C140" s="3"/>
      <c r="D140" s="3"/>
      <c r="E140" s="3"/>
      <c r="F140" s="26"/>
      <c r="G140" s="26"/>
      <c r="H140" s="26"/>
      <c r="I140" s="10"/>
      <c r="J140" s="10"/>
      <c r="K140" s="14"/>
      <c r="L140" s="11"/>
      <c r="M140" s="14"/>
      <c r="N140" s="14"/>
      <c r="O140" s="4"/>
      <c r="P140" s="3"/>
      <c r="Q140" s="4"/>
      <c r="R140" s="3"/>
      <c r="S140" s="3"/>
      <c r="T140" s="3"/>
      <c r="U140" s="4"/>
      <c r="V140" s="4"/>
      <c r="W140" s="4"/>
      <c r="X140" s="4"/>
      <c r="Y140" s="4"/>
      <c r="Z140" s="11"/>
      <c r="AA140" s="15"/>
      <c r="AB140" s="15"/>
      <c r="AC140" s="15"/>
      <c r="AD140" s="16"/>
      <c r="AE140" s="64"/>
      <c r="AF140" s="64"/>
      <c r="AG140" s="16"/>
      <c r="AH140" s="16"/>
      <c r="AI140" s="16"/>
      <c r="AJ140" s="15"/>
      <c r="AK140" s="15"/>
      <c r="AL140" s="15"/>
      <c r="AM140" s="15"/>
      <c r="AN140" s="15"/>
      <c r="AO140" s="15"/>
      <c r="AP140" s="3"/>
      <c r="AQ140" s="3"/>
      <c r="AR140" s="3"/>
      <c r="AS140" s="3"/>
      <c r="AT140" s="50"/>
      <c r="AU140" s="50"/>
      <c r="AV140" s="50"/>
      <c r="AW140" s="50"/>
      <c r="AX140" s="50"/>
      <c r="AY140" s="50"/>
      <c r="AZ140" s="17"/>
      <c r="BA140" s="17"/>
      <c r="BB140" s="17"/>
      <c r="BC140" s="17"/>
      <c r="BD140" s="16"/>
      <c r="BE140" s="16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29"/>
      <c r="BW140" s="29"/>
      <c r="BX140" s="29"/>
      <c r="BY140" s="94"/>
      <c r="BZ140" s="94"/>
      <c r="CA140" s="94"/>
      <c r="CB140" s="29"/>
      <c r="CC140" s="29"/>
      <c r="CD140" s="29"/>
      <c r="CE140" s="29"/>
      <c r="CF140" s="3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</row>
    <row r="141" spans="1:114" ht="11.1" customHeight="1" x14ac:dyDescent="0.25">
      <c r="A141" s="3"/>
      <c r="B141" s="3"/>
      <c r="C141" s="3"/>
      <c r="D141" s="3"/>
      <c r="E141" s="3"/>
      <c r="F141" s="26"/>
      <c r="G141" s="26"/>
      <c r="H141" s="26"/>
      <c r="I141" s="10"/>
      <c r="J141" s="10"/>
      <c r="K141" s="14"/>
      <c r="L141" s="11"/>
      <c r="M141" s="14"/>
      <c r="N141" s="14"/>
      <c r="O141" s="4"/>
      <c r="P141" s="3"/>
      <c r="Q141" s="4"/>
      <c r="R141" s="3"/>
      <c r="S141" s="3"/>
      <c r="T141" s="3"/>
      <c r="U141" s="4"/>
      <c r="V141" s="4"/>
      <c r="W141" s="4"/>
      <c r="X141" s="4"/>
      <c r="Y141" s="4"/>
      <c r="Z141" s="11"/>
      <c r="AA141" s="15"/>
      <c r="AB141" s="15"/>
      <c r="AC141" s="15"/>
      <c r="AD141" s="16"/>
      <c r="AE141" s="64"/>
      <c r="AF141" s="64"/>
      <c r="AG141" s="16"/>
      <c r="AH141" s="16"/>
      <c r="AI141" s="16"/>
      <c r="AJ141" s="15"/>
      <c r="AK141" s="15"/>
      <c r="AL141" s="15"/>
      <c r="AM141" s="15"/>
      <c r="AN141" s="15"/>
      <c r="AO141" s="15"/>
      <c r="AP141" s="3"/>
      <c r="AQ141" s="3"/>
      <c r="AR141" s="3"/>
      <c r="AS141" s="3"/>
      <c r="AT141" s="50"/>
      <c r="AU141" s="50"/>
      <c r="AV141" s="50"/>
      <c r="AW141" s="50"/>
      <c r="AX141" s="50"/>
      <c r="AY141" s="50"/>
      <c r="AZ141" s="17"/>
      <c r="BA141" s="17"/>
      <c r="BB141" s="17"/>
      <c r="BC141" s="17"/>
      <c r="BD141" s="16"/>
      <c r="BE141" s="16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29"/>
      <c r="BW141" s="29"/>
      <c r="BX141" s="29"/>
      <c r="BY141" s="94"/>
      <c r="BZ141" s="94"/>
      <c r="CA141" s="94"/>
      <c r="CB141" s="29"/>
      <c r="CC141" s="29"/>
      <c r="CD141" s="29"/>
      <c r="CE141" s="29"/>
      <c r="CF141" s="3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</row>
    <row r="142" spans="1:114" ht="11.1" customHeight="1" x14ac:dyDescent="0.25">
      <c r="A142" s="3"/>
      <c r="B142" s="3"/>
      <c r="C142" s="3"/>
      <c r="D142" s="3"/>
      <c r="E142" s="3"/>
      <c r="F142" s="26"/>
      <c r="G142" s="26"/>
      <c r="H142" s="26"/>
      <c r="I142" s="10"/>
      <c r="J142" s="10"/>
      <c r="K142" s="14"/>
      <c r="L142" s="11"/>
      <c r="M142" s="14"/>
      <c r="N142" s="14"/>
      <c r="O142" s="4"/>
      <c r="P142" s="3"/>
      <c r="Q142" s="4"/>
      <c r="R142" s="3"/>
      <c r="S142" s="3"/>
      <c r="T142" s="3"/>
      <c r="U142" s="4"/>
      <c r="V142" s="4"/>
      <c r="W142" s="4"/>
      <c r="X142" s="4"/>
      <c r="Y142" s="4"/>
      <c r="Z142" s="11"/>
      <c r="AA142" s="15"/>
      <c r="AB142" s="15"/>
      <c r="AC142" s="15"/>
      <c r="AD142" s="16"/>
      <c r="AE142" s="64"/>
      <c r="AF142" s="64"/>
      <c r="AG142" s="16"/>
      <c r="AH142" s="16"/>
      <c r="AI142" s="16"/>
      <c r="AJ142" s="15"/>
      <c r="AK142" s="15"/>
      <c r="AL142" s="15"/>
      <c r="AM142" s="15"/>
      <c r="AN142" s="15"/>
      <c r="AO142" s="15"/>
      <c r="AP142" s="3"/>
      <c r="AQ142" s="3"/>
      <c r="AR142" s="3"/>
      <c r="AS142" s="3"/>
      <c r="AT142" s="50"/>
      <c r="AU142" s="50"/>
      <c r="AV142" s="50"/>
      <c r="AW142" s="50"/>
      <c r="AX142" s="50"/>
      <c r="AY142" s="50"/>
      <c r="AZ142" s="17"/>
      <c r="BA142" s="17"/>
      <c r="BB142" s="17"/>
      <c r="BC142" s="17"/>
      <c r="BD142" s="16"/>
      <c r="BE142" s="16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29"/>
      <c r="BW142" s="29"/>
      <c r="BX142" s="29"/>
      <c r="BY142" s="94"/>
      <c r="BZ142" s="94"/>
      <c r="CA142" s="94"/>
      <c r="CB142" s="29"/>
      <c r="CC142" s="29"/>
      <c r="CD142" s="29"/>
      <c r="CE142" s="29"/>
      <c r="CF142" s="3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</row>
    <row r="143" spans="1:114" ht="11.1" customHeight="1" x14ac:dyDescent="0.25">
      <c r="A143" s="3"/>
      <c r="B143" s="3"/>
      <c r="C143" s="3"/>
      <c r="D143" s="3"/>
      <c r="E143" s="3"/>
      <c r="F143" s="26"/>
      <c r="G143" s="26"/>
      <c r="H143" s="26"/>
      <c r="I143" s="10"/>
      <c r="J143" s="10"/>
      <c r="K143" s="14"/>
      <c r="L143" s="11"/>
      <c r="M143" s="14"/>
      <c r="N143" s="14"/>
      <c r="O143" s="4"/>
      <c r="P143" s="3"/>
      <c r="Q143" s="4"/>
      <c r="R143" s="3"/>
      <c r="S143" s="3"/>
      <c r="T143" s="3"/>
      <c r="U143" s="4"/>
      <c r="V143" s="4"/>
      <c r="W143" s="4"/>
      <c r="X143" s="4"/>
      <c r="Y143" s="4"/>
      <c r="Z143" s="11"/>
      <c r="AA143" s="15"/>
      <c r="AB143" s="15"/>
      <c r="AC143" s="15"/>
      <c r="AD143" s="16"/>
      <c r="AE143" s="64"/>
      <c r="AF143" s="64"/>
      <c r="AG143" s="16"/>
      <c r="AH143" s="16"/>
      <c r="AI143" s="16"/>
      <c r="AJ143" s="15"/>
      <c r="AK143" s="15"/>
      <c r="AL143" s="15"/>
      <c r="AM143" s="15"/>
      <c r="AN143" s="15"/>
      <c r="AO143" s="15"/>
      <c r="AP143" s="3"/>
      <c r="AQ143" s="3"/>
      <c r="AR143" s="3"/>
      <c r="AS143" s="3"/>
      <c r="AT143" s="50"/>
      <c r="AU143" s="50"/>
      <c r="AV143" s="50"/>
      <c r="AW143" s="50"/>
      <c r="AX143" s="50"/>
      <c r="AY143" s="50"/>
      <c r="AZ143" s="17"/>
      <c r="BA143" s="17"/>
      <c r="BB143" s="17"/>
      <c r="BC143" s="17"/>
      <c r="BD143" s="16"/>
      <c r="BE143" s="16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29"/>
      <c r="BW143" s="29"/>
      <c r="BX143" s="29"/>
      <c r="BY143" s="94"/>
      <c r="BZ143" s="94"/>
      <c r="CA143" s="94"/>
      <c r="CB143" s="29"/>
      <c r="CC143" s="29"/>
      <c r="CD143" s="29"/>
      <c r="CE143" s="29"/>
      <c r="CF143" s="3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</row>
    <row r="144" spans="1:114" ht="11.1" customHeight="1" x14ac:dyDescent="0.25">
      <c r="A144" s="3"/>
      <c r="B144" s="3"/>
      <c r="C144" s="3"/>
      <c r="D144" s="3"/>
      <c r="E144" s="3"/>
      <c r="F144" s="26"/>
      <c r="G144" s="26"/>
      <c r="H144" s="26"/>
      <c r="I144" s="10"/>
      <c r="J144" s="10"/>
      <c r="K144" s="14"/>
      <c r="L144" s="11"/>
      <c r="M144" s="14"/>
      <c r="N144" s="14"/>
      <c r="O144" s="4"/>
      <c r="P144" s="3"/>
      <c r="Q144" s="4"/>
      <c r="R144" s="3"/>
      <c r="S144" s="3"/>
      <c r="T144" s="3"/>
      <c r="U144" s="4"/>
      <c r="V144" s="4"/>
      <c r="W144" s="4"/>
      <c r="X144" s="4"/>
      <c r="Y144" s="4"/>
      <c r="Z144" s="11"/>
      <c r="AA144" s="15"/>
      <c r="AB144" s="15"/>
      <c r="AC144" s="15"/>
      <c r="AD144" s="16"/>
      <c r="AE144" s="64"/>
      <c r="AF144" s="64"/>
      <c r="AG144" s="16"/>
      <c r="AH144" s="16"/>
      <c r="AI144" s="16"/>
      <c r="AJ144" s="15"/>
      <c r="AK144" s="15"/>
      <c r="AL144" s="15"/>
      <c r="AM144" s="15"/>
      <c r="AN144" s="15"/>
      <c r="AO144" s="15"/>
      <c r="AP144" s="3"/>
      <c r="AQ144" s="3"/>
      <c r="AR144" s="3"/>
      <c r="AS144" s="3"/>
      <c r="AT144" s="50"/>
      <c r="AU144" s="50"/>
      <c r="AV144" s="50"/>
      <c r="AW144" s="50"/>
      <c r="AX144" s="50"/>
      <c r="AY144" s="50"/>
      <c r="AZ144" s="17"/>
      <c r="BA144" s="17"/>
      <c r="BB144" s="17"/>
      <c r="BC144" s="17"/>
      <c r="BD144" s="16"/>
      <c r="BE144" s="16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29"/>
      <c r="BW144" s="29"/>
      <c r="BX144" s="29"/>
      <c r="BY144" s="94"/>
      <c r="BZ144" s="94"/>
      <c r="CA144" s="94"/>
      <c r="CB144" s="29"/>
      <c r="CC144" s="29"/>
      <c r="CD144" s="29"/>
      <c r="CE144" s="29"/>
      <c r="CF144" s="3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</row>
    <row r="145" spans="1:114" ht="11.1" customHeight="1" x14ac:dyDescent="0.25">
      <c r="A145" s="3"/>
      <c r="B145" s="3"/>
      <c r="C145" s="3"/>
      <c r="D145" s="3"/>
      <c r="E145" s="3"/>
      <c r="F145" s="26"/>
      <c r="G145" s="26"/>
      <c r="H145" s="26"/>
      <c r="I145" s="10"/>
      <c r="J145" s="10"/>
      <c r="K145" s="14"/>
      <c r="L145" s="11"/>
      <c r="M145" s="14"/>
      <c r="N145" s="14"/>
      <c r="O145" s="4"/>
      <c r="P145" s="3"/>
      <c r="Q145" s="4"/>
      <c r="R145" s="3"/>
      <c r="S145" s="3"/>
      <c r="T145" s="3"/>
      <c r="U145" s="4"/>
      <c r="V145" s="4"/>
      <c r="W145" s="4"/>
      <c r="X145" s="4"/>
      <c r="Y145" s="4"/>
      <c r="Z145" s="11"/>
      <c r="AA145" s="15"/>
      <c r="AB145" s="15"/>
      <c r="AC145" s="15"/>
      <c r="AD145" s="16"/>
      <c r="AE145" s="64"/>
      <c r="AF145" s="64"/>
      <c r="AG145" s="16"/>
      <c r="AH145" s="16"/>
      <c r="AI145" s="16"/>
      <c r="AJ145" s="15"/>
      <c r="AK145" s="15"/>
      <c r="AL145" s="15"/>
      <c r="AM145" s="15"/>
      <c r="AN145" s="15"/>
      <c r="AO145" s="15"/>
      <c r="AP145" s="3"/>
      <c r="AQ145" s="3"/>
      <c r="AR145" s="3"/>
      <c r="AS145" s="3"/>
      <c r="AT145" s="50"/>
      <c r="AU145" s="50"/>
      <c r="AV145" s="50"/>
      <c r="AW145" s="50"/>
      <c r="AX145" s="50"/>
      <c r="AY145" s="50"/>
      <c r="AZ145" s="17"/>
      <c r="BA145" s="17"/>
      <c r="BB145" s="17"/>
      <c r="BC145" s="17"/>
      <c r="BD145" s="16"/>
      <c r="BE145" s="16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29"/>
      <c r="BW145" s="29"/>
      <c r="BX145" s="29"/>
      <c r="BY145" s="94"/>
      <c r="BZ145" s="94"/>
      <c r="CA145" s="94"/>
      <c r="CB145" s="29"/>
      <c r="CC145" s="29"/>
      <c r="CD145" s="29"/>
      <c r="CE145" s="29"/>
      <c r="CF145" s="3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</row>
    <row r="146" spans="1:114" ht="11.1" customHeight="1" x14ac:dyDescent="0.25">
      <c r="A146" s="3"/>
      <c r="B146" s="3"/>
      <c r="C146" s="3"/>
      <c r="D146" s="3"/>
      <c r="E146" s="3"/>
      <c r="F146" s="26"/>
      <c r="G146" s="26"/>
      <c r="H146" s="26"/>
      <c r="I146" s="10"/>
      <c r="J146" s="10"/>
      <c r="K146" s="14"/>
      <c r="L146" s="11"/>
      <c r="M146" s="14"/>
      <c r="N146" s="14"/>
      <c r="O146" s="4"/>
      <c r="P146" s="3"/>
      <c r="Q146" s="4"/>
      <c r="R146" s="3"/>
      <c r="S146" s="3"/>
      <c r="T146" s="3"/>
      <c r="U146" s="4"/>
      <c r="V146" s="4"/>
      <c r="W146" s="4"/>
      <c r="X146" s="4"/>
      <c r="Y146" s="4"/>
      <c r="Z146" s="11"/>
      <c r="AA146" s="15"/>
      <c r="AB146" s="15"/>
      <c r="AC146" s="15"/>
      <c r="AD146" s="16"/>
      <c r="AE146" s="64"/>
      <c r="AF146" s="64"/>
      <c r="AG146" s="16"/>
      <c r="AH146" s="16"/>
      <c r="AI146" s="16"/>
      <c r="AJ146" s="15"/>
      <c r="AK146" s="15"/>
      <c r="AL146" s="15"/>
      <c r="AM146" s="15"/>
      <c r="AN146" s="15"/>
      <c r="AO146" s="15"/>
      <c r="AP146" s="3"/>
      <c r="AQ146" s="3"/>
      <c r="AR146" s="3"/>
      <c r="AS146" s="3"/>
      <c r="AT146" s="50"/>
      <c r="AU146" s="50"/>
      <c r="AV146" s="50"/>
      <c r="AW146" s="50"/>
      <c r="AX146" s="50"/>
      <c r="AY146" s="50"/>
      <c r="AZ146" s="17"/>
      <c r="BA146" s="17"/>
      <c r="BB146" s="17"/>
      <c r="BC146" s="17"/>
      <c r="BD146" s="16"/>
      <c r="BE146" s="16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29"/>
      <c r="BW146" s="29"/>
      <c r="BX146" s="29"/>
      <c r="BY146" s="94"/>
      <c r="BZ146" s="94"/>
      <c r="CA146" s="94"/>
      <c r="CB146" s="29"/>
      <c r="CC146" s="29"/>
      <c r="CD146" s="29"/>
      <c r="CE146" s="29"/>
      <c r="CF146" s="3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</row>
    <row r="147" spans="1:114" ht="11.1" customHeight="1" x14ac:dyDescent="0.25">
      <c r="A147" s="3"/>
      <c r="B147" s="3"/>
      <c r="C147" s="3"/>
      <c r="D147" s="3"/>
      <c r="E147" s="3"/>
      <c r="F147" s="26"/>
      <c r="G147" s="26"/>
      <c r="H147" s="26"/>
      <c r="I147" s="10"/>
      <c r="J147" s="10"/>
      <c r="K147" s="14"/>
      <c r="L147" s="11"/>
      <c r="M147" s="14"/>
      <c r="N147" s="14"/>
      <c r="O147" s="4"/>
      <c r="P147" s="3"/>
      <c r="Q147" s="4"/>
      <c r="R147" s="3"/>
      <c r="S147" s="3"/>
      <c r="T147" s="3"/>
      <c r="U147" s="4"/>
      <c r="V147" s="4"/>
      <c r="W147" s="4"/>
      <c r="X147" s="4"/>
      <c r="Y147" s="4"/>
      <c r="Z147" s="11"/>
      <c r="AA147" s="15"/>
      <c r="AB147" s="15"/>
      <c r="AC147" s="15"/>
      <c r="AD147" s="16"/>
      <c r="AE147" s="64"/>
      <c r="AF147" s="64"/>
      <c r="AG147" s="16"/>
      <c r="AH147" s="16"/>
      <c r="AI147" s="16"/>
      <c r="AJ147" s="15"/>
      <c r="AK147" s="15"/>
      <c r="AL147" s="15"/>
      <c r="AM147" s="15"/>
      <c r="AN147" s="15"/>
      <c r="AO147" s="15"/>
      <c r="AP147" s="3"/>
      <c r="AQ147" s="3"/>
      <c r="AR147" s="3"/>
      <c r="AS147" s="3"/>
      <c r="AT147" s="50"/>
      <c r="AU147" s="50"/>
      <c r="AV147" s="50"/>
      <c r="AW147" s="50"/>
      <c r="AX147" s="50"/>
      <c r="AY147" s="50"/>
      <c r="AZ147" s="17"/>
      <c r="BA147" s="17"/>
      <c r="BB147" s="17"/>
      <c r="BC147" s="17"/>
      <c r="BD147" s="16"/>
      <c r="BE147" s="16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29"/>
      <c r="BW147" s="29"/>
      <c r="BX147" s="29"/>
      <c r="BY147" s="94"/>
      <c r="BZ147" s="94"/>
      <c r="CA147" s="94"/>
      <c r="CB147" s="29"/>
      <c r="CC147" s="29"/>
      <c r="CD147" s="29"/>
      <c r="CE147" s="29"/>
      <c r="CF147" s="3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</row>
    <row r="148" spans="1:114" ht="11.1" customHeight="1" x14ac:dyDescent="0.25">
      <c r="A148" s="3"/>
      <c r="B148" s="3"/>
      <c r="C148" s="3"/>
      <c r="D148" s="3"/>
      <c r="E148" s="3"/>
      <c r="F148" s="26"/>
      <c r="G148" s="26"/>
      <c r="H148" s="26"/>
      <c r="I148" s="10"/>
      <c r="J148" s="10"/>
      <c r="K148" s="14"/>
      <c r="L148" s="11"/>
      <c r="M148" s="14"/>
      <c r="N148" s="14"/>
      <c r="O148" s="4"/>
      <c r="P148" s="3"/>
      <c r="Q148" s="4"/>
      <c r="R148" s="3"/>
      <c r="S148" s="3"/>
      <c r="T148" s="3"/>
      <c r="U148" s="4"/>
      <c r="V148" s="4"/>
      <c r="W148" s="4"/>
      <c r="X148" s="4"/>
      <c r="Y148" s="4"/>
      <c r="Z148" s="11"/>
      <c r="AA148" s="15"/>
      <c r="AB148" s="15"/>
      <c r="AC148" s="15"/>
      <c r="AD148" s="16"/>
      <c r="AE148" s="64"/>
      <c r="AF148" s="64"/>
      <c r="AG148" s="16"/>
      <c r="AH148" s="16"/>
      <c r="AI148" s="16"/>
      <c r="AJ148" s="15"/>
      <c r="AK148" s="15"/>
      <c r="AL148" s="15"/>
      <c r="AM148" s="15"/>
      <c r="AN148" s="15"/>
      <c r="AO148" s="15"/>
      <c r="AP148" s="3"/>
      <c r="AQ148" s="3"/>
      <c r="AR148" s="3"/>
      <c r="AS148" s="3"/>
      <c r="AT148" s="50"/>
      <c r="AU148" s="50"/>
      <c r="AV148" s="50"/>
      <c r="AW148" s="50"/>
      <c r="AX148" s="50"/>
      <c r="AY148" s="50"/>
      <c r="AZ148" s="17"/>
      <c r="BA148" s="17"/>
      <c r="BB148" s="17"/>
      <c r="BC148" s="17"/>
      <c r="BD148" s="16"/>
      <c r="BE148" s="16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29"/>
      <c r="BW148" s="29"/>
      <c r="BX148" s="29"/>
      <c r="BY148" s="94"/>
      <c r="BZ148" s="94"/>
      <c r="CA148" s="94"/>
      <c r="CB148" s="29"/>
      <c r="CC148" s="29"/>
      <c r="CD148" s="29"/>
      <c r="CE148" s="29"/>
      <c r="CF148" s="3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</row>
    <row r="149" spans="1:114" ht="11.1" customHeight="1" x14ac:dyDescent="0.25">
      <c r="A149" s="3"/>
      <c r="B149" s="3"/>
      <c r="C149" s="3"/>
      <c r="D149" s="3"/>
      <c r="E149" s="3"/>
      <c r="F149" s="26"/>
      <c r="G149" s="26"/>
      <c r="H149" s="26"/>
      <c r="I149" s="10"/>
      <c r="J149" s="10"/>
      <c r="K149" s="14"/>
      <c r="L149" s="11"/>
      <c r="M149" s="14"/>
      <c r="N149" s="14"/>
      <c r="O149" s="4"/>
      <c r="P149" s="3"/>
      <c r="Q149" s="4"/>
      <c r="R149" s="3"/>
      <c r="S149" s="3"/>
      <c r="T149" s="3"/>
      <c r="U149" s="4"/>
      <c r="V149" s="4"/>
      <c r="W149" s="4"/>
      <c r="X149" s="4"/>
      <c r="Y149" s="4"/>
      <c r="Z149" s="11"/>
      <c r="AA149" s="15"/>
      <c r="AB149" s="15"/>
      <c r="AC149" s="15"/>
      <c r="AD149" s="16"/>
      <c r="AE149" s="64"/>
      <c r="AF149" s="64"/>
      <c r="AG149" s="16"/>
      <c r="AH149" s="16"/>
      <c r="AI149" s="16"/>
      <c r="AJ149" s="15"/>
      <c r="AK149" s="15"/>
      <c r="AL149" s="15"/>
      <c r="AM149" s="15"/>
      <c r="AN149" s="15"/>
      <c r="AO149" s="15"/>
      <c r="AP149" s="3"/>
      <c r="AQ149" s="3"/>
      <c r="AR149" s="3"/>
      <c r="AS149" s="3"/>
      <c r="AT149" s="50"/>
      <c r="AU149" s="50"/>
      <c r="AV149" s="50"/>
      <c r="AW149" s="50"/>
      <c r="AX149" s="50"/>
      <c r="AY149" s="50"/>
      <c r="AZ149" s="17"/>
      <c r="BA149" s="17"/>
      <c r="BB149" s="17"/>
      <c r="BC149" s="17"/>
      <c r="BD149" s="16"/>
      <c r="BE149" s="16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29"/>
      <c r="BW149" s="29"/>
      <c r="BX149" s="29"/>
      <c r="BY149" s="94"/>
      <c r="BZ149" s="94"/>
      <c r="CA149" s="94"/>
      <c r="CB149" s="29"/>
      <c r="CC149" s="29"/>
      <c r="CD149" s="29"/>
      <c r="CE149" s="29"/>
      <c r="CF149" s="3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</row>
    <row r="150" spans="1:114" ht="11.1" customHeight="1" x14ac:dyDescent="0.25">
      <c r="A150" s="3"/>
      <c r="B150" s="3"/>
      <c r="C150" s="3"/>
      <c r="D150" s="3"/>
      <c r="E150" s="3"/>
      <c r="F150" s="26"/>
      <c r="G150" s="26"/>
      <c r="H150" s="26"/>
      <c r="I150" s="10"/>
      <c r="J150" s="10"/>
      <c r="K150" s="14"/>
      <c r="L150" s="11"/>
      <c r="M150" s="14"/>
      <c r="N150" s="14"/>
      <c r="O150" s="4"/>
      <c r="P150" s="3"/>
      <c r="Q150" s="4"/>
      <c r="R150" s="3"/>
      <c r="S150" s="3"/>
      <c r="T150" s="3"/>
      <c r="U150" s="4"/>
      <c r="V150" s="4"/>
      <c r="W150" s="4"/>
      <c r="X150" s="4"/>
      <c r="Y150" s="4"/>
      <c r="Z150" s="11"/>
      <c r="AA150" s="15"/>
      <c r="AB150" s="15"/>
      <c r="AC150" s="15"/>
      <c r="AD150" s="16"/>
      <c r="AE150" s="64"/>
      <c r="AF150" s="64"/>
      <c r="AG150" s="16"/>
      <c r="AH150" s="16"/>
      <c r="AI150" s="16"/>
      <c r="AJ150" s="15"/>
      <c r="AK150" s="15"/>
      <c r="AL150" s="15"/>
      <c r="AM150" s="15"/>
      <c r="AN150" s="15"/>
      <c r="AO150" s="15"/>
      <c r="AP150" s="3"/>
      <c r="AQ150" s="3"/>
      <c r="AR150" s="3"/>
      <c r="AS150" s="3"/>
      <c r="AT150" s="50"/>
      <c r="AU150" s="50"/>
      <c r="AV150" s="50"/>
      <c r="AW150" s="50"/>
      <c r="AX150" s="50"/>
      <c r="AY150" s="50"/>
      <c r="AZ150" s="17"/>
      <c r="BA150" s="17"/>
      <c r="BB150" s="17"/>
      <c r="BC150" s="17"/>
      <c r="BD150" s="16"/>
      <c r="BE150" s="16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29"/>
      <c r="BW150" s="29"/>
      <c r="BX150" s="29"/>
      <c r="BY150" s="94"/>
      <c r="BZ150" s="94"/>
      <c r="CA150" s="94"/>
      <c r="CB150" s="29"/>
      <c r="CC150" s="29"/>
      <c r="CD150" s="29"/>
      <c r="CE150" s="29"/>
      <c r="CF150" s="3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</row>
    <row r="151" spans="1:114" ht="11.1" customHeight="1" x14ac:dyDescent="0.25">
      <c r="A151" s="3"/>
      <c r="B151" s="3"/>
      <c r="C151" s="3"/>
      <c r="D151" s="3"/>
      <c r="E151" s="3"/>
      <c r="F151" s="26"/>
      <c r="G151" s="26"/>
      <c r="H151" s="26"/>
      <c r="I151" s="10"/>
      <c r="J151" s="10"/>
      <c r="K151" s="14"/>
      <c r="L151" s="11"/>
      <c r="M151" s="14"/>
      <c r="N151" s="14"/>
      <c r="O151" s="4"/>
      <c r="P151" s="3"/>
      <c r="Q151" s="4"/>
      <c r="R151" s="3"/>
      <c r="S151" s="3"/>
      <c r="T151" s="3"/>
      <c r="U151" s="4"/>
      <c r="V151" s="4"/>
      <c r="W151" s="4"/>
      <c r="X151" s="4"/>
      <c r="Y151" s="4"/>
      <c r="Z151" s="11"/>
      <c r="AA151" s="15"/>
      <c r="AB151" s="15"/>
      <c r="AC151" s="15"/>
      <c r="AD151" s="16"/>
      <c r="AE151" s="64"/>
      <c r="AF151" s="64"/>
      <c r="AG151" s="16"/>
      <c r="AH151" s="16"/>
      <c r="AI151" s="16"/>
      <c r="AJ151" s="15"/>
      <c r="AK151" s="15"/>
      <c r="AL151" s="15"/>
      <c r="AM151" s="15"/>
      <c r="AN151" s="15"/>
      <c r="AO151" s="15"/>
      <c r="AP151" s="3"/>
      <c r="AQ151" s="3"/>
      <c r="AR151" s="3"/>
      <c r="AS151" s="3"/>
      <c r="AT151" s="50"/>
      <c r="AU151" s="50"/>
      <c r="AV151" s="50"/>
      <c r="AW151" s="50"/>
      <c r="AX151" s="50"/>
      <c r="AY151" s="50"/>
      <c r="AZ151" s="17"/>
      <c r="BA151" s="17"/>
      <c r="BB151" s="17"/>
      <c r="BC151" s="17"/>
      <c r="BD151" s="16"/>
      <c r="BE151" s="16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29"/>
      <c r="BW151" s="29"/>
      <c r="BX151" s="29"/>
      <c r="BY151" s="94"/>
      <c r="BZ151" s="94"/>
      <c r="CA151" s="94"/>
      <c r="CB151" s="29"/>
      <c r="CC151" s="29"/>
      <c r="CD151" s="29"/>
      <c r="CE151" s="29"/>
      <c r="CF151" s="3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</row>
    <row r="152" spans="1:114" ht="11.1" customHeight="1" x14ac:dyDescent="0.25">
      <c r="A152" s="3"/>
      <c r="B152" s="3"/>
      <c r="C152" s="3"/>
      <c r="D152" s="3"/>
      <c r="E152" s="3"/>
      <c r="F152" s="26"/>
      <c r="G152" s="26"/>
      <c r="H152" s="26"/>
      <c r="I152" s="10"/>
      <c r="J152" s="10"/>
      <c r="K152" s="14"/>
      <c r="L152" s="11"/>
      <c r="M152" s="14"/>
      <c r="N152" s="14"/>
      <c r="O152" s="4"/>
      <c r="P152" s="3"/>
      <c r="Q152" s="4"/>
      <c r="R152" s="3"/>
      <c r="S152" s="3"/>
      <c r="T152" s="3"/>
      <c r="U152" s="4"/>
      <c r="V152" s="4"/>
      <c r="W152" s="4"/>
      <c r="X152" s="4"/>
      <c r="Y152" s="4"/>
      <c r="Z152" s="11"/>
      <c r="AA152" s="15"/>
      <c r="AB152" s="15"/>
      <c r="AC152" s="15"/>
      <c r="AD152" s="16"/>
      <c r="AE152" s="64"/>
      <c r="AF152" s="64"/>
      <c r="AG152" s="16"/>
      <c r="AH152" s="16"/>
      <c r="AI152" s="16"/>
      <c r="AJ152" s="15"/>
      <c r="AK152" s="15"/>
      <c r="AL152" s="15"/>
      <c r="AM152" s="15"/>
      <c r="AN152" s="15"/>
      <c r="AO152" s="15"/>
      <c r="AP152" s="3"/>
      <c r="AQ152" s="3"/>
      <c r="AR152" s="3"/>
      <c r="AS152" s="3"/>
      <c r="AT152" s="50"/>
      <c r="AU152" s="50"/>
      <c r="AV152" s="50"/>
      <c r="AW152" s="50"/>
      <c r="AX152" s="50"/>
      <c r="AY152" s="50"/>
      <c r="AZ152" s="17"/>
      <c r="BA152" s="17"/>
      <c r="BB152" s="17"/>
      <c r="BC152" s="17"/>
      <c r="BD152" s="16"/>
      <c r="BE152" s="16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29"/>
      <c r="BW152" s="29"/>
      <c r="BX152" s="29"/>
      <c r="BY152" s="94"/>
      <c r="BZ152" s="94"/>
      <c r="CA152" s="94"/>
      <c r="CB152" s="29"/>
      <c r="CC152" s="29"/>
      <c r="CD152" s="29"/>
      <c r="CE152" s="29"/>
      <c r="CF152" s="3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</row>
    <row r="153" spans="1:114" ht="11.1" customHeight="1" x14ac:dyDescent="0.25">
      <c r="A153" s="3"/>
      <c r="B153" s="3"/>
      <c r="C153" s="3"/>
      <c r="D153" s="3"/>
      <c r="E153" s="3"/>
      <c r="F153" s="26"/>
      <c r="G153" s="26"/>
      <c r="H153" s="26"/>
      <c r="I153" s="10"/>
      <c r="J153" s="10"/>
      <c r="K153" s="14"/>
      <c r="L153" s="11"/>
      <c r="M153" s="14"/>
      <c r="N153" s="14"/>
      <c r="O153" s="4"/>
      <c r="P153" s="3"/>
      <c r="Q153" s="4"/>
      <c r="R153" s="3"/>
      <c r="S153" s="3"/>
      <c r="T153" s="3"/>
      <c r="U153" s="4"/>
      <c r="V153" s="4"/>
      <c r="W153" s="4"/>
      <c r="X153" s="4"/>
      <c r="Y153" s="4"/>
      <c r="Z153" s="11"/>
      <c r="AA153" s="15"/>
      <c r="AB153" s="15"/>
      <c r="AC153" s="15"/>
      <c r="AD153" s="16"/>
      <c r="AE153" s="64"/>
      <c r="AF153" s="64"/>
      <c r="AG153" s="16"/>
      <c r="AH153" s="16"/>
      <c r="AI153" s="16"/>
      <c r="AJ153" s="15"/>
      <c r="AK153" s="15"/>
      <c r="AL153" s="15"/>
      <c r="AM153" s="15"/>
      <c r="AN153" s="15"/>
      <c r="AO153" s="15"/>
      <c r="AP153" s="3"/>
      <c r="AQ153" s="3"/>
      <c r="AR153" s="3"/>
      <c r="AS153" s="3"/>
      <c r="AT153" s="50"/>
      <c r="AU153" s="50"/>
      <c r="AV153" s="50"/>
      <c r="AW153" s="50"/>
      <c r="AX153" s="50"/>
      <c r="AY153" s="50"/>
      <c r="AZ153" s="17"/>
      <c r="BA153" s="17"/>
      <c r="BB153" s="17"/>
      <c r="BC153" s="17"/>
      <c r="BD153" s="16"/>
      <c r="BE153" s="16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29"/>
      <c r="BW153" s="29"/>
      <c r="BX153" s="29"/>
      <c r="BY153" s="94"/>
      <c r="BZ153" s="94"/>
      <c r="CA153" s="94"/>
      <c r="CB153" s="29"/>
      <c r="CC153" s="29"/>
      <c r="CD153" s="29"/>
      <c r="CE153" s="29"/>
      <c r="CF153" s="3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</row>
    <row r="154" spans="1:114" ht="11.1" customHeight="1" x14ac:dyDescent="0.25">
      <c r="A154" s="3"/>
      <c r="B154" s="3"/>
      <c r="C154" s="3"/>
      <c r="D154" s="3"/>
      <c r="E154" s="3"/>
      <c r="F154" s="26"/>
      <c r="G154" s="26"/>
      <c r="H154" s="26"/>
      <c r="I154" s="10"/>
      <c r="J154" s="10"/>
      <c r="K154" s="14"/>
      <c r="L154" s="11"/>
      <c r="M154" s="14"/>
      <c r="N154" s="14"/>
      <c r="O154" s="4"/>
      <c r="P154" s="3"/>
      <c r="Q154" s="4"/>
      <c r="R154" s="3"/>
      <c r="S154" s="3"/>
      <c r="T154" s="3"/>
      <c r="U154" s="4"/>
      <c r="V154" s="4"/>
      <c r="W154" s="4"/>
      <c r="X154" s="4"/>
      <c r="Y154" s="4"/>
      <c r="Z154" s="11"/>
      <c r="AA154" s="15"/>
      <c r="AB154" s="15"/>
      <c r="AC154" s="15"/>
      <c r="AD154" s="16"/>
      <c r="AE154" s="64"/>
      <c r="AF154" s="64"/>
      <c r="AG154" s="16"/>
      <c r="AH154" s="16"/>
      <c r="AI154" s="16"/>
      <c r="AJ154" s="15"/>
      <c r="AK154" s="15"/>
      <c r="AL154" s="15"/>
      <c r="AM154" s="15"/>
      <c r="AN154" s="15"/>
      <c r="AO154" s="15"/>
      <c r="AP154" s="3"/>
      <c r="AQ154" s="3"/>
      <c r="AR154" s="3"/>
      <c r="AS154" s="3"/>
      <c r="AT154" s="50"/>
      <c r="AU154" s="50"/>
      <c r="AV154" s="50"/>
      <c r="AW154" s="50"/>
      <c r="AX154" s="50"/>
      <c r="AY154" s="50"/>
      <c r="AZ154" s="17"/>
      <c r="BA154" s="17"/>
      <c r="BB154" s="17"/>
      <c r="BC154" s="17"/>
      <c r="BD154" s="16"/>
      <c r="BE154" s="16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29"/>
      <c r="BW154" s="29"/>
      <c r="BX154" s="29"/>
      <c r="BY154" s="94"/>
      <c r="BZ154" s="94"/>
      <c r="CA154" s="94"/>
      <c r="CB154" s="29"/>
      <c r="CC154" s="29"/>
      <c r="CD154" s="29"/>
      <c r="CE154" s="29"/>
      <c r="CF154" s="3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</row>
    <row r="155" spans="1:114" ht="11.1" customHeight="1" x14ac:dyDescent="0.25">
      <c r="A155" s="3"/>
      <c r="B155" s="3"/>
      <c r="C155" s="3"/>
      <c r="D155" s="3"/>
      <c r="E155" s="3"/>
      <c r="F155" s="26"/>
      <c r="G155" s="26"/>
      <c r="H155" s="26"/>
      <c r="I155" s="10"/>
      <c r="J155" s="10"/>
      <c r="K155" s="14"/>
      <c r="L155" s="11"/>
      <c r="M155" s="14"/>
      <c r="N155" s="14"/>
      <c r="O155" s="4"/>
      <c r="P155" s="3"/>
      <c r="Q155" s="4"/>
      <c r="R155" s="3"/>
      <c r="S155" s="3"/>
      <c r="T155" s="3"/>
      <c r="U155" s="4"/>
      <c r="V155" s="4"/>
      <c r="W155" s="4"/>
      <c r="X155" s="4"/>
      <c r="Y155" s="4"/>
      <c r="Z155" s="11"/>
      <c r="AA155" s="15"/>
      <c r="AB155" s="15"/>
      <c r="AC155" s="15"/>
      <c r="AD155" s="16"/>
      <c r="AE155" s="64"/>
      <c r="AF155" s="64"/>
      <c r="AG155" s="16"/>
      <c r="AH155" s="16"/>
      <c r="AI155" s="16"/>
      <c r="AJ155" s="15"/>
      <c r="AK155" s="15"/>
      <c r="AL155" s="15"/>
      <c r="AM155" s="15"/>
      <c r="AN155" s="15"/>
      <c r="AO155" s="15"/>
      <c r="AP155" s="3"/>
      <c r="AQ155" s="3"/>
      <c r="AR155" s="3"/>
      <c r="AS155" s="3"/>
      <c r="AT155" s="50"/>
      <c r="AU155" s="50"/>
      <c r="AV155" s="50"/>
      <c r="AW155" s="50"/>
      <c r="AX155" s="50"/>
      <c r="AY155" s="50"/>
      <c r="AZ155" s="17"/>
      <c r="BA155" s="17"/>
      <c r="BB155" s="17"/>
      <c r="BC155" s="17"/>
      <c r="BD155" s="16"/>
      <c r="BE155" s="16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29"/>
      <c r="BW155" s="29"/>
      <c r="BX155" s="29"/>
      <c r="BY155" s="94"/>
      <c r="BZ155" s="94"/>
      <c r="CA155" s="94"/>
      <c r="CB155" s="29"/>
      <c r="CC155" s="29"/>
      <c r="CD155" s="29"/>
      <c r="CE155" s="29"/>
      <c r="CF155" s="3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</row>
    <row r="156" spans="1:114" ht="11.1" customHeight="1" x14ac:dyDescent="0.25">
      <c r="A156" s="3"/>
      <c r="B156" s="3"/>
      <c r="C156" s="3"/>
      <c r="D156" s="3"/>
      <c r="E156" s="3"/>
      <c r="F156" s="26"/>
      <c r="G156" s="26"/>
      <c r="H156" s="26"/>
      <c r="I156" s="10"/>
      <c r="J156" s="10"/>
      <c r="K156" s="14"/>
      <c r="L156" s="11"/>
      <c r="M156" s="14"/>
      <c r="N156" s="14"/>
      <c r="O156" s="4"/>
      <c r="P156" s="3"/>
      <c r="Q156" s="4"/>
      <c r="R156" s="3"/>
      <c r="S156" s="3"/>
      <c r="T156" s="3"/>
      <c r="U156" s="4"/>
      <c r="V156" s="4"/>
      <c r="W156" s="4"/>
      <c r="X156" s="4"/>
      <c r="Y156" s="4"/>
      <c r="Z156" s="11"/>
      <c r="AA156" s="15"/>
      <c r="AB156" s="15"/>
      <c r="AC156" s="15"/>
      <c r="AD156" s="16"/>
      <c r="AE156" s="64"/>
      <c r="AF156" s="64"/>
      <c r="AG156" s="16"/>
      <c r="AH156" s="16"/>
      <c r="AI156" s="16"/>
      <c r="AJ156" s="15"/>
      <c r="AK156" s="15"/>
      <c r="AL156" s="15"/>
      <c r="AM156" s="15"/>
      <c r="AN156" s="15"/>
      <c r="AO156" s="15"/>
      <c r="AP156" s="3"/>
      <c r="AQ156" s="3"/>
      <c r="AR156" s="3"/>
      <c r="AS156" s="3"/>
      <c r="AT156" s="50"/>
      <c r="AU156" s="50"/>
      <c r="AV156" s="50"/>
      <c r="AW156" s="50"/>
      <c r="AX156" s="50"/>
      <c r="AY156" s="50"/>
      <c r="AZ156" s="17"/>
      <c r="BA156" s="17"/>
      <c r="BB156" s="17"/>
      <c r="BC156" s="17"/>
      <c r="BD156" s="16"/>
      <c r="BE156" s="16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29"/>
      <c r="BW156" s="29"/>
      <c r="BX156" s="29"/>
      <c r="BY156" s="94"/>
      <c r="BZ156" s="94"/>
      <c r="CA156" s="94"/>
      <c r="CB156" s="29"/>
      <c r="CC156" s="29"/>
      <c r="CD156" s="29"/>
      <c r="CE156" s="29"/>
      <c r="CF156" s="3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</row>
    <row r="157" spans="1:114" ht="11.1" customHeight="1" x14ac:dyDescent="0.25">
      <c r="A157" s="3"/>
      <c r="B157" s="3"/>
      <c r="C157" s="3"/>
      <c r="D157" s="3"/>
      <c r="E157" s="3"/>
      <c r="F157" s="26"/>
      <c r="G157" s="26"/>
      <c r="H157" s="26"/>
      <c r="I157" s="10"/>
      <c r="J157" s="10"/>
      <c r="K157" s="14"/>
      <c r="L157" s="11"/>
      <c r="M157" s="14"/>
      <c r="N157" s="14"/>
      <c r="O157" s="4"/>
      <c r="P157" s="3"/>
      <c r="Q157" s="4"/>
      <c r="R157" s="3"/>
      <c r="S157" s="3"/>
      <c r="T157" s="3"/>
      <c r="U157" s="4"/>
      <c r="V157" s="4"/>
      <c r="W157" s="4"/>
      <c r="X157" s="4"/>
      <c r="Y157" s="4"/>
      <c r="Z157" s="11"/>
      <c r="AA157" s="15"/>
      <c r="AB157" s="15"/>
      <c r="AC157" s="15"/>
      <c r="AD157" s="16"/>
      <c r="AE157" s="64"/>
      <c r="AF157" s="64"/>
      <c r="AG157" s="16"/>
      <c r="AH157" s="16"/>
      <c r="AI157" s="16"/>
      <c r="AJ157" s="15"/>
      <c r="AK157" s="15"/>
      <c r="AL157" s="15"/>
      <c r="AM157" s="15"/>
      <c r="AN157" s="15"/>
      <c r="AO157" s="15"/>
      <c r="AP157" s="3"/>
      <c r="AQ157" s="3"/>
      <c r="AR157" s="3"/>
      <c r="AS157" s="3"/>
      <c r="AT157" s="50"/>
      <c r="AU157" s="50"/>
      <c r="AV157" s="50"/>
      <c r="AW157" s="50"/>
      <c r="AX157" s="50"/>
      <c r="AY157" s="50"/>
      <c r="AZ157" s="17"/>
      <c r="BA157" s="17"/>
      <c r="BB157" s="17"/>
      <c r="BC157" s="17"/>
      <c r="BD157" s="16"/>
      <c r="BE157" s="16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29"/>
      <c r="BW157" s="29"/>
      <c r="BX157" s="29"/>
      <c r="BY157" s="94"/>
      <c r="BZ157" s="94"/>
      <c r="CA157" s="94"/>
      <c r="CB157" s="29"/>
      <c r="CC157" s="29"/>
      <c r="CD157" s="29"/>
      <c r="CE157" s="29"/>
      <c r="CF157" s="3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</row>
    <row r="158" spans="1:114" ht="11.1" customHeight="1" x14ac:dyDescent="0.25">
      <c r="A158" s="3"/>
      <c r="B158" s="3"/>
      <c r="C158" s="3"/>
      <c r="D158" s="3"/>
      <c r="E158" s="3"/>
      <c r="F158" s="26"/>
      <c r="G158" s="26"/>
      <c r="H158" s="26"/>
      <c r="I158" s="10"/>
      <c r="J158" s="10"/>
      <c r="K158" s="14"/>
      <c r="L158" s="11"/>
      <c r="M158" s="14"/>
      <c r="N158" s="14"/>
      <c r="O158" s="4"/>
      <c r="P158" s="3"/>
      <c r="Q158" s="4"/>
      <c r="R158" s="3"/>
      <c r="S158" s="3"/>
      <c r="T158" s="3"/>
      <c r="U158" s="4"/>
      <c r="V158" s="4"/>
      <c r="W158" s="4"/>
      <c r="X158" s="4"/>
      <c r="Y158" s="4"/>
      <c r="Z158" s="11"/>
      <c r="AA158" s="15"/>
      <c r="AB158" s="15"/>
      <c r="AC158" s="15"/>
      <c r="AD158" s="16"/>
      <c r="AE158" s="64"/>
      <c r="AF158" s="64"/>
      <c r="AG158" s="16"/>
      <c r="AH158" s="16"/>
      <c r="AI158" s="16"/>
      <c r="AJ158" s="15"/>
      <c r="AK158" s="15"/>
      <c r="AL158" s="15"/>
      <c r="AM158" s="15"/>
      <c r="AN158" s="15"/>
      <c r="AO158" s="15"/>
      <c r="AP158" s="3"/>
      <c r="AQ158" s="3"/>
      <c r="AR158" s="3"/>
      <c r="AS158" s="3"/>
      <c r="AT158" s="50"/>
      <c r="AU158" s="50"/>
      <c r="AV158" s="50"/>
      <c r="AW158" s="50"/>
      <c r="AX158" s="50"/>
      <c r="AY158" s="50"/>
      <c r="AZ158" s="17"/>
      <c r="BA158" s="17"/>
      <c r="BB158" s="17"/>
      <c r="BC158" s="17"/>
      <c r="BD158" s="16"/>
      <c r="BE158" s="16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29"/>
      <c r="BW158" s="29"/>
      <c r="BX158" s="29"/>
      <c r="BY158" s="94"/>
      <c r="BZ158" s="94"/>
      <c r="CA158" s="94"/>
      <c r="CB158" s="29"/>
      <c r="CC158" s="29"/>
      <c r="CD158" s="29"/>
      <c r="CE158" s="29"/>
      <c r="CF158" s="3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</row>
    <row r="159" spans="1:114" ht="11.1" customHeight="1" x14ac:dyDescent="0.25">
      <c r="A159" s="3"/>
      <c r="B159" s="3"/>
      <c r="C159" s="3"/>
      <c r="D159" s="3"/>
      <c r="E159" s="3"/>
      <c r="F159" s="26"/>
      <c r="G159" s="26"/>
      <c r="H159" s="26"/>
      <c r="I159" s="10"/>
      <c r="J159" s="10"/>
      <c r="K159" s="14"/>
      <c r="L159" s="11"/>
      <c r="M159" s="14"/>
      <c r="N159" s="14"/>
      <c r="O159" s="4"/>
      <c r="P159" s="3"/>
      <c r="Q159" s="4"/>
      <c r="R159" s="3"/>
      <c r="S159" s="3"/>
      <c r="T159" s="3"/>
      <c r="U159" s="4"/>
      <c r="V159" s="4"/>
      <c r="W159" s="4"/>
      <c r="X159" s="4"/>
      <c r="Y159" s="4"/>
      <c r="Z159" s="11"/>
      <c r="AA159" s="15"/>
      <c r="AB159" s="15"/>
      <c r="AC159" s="15"/>
      <c r="AD159" s="16"/>
      <c r="AE159" s="64"/>
      <c r="AF159" s="64"/>
      <c r="AG159" s="16"/>
      <c r="AH159" s="16"/>
      <c r="AI159" s="16"/>
      <c r="AJ159" s="15"/>
      <c r="AK159" s="15"/>
      <c r="AL159" s="15"/>
      <c r="AM159" s="15"/>
      <c r="AN159" s="15"/>
      <c r="AO159" s="15"/>
      <c r="AP159" s="3"/>
      <c r="AQ159" s="3"/>
      <c r="AR159" s="3"/>
      <c r="AS159" s="3"/>
      <c r="AT159" s="50"/>
      <c r="AU159" s="50"/>
      <c r="AV159" s="50"/>
      <c r="AW159" s="50"/>
      <c r="AX159" s="50"/>
      <c r="AY159" s="50"/>
      <c r="AZ159" s="17"/>
      <c r="BA159" s="17"/>
      <c r="BB159" s="17"/>
      <c r="BC159" s="17"/>
      <c r="BD159" s="16"/>
      <c r="BE159" s="16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29"/>
      <c r="BW159" s="29"/>
      <c r="BX159" s="29"/>
      <c r="BY159" s="94"/>
      <c r="BZ159" s="94"/>
      <c r="CA159" s="94"/>
      <c r="CB159" s="29"/>
      <c r="CC159" s="29"/>
      <c r="CD159" s="29"/>
      <c r="CE159" s="29"/>
      <c r="CF159" s="3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</row>
    <row r="160" spans="1:114" ht="11.1" customHeight="1" x14ac:dyDescent="0.25">
      <c r="A160" s="3"/>
      <c r="B160" s="3"/>
      <c r="C160" s="3"/>
      <c r="D160" s="3"/>
      <c r="E160" s="3"/>
      <c r="F160" s="26"/>
      <c r="G160" s="26"/>
      <c r="H160" s="26"/>
      <c r="I160" s="10"/>
      <c r="J160" s="10"/>
      <c r="K160" s="14"/>
      <c r="L160" s="11"/>
      <c r="M160" s="14"/>
      <c r="N160" s="14"/>
      <c r="O160" s="4"/>
      <c r="P160" s="3"/>
      <c r="Q160" s="4"/>
      <c r="R160" s="3"/>
      <c r="S160" s="3"/>
      <c r="T160" s="3"/>
      <c r="U160" s="4"/>
      <c r="V160" s="4"/>
      <c r="W160" s="4"/>
      <c r="X160" s="4"/>
      <c r="Y160" s="4"/>
      <c r="Z160" s="11"/>
      <c r="AA160" s="15"/>
      <c r="AB160" s="15"/>
      <c r="AC160" s="15"/>
      <c r="AD160" s="16"/>
      <c r="AE160" s="64"/>
      <c r="AF160" s="64"/>
      <c r="AG160" s="16"/>
      <c r="AH160" s="16"/>
      <c r="AI160" s="16"/>
      <c r="AJ160" s="15"/>
      <c r="AK160" s="15"/>
      <c r="AL160" s="15"/>
      <c r="AM160" s="15"/>
      <c r="AN160" s="15"/>
      <c r="AO160" s="15"/>
      <c r="AP160" s="3"/>
      <c r="AQ160" s="3"/>
      <c r="AR160" s="3"/>
      <c r="AS160" s="3"/>
      <c r="AT160" s="50"/>
      <c r="AU160" s="50"/>
      <c r="AV160" s="50"/>
      <c r="AW160" s="50"/>
      <c r="AX160" s="50"/>
      <c r="AY160" s="50"/>
      <c r="AZ160" s="17"/>
      <c r="BA160" s="17"/>
      <c r="BB160" s="17"/>
      <c r="BC160" s="17"/>
      <c r="BD160" s="16"/>
      <c r="BE160" s="16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29"/>
      <c r="BW160" s="29"/>
      <c r="BX160" s="29"/>
      <c r="BY160" s="94"/>
      <c r="BZ160" s="94"/>
      <c r="CA160" s="94"/>
      <c r="CB160" s="29"/>
      <c r="CC160" s="29"/>
      <c r="CD160" s="29"/>
      <c r="CE160" s="29"/>
      <c r="CF160" s="3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</row>
    <row r="161" spans="1:114" ht="11.1" customHeight="1" x14ac:dyDescent="0.25">
      <c r="A161" s="3"/>
      <c r="B161" s="3"/>
      <c r="C161" s="3"/>
      <c r="D161" s="3"/>
      <c r="E161" s="3"/>
      <c r="F161" s="26"/>
      <c r="G161" s="26"/>
      <c r="H161" s="26"/>
      <c r="I161" s="10"/>
      <c r="J161" s="10"/>
      <c r="K161" s="14"/>
      <c r="L161" s="11"/>
      <c r="M161" s="14"/>
      <c r="N161" s="14"/>
      <c r="O161" s="4"/>
      <c r="P161" s="3"/>
      <c r="Q161" s="4"/>
      <c r="R161" s="3"/>
      <c r="S161" s="3"/>
      <c r="T161" s="3"/>
      <c r="U161" s="4"/>
      <c r="V161" s="4"/>
      <c r="W161" s="4"/>
      <c r="X161" s="4"/>
      <c r="Y161" s="4"/>
      <c r="Z161" s="11"/>
      <c r="AA161" s="15"/>
      <c r="AB161" s="15"/>
      <c r="AC161" s="15"/>
      <c r="AD161" s="16"/>
      <c r="AE161" s="64"/>
      <c r="AF161" s="64"/>
      <c r="AG161" s="16"/>
      <c r="AH161" s="16"/>
      <c r="AI161" s="16"/>
      <c r="AJ161" s="15"/>
      <c r="AK161" s="15"/>
      <c r="AL161" s="15"/>
      <c r="AM161" s="15"/>
      <c r="AN161" s="15"/>
      <c r="AO161" s="15"/>
      <c r="AP161" s="3"/>
      <c r="AQ161" s="3"/>
      <c r="AR161" s="3"/>
      <c r="AS161" s="3"/>
      <c r="AT161" s="50"/>
      <c r="AU161" s="50"/>
      <c r="AV161" s="50"/>
      <c r="AW161" s="50"/>
      <c r="AX161" s="50"/>
      <c r="AY161" s="50"/>
      <c r="AZ161" s="17"/>
      <c r="BA161" s="17"/>
      <c r="BB161" s="17"/>
      <c r="BC161" s="17"/>
      <c r="BD161" s="16"/>
      <c r="BE161" s="16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29"/>
      <c r="BW161" s="29"/>
      <c r="BX161" s="29"/>
      <c r="BY161" s="94"/>
      <c r="BZ161" s="94"/>
      <c r="CA161" s="94"/>
      <c r="CB161" s="29"/>
      <c r="CC161" s="29"/>
      <c r="CD161" s="29"/>
      <c r="CE161" s="29"/>
      <c r="CF161" s="3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</row>
    <row r="162" spans="1:114" ht="11.1" customHeight="1" x14ac:dyDescent="0.25">
      <c r="A162" s="3"/>
      <c r="B162" s="3"/>
      <c r="C162" s="3"/>
      <c r="D162" s="3"/>
      <c r="E162" s="3"/>
      <c r="F162" s="26"/>
      <c r="G162" s="26"/>
      <c r="H162" s="26"/>
      <c r="I162" s="10"/>
      <c r="J162" s="10"/>
      <c r="K162" s="14"/>
      <c r="L162" s="11"/>
      <c r="M162" s="14"/>
      <c r="N162" s="14"/>
      <c r="O162" s="4"/>
      <c r="P162" s="3"/>
      <c r="Q162" s="4"/>
      <c r="R162" s="3"/>
      <c r="S162" s="3"/>
      <c r="T162" s="3"/>
      <c r="U162" s="4"/>
      <c r="V162" s="4"/>
      <c r="W162" s="4"/>
      <c r="X162" s="4"/>
      <c r="Y162" s="4"/>
      <c r="Z162" s="11"/>
      <c r="AA162" s="15"/>
      <c r="AB162" s="15"/>
      <c r="AC162" s="15"/>
      <c r="AD162" s="16"/>
      <c r="AE162" s="64"/>
      <c r="AF162" s="64"/>
      <c r="AG162" s="16"/>
      <c r="AH162" s="16"/>
      <c r="AI162" s="16"/>
      <c r="AJ162" s="15"/>
      <c r="AK162" s="15"/>
      <c r="AL162" s="15"/>
      <c r="AM162" s="15"/>
      <c r="AN162" s="15"/>
      <c r="AO162" s="15"/>
      <c r="AP162" s="3"/>
      <c r="AQ162" s="3"/>
      <c r="AR162" s="3"/>
      <c r="AS162" s="3"/>
      <c r="AT162" s="50"/>
      <c r="AU162" s="50"/>
      <c r="AV162" s="50"/>
      <c r="AW162" s="50"/>
      <c r="AX162" s="50"/>
      <c r="AY162" s="50"/>
      <c r="AZ162" s="17"/>
      <c r="BA162" s="17"/>
      <c r="BB162" s="17"/>
      <c r="BC162" s="17"/>
      <c r="BD162" s="16"/>
      <c r="BE162" s="16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29"/>
      <c r="BW162" s="29"/>
      <c r="BX162" s="29"/>
      <c r="BY162" s="94"/>
      <c r="BZ162" s="94"/>
      <c r="CA162" s="94"/>
      <c r="CB162" s="29"/>
      <c r="CC162" s="29"/>
      <c r="CD162" s="29"/>
      <c r="CE162" s="29"/>
      <c r="CF162" s="3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</row>
    <row r="163" spans="1:114" ht="11.1" customHeight="1" x14ac:dyDescent="0.25">
      <c r="A163" s="3"/>
      <c r="B163" s="3"/>
      <c r="C163" s="3"/>
      <c r="D163" s="3"/>
      <c r="E163" s="3"/>
      <c r="F163" s="26"/>
      <c r="G163" s="26"/>
      <c r="H163" s="26"/>
      <c r="I163" s="10"/>
      <c r="J163" s="10"/>
      <c r="K163" s="14"/>
      <c r="L163" s="11"/>
      <c r="M163" s="14"/>
      <c r="N163" s="14"/>
      <c r="O163" s="4"/>
      <c r="P163" s="3"/>
      <c r="Q163" s="4"/>
      <c r="R163" s="3"/>
      <c r="S163" s="3"/>
      <c r="T163" s="3"/>
      <c r="U163" s="4"/>
      <c r="V163" s="4"/>
      <c r="W163" s="4"/>
      <c r="X163" s="4"/>
      <c r="Y163" s="4"/>
      <c r="Z163" s="11"/>
      <c r="AA163" s="15"/>
      <c r="AB163" s="15"/>
      <c r="AC163" s="15"/>
      <c r="AD163" s="16"/>
      <c r="AE163" s="64"/>
      <c r="AF163" s="64"/>
      <c r="AG163" s="16"/>
      <c r="AH163" s="16"/>
      <c r="AI163" s="16"/>
      <c r="AJ163" s="15"/>
      <c r="AK163" s="15"/>
      <c r="AL163" s="15"/>
      <c r="AM163" s="15"/>
      <c r="AN163" s="15"/>
      <c r="AO163" s="15"/>
      <c r="AP163" s="3"/>
      <c r="AQ163" s="3"/>
      <c r="AR163" s="3"/>
      <c r="AS163" s="3"/>
      <c r="AT163" s="50"/>
      <c r="AU163" s="50"/>
      <c r="AV163" s="50"/>
      <c r="AW163" s="50"/>
      <c r="AX163" s="50"/>
      <c r="AY163" s="50"/>
      <c r="AZ163" s="17"/>
      <c r="BA163" s="17"/>
      <c r="BB163" s="17"/>
      <c r="BC163" s="17"/>
      <c r="BD163" s="16"/>
      <c r="BE163" s="16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29"/>
      <c r="BW163" s="29"/>
      <c r="BX163" s="29"/>
      <c r="BY163" s="94"/>
      <c r="BZ163" s="94"/>
      <c r="CA163" s="94"/>
      <c r="CB163" s="29"/>
      <c r="CC163" s="29"/>
      <c r="CD163" s="29"/>
      <c r="CE163" s="29"/>
      <c r="CF163" s="3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</row>
    <row r="164" spans="1:114" ht="11.1" customHeight="1" x14ac:dyDescent="0.25">
      <c r="A164" s="3"/>
      <c r="B164" s="3"/>
      <c r="C164" s="3"/>
      <c r="D164" s="3"/>
      <c r="E164" s="3"/>
      <c r="F164" s="9"/>
      <c r="G164" s="9"/>
      <c r="H164" s="9"/>
      <c r="I164" s="10"/>
      <c r="J164" s="10"/>
      <c r="K164" s="14"/>
      <c r="L164" s="11"/>
      <c r="M164" s="14"/>
      <c r="N164" s="14"/>
      <c r="O164" s="4"/>
      <c r="P164" s="3"/>
      <c r="Q164" s="4"/>
      <c r="R164" s="3"/>
      <c r="S164" s="3"/>
      <c r="T164" s="3"/>
      <c r="U164" s="4"/>
      <c r="V164" s="4"/>
      <c r="W164" s="4"/>
      <c r="X164" s="4"/>
      <c r="Y164" s="4"/>
      <c r="Z164" s="11"/>
      <c r="AA164" s="15"/>
      <c r="AB164" s="15"/>
      <c r="AC164" s="15"/>
      <c r="AD164" s="16"/>
      <c r="AE164" s="64"/>
      <c r="AF164" s="64"/>
      <c r="AG164" s="16"/>
      <c r="AH164" s="16"/>
      <c r="AI164" s="16"/>
      <c r="AJ164" s="15"/>
      <c r="AK164" s="15"/>
      <c r="AL164" s="15"/>
      <c r="AM164" s="15"/>
      <c r="AN164" s="15"/>
      <c r="AO164" s="15"/>
      <c r="AP164" s="3"/>
      <c r="AQ164" s="3"/>
      <c r="AR164" s="3"/>
      <c r="AS164" s="3"/>
      <c r="AT164" s="50"/>
      <c r="AU164" s="50"/>
      <c r="AV164" s="50"/>
      <c r="AW164" s="50"/>
      <c r="AX164" s="50"/>
      <c r="AY164" s="50"/>
      <c r="AZ164" s="17"/>
      <c r="BA164" s="17"/>
      <c r="BB164" s="17"/>
      <c r="BC164" s="17"/>
      <c r="BD164" s="16"/>
      <c r="BE164" s="16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29"/>
      <c r="BW164" s="29"/>
      <c r="BX164" s="29"/>
      <c r="BY164" s="94"/>
      <c r="BZ164" s="94"/>
      <c r="CA164" s="94"/>
      <c r="CB164" s="29"/>
      <c r="CC164" s="29"/>
      <c r="CD164" s="29"/>
      <c r="CE164" s="29"/>
      <c r="CF164" s="3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</row>
    <row r="165" spans="1:114" ht="11.1" customHeight="1" x14ac:dyDescent="0.25">
      <c r="A165" s="3"/>
      <c r="B165" s="3"/>
      <c r="C165" s="3"/>
      <c r="D165" s="3"/>
      <c r="E165" s="3"/>
      <c r="F165" s="9"/>
      <c r="G165" s="9"/>
      <c r="H165" s="9"/>
      <c r="I165" s="10"/>
      <c r="J165" s="10"/>
      <c r="K165" s="14"/>
      <c r="L165" s="11"/>
      <c r="M165" s="14"/>
      <c r="N165" s="14"/>
      <c r="O165" s="4"/>
      <c r="P165" s="3"/>
      <c r="Q165" s="4"/>
      <c r="R165" s="3"/>
      <c r="S165" s="3"/>
      <c r="T165" s="3"/>
      <c r="U165" s="4"/>
      <c r="V165" s="4"/>
      <c r="W165" s="4"/>
      <c r="X165" s="4"/>
      <c r="Y165" s="4"/>
      <c r="Z165" s="11"/>
      <c r="AA165" s="15"/>
      <c r="AB165" s="15"/>
      <c r="AC165" s="15"/>
      <c r="AD165" s="16"/>
      <c r="AE165" s="64"/>
      <c r="AF165" s="64"/>
      <c r="AG165" s="16"/>
      <c r="AH165" s="16"/>
      <c r="AI165" s="16"/>
      <c r="AJ165" s="15"/>
      <c r="AK165" s="15"/>
      <c r="AL165" s="15"/>
      <c r="AM165" s="15"/>
      <c r="AN165" s="15"/>
      <c r="AO165" s="15"/>
      <c r="AP165" s="3"/>
      <c r="AQ165" s="3"/>
      <c r="AR165" s="3"/>
      <c r="AS165" s="3"/>
      <c r="AT165" s="50"/>
      <c r="AU165" s="50"/>
      <c r="AV165" s="50"/>
      <c r="AW165" s="50"/>
      <c r="AX165" s="50"/>
      <c r="AY165" s="50"/>
      <c r="AZ165" s="17"/>
      <c r="BA165" s="17"/>
      <c r="BB165" s="17"/>
      <c r="BC165" s="17"/>
      <c r="BD165" s="16"/>
      <c r="BE165" s="16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29"/>
      <c r="BW165" s="29"/>
      <c r="BX165" s="29"/>
      <c r="BY165" s="94"/>
      <c r="BZ165" s="94"/>
      <c r="CA165" s="94"/>
      <c r="CB165" s="29"/>
      <c r="CC165" s="29"/>
      <c r="CD165" s="29"/>
      <c r="CE165" s="29"/>
      <c r="CF165" s="3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</row>
    <row r="166" spans="1:114" ht="11.1" customHeight="1" x14ac:dyDescent="0.25">
      <c r="A166" s="3"/>
      <c r="B166" s="3"/>
      <c r="C166" s="3"/>
      <c r="D166" s="3"/>
      <c r="E166" s="3"/>
      <c r="F166" s="9"/>
      <c r="G166" s="9"/>
      <c r="H166" s="9"/>
      <c r="I166" s="10"/>
      <c r="J166" s="10"/>
      <c r="K166" s="14"/>
      <c r="L166" s="11"/>
      <c r="M166" s="14"/>
      <c r="N166" s="14"/>
      <c r="O166" s="4"/>
      <c r="P166" s="3"/>
      <c r="Q166" s="4"/>
      <c r="R166" s="3"/>
      <c r="S166" s="3"/>
      <c r="T166" s="3"/>
      <c r="U166" s="4"/>
      <c r="V166" s="4"/>
      <c r="W166" s="4"/>
      <c r="X166" s="4"/>
      <c r="Y166" s="4"/>
      <c r="Z166" s="11"/>
      <c r="AA166" s="15"/>
      <c r="AB166" s="15"/>
      <c r="AC166" s="15"/>
      <c r="AD166" s="16"/>
      <c r="AE166" s="64"/>
      <c r="AF166" s="64"/>
      <c r="AG166" s="16"/>
      <c r="AH166" s="16"/>
      <c r="AI166" s="16"/>
      <c r="AJ166" s="15"/>
      <c r="AK166" s="15"/>
      <c r="AL166" s="15"/>
      <c r="AM166" s="15"/>
      <c r="AN166" s="15"/>
      <c r="AO166" s="15"/>
      <c r="AP166" s="3"/>
      <c r="AQ166" s="3"/>
      <c r="AR166" s="3"/>
      <c r="AS166" s="3"/>
      <c r="AT166" s="50"/>
      <c r="AU166" s="50"/>
      <c r="AV166" s="50"/>
      <c r="AW166" s="50"/>
      <c r="AX166" s="50"/>
      <c r="AY166" s="50"/>
      <c r="AZ166" s="17"/>
      <c r="BA166" s="17"/>
      <c r="BB166" s="17"/>
      <c r="BC166" s="17"/>
      <c r="BD166" s="16"/>
      <c r="BE166" s="16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29"/>
      <c r="BW166" s="29"/>
      <c r="BX166" s="29"/>
      <c r="BY166" s="94"/>
      <c r="BZ166" s="94"/>
      <c r="CA166" s="94"/>
      <c r="CB166" s="29"/>
      <c r="CC166" s="29"/>
      <c r="CD166" s="29"/>
      <c r="CE166" s="29"/>
      <c r="CF166" s="3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</row>
    <row r="167" spans="1:114" ht="11.1" customHeight="1" x14ac:dyDescent="0.25">
      <c r="A167" s="3"/>
      <c r="B167" s="3"/>
      <c r="C167" s="3"/>
      <c r="D167" s="3"/>
      <c r="E167" s="3"/>
      <c r="F167" s="9"/>
      <c r="G167" s="9"/>
      <c r="H167" s="9"/>
      <c r="I167" s="10"/>
      <c r="J167" s="10"/>
      <c r="K167" s="14"/>
      <c r="L167" s="11"/>
      <c r="M167" s="14"/>
      <c r="N167" s="14"/>
      <c r="O167" s="4"/>
      <c r="P167" s="3"/>
      <c r="Q167" s="4"/>
      <c r="R167" s="3"/>
      <c r="S167" s="3"/>
      <c r="T167" s="3"/>
      <c r="U167" s="4"/>
      <c r="V167" s="4"/>
      <c r="W167" s="4"/>
      <c r="X167" s="4"/>
      <c r="Y167" s="4"/>
      <c r="Z167" s="11"/>
      <c r="AA167" s="15"/>
      <c r="AB167" s="15"/>
      <c r="AC167" s="15"/>
      <c r="AD167" s="16"/>
      <c r="AE167" s="64"/>
      <c r="AF167" s="64"/>
      <c r="AG167" s="16"/>
      <c r="AH167" s="16"/>
      <c r="AI167" s="16"/>
      <c r="AJ167" s="15"/>
      <c r="AK167" s="15"/>
      <c r="AL167" s="15"/>
      <c r="AM167" s="15"/>
      <c r="AN167" s="15"/>
      <c r="AO167" s="15"/>
      <c r="AP167" s="3"/>
      <c r="AQ167" s="3"/>
      <c r="AR167" s="3"/>
      <c r="AS167" s="3"/>
      <c r="AT167" s="50"/>
      <c r="AU167" s="50"/>
      <c r="AV167" s="50"/>
      <c r="AW167" s="50"/>
      <c r="AX167" s="50"/>
      <c r="AY167" s="50"/>
      <c r="AZ167" s="17"/>
      <c r="BA167" s="17"/>
      <c r="BB167" s="17"/>
      <c r="BC167" s="17"/>
      <c r="BD167" s="16"/>
      <c r="BE167" s="16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29"/>
      <c r="BW167" s="29"/>
      <c r="BX167" s="29"/>
      <c r="BY167" s="94"/>
      <c r="BZ167" s="94"/>
      <c r="CA167" s="94"/>
      <c r="CB167" s="29"/>
      <c r="CC167" s="29"/>
      <c r="CD167" s="29"/>
      <c r="CE167" s="29"/>
      <c r="CF167" s="3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</row>
    <row r="168" spans="1:114" ht="11.1" customHeight="1" x14ac:dyDescent="0.25">
      <c r="A168" s="3"/>
      <c r="B168" s="3"/>
      <c r="C168" s="3"/>
      <c r="D168" s="3"/>
      <c r="E168" s="3"/>
      <c r="F168" s="9"/>
      <c r="G168" s="9"/>
      <c r="H168" s="9"/>
      <c r="I168" s="10"/>
      <c r="J168" s="10"/>
      <c r="K168" s="14"/>
      <c r="L168" s="11"/>
      <c r="M168" s="14"/>
      <c r="N168" s="14"/>
      <c r="O168" s="4"/>
      <c r="P168" s="3"/>
      <c r="Q168" s="4"/>
      <c r="R168" s="3"/>
      <c r="S168" s="3"/>
      <c r="T168" s="3"/>
      <c r="U168" s="4"/>
      <c r="V168" s="4"/>
      <c r="W168" s="4"/>
      <c r="X168" s="4"/>
      <c r="Y168" s="4"/>
      <c r="Z168" s="11"/>
      <c r="AA168" s="15"/>
      <c r="AB168" s="15"/>
      <c r="AC168" s="15"/>
      <c r="AD168" s="16"/>
      <c r="AE168" s="64"/>
      <c r="AF168" s="64"/>
      <c r="AG168" s="16"/>
      <c r="AH168" s="16"/>
      <c r="AI168" s="16"/>
      <c r="AJ168" s="15"/>
      <c r="AK168" s="15"/>
      <c r="AL168" s="15"/>
      <c r="AM168" s="15"/>
      <c r="AN168" s="15"/>
      <c r="AO168" s="15"/>
      <c r="AP168" s="3"/>
      <c r="AQ168" s="3"/>
      <c r="AR168" s="3"/>
      <c r="AS168" s="3"/>
      <c r="AT168" s="50"/>
      <c r="AU168" s="50"/>
      <c r="AV168" s="50"/>
      <c r="AW168" s="50"/>
      <c r="AX168" s="50"/>
      <c r="AY168" s="50"/>
      <c r="AZ168" s="17"/>
      <c r="BA168" s="17"/>
      <c r="BB168" s="17"/>
      <c r="BC168" s="17"/>
      <c r="BD168" s="16"/>
      <c r="BE168" s="16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29"/>
      <c r="BW168" s="29"/>
      <c r="BX168" s="29"/>
      <c r="BY168" s="94"/>
      <c r="BZ168" s="94"/>
      <c r="CA168" s="94"/>
      <c r="CB168" s="29"/>
      <c r="CC168" s="29"/>
      <c r="CD168" s="29"/>
      <c r="CE168" s="29"/>
      <c r="CF168" s="3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</row>
    <row r="169" spans="1:114" ht="11.1" customHeight="1" x14ac:dyDescent="0.25">
      <c r="A169" s="3"/>
      <c r="B169" s="3"/>
      <c r="C169" s="3"/>
      <c r="D169" s="3"/>
      <c r="E169" s="3"/>
      <c r="F169" s="9"/>
      <c r="G169" s="9"/>
      <c r="H169" s="9"/>
      <c r="I169" s="10"/>
      <c r="J169" s="10"/>
      <c r="K169" s="14"/>
      <c r="L169" s="11"/>
      <c r="M169" s="14"/>
      <c r="N169" s="14"/>
      <c r="O169" s="4"/>
      <c r="P169" s="3"/>
      <c r="Q169" s="4"/>
      <c r="R169" s="3"/>
      <c r="S169" s="3"/>
      <c r="T169" s="3"/>
      <c r="U169" s="4"/>
      <c r="V169" s="4"/>
      <c r="W169" s="4"/>
      <c r="X169" s="4"/>
      <c r="Y169" s="4"/>
      <c r="Z169" s="11"/>
      <c r="AA169" s="15"/>
      <c r="AB169" s="15"/>
      <c r="AC169" s="15"/>
      <c r="AD169" s="16"/>
      <c r="AE169" s="64"/>
      <c r="AF169" s="64"/>
      <c r="AG169" s="16"/>
      <c r="AH169" s="16"/>
      <c r="AI169" s="16"/>
      <c r="AJ169" s="15"/>
      <c r="AK169" s="15"/>
      <c r="AL169" s="15"/>
      <c r="AM169" s="15"/>
      <c r="AN169" s="15"/>
      <c r="AO169" s="15"/>
      <c r="AP169" s="3"/>
      <c r="AQ169" s="3"/>
      <c r="AR169" s="3"/>
      <c r="AS169" s="3"/>
      <c r="AT169" s="50"/>
      <c r="AU169" s="50"/>
      <c r="AV169" s="50"/>
      <c r="AW169" s="50"/>
      <c r="AX169" s="50"/>
      <c r="AY169" s="50"/>
      <c r="AZ169" s="17"/>
      <c r="BA169" s="17"/>
      <c r="BB169" s="17"/>
      <c r="BC169" s="17"/>
      <c r="BD169" s="16"/>
      <c r="BE169" s="16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29"/>
      <c r="BW169" s="29"/>
      <c r="BX169" s="29"/>
      <c r="BY169" s="94"/>
      <c r="BZ169" s="94"/>
      <c r="CA169" s="94"/>
      <c r="CB169" s="29"/>
      <c r="CC169" s="29"/>
      <c r="CD169" s="29"/>
      <c r="CE169" s="29"/>
      <c r="CF169" s="3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</row>
    <row r="170" spans="1:114" ht="11.1" customHeight="1" x14ac:dyDescent="0.25">
      <c r="A170" s="3"/>
      <c r="B170" s="3"/>
      <c r="C170" s="3"/>
      <c r="D170" s="3"/>
      <c r="E170" s="3"/>
      <c r="F170" s="9"/>
      <c r="G170" s="9"/>
      <c r="H170" s="9"/>
      <c r="I170" s="10"/>
      <c r="J170" s="10"/>
      <c r="K170" s="14"/>
      <c r="L170" s="11"/>
      <c r="M170" s="14"/>
      <c r="N170" s="14"/>
      <c r="O170" s="4"/>
      <c r="P170" s="3"/>
      <c r="Q170" s="4"/>
      <c r="R170" s="3"/>
      <c r="S170" s="3"/>
      <c r="T170" s="3"/>
      <c r="U170" s="4"/>
      <c r="V170" s="4"/>
      <c r="W170" s="4"/>
      <c r="X170" s="4"/>
      <c r="Y170" s="4"/>
      <c r="Z170" s="11"/>
      <c r="AA170" s="15"/>
      <c r="AB170" s="15"/>
      <c r="AC170" s="15"/>
      <c r="AD170" s="16"/>
      <c r="AE170" s="64"/>
      <c r="AF170" s="64"/>
      <c r="AG170" s="16"/>
      <c r="AH170" s="16"/>
      <c r="AI170" s="16"/>
      <c r="AJ170" s="15"/>
      <c r="AK170" s="15"/>
      <c r="AL170" s="15"/>
      <c r="AM170" s="15"/>
      <c r="AN170" s="15"/>
      <c r="AO170" s="15"/>
      <c r="AP170" s="3"/>
      <c r="AQ170" s="3"/>
      <c r="AR170" s="3"/>
      <c r="AS170" s="3"/>
      <c r="AT170" s="50"/>
      <c r="AU170" s="50"/>
      <c r="AV170" s="50"/>
      <c r="AW170" s="50"/>
      <c r="AX170" s="50"/>
      <c r="AY170" s="50"/>
      <c r="AZ170" s="17"/>
      <c r="BA170" s="17"/>
      <c r="BB170" s="17"/>
      <c r="BC170" s="17"/>
      <c r="BD170" s="16"/>
      <c r="BE170" s="16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29"/>
      <c r="BW170" s="29"/>
      <c r="BX170" s="29"/>
      <c r="BY170" s="94"/>
      <c r="BZ170" s="94"/>
      <c r="CA170" s="94"/>
      <c r="CB170" s="29"/>
      <c r="CC170" s="29"/>
      <c r="CD170" s="29"/>
      <c r="CE170" s="29"/>
      <c r="CF170" s="3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</row>
    <row r="171" spans="1:114" ht="11.1" customHeight="1" x14ac:dyDescent="0.25">
      <c r="A171" s="3"/>
      <c r="B171" s="3"/>
      <c r="C171" s="3"/>
      <c r="D171" s="3"/>
      <c r="E171" s="3"/>
      <c r="F171" s="9"/>
      <c r="G171" s="9"/>
      <c r="H171" s="9"/>
      <c r="I171" s="10"/>
      <c r="J171" s="10"/>
      <c r="K171" s="14"/>
      <c r="L171" s="11"/>
      <c r="M171" s="14"/>
      <c r="N171" s="14"/>
      <c r="O171" s="4"/>
      <c r="P171" s="3"/>
      <c r="Q171" s="4"/>
      <c r="R171" s="3"/>
      <c r="S171" s="3"/>
      <c r="T171" s="3"/>
      <c r="U171" s="4"/>
      <c r="V171" s="4"/>
      <c r="W171" s="4"/>
      <c r="X171" s="4"/>
      <c r="Y171" s="4"/>
      <c r="Z171" s="11"/>
      <c r="AA171" s="15"/>
      <c r="AB171" s="15"/>
      <c r="AC171" s="15"/>
      <c r="AD171" s="16"/>
      <c r="AE171" s="64"/>
      <c r="AF171" s="64"/>
      <c r="AG171" s="16"/>
      <c r="AH171" s="16"/>
      <c r="AI171" s="16"/>
      <c r="AJ171" s="15"/>
      <c r="AK171" s="15"/>
      <c r="AL171" s="15"/>
      <c r="AM171" s="15"/>
      <c r="AN171" s="15"/>
      <c r="AO171" s="15"/>
      <c r="AP171" s="3"/>
      <c r="AQ171" s="3"/>
      <c r="AR171" s="3"/>
      <c r="AS171" s="3"/>
      <c r="AT171" s="50"/>
      <c r="AU171" s="50"/>
      <c r="AV171" s="50"/>
      <c r="AW171" s="50"/>
      <c r="AX171" s="50"/>
      <c r="AY171" s="50"/>
      <c r="AZ171" s="17"/>
      <c r="BA171" s="17"/>
      <c r="BB171" s="17"/>
      <c r="BC171" s="17"/>
      <c r="BD171" s="16"/>
      <c r="BE171" s="16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29"/>
      <c r="BW171" s="29"/>
      <c r="BX171" s="29"/>
      <c r="BY171" s="94"/>
      <c r="BZ171" s="94"/>
      <c r="CA171" s="94"/>
      <c r="CB171" s="29"/>
      <c r="CC171" s="29"/>
      <c r="CD171" s="29"/>
      <c r="CE171" s="29"/>
      <c r="CF171" s="3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</row>
    <row r="172" spans="1:114" ht="11.1" customHeight="1" x14ac:dyDescent="0.25">
      <c r="A172" s="3"/>
      <c r="B172" s="3"/>
      <c r="C172" s="3"/>
      <c r="D172" s="3"/>
      <c r="E172" s="3"/>
      <c r="F172" s="9"/>
      <c r="G172" s="9"/>
      <c r="H172" s="9"/>
      <c r="I172" s="10"/>
      <c r="J172" s="10"/>
      <c r="K172" s="14"/>
      <c r="L172" s="11"/>
      <c r="M172" s="14"/>
      <c r="N172" s="14"/>
      <c r="O172" s="4"/>
      <c r="P172" s="3"/>
      <c r="Q172" s="4"/>
      <c r="R172" s="3"/>
      <c r="S172" s="3"/>
      <c r="T172" s="3"/>
      <c r="U172" s="4"/>
      <c r="V172" s="4"/>
      <c r="W172" s="4"/>
      <c r="X172" s="4"/>
      <c r="Y172" s="4"/>
      <c r="Z172" s="11"/>
      <c r="AA172" s="15"/>
      <c r="AB172" s="15"/>
      <c r="AC172" s="15"/>
      <c r="AD172" s="16"/>
      <c r="AE172" s="64"/>
      <c r="AF172" s="64"/>
      <c r="AG172" s="16"/>
      <c r="AH172" s="16"/>
      <c r="AI172" s="16"/>
      <c r="AJ172" s="15"/>
      <c r="AK172" s="15"/>
      <c r="AL172" s="15"/>
      <c r="AM172" s="15"/>
      <c r="AN172" s="15"/>
      <c r="AO172" s="15"/>
      <c r="AP172" s="3"/>
      <c r="AQ172" s="3"/>
      <c r="AR172" s="3"/>
      <c r="AS172" s="3"/>
      <c r="AT172" s="50"/>
      <c r="AU172" s="50"/>
      <c r="AV172" s="50"/>
      <c r="AW172" s="50"/>
      <c r="AX172" s="50"/>
      <c r="AY172" s="50"/>
      <c r="AZ172" s="17"/>
      <c r="BA172" s="17"/>
      <c r="BB172" s="17"/>
      <c r="BC172" s="17"/>
      <c r="BD172" s="16"/>
      <c r="BE172" s="16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29"/>
      <c r="BW172" s="29"/>
      <c r="BX172" s="29"/>
      <c r="BY172" s="94"/>
      <c r="BZ172" s="94"/>
      <c r="CA172" s="94"/>
      <c r="CB172" s="29"/>
      <c r="CC172" s="29"/>
      <c r="CD172" s="29"/>
      <c r="CE172" s="29"/>
      <c r="CF172" s="3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</row>
    <row r="173" spans="1:114" ht="11.1" customHeight="1" x14ac:dyDescent="0.25">
      <c r="A173" s="3"/>
      <c r="B173" s="3"/>
      <c r="C173" s="3"/>
      <c r="D173" s="3"/>
      <c r="E173" s="3"/>
      <c r="F173" s="9"/>
      <c r="G173" s="9"/>
      <c r="H173" s="9"/>
      <c r="I173" s="10"/>
      <c r="J173" s="10"/>
      <c r="K173" s="14"/>
      <c r="L173" s="11"/>
      <c r="M173" s="14"/>
      <c r="N173" s="14"/>
      <c r="O173" s="4"/>
      <c r="P173" s="3"/>
      <c r="Q173" s="4"/>
      <c r="R173" s="3"/>
      <c r="S173" s="3"/>
      <c r="T173" s="3"/>
      <c r="U173" s="4"/>
      <c r="V173" s="4"/>
      <c r="W173" s="4"/>
      <c r="X173" s="4"/>
      <c r="Y173" s="4"/>
      <c r="Z173" s="11"/>
      <c r="AA173" s="15"/>
      <c r="AB173" s="15"/>
      <c r="AC173" s="15"/>
      <c r="AD173" s="16"/>
      <c r="AE173" s="64"/>
      <c r="AF173" s="64"/>
      <c r="AG173" s="16"/>
      <c r="AH173" s="16"/>
      <c r="AI173" s="16"/>
      <c r="AJ173" s="15"/>
      <c r="AK173" s="15"/>
      <c r="AL173" s="15"/>
      <c r="AM173" s="15"/>
      <c r="AN173" s="15"/>
      <c r="AO173" s="15"/>
      <c r="AP173" s="3"/>
      <c r="AQ173" s="3"/>
      <c r="AR173" s="3"/>
      <c r="AS173" s="3"/>
      <c r="AT173" s="50"/>
      <c r="AU173" s="50"/>
      <c r="AV173" s="50"/>
      <c r="AW173" s="50"/>
      <c r="AX173" s="50"/>
      <c r="AY173" s="50"/>
      <c r="AZ173" s="17"/>
      <c r="BA173" s="17"/>
      <c r="BB173" s="17"/>
      <c r="BC173" s="17"/>
      <c r="BD173" s="16"/>
      <c r="BE173" s="16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29"/>
      <c r="BW173" s="29"/>
      <c r="BX173" s="29"/>
      <c r="BY173" s="94"/>
      <c r="BZ173" s="94"/>
      <c r="CA173" s="94"/>
      <c r="CB173" s="29"/>
      <c r="CC173" s="29"/>
      <c r="CD173" s="29"/>
      <c r="CE173" s="29"/>
      <c r="CF173" s="3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</row>
    <row r="174" spans="1:114" ht="11.1" customHeight="1" x14ac:dyDescent="0.25">
      <c r="A174" s="3"/>
      <c r="B174" s="3"/>
      <c r="C174" s="3"/>
      <c r="D174" s="3"/>
      <c r="E174" s="3"/>
      <c r="F174" s="9"/>
      <c r="G174" s="9"/>
      <c r="H174" s="9"/>
      <c r="I174" s="10"/>
      <c r="J174" s="10"/>
      <c r="K174" s="14"/>
      <c r="L174" s="11"/>
      <c r="M174" s="14"/>
      <c r="N174" s="14"/>
      <c r="O174" s="4"/>
      <c r="P174" s="3"/>
      <c r="Q174" s="4"/>
      <c r="R174" s="3"/>
      <c r="S174" s="3"/>
      <c r="T174" s="3"/>
      <c r="U174" s="4"/>
      <c r="V174" s="4"/>
      <c r="W174" s="4"/>
      <c r="X174" s="4"/>
      <c r="Y174" s="4"/>
      <c r="Z174" s="11"/>
      <c r="AA174" s="15"/>
      <c r="AB174" s="15"/>
      <c r="AC174" s="15"/>
      <c r="AD174" s="16"/>
      <c r="AE174" s="64"/>
      <c r="AF174" s="64"/>
      <c r="AG174" s="16"/>
      <c r="AH174" s="16"/>
      <c r="AI174" s="16"/>
      <c r="AJ174" s="15"/>
      <c r="AK174" s="15"/>
      <c r="AL174" s="15"/>
      <c r="AM174" s="15"/>
      <c r="AN174" s="15"/>
      <c r="AO174" s="15"/>
      <c r="AP174" s="3"/>
      <c r="AQ174" s="3"/>
      <c r="AR174" s="3"/>
      <c r="AS174" s="3"/>
      <c r="AT174" s="50"/>
      <c r="AU174" s="50"/>
      <c r="AV174" s="50"/>
      <c r="AW174" s="50"/>
      <c r="AX174" s="50"/>
      <c r="AY174" s="50"/>
      <c r="AZ174" s="17"/>
      <c r="BA174" s="17"/>
      <c r="BB174" s="17"/>
      <c r="BC174" s="17"/>
      <c r="BD174" s="16"/>
      <c r="BE174" s="16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29"/>
      <c r="BW174" s="29"/>
      <c r="BX174" s="29"/>
      <c r="BY174" s="94"/>
      <c r="BZ174" s="94"/>
      <c r="CA174" s="94"/>
      <c r="CB174" s="29"/>
      <c r="CC174" s="29"/>
      <c r="CD174" s="29"/>
      <c r="CE174" s="29"/>
      <c r="CF174" s="3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</row>
    <row r="175" spans="1:114" ht="11.1" customHeight="1" x14ac:dyDescent="0.25">
      <c r="A175" s="3"/>
      <c r="B175" s="3"/>
      <c r="C175" s="3"/>
      <c r="D175" s="3"/>
      <c r="E175" s="3"/>
      <c r="F175" s="9"/>
      <c r="G175" s="9"/>
      <c r="H175" s="9"/>
      <c r="I175" s="10"/>
      <c r="J175" s="10"/>
      <c r="K175" s="14"/>
      <c r="L175" s="11"/>
      <c r="M175" s="14"/>
      <c r="N175" s="14"/>
      <c r="O175" s="4"/>
      <c r="P175" s="3"/>
      <c r="Q175" s="4"/>
      <c r="R175" s="3"/>
      <c r="S175" s="3"/>
      <c r="T175" s="3"/>
      <c r="U175" s="4"/>
      <c r="V175" s="4"/>
      <c r="W175" s="4"/>
      <c r="X175" s="4"/>
      <c r="Y175" s="4"/>
      <c r="Z175" s="11"/>
      <c r="AA175" s="15"/>
      <c r="AB175" s="15"/>
      <c r="AC175" s="15"/>
      <c r="AD175" s="16"/>
      <c r="AE175" s="64"/>
      <c r="AF175" s="64"/>
      <c r="AG175" s="16"/>
      <c r="AH175" s="16"/>
      <c r="AI175" s="16"/>
      <c r="AJ175" s="15"/>
      <c r="AK175" s="15"/>
      <c r="AL175" s="15"/>
      <c r="AM175" s="15"/>
      <c r="AN175" s="15"/>
      <c r="AO175" s="15"/>
      <c r="AP175" s="3"/>
      <c r="AQ175" s="3"/>
      <c r="AR175" s="3"/>
      <c r="AS175" s="3"/>
      <c r="AT175" s="50"/>
      <c r="AU175" s="50"/>
      <c r="AV175" s="50"/>
      <c r="AW175" s="50"/>
      <c r="AX175" s="50"/>
      <c r="AY175" s="50"/>
      <c r="AZ175" s="17"/>
      <c r="BA175" s="17"/>
      <c r="BB175" s="17"/>
      <c r="BC175" s="17"/>
      <c r="BD175" s="16"/>
      <c r="BE175" s="16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29"/>
      <c r="BW175" s="29"/>
      <c r="BX175" s="29"/>
      <c r="BY175" s="94"/>
      <c r="BZ175" s="94"/>
      <c r="CA175" s="94"/>
      <c r="CB175" s="29"/>
      <c r="CC175" s="29"/>
      <c r="CD175" s="29"/>
      <c r="CE175" s="29"/>
      <c r="CF175" s="3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</row>
    <row r="176" spans="1:114" ht="11.1" customHeight="1" x14ac:dyDescent="0.25">
      <c r="A176" s="3"/>
      <c r="B176" s="3"/>
      <c r="C176" s="3"/>
      <c r="D176" s="3"/>
      <c r="E176" s="3"/>
      <c r="F176" s="9"/>
      <c r="G176" s="9"/>
      <c r="H176" s="9"/>
      <c r="I176" s="10"/>
      <c r="J176" s="10"/>
      <c r="K176" s="14"/>
      <c r="L176" s="11"/>
      <c r="M176" s="14"/>
      <c r="N176" s="14"/>
      <c r="O176" s="4"/>
      <c r="P176" s="3"/>
      <c r="Q176" s="4"/>
      <c r="R176" s="3"/>
      <c r="S176" s="3"/>
      <c r="T176" s="3"/>
      <c r="U176" s="4"/>
      <c r="V176" s="4"/>
      <c r="W176" s="4"/>
      <c r="X176" s="4"/>
      <c r="Y176" s="4"/>
      <c r="Z176" s="11"/>
      <c r="AA176" s="15"/>
      <c r="AB176" s="15"/>
      <c r="AC176" s="15"/>
      <c r="AD176" s="16"/>
      <c r="AE176" s="64"/>
      <c r="AF176" s="64"/>
      <c r="AG176" s="16"/>
      <c r="AH176" s="16"/>
      <c r="AI176" s="16"/>
      <c r="AJ176" s="15"/>
      <c r="AK176" s="15"/>
      <c r="AL176" s="15"/>
      <c r="AM176" s="15"/>
      <c r="AN176" s="15"/>
      <c r="AO176" s="15"/>
      <c r="AP176" s="3"/>
      <c r="AQ176" s="3"/>
      <c r="AR176" s="3"/>
      <c r="AS176" s="3"/>
      <c r="AT176" s="50"/>
      <c r="AU176" s="50"/>
      <c r="AV176" s="50"/>
      <c r="AW176" s="50"/>
      <c r="AX176" s="50"/>
      <c r="AY176" s="50"/>
      <c r="AZ176" s="17"/>
      <c r="BA176" s="17"/>
      <c r="BB176" s="17"/>
      <c r="BC176" s="17"/>
      <c r="BD176" s="16"/>
      <c r="BE176" s="16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29"/>
      <c r="BW176" s="29"/>
      <c r="BX176" s="29"/>
      <c r="BY176" s="94"/>
      <c r="BZ176" s="94"/>
      <c r="CA176" s="94"/>
      <c r="CB176" s="29"/>
      <c r="CC176" s="29"/>
      <c r="CD176" s="29"/>
      <c r="CE176" s="29"/>
      <c r="CF176" s="3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</row>
    <row r="177" spans="1:114" ht="11.1" customHeight="1" x14ac:dyDescent="0.25">
      <c r="A177" s="3"/>
      <c r="B177" s="3"/>
      <c r="C177" s="3"/>
      <c r="D177" s="3"/>
      <c r="E177" s="3"/>
      <c r="F177" s="9"/>
      <c r="G177" s="9"/>
      <c r="H177" s="9"/>
      <c r="I177" s="10"/>
      <c r="J177" s="10"/>
      <c r="K177" s="14"/>
      <c r="L177" s="11"/>
      <c r="M177" s="14"/>
      <c r="N177" s="14"/>
      <c r="O177" s="4"/>
      <c r="P177" s="3"/>
      <c r="Q177" s="4"/>
      <c r="R177" s="3"/>
      <c r="S177" s="3"/>
      <c r="T177" s="3"/>
      <c r="U177" s="4"/>
      <c r="V177" s="4"/>
      <c r="W177" s="4"/>
      <c r="X177" s="4"/>
      <c r="Y177" s="4"/>
      <c r="Z177" s="11"/>
      <c r="AA177" s="15"/>
      <c r="AB177" s="15"/>
      <c r="AC177" s="15"/>
      <c r="AD177" s="16"/>
      <c r="AE177" s="64"/>
      <c r="AF177" s="64"/>
      <c r="AG177" s="16"/>
      <c r="AH177" s="16"/>
      <c r="AI177" s="16"/>
      <c r="AJ177" s="15"/>
      <c r="AK177" s="15"/>
      <c r="AL177" s="15"/>
      <c r="AM177" s="15"/>
      <c r="AN177" s="15"/>
      <c r="AO177" s="15"/>
      <c r="AP177" s="3"/>
      <c r="AQ177" s="3"/>
      <c r="AR177" s="3"/>
      <c r="AS177" s="3"/>
      <c r="AT177" s="50"/>
      <c r="AU177" s="50"/>
      <c r="AV177" s="50"/>
      <c r="AW177" s="50"/>
      <c r="AX177" s="50"/>
      <c r="AY177" s="50"/>
      <c r="AZ177" s="17"/>
      <c r="BA177" s="17"/>
      <c r="BB177" s="17"/>
      <c r="BC177" s="17"/>
      <c r="BD177" s="16"/>
      <c r="BE177" s="16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29"/>
      <c r="BW177" s="29"/>
      <c r="BX177" s="29"/>
      <c r="BY177" s="94"/>
      <c r="BZ177" s="94"/>
      <c r="CA177" s="94"/>
      <c r="CB177" s="29"/>
      <c r="CC177" s="29"/>
      <c r="CD177" s="29"/>
      <c r="CE177" s="29"/>
      <c r="CF177" s="3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</row>
    <row r="178" spans="1:114" ht="11.1" customHeight="1" x14ac:dyDescent="0.25">
      <c r="A178" s="3"/>
      <c r="B178" s="3"/>
      <c r="C178" s="3"/>
      <c r="D178" s="3"/>
      <c r="E178" s="3"/>
      <c r="F178" s="9"/>
      <c r="G178" s="9"/>
      <c r="H178" s="9"/>
      <c r="I178" s="10"/>
      <c r="J178" s="10"/>
      <c r="K178" s="14"/>
      <c r="L178" s="11"/>
      <c r="M178" s="14"/>
      <c r="N178" s="14"/>
      <c r="O178" s="4"/>
      <c r="P178" s="3"/>
      <c r="Q178" s="4"/>
      <c r="R178" s="3"/>
      <c r="S178" s="3"/>
      <c r="T178" s="3"/>
      <c r="U178" s="4"/>
      <c r="V178" s="4"/>
      <c r="W178" s="4"/>
      <c r="X178" s="4"/>
      <c r="Y178" s="4"/>
      <c r="Z178" s="11"/>
      <c r="AA178" s="15"/>
      <c r="AB178" s="15"/>
      <c r="AC178" s="15"/>
      <c r="AD178" s="16"/>
      <c r="AE178" s="64"/>
      <c r="AF178" s="64"/>
      <c r="AG178" s="16"/>
      <c r="AH178" s="16"/>
      <c r="AI178" s="16"/>
      <c r="AJ178" s="15"/>
      <c r="AK178" s="15"/>
      <c r="AL178" s="15"/>
      <c r="AM178" s="15"/>
      <c r="AN178" s="15"/>
      <c r="AO178" s="15"/>
      <c r="AP178" s="3"/>
      <c r="AQ178" s="3"/>
      <c r="AR178" s="3"/>
      <c r="AS178" s="3"/>
      <c r="AT178" s="50"/>
      <c r="AU178" s="50"/>
      <c r="AV178" s="50"/>
      <c r="AW178" s="50"/>
      <c r="AX178" s="50"/>
      <c r="AY178" s="50"/>
      <c r="AZ178" s="17"/>
      <c r="BA178" s="17"/>
      <c r="BB178" s="17"/>
      <c r="BC178" s="17"/>
      <c r="BD178" s="16"/>
      <c r="BE178" s="16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29"/>
      <c r="BW178" s="29"/>
      <c r="BX178" s="29"/>
      <c r="BY178" s="94"/>
      <c r="BZ178" s="94"/>
      <c r="CA178" s="94"/>
      <c r="CB178" s="29"/>
      <c r="CC178" s="29"/>
      <c r="CD178" s="29"/>
      <c r="CE178" s="29"/>
      <c r="CF178" s="3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</row>
    <row r="179" spans="1:114" ht="11.1" customHeight="1" x14ac:dyDescent="0.25">
      <c r="A179" s="3"/>
      <c r="B179" s="3"/>
      <c r="C179" s="3"/>
      <c r="D179" s="3"/>
      <c r="E179" s="3"/>
      <c r="F179" s="9"/>
      <c r="G179" s="9"/>
      <c r="H179" s="9"/>
      <c r="I179" s="10"/>
      <c r="J179" s="10"/>
      <c r="K179" s="14"/>
      <c r="L179" s="11"/>
      <c r="M179" s="14"/>
      <c r="N179" s="14"/>
      <c r="O179" s="4"/>
      <c r="P179" s="3"/>
      <c r="Q179" s="4"/>
      <c r="R179" s="3"/>
      <c r="S179" s="3"/>
      <c r="T179" s="3"/>
      <c r="U179" s="4"/>
      <c r="V179" s="4"/>
      <c r="W179" s="4"/>
      <c r="X179" s="4"/>
      <c r="Y179" s="4"/>
      <c r="Z179" s="11"/>
      <c r="AA179" s="15"/>
      <c r="AB179" s="15"/>
      <c r="AC179" s="15"/>
      <c r="AD179" s="16"/>
      <c r="AE179" s="64"/>
      <c r="AF179" s="64"/>
      <c r="AG179" s="16"/>
      <c r="AH179" s="16"/>
      <c r="AI179" s="16"/>
      <c r="AJ179" s="15"/>
      <c r="AK179" s="15"/>
      <c r="AL179" s="15"/>
      <c r="AM179" s="15"/>
      <c r="AN179" s="15"/>
      <c r="AO179" s="15"/>
      <c r="AP179" s="3"/>
      <c r="AQ179" s="3"/>
      <c r="AR179" s="3"/>
      <c r="AS179" s="3"/>
      <c r="AT179" s="50"/>
      <c r="AU179" s="50"/>
      <c r="AV179" s="50"/>
      <c r="AW179" s="50"/>
      <c r="AX179" s="50"/>
      <c r="AY179" s="50"/>
      <c r="AZ179" s="17"/>
      <c r="BA179" s="17"/>
      <c r="BB179" s="17"/>
      <c r="BC179" s="17"/>
      <c r="BD179" s="16"/>
      <c r="BE179" s="16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29"/>
      <c r="BW179" s="29"/>
      <c r="BX179" s="29"/>
      <c r="BY179" s="94"/>
      <c r="BZ179" s="94"/>
      <c r="CA179" s="94"/>
      <c r="CB179" s="29"/>
      <c r="CC179" s="29"/>
      <c r="CD179" s="29"/>
      <c r="CE179" s="29"/>
      <c r="CF179" s="3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</row>
    <row r="180" spans="1:114" ht="11.1" customHeight="1" x14ac:dyDescent="0.25">
      <c r="A180" s="3"/>
      <c r="B180" s="3"/>
      <c r="C180" s="3"/>
      <c r="D180" s="3"/>
      <c r="E180" s="3"/>
      <c r="F180" s="9"/>
      <c r="G180" s="9"/>
      <c r="H180" s="9"/>
      <c r="I180" s="10"/>
      <c r="J180" s="10"/>
      <c r="K180" s="14"/>
      <c r="L180" s="11"/>
      <c r="M180" s="14"/>
      <c r="N180" s="14"/>
      <c r="O180" s="4"/>
      <c r="P180" s="3"/>
      <c r="Q180" s="4"/>
      <c r="R180" s="3"/>
      <c r="S180" s="3"/>
      <c r="T180" s="3"/>
      <c r="U180" s="4"/>
      <c r="V180" s="4"/>
      <c r="W180" s="4"/>
      <c r="X180" s="4"/>
      <c r="Y180" s="4"/>
      <c r="Z180" s="11"/>
      <c r="AA180" s="15"/>
      <c r="AB180" s="15"/>
      <c r="AC180" s="15"/>
      <c r="AD180" s="16"/>
      <c r="AE180" s="64"/>
      <c r="AF180" s="64"/>
      <c r="AG180" s="16"/>
      <c r="AH180" s="16"/>
      <c r="AI180" s="16"/>
      <c r="AJ180" s="15"/>
      <c r="AK180" s="15"/>
      <c r="AL180" s="15"/>
      <c r="AM180" s="15"/>
      <c r="AN180" s="15"/>
      <c r="AO180" s="15"/>
      <c r="AP180" s="3"/>
      <c r="AQ180" s="3"/>
      <c r="AR180" s="3"/>
      <c r="AS180" s="3"/>
      <c r="AT180" s="50"/>
      <c r="AU180" s="50"/>
      <c r="AV180" s="50"/>
      <c r="AW180" s="50"/>
      <c r="AX180" s="50"/>
      <c r="AY180" s="50"/>
      <c r="AZ180" s="17"/>
      <c r="BA180" s="17"/>
      <c r="BB180" s="17"/>
      <c r="BC180" s="17"/>
      <c r="BD180" s="16"/>
      <c r="BE180" s="16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29"/>
      <c r="BW180" s="29"/>
      <c r="BX180" s="29"/>
      <c r="BY180" s="94"/>
      <c r="BZ180" s="94"/>
      <c r="CA180" s="94"/>
      <c r="CB180" s="29"/>
      <c r="CC180" s="29"/>
      <c r="CD180" s="29"/>
      <c r="CE180" s="29"/>
      <c r="CF180" s="3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</row>
    <row r="181" spans="1:114" ht="11.1" customHeight="1" x14ac:dyDescent="0.25">
      <c r="A181" s="3"/>
      <c r="B181" s="3"/>
      <c r="C181" s="3"/>
      <c r="D181" s="3"/>
      <c r="E181" s="3"/>
      <c r="F181" s="9"/>
      <c r="G181" s="9"/>
      <c r="H181" s="9"/>
      <c r="I181" s="10"/>
      <c r="J181" s="10"/>
      <c r="K181" s="14"/>
      <c r="L181" s="11"/>
      <c r="M181" s="14"/>
      <c r="N181" s="14"/>
      <c r="O181" s="4"/>
      <c r="P181" s="3"/>
      <c r="Q181" s="4"/>
      <c r="R181" s="3"/>
      <c r="S181" s="3"/>
      <c r="T181" s="3"/>
      <c r="U181" s="4"/>
      <c r="V181" s="4"/>
      <c r="W181" s="4"/>
      <c r="X181" s="4"/>
      <c r="Y181" s="4"/>
      <c r="Z181" s="11"/>
      <c r="AA181" s="15"/>
      <c r="AB181" s="15"/>
      <c r="AC181" s="15"/>
      <c r="AD181" s="16"/>
      <c r="AE181" s="64"/>
      <c r="AF181" s="64"/>
      <c r="AG181" s="16"/>
      <c r="AH181" s="16"/>
      <c r="AI181" s="16"/>
      <c r="AJ181" s="15"/>
      <c r="AK181" s="15"/>
      <c r="AL181" s="15"/>
      <c r="AM181" s="15"/>
      <c r="AN181" s="15"/>
      <c r="AO181" s="15"/>
      <c r="AP181" s="3"/>
      <c r="AQ181" s="3"/>
      <c r="AR181" s="3"/>
      <c r="AS181" s="3"/>
      <c r="AT181" s="50"/>
      <c r="AU181" s="50"/>
      <c r="AV181" s="50"/>
      <c r="AW181" s="50"/>
      <c r="AX181" s="50"/>
      <c r="AY181" s="50"/>
      <c r="AZ181" s="17"/>
      <c r="BA181" s="17"/>
      <c r="BB181" s="17"/>
      <c r="BC181" s="17"/>
      <c r="BD181" s="16"/>
      <c r="BE181" s="16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29"/>
      <c r="BW181" s="29"/>
      <c r="BX181" s="29"/>
      <c r="BY181" s="94"/>
      <c r="BZ181" s="94"/>
      <c r="CA181" s="94"/>
      <c r="CB181" s="29"/>
      <c r="CC181" s="29"/>
      <c r="CD181" s="29"/>
      <c r="CE181" s="29"/>
      <c r="CF181" s="3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</row>
    <row r="182" spans="1:114" ht="11.1" customHeight="1" x14ac:dyDescent="0.25">
      <c r="A182" s="3"/>
      <c r="B182" s="3"/>
      <c r="C182" s="3"/>
      <c r="D182" s="3"/>
      <c r="E182" s="3"/>
      <c r="F182" s="9"/>
      <c r="G182" s="9"/>
      <c r="H182" s="9"/>
      <c r="I182" s="10"/>
      <c r="J182" s="10"/>
      <c r="K182" s="14"/>
      <c r="L182" s="11"/>
      <c r="M182" s="14"/>
      <c r="N182" s="14"/>
      <c r="O182" s="4"/>
      <c r="P182" s="3"/>
      <c r="Q182" s="4"/>
      <c r="R182" s="3"/>
      <c r="S182" s="3"/>
      <c r="T182" s="3"/>
      <c r="U182" s="4"/>
      <c r="V182" s="4"/>
      <c r="W182" s="4"/>
      <c r="X182" s="4"/>
      <c r="Y182" s="4"/>
      <c r="Z182" s="11"/>
      <c r="AA182" s="15"/>
      <c r="AB182" s="15"/>
      <c r="AC182" s="15"/>
      <c r="AD182" s="16"/>
      <c r="AE182" s="64"/>
      <c r="AF182" s="64"/>
      <c r="AG182" s="16"/>
      <c r="AH182" s="16"/>
      <c r="AI182" s="16"/>
      <c r="AJ182" s="15"/>
      <c r="AK182" s="15"/>
      <c r="AL182" s="15"/>
      <c r="AM182" s="15"/>
      <c r="AN182" s="15"/>
      <c r="AO182" s="15"/>
      <c r="AP182" s="3"/>
      <c r="AQ182" s="3"/>
      <c r="AR182" s="3"/>
      <c r="AS182" s="3"/>
      <c r="AT182" s="50"/>
      <c r="AU182" s="50"/>
      <c r="AV182" s="50"/>
      <c r="AW182" s="50"/>
      <c r="AX182" s="50"/>
      <c r="AY182" s="50"/>
      <c r="AZ182" s="17"/>
      <c r="BA182" s="17"/>
      <c r="BB182" s="17"/>
      <c r="BC182" s="17"/>
      <c r="BD182" s="16"/>
      <c r="BE182" s="16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29"/>
      <c r="BW182" s="29"/>
      <c r="BX182" s="29"/>
      <c r="BY182" s="94"/>
      <c r="BZ182" s="94"/>
      <c r="CA182" s="94"/>
      <c r="CB182" s="29"/>
      <c r="CC182" s="29"/>
      <c r="CD182" s="29"/>
      <c r="CE182" s="29"/>
      <c r="CF182" s="3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</row>
    <row r="183" spans="1:114" ht="11.1" customHeight="1" x14ac:dyDescent="0.25">
      <c r="A183" s="3"/>
      <c r="B183" s="3"/>
      <c r="C183" s="3"/>
      <c r="D183" s="3"/>
      <c r="E183" s="3"/>
      <c r="F183" s="9"/>
      <c r="G183" s="9"/>
      <c r="H183" s="9"/>
      <c r="I183" s="10"/>
      <c r="J183" s="10"/>
      <c r="K183" s="14"/>
      <c r="L183" s="11"/>
      <c r="M183" s="14"/>
      <c r="N183" s="14"/>
      <c r="O183" s="4"/>
      <c r="P183" s="3"/>
      <c r="Q183" s="4"/>
      <c r="R183" s="3"/>
      <c r="S183" s="3"/>
      <c r="T183" s="3"/>
      <c r="U183" s="4"/>
      <c r="V183" s="4"/>
      <c r="W183" s="4"/>
      <c r="X183" s="4"/>
      <c r="Y183" s="4"/>
      <c r="Z183" s="11"/>
      <c r="AA183" s="15"/>
      <c r="AB183" s="15"/>
      <c r="AC183" s="15"/>
      <c r="AD183" s="16"/>
      <c r="AE183" s="64"/>
      <c r="AF183" s="64"/>
      <c r="AG183" s="16"/>
      <c r="AH183" s="16"/>
      <c r="AI183" s="16"/>
      <c r="AJ183" s="15"/>
      <c r="AK183" s="15"/>
      <c r="AL183" s="15"/>
      <c r="AM183" s="15"/>
      <c r="AN183" s="15"/>
      <c r="AO183" s="15"/>
      <c r="AP183" s="3"/>
      <c r="AQ183" s="3"/>
      <c r="AR183" s="3"/>
      <c r="AS183" s="3"/>
      <c r="AT183" s="50"/>
      <c r="AU183" s="50"/>
      <c r="AV183" s="50"/>
      <c r="AW183" s="50"/>
      <c r="AX183" s="50"/>
      <c r="AY183" s="50"/>
      <c r="AZ183" s="17"/>
      <c r="BA183" s="17"/>
      <c r="BB183" s="17"/>
      <c r="BC183" s="17"/>
      <c r="BD183" s="16"/>
      <c r="BE183" s="16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29"/>
      <c r="BW183" s="29"/>
      <c r="BX183" s="29"/>
      <c r="BY183" s="94"/>
      <c r="BZ183" s="94"/>
      <c r="CA183" s="94"/>
      <c r="CB183" s="29"/>
      <c r="CC183" s="29"/>
      <c r="CD183" s="29"/>
      <c r="CE183" s="29"/>
      <c r="CF183" s="3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</row>
    <row r="184" spans="1:114" ht="11.1" customHeight="1" x14ac:dyDescent="0.25">
      <c r="A184" s="3"/>
      <c r="B184" s="3"/>
      <c r="C184" s="3"/>
      <c r="D184" s="3"/>
      <c r="E184" s="3"/>
      <c r="F184" s="9"/>
      <c r="G184" s="9"/>
      <c r="H184" s="9"/>
      <c r="I184" s="10"/>
      <c r="J184" s="10"/>
      <c r="K184" s="14"/>
      <c r="L184" s="11"/>
      <c r="M184" s="14"/>
      <c r="N184" s="14"/>
      <c r="O184" s="4"/>
      <c r="P184" s="3"/>
      <c r="Q184" s="4"/>
      <c r="R184" s="3"/>
      <c r="S184" s="3"/>
      <c r="T184" s="3"/>
      <c r="U184" s="4"/>
      <c r="V184" s="4"/>
      <c r="W184" s="4"/>
      <c r="X184" s="4"/>
      <c r="Y184" s="4"/>
      <c r="Z184" s="11"/>
      <c r="AA184" s="15"/>
      <c r="AB184" s="15"/>
      <c r="AC184" s="15"/>
      <c r="AD184" s="16"/>
      <c r="AE184" s="64"/>
      <c r="AF184" s="64"/>
      <c r="AG184" s="16"/>
      <c r="AH184" s="16"/>
      <c r="AI184" s="16"/>
      <c r="AJ184" s="15"/>
      <c r="AK184" s="15"/>
      <c r="AL184" s="15"/>
      <c r="AM184" s="15"/>
      <c r="AN184" s="15"/>
      <c r="AO184" s="15"/>
      <c r="AP184" s="3"/>
      <c r="AQ184" s="3"/>
      <c r="AR184" s="3"/>
      <c r="AS184" s="3"/>
      <c r="AT184" s="50"/>
      <c r="AU184" s="50"/>
      <c r="AV184" s="50"/>
      <c r="AW184" s="50"/>
      <c r="AX184" s="50"/>
      <c r="AY184" s="50"/>
      <c r="AZ184" s="17"/>
      <c r="BA184" s="17"/>
      <c r="BB184" s="17"/>
      <c r="BC184" s="17"/>
      <c r="BD184" s="16"/>
      <c r="BE184" s="16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29"/>
      <c r="BW184" s="29"/>
      <c r="BX184" s="29"/>
      <c r="BY184" s="94"/>
      <c r="BZ184" s="94"/>
      <c r="CA184" s="94"/>
      <c r="CB184" s="29"/>
      <c r="CC184" s="29"/>
      <c r="CD184" s="29"/>
      <c r="CE184" s="29"/>
      <c r="CF184" s="3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</row>
    <row r="185" spans="1:114" ht="11.1" customHeight="1" x14ac:dyDescent="0.25">
      <c r="A185" s="3"/>
      <c r="B185" s="3"/>
      <c r="C185" s="3"/>
      <c r="D185" s="3"/>
      <c r="E185" s="3"/>
      <c r="F185" s="9"/>
      <c r="G185" s="9"/>
      <c r="H185" s="9"/>
      <c r="I185" s="10"/>
      <c r="J185" s="10"/>
      <c r="K185" s="14"/>
      <c r="L185" s="11"/>
      <c r="M185" s="14"/>
      <c r="N185" s="14"/>
      <c r="O185" s="4"/>
      <c r="P185" s="3"/>
      <c r="Q185" s="4"/>
      <c r="R185" s="3"/>
      <c r="S185" s="3"/>
      <c r="T185" s="3"/>
      <c r="U185" s="4"/>
      <c r="V185" s="4"/>
      <c r="W185" s="4"/>
      <c r="X185" s="4"/>
      <c r="Y185" s="4"/>
      <c r="Z185" s="11"/>
      <c r="AA185" s="15"/>
      <c r="AB185" s="15"/>
      <c r="AC185" s="15"/>
      <c r="AD185" s="16"/>
      <c r="AE185" s="64"/>
      <c r="AF185" s="64"/>
      <c r="AG185" s="16"/>
      <c r="AH185" s="16"/>
      <c r="AI185" s="16"/>
      <c r="AJ185" s="15"/>
      <c r="AK185" s="15"/>
      <c r="AL185" s="15"/>
      <c r="AM185" s="15"/>
      <c r="AN185" s="15"/>
      <c r="AO185" s="15"/>
      <c r="AP185" s="3"/>
      <c r="AQ185" s="3"/>
      <c r="AR185" s="3"/>
      <c r="AS185" s="3"/>
      <c r="AT185" s="50"/>
      <c r="AU185" s="50"/>
      <c r="AV185" s="50"/>
      <c r="AW185" s="50"/>
      <c r="AX185" s="50"/>
      <c r="AY185" s="50"/>
      <c r="AZ185" s="17"/>
      <c r="BA185" s="17"/>
      <c r="BB185" s="17"/>
      <c r="BC185" s="17"/>
      <c r="BD185" s="16"/>
      <c r="BE185" s="16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29"/>
      <c r="BW185" s="29"/>
      <c r="BX185" s="29"/>
      <c r="BY185" s="94"/>
      <c r="BZ185" s="94"/>
      <c r="CA185" s="94"/>
      <c r="CB185" s="29"/>
      <c r="CC185" s="29"/>
      <c r="CD185" s="29"/>
      <c r="CE185" s="29"/>
      <c r="CF185" s="3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</row>
    <row r="186" spans="1:114" ht="11.1" customHeight="1" x14ac:dyDescent="0.25">
      <c r="A186" s="3"/>
      <c r="B186" s="3"/>
      <c r="C186" s="3"/>
      <c r="D186" s="3"/>
      <c r="E186" s="3"/>
      <c r="F186" s="9"/>
      <c r="G186" s="9"/>
      <c r="H186" s="9"/>
      <c r="I186" s="10"/>
      <c r="J186" s="10"/>
      <c r="K186" s="14"/>
      <c r="L186" s="11"/>
      <c r="M186" s="14"/>
      <c r="N186" s="14"/>
      <c r="O186" s="4"/>
      <c r="P186" s="3"/>
      <c r="Q186" s="4"/>
      <c r="R186" s="3"/>
      <c r="S186" s="3"/>
      <c r="T186" s="3"/>
      <c r="U186" s="4"/>
      <c r="V186" s="4"/>
      <c r="W186" s="4"/>
      <c r="X186" s="4"/>
      <c r="Y186" s="4"/>
      <c r="Z186" s="11"/>
      <c r="AA186" s="15"/>
      <c r="AB186" s="15"/>
      <c r="AC186" s="15"/>
      <c r="AD186" s="16"/>
      <c r="AE186" s="64"/>
      <c r="AF186" s="64"/>
      <c r="AG186" s="16"/>
      <c r="AH186" s="16"/>
      <c r="AI186" s="16"/>
      <c r="AJ186" s="15"/>
      <c r="AK186" s="15"/>
      <c r="AL186" s="15"/>
      <c r="AM186" s="15"/>
      <c r="AN186" s="15"/>
      <c r="AO186" s="15"/>
      <c r="AP186" s="3"/>
      <c r="AQ186" s="3"/>
      <c r="AR186" s="3"/>
      <c r="AS186" s="3"/>
      <c r="AT186" s="50"/>
      <c r="AU186" s="50"/>
      <c r="AV186" s="50"/>
      <c r="AW186" s="50"/>
      <c r="AX186" s="50"/>
      <c r="AY186" s="50"/>
      <c r="AZ186" s="17"/>
      <c r="BA186" s="17"/>
      <c r="BB186" s="17"/>
      <c r="BC186" s="17"/>
      <c r="BD186" s="16"/>
      <c r="BE186" s="16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29"/>
      <c r="BW186" s="29"/>
      <c r="BX186" s="29"/>
      <c r="BY186" s="94"/>
      <c r="BZ186" s="94"/>
      <c r="CA186" s="94"/>
      <c r="CB186" s="29"/>
      <c r="CC186" s="29"/>
      <c r="CD186" s="29"/>
      <c r="CE186" s="29"/>
      <c r="CF186" s="3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</row>
    <row r="187" spans="1:114" ht="11.1" customHeight="1" x14ac:dyDescent="0.25">
      <c r="A187" s="3"/>
      <c r="B187" s="3"/>
      <c r="C187" s="3"/>
      <c r="D187" s="3"/>
      <c r="E187" s="3"/>
      <c r="F187" s="9"/>
      <c r="G187" s="9"/>
      <c r="H187" s="9"/>
      <c r="I187" s="10"/>
      <c r="J187" s="10"/>
      <c r="K187" s="14"/>
      <c r="L187" s="11"/>
      <c r="M187" s="14"/>
      <c r="N187" s="14"/>
      <c r="O187" s="4"/>
      <c r="P187" s="3"/>
      <c r="Q187" s="4"/>
      <c r="R187" s="3"/>
      <c r="S187" s="3"/>
      <c r="T187" s="3"/>
      <c r="U187" s="4"/>
      <c r="V187" s="4"/>
      <c r="W187" s="4"/>
      <c r="X187" s="4"/>
      <c r="Y187" s="4"/>
      <c r="Z187" s="11"/>
      <c r="AA187" s="15"/>
      <c r="AB187" s="15"/>
      <c r="AC187" s="15"/>
      <c r="AD187" s="16"/>
      <c r="AE187" s="64"/>
      <c r="AF187" s="64"/>
      <c r="AG187" s="16"/>
      <c r="AH187" s="16"/>
      <c r="AI187" s="16"/>
      <c r="AJ187" s="15"/>
      <c r="AK187" s="15"/>
      <c r="AL187" s="15"/>
      <c r="AM187" s="15"/>
      <c r="AN187" s="15"/>
      <c r="AO187" s="15"/>
      <c r="AP187" s="3"/>
      <c r="AQ187" s="3"/>
      <c r="AR187" s="3"/>
      <c r="AS187" s="3"/>
      <c r="AT187" s="50"/>
      <c r="AU187" s="50"/>
      <c r="AV187" s="50"/>
      <c r="AW187" s="50"/>
      <c r="AX187" s="50"/>
      <c r="AY187" s="50"/>
      <c r="AZ187" s="17"/>
      <c r="BA187" s="17"/>
      <c r="BB187" s="17"/>
      <c r="BC187" s="17"/>
      <c r="BD187" s="16"/>
      <c r="BE187" s="16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29"/>
      <c r="BW187" s="29"/>
      <c r="BX187" s="29"/>
      <c r="BY187" s="94"/>
      <c r="BZ187" s="94"/>
      <c r="CA187" s="94"/>
      <c r="CB187" s="29"/>
      <c r="CC187" s="29"/>
      <c r="CD187" s="29"/>
      <c r="CE187" s="29"/>
      <c r="CF187" s="3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</row>
    <row r="188" spans="1:114" ht="11.1" customHeight="1" x14ac:dyDescent="0.25">
      <c r="A188" s="3"/>
      <c r="B188" s="3"/>
      <c r="C188" s="3"/>
      <c r="D188" s="3"/>
      <c r="E188" s="3"/>
      <c r="F188" s="9"/>
      <c r="G188" s="9"/>
      <c r="H188" s="9"/>
      <c r="I188" s="10"/>
      <c r="J188" s="10"/>
      <c r="K188" s="14"/>
      <c r="L188" s="11"/>
      <c r="M188" s="14"/>
      <c r="N188" s="14"/>
      <c r="O188" s="4"/>
      <c r="P188" s="3"/>
      <c r="Q188" s="4"/>
      <c r="R188" s="3"/>
      <c r="S188" s="3"/>
      <c r="T188" s="3"/>
      <c r="U188" s="4"/>
      <c r="V188" s="4"/>
      <c r="W188" s="4"/>
      <c r="X188" s="4"/>
      <c r="Y188" s="4"/>
      <c r="Z188" s="11"/>
      <c r="AA188" s="15"/>
      <c r="AB188" s="15"/>
      <c r="AC188" s="15"/>
      <c r="AD188" s="16"/>
      <c r="AE188" s="64"/>
      <c r="AF188" s="64"/>
      <c r="AG188" s="16"/>
      <c r="AH188" s="16"/>
      <c r="AI188" s="16"/>
      <c r="AJ188" s="15"/>
      <c r="AK188" s="15"/>
      <c r="AL188" s="15"/>
      <c r="AM188" s="15"/>
      <c r="AN188" s="15"/>
      <c r="AO188" s="15"/>
      <c r="AP188" s="3"/>
      <c r="AQ188" s="3"/>
      <c r="AR188" s="3"/>
      <c r="AS188" s="3"/>
      <c r="AT188" s="50"/>
      <c r="AU188" s="50"/>
      <c r="AV188" s="50"/>
      <c r="AW188" s="50"/>
      <c r="AX188" s="50"/>
      <c r="AY188" s="50"/>
      <c r="AZ188" s="17"/>
      <c r="BA188" s="17"/>
      <c r="BB188" s="17"/>
      <c r="BC188" s="17"/>
      <c r="BD188" s="16"/>
      <c r="BE188" s="16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29"/>
      <c r="BW188" s="29"/>
      <c r="BX188" s="29"/>
      <c r="BY188" s="94"/>
      <c r="BZ188" s="94"/>
      <c r="CA188" s="94"/>
      <c r="CB188" s="29"/>
      <c r="CC188" s="29"/>
      <c r="CD188" s="29"/>
      <c r="CE188" s="29"/>
      <c r="CF188" s="3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</row>
    <row r="189" spans="1:114" ht="11.1" customHeight="1" x14ac:dyDescent="0.25">
      <c r="A189" s="3"/>
      <c r="B189" s="3"/>
      <c r="C189" s="3"/>
      <c r="D189" s="3"/>
      <c r="E189" s="3"/>
      <c r="F189" s="9"/>
      <c r="G189" s="9"/>
      <c r="H189" s="9"/>
      <c r="I189" s="10"/>
      <c r="J189" s="10"/>
      <c r="K189" s="14"/>
      <c r="L189" s="11"/>
      <c r="M189" s="14"/>
      <c r="N189" s="14"/>
      <c r="O189" s="4"/>
      <c r="P189" s="3"/>
      <c r="Q189" s="4"/>
      <c r="R189" s="3"/>
      <c r="S189" s="3"/>
      <c r="T189" s="3"/>
      <c r="U189" s="4"/>
      <c r="V189" s="4"/>
      <c r="W189" s="4"/>
      <c r="X189" s="4"/>
      <c r="Y189" s="4"/>
      <c r="Z189" s="11"/>
      <c r="AA189" s="15"/>
      <c r="AB189" s="15"/>
      <c r="AC189" s="15"/>
      <c r="AD189" s="16"/>
      <c r="AE189" s="64"/>
      <c r="AF189" s="64"/>
      <c r="AG189" s="16"/>
      <c r="AH189" s="16"/>
      <c r="AI189" s="16"/>
      <c r="AJ189" s="15"/>
      <c r="AK189" s="15"/>
      <c r="AL189" s="15"/>
      <c r="AM189" s="15"/>
      <c r="AN189" s="15"/>
      <c r="AO189" s="15"/>
      <c r="AP189" s="3"/>
      <c r="AQ189" s="3"/>
      <c r="AR189" s="3"/>
      <c r="AS189" s="3"/>
      <c r="AT189" s="50"/>
      <c r="AU189" s="50"/>
      <c r="AV189" s="50"/>
      <c r="AW189" s="50"/>
      <c r="AX189" s="50"/>
      <c r="AY189" s="50"/>
      <c r="AZ189" s="17"/>
      <c r="BA189" s="17"/>
      <c r="BB189" s="17"/>
      <c r="BC189" s="17"/>
      <c r="BD189" s="16"/>
      <c r="BE189" s="16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29"/>
      <c r="BW189" s="29"/>
      <c r="BX189" s="29"/>
      <c r="BY189" s="94"/>
      <c r="BZ189" s="94"/>
      <c r="CA189" s="94"/>
      <c r="CB189" s="29"/>
      <c r="CC189" s="29"/>
      <c r="CD189" s="29"/>
      <c r="CE189" s="29"/>
      <c r="CF189" s="3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</row>
    <row r="190" spans="1:114" ht="11.1" customHeight="1" x14ac:dyDescent="0.25">
      <c r="A190" s="3"/>
      <c r="B190" s="3"/>
      <c r="C190" s="3"/>
      <c r="D190" s="3"/>
      <c r="E190" s="3"/>
      <c r="F190" s="9"/>
      <c r="G190" s="9"/>
      <c r="H190" s="9"/>
      <c r="I190" s="10"/>
      <c r="J190" s="10"/>
      <c r="K190" s="14"/>
      <c r="L190" s="11"/>
      <c r="M190" s="14"/>
      <c r="N190" s="14"/>
      <c r="O190" s="4"/>
      <c r="P190" s="3"/>
      <c r="Q190" s="4"/>
      <c r="R190" s="3"/>
      <c r="S190" s="3"/>
      <c r="T190" s="3"/>
      <c r="U190" s="4"/>
      <c r="V190" s="4"/>
      <c r="W190" s="4"/>
      <c r="X190" s="4"/>
      <c r="Y190" s="4"/>
      <c r="Z190" s="11"/>
      <c r="AA190" s="15"/>
      <c r="AB190" s="15"/>
      <c r="AC190" s="15"/>
      <c r="AD190" s="16"/>
      <c r="AE190" s="64"/>
      <c r="AF190" s="64"/>
      <c r="AG190" s="16"/>
      <c r="AH190" s="16"/>
      <c r="AI190" s="16"/>
      <c r="AJ190" s="15"/>
      <c r="AK190" s="15"/>
      <c r="AL190" s="15"/>
      <c r="AM190" s="15"/>
      <c r="AN190" s="15"/>
      <c r="AO190" s="15"/>
      <c r="AP190" s="3"/>
      <c r="AQ190" s="3"/>
      <c r="AR190" s="3"/>
      <c r="AS190" s="3"/>
      <c r="AT190" s="50"/>
      <c r="AU190" s="50"/>
      <c r="AV190" s="50"/>
      <c r="AW190" s="50"/>
      <c r="AX190" s="50"/>
      <c r="AY190" s="50"/>
      <c r="AZ190" s="17"/>
      <c r="BA190" s="17"/>
      <c r="BB190" s="17"/>
      <c r="BC190" s="17"/>
      <c r="BD190" s="16"/>
      <c r="BE190" s="16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29"/>
      <c r="BW190" s="29"/>
      <c r="BX190" s="29"/>
      <c r="BY190" s="94"/>
      <c r="BZ190" s="94"/>
      <c r="CA190" s="94"/>
      <c r="CB190" s="29"/>
      <c r="CC190" s="29"/>
      <c r="CD190" s="29"/>
      <c r="CE190" s="29"/>
      <c r="CF190" s="3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</row>
    <row r="191" spans="1:114" ht="11.1" customHeight="1" x14ac:dyDescent="0.25">
      <c r="A191" s="3"/>
      <c r="B191" s="3"/>
      <c r="C191" s="3"/>
      <c r="D191" s="3"/>
      <c r="E191" s="3"/>
      <c r="F191" s="9"/>
      <c r="G191" s="9"/>
      <c r="H191" s="9"/>
      <c r="I191" s="10"/>
      <c r="J191" s="10"/>
      <c r="K191" s="14"/>
      <c r="L191" s="11"/>
      <c r="M191" s="14"/>
      <c r="N191" s="14"/>
      <c r="O191" s="4"/>
      <c r="P191" s="3"/>
      <c r="Q191" s="4"/>
      <c r="R191" s="3"/>
      <c r="S191" s="3"/>
      <c r="T191" s="3"/>
      <c r="U191" s="4"/>
      <c r="V191" s="4"/>
      <c r="W191" s="4"/>
      <c r="X191" s="4"/>
      <c r="Y191" s="4"/>
      <c r="Z191" s="11"/>
      <c r="AA191" s="15"/>
      <c r="AB191" s="15"/>
      <c r="AC191" s="15"/>
      <c r="AD191" s="16"/>
      <c r="AE191" s="64"/>
      <c r="AF191" s="64"/>
      <c r="AG191" s="16"/>
      <c r="AH191" s="16"/>
      <c r="AI191" s="16"/>
      <c r="AJ191" s="15"/>
      <c r="AK191" s="15"/>
      <c r="AL191" s="15"/>
      <c r="AM191" s="15"/>
      <c r="AN191" s="15"/>
      <c r="AO191" s="15"/>
      <c r="AP191" s="3"/>
      <c r="AQ191" s="3"/>
      <c r="AR191" s="3"/>
      <c r="AS191" s="3"/>
      <c r="AT191" s="50"/>
      <c r="AU191" s="50"/>
      <c r="AV191" s="50"/>
      <c r="AW191" s="50"/>
      <c r="AX191" s="50"/>
      <c r="AY191" s="50"/>
      <c r="AZ191" s="17"/>
      <c r="BA191" s="17"/>
      <c r="BB191" s="17"/>
      <c r="BC191" s="17"/>
      <c r="BD191" s="16"/>
      <c r="BE191" s="16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29"/>
      <c r="BW191" s="29"/>
      <c r="BX191" s="29"/>
      <c r="BY191" s="94"/>
      <c r="BZ191" s="94"/>
      <c r="CA191" s="94"/>
      <c r="CB191" s="29"/>
      <c r="CC191" s="29"/>
      <c r="CD191" s="29"/>
      <c r="CE191" s="29"/>
      <c r="CF191" s="3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</row>
    <row r="192" spans="1:114" ht="11.1" customHeight="1" x14ac:dyDescent="0.25">
      <c r="A192" s="3"/>
      <c r="B192" s="3"/>
      <c r="C192" s="3"/>
      <c r="D192" s="3"/>
      <c r="E192" s="3"/>
      <c r="F192" s="9"/>
      <c r="G192" s="9"/>
      <c r="H192" s="9"/>
      <c r="I192" s="10"/>
      <c r="J192" s="10"/>
      <c r="K192" s="14"/>
      <c r="L192" s="11"/>
      <c r="M192" s="14"/>
      <c r="N192" s="14"/>
      <c r="O192" s="4"/>
      <c r="P192" s="3"/>
      <c r="Q192" s="4"/>
      <c r="R192" s="3"/>
      <c r="S192" s="3"/>
      <c r="T192" s="3"/>
      <c r="U192" s="4"/>
      <c r="V192" s="4"/>
      <c r="W192" s="4"/>
      <c r="X192" s="4"/>
      <c r="Y192" s="4"/>
      <c r="Z192" s="11"/>
      <c r="AA192" s="15"/>
      <c r="AB192" s="15"/>
      <c r="AC192" s="15"/>
      <c r="AD192" s="16"/>
      <c r="AE192" s="64"/>
      <c r="AF192" s="64"/>
      <c r="AG192" s="16"/>
      <c r="AH192" s="16"/>
      <c r="AI192" s="16"/>
      <c r="AJ192" s="15"/>
      <c r="AK192" s="15"/>
      <c r="AL192" s="15"/>
      <c r="AM192" s="15"/>
      <c r="AN192" s="15"/>
      <c r="AO192" s="15"/>
      <c r="AP192" s="3"/>
      <c r="AQ192" s="3"/>
      <c r="AR192" s="3"/>
      <c r="AS192" s="3"/>
      <c r="AT192" s="50"/>
      <c r="AU192" s="50"/>
      <c r="AV192" s="50"/>
      <c r="AW192" s="50"/>
      <c r="AX192" s="50"/>
      <c r="AY192" s="50"/>
      <c r="AZ192" s="17"/>
      <c r="BA192" s="17"/>
      <c r="BB192" s="17"/>
      <c r="BC192" s="17"/>
      <c r="BD192" s="16"/>
      <c r="BE192" s="16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29"/>
      <c r="BW192" s="29"/>
      <c r="BX192" s="29"/>
      <c r="BY192" s="94"/>
      <c r="BZ192" s="94"/>
      <c r="CA192" s="94"/>
      <c r="CB192" s="29"/>
      <c r="CC192" s="29"/>
      <c r="CD192" s="29"/>
      <c r="CE192" s="29"/>
      <c r="CF192" s="3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</row>
    <row r="193" spans="1:114" ht="11.1" customHeight="1" x14ac:dyDescent="0.25">
      <c r="A193" s="3"/>
      <c r="B193" s="3"/>
      <c r="C193" s="3"/>
      <c r="D193" s="3"/>
      <c r="E193" s="3"/>
      <c r="F193" s="9"/>
      <c r="G193" s="9"/>
      <c r="H193" s="9"/>
      <c r="I193" s="10"/>
      <c r="J193" s="10"/>
      <c r="K193" s="14"/>
      <c r="L193" s="11"/>
      <c r="M193" s="14"/>
      <c r="N193" s="14"/>
      <c r="O193" s="4"/>
      <c r="P193" s="3"/>
      <c r="Q193" s="4"/>
      <c r="R193" s="3"/>
      <c r="S193" s="3"/>
      <c r="T193" s="3"/>
      <c r="U193" s="4"/>
      <c r="V193" s="4"/>
      <c r="W193" s="4"/>
      <c r="X193" s="4"/>
      <c r="Y193" s="4"/>
      <c r="Z193" s="11"/>
      <c r="AA193" s="15"/>
      <c r="AB193" s="15"/>
      <c r="AC193" s="15"/>
      <c r="AD193" s="16"/>
      <c r="AE193" s="64"/>
      <c r="AF193" s="64"/>
      <c r="AG193" s="16"/>
      <c r="AH193" s="16"/>
      <c r="AI193" s="16"/>
      <c r="AJ193" s="15"/>
      <c r="AK193" s="15"/>
      <c r="AL193" s="15"/>
      <c r="AM193" s="15"/>
      <c r="AN193" s="15"/>
      <c r="AO193" s="15"/>
      <c r="AP193" s="3"/>
      <c r="AQ193" s="3"/>
      <c r="AR193" s="3"/>
      <c r="AS193" s="3"/>
      <c r="AT193" s="50"/>
      <c r="AU193" s="50"/>
      <c r="AV193" s="50"/>
      <c r="AW193" s="50"/>
      <c r="AX193" s="50"/>
      <c r="AY193" s="50"/>
      <c r="AZ193" s="17"/>
      <c r="BA193" s="17"/>
      <c r="BB193" s="17"/>
      <c r="BC193" s="17"/>
      <c r="BD193" s="16"/>
      <c r="BE193" s="16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29"/>
      <c r="BW193" s="29"/>
      <c r="BX193" s="29"/>
      <c r="BY193" s="94"/>
      <c r="BZ193" s="94"/>
      <c r="CA193" s="94"/>
      <c r="CB193" s="29"/>
      <c r="CC193" s="29"/>
      <c r="CD193" s="29"/>
      <c r="CE193" s="29"/>
      <c r="CF193" s="3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</row>
    <row r="194" spans="1:114" ht="11.1" customHeight="1" x14ac:dyDescent="0.25">
      <c r="A194" s="3"/>
      <c r="B194" s="3"/>
      <c r="C194" s="3"/>
      <c r="D194" s="3"/>
      <c r="E194" s="3"/>
      <c r="F194" s="9"/>
      <c r="G194" s="9"/>
      <c r="H194" s="9"/>
      <c r="I194" s="10"/>
      <c r="J194" s="10"/>
      <c r="K194" s="14"/>
      <c r="L194" s="11"/>
      <c r="M194" s="14"/>
      <c r="N194" s="14"/>
      <c r="O194" s="4"/>
      <c r="P194" s="3"/>
      <c r="Q194" s="4"/>
      <c r="R194" s="3"/>
      <c r="S194" s="3"/>
      <c r="T194" s="3"/>
      <c r="U194" s="4"/>
      <c r="V194" s="4"/>
      <c r="W194" s="4"/>
      <c r="X194" s="4"/>
      <c r="Y194" s="4"/>
      <c r="Z194" s="11"/>
      <c r="AA194" s="15"/>
      <c r="AB194" s="15"/>
      <c r="AC194" s="15"/>
      <c r="AD194" s="16"/>
      <c r="AE194" s="64"/>
      <c r="AF194" s="64"/>
      <c r="AG194" s="16"/>
      <c r="AH194" s="16"/>
      <c r="AI194" s="16"/>
      <c r="AJ194" s="15"/>
      <c r="AK194" s="15"/>
      <c r="AL194" s="15"/>
      <c r="AM194" s="15"/>
      <c r="AN194" s="15"/>
      <c r="AO194" s="15"/>
      <c r="AP194" s="3"/>
      <c r="AQ194" s="3"/>
      <c r="AR194" s="3"/>
      <c r="AS194" s="3"/>
      <c r="AT194" s="50"/>
      <c r="AU194" s="50"/>
      <c r="AV194" s="50"/>
      <c r="AW194" s="50"/>
      <c r="AX194" s="50"/>
      <c r="AY194" s="50"/>
      <c r="AZ194" s="17"/>
      <c r="BA194" s="17"/>
      <c r="BB194" s="17"/>
      <c r="BC194" s="17"/>
      <c r="BD194" s="16"/>
      <c r="BE194" s="16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29"/>
      <c r="BW194" s="29"/>
      <c r="BX194" s="29"/>
      <c r="BY194" s="94"/>
      <c r="BZ194" s="94"/>
      <c r="CA194" s="94"/>
      <c r="CB194" s="29"/>
      <c r="CC194" s="29"/>
      <c r="CD194" s="29"/>
      <c r="CE194" s="29"/>
      <c r="CF194" s="3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</row>
    <row r="195" spans="1:114" ht="11.1" customHeight="1" x14ac:dyDescent="0.25">
      <c r="A195" s="3"/>
      <c r="B195" s="3"/>
      <c r="C195" s="3"/>
      <c r="D195" s="3"/>
      <c r="E195" s="3"/>
      <c r="F195" s="9"/>
      <c r="G195" s="9"/>
      <c r="H195" s="9"/>
      <c r="I195" s="10"/>
      <c r="J195" s="10"/>
      <c r="K195" s="14"/>
      <c r="L195" s="11"/>
      <c r="M195" s="14"/>
      <c r="N195" s="14"/>
      <c r="O195" s="4"/>
      <c r="P195" s="3"/>
      <c r="Q195" s="4"/>
      <c r="R195" s="3"/>
      <c r="S195" s="3"/>
      <c r="T195" s="3"/>
      <c r="U195" s="4"/>
      <c r="V195" s="4"/>
      <c r="W195" s="4"/>
      <c r="X195" s="4"/>
      <c r="Y195" s="4"/>
      <c r="Z195" s="11"/>
      <c r="AA195" s="15"/>
      <c r="AB195" s="15"/>
      <c r="AC195" s="15"/>
      <c r="AD195" s="16"/>
      <c r="AE195" s="64"/>
      <c r="AF195" s="64"/>
      <c r="AG195" s="16"/>
      <c r="AH195" s="16"/>
      <c r="AI195" s="16"/>
      <c r="AJ195" s="15"/>
      <c r="AK195" s="15"/>
      <c r="AL195" s="15"/>
      <c r="AM195" s="15"/>
      <c r="AN195" s="15"/>
      <c r="AO195" s="15"/>
      <c r="AP195" s="3"/>
      <c r="AQ195" s="3"/>
      <c r="AR195" s="3"/>
      <c r="AS195" s="3"/>
      <c r="AT195" s="50"/>
      <c r="AU195" s="50"/>
      <c r="AV195" s="50"/>
      <c r="AW195" s="50"/>
      <c r="AX195" s="50"/>
      <c r="AY195" s="50"/>
      <c r="AZ195" s="17"/>
      <c r="BA195" s="17"/>
      <c r="BB195" s="17"/>
      <c r="BC195" s="17"/>
      <c r="BD195" s="16"/>
      <c r="BE195" s="16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29"/>
      <c r="BW195" s="29"/>
      <c r="BX195" s="29"/>
      <c r="BY195" s="94"/>
      <c r="BZ195" s="94"/>
      <c r="CA195" s="94"/>
      <c r="CB195" s="29"/>
      <c r="CC195" s="29"/>
      <c r="CD195" s="29"/>
      <c r="CE195" s="29"/>
      <c r="CF195" s="3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</row>
    <row r="196" spans="1:114" ht="11.1" customHeight="1" x14ac:dyDescent="0.25">
      <c r="A196" s="3"/>
      <c r="B196" s="3"/>
      <c r="C196" s="3"/>
      <c r="D196" s="3"/>
      <c r="E196" s="3"/>
      <c r="F196" s="9"/>
      <c r="G196" s="9"/>
      <c r="H196" s="9"/>
      <c r="I196" s="10"/>
      <c r="J196" s="10"/>
      <c r="K196" s="14"/>
      <c r="L196" s="11"/>
      <c r="M196" s="14"/>
      <c r="N196" s="14"/>
      <c r="O196" s="4"/>
      <c r="P196" s="3"/>
      <c r="Q196" s="4"/>
      <c r="R196" s="3"/>
      <c r="S196" s="3"/>
      <c r="T196" s="3"/>
      <c r="U196" s="4"/>
      <c r="V196" s="4"/>
      <c r="W196" s="4"/>
      <c r="X196" s="4"/>
      <c r="Y196" s="4"/>
      <c r="Z196" s="11"/>
      <c r="AA196" s="15"/>
      <c r="AB196" s="15"/>
      <c r="AC196" s="15"/>
      <c r="AD196" s="16"/>
      <c r="AE196" s="64"/>
      <c r="AF196" s="64"/>
      <c r="AG196" s="16"/>
      <c r="AH196" s="16"/>
      <c r="AI196" s="16"/>
      <c r="AJ196" s="15"/>
      <c r="AK196" s="15"/>
      <c r="AL196" s="15"/>
      <c r="AM196" s="15"/>
      <c r="AN196" s="15"/>
      <c r="AO196" s="15"/>
      <c r="AP196" s="3"/>
      <c r="AQ196" s="3"/>
      <c r="AR196" s="3"/>
      <c r="AS196" s="3"/>
      <c r="AT196" s="50"/>
      <c r="AU196" s="50"/>
      <c r="AV196" s="50"/>
      <c r="AW196" s="50"/>
      <c r="AX196" s="50"/>
      <c r="AY196" s="50"/>
      <c r="AZ196" s="17"/>
      <c r="BA196" s="17"/>
      <c r="BB196" s="17"/>
      <c r="BC196" s="17"/>
      <c r="BD196" s="16"/>
      <c r="BE196" s="16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29"/>
      <c r="BW196" s="29"/>
      <c r="BX196" s="29"/>
      <c r="BY196" s="94"/>
      <c r="BZ196" s="94"/>
      <c r="CA196" s="94"/>
      <c r="CB196" s="29"/>
      <c r="CC196" s="29"/>
      <c r="CD196" s="29"/>
      <c r="CE196" s="29"/>
      <c r="CF196" s="3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</row>
    <row r="197" spans="1:114" ht="11.1" customHeight="1" x14ac:dyDescent="0.25">
      <c r="A197" s="3"/>
      <c r="B197" s="3"/>
      <c r="C197" s="3"/>
      <c r="D197" s="3"/>
      <c r="E197" s="3"/>
      <c r="F197" s="9"/>
      <c r="G197" s="9"/>
      <c r="H197" s="9"/>
      <c r="I197" s="10"/>
      <c r="J197" s="10"/>
      <c r="K197" s="14"/>
      <c r="L197" s="11"/>
      <c r="M197" s="14"/>
      <c r="N197" s="14"/>
      <c r="O197" s="4"/>
      <c r="P197" s="3"/>
      <c r="Q197" s="4"/>
      <c r="R197" s="3"/>
      <c r="S197" s="3"/>
      <c r="T197" s="3"/>
      <c r="U197" s="4"/>
      <c r="V197" s="4"/>
      <c r="W197" s="4"/>
      <c r="X197" s="4"/>
      <c r="Y197" s="4"/>
      <c r="Z197" s="11"/>
      <c r="AA197" s="15"/>
      <c r="AB197" s="15"/>
      <c r="AC197" s="15"/>
      <c r="AD197" s="16"/>
      <c r="AE197" s="64"/>
      <c r="AF197" s="64"/>
      <c r="AG197" s="16"/>
      <c r="AH197" s="16"/>
      <c r="AI197" s="16"/>
      <c r="AJ197" s="15"/>
      <c r="AK197" s="15"/>
      <c r="AL197" s="15"/>
      <c r="AM197" s="15"/>
      <c r="AN197" s="15"/>
      <c r="AO197" s="15"/>
      <c r="AP197" s="3"/>
      <c r="AQ197" s="3"/>
      <c r="AR197" s="3"/>
      <c r="AS197" s="3"/>
      <c r="AT197" s="50"/>
      <c r="AU197" s="50"/>
      <c r="AV197" s="50"/>
      <c r="AW197" s="50"/>
      <c r="AX197" s="50"/>
      <c r="AY197" s="50"/>
      <c r="AZ197" s="17"/>
      <c r="BA197" s="17"/>
      <c r="BB197" s="17"/>
      <c r="BC197" s="17"/>
      <c r="BD197" s="16"/>
      <c r="BE197" s="16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29"/>
      <c r="BW197" s="29"/>
      <c r="BX197" s="29"/>
      <c r="BY197" s="94"/>
      <c r="BZ197" s="94"/>
      <c r="CA197" s="94"/>
      <c r="CB197" s="29"/>
      <c r="CC197" s="29"/>
      <c r="CD197" s="29"/>
      <c r="CE197" s="29"/>
      <c r="CF197" s="3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</row>
    <row r="198" spans="1:114" ht="11.1" customHeight="1" x14ac:dyDescent="0.25">
      <c r="A198" s="3"/>
      <c r="B198" s="3"/>
      <c r="C198" s="3"/>
      <c r="D198" s="3"/>
      <c r="E198" s="3"/>
      <c r="F198" s="9"/>
      <c r="G198" s="9"/>
      <c r="H198" s="9"/>
      <c r="I198" s="10"/>
      <c r="J198" s="10"/>
      <c r="K198" s="14"/>
      <c r="L198" s="11"/>
      <c r="M198" s="14"/>
      <c r="N198" s="14"/>
      <c r="O198" s="4"/>
      <c r="P198" s="3"/>
      <c r="Q198" s="4"/>
      <c r="R198" s="3"/>
      <c r="S198" s="3"/>
      <c r="T198" s="3"/>
      <c r="U198" s="4"/>
      <c r="V198" s="4"/>
      <c r="W198" s="4"/>
      <c r="X198" s="4"/>
      <c r="Y198" s="4"/>
      <c r="Z198" s="11"/>
      <c r="AA198" s="15"/>
      <c r="AB198" s="15"/>
      <c r="AC198" s="15"/>
      <c r="AD198" s="16"/>
      <c r="AE198" s="64"/>
      <c r="AF198" s="64"/>
      <c r="AG198" s="16"/>
      <c r="AH198" s="16"/>
      <c r="AI198" s="16"/>
      <c r="AJ198" s="15"/>
      <c r="AK198" s="15"/>
      <c r="AL198" s="15"/>
      <c r="AM198" s="15"/>
      <c r="AN198" s="15"/>
      <c r="AO198" s="15"/>
      <c r="AP198" s="3"/>
      <c r="AQ198" s="3"/>
      <c r="AR198" s="3"/>
      <c r="AS198" s="3"/>
      <c r="AT198" s="50"/>
      <c r="AU198" s="50"/>
      <c r="AV198" s="50"/>
      <c r="AW198" s="50"/>
      <c r="AX198" s="50"/>
      <c r="AY198" s="50"/>
      <c r="AZ198" s="17"/>
      <c r="BA198" s="17"/>
      <c r="BB198" s="17"/>
      <c r="BC198" s="17"/>
      <c r="BD198" s="16"/>
      <c r="BE198" s="16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29"/>
      <c r="BW198" s="29"/>
      <c r="BX198" s="29"/>
      <c r="BY198" s="94"/>
      <c r="BZ198" s="94"/>
      <c r="CA198" s="94"/>
      <c r="CB198" s="29"/>
      <c r="CC198" s="29"/>
      <c r="CD198" s="29"/>
      <c r="CE198" s="29"/>
      <c r="CF198" s="3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</row>
    <row r="199" spans="1:114" ht="11.1" customHeight="1" x14ac:dyDescent="0.25">
      <c r="A199" s="3"/>
      <c r="B199" s="3"/>
      <c r="C199" s="3"/>
      <c r="D199" s="3"/>
      <c r="E199" s="3"/>
      <c r="F199" s="9"/>
      <c r="G199" s="9"/>
      <c r="H199" s="9"/>
      <c r="I199" s="10"/>
      <c r="J199" s="10"/>
      <c r="K199" s="14"/>
      <c r="L199" s="11"/>
      <c r="M199" s="14"/>
      <c r="N199" s="14"/>
      <c r="O199" s="4"/>
      <c r="P199" s="3"/>
      <c r="Q199" s="4"/>
      <c r="R199" s="3"/>
      <c r="S199" s="3"/>
      <c r="T199" s="3"/>
      <c r="U199" s="4"/>
      <c r="V199" s="4"/>
      <c r="W199" s="4"/>
      <c r="X199" s="4"/>
      <c r="Y199" s="4"/>
      <c r="Z199" s="11"/>
      <c r="AA199" s="15"/>
      <c r="AB199" s="15"/>
      <c r="AC199" s="15"/>
      <c r="AD199" s="16"/>
      <c r="AE199" s="64"/>
      <c r="AF199" s="64"/>
      <c r="AG199" s="16"/>
      <c r="AH199" s="16"/>
      <c r="AI199" s="16"/>
      <c r="AJ199" s="15"/>
      <c r="AK199" s="15"/>
      <c r="AL199" s="15"/>
      <c r="AM199" s="15"/>
      <c r="AN199" s="15"/>
      <c r="AO199" s="15"/>
      <c r="AP199" s="3"/>
      <c r="AQ199" s="3"/>
      <c r="AR199" s="3"/>
      <c r="AS199" s="3"/>
      <c r="AT199" s="50"/>
      <c r="AU199" s="50"/>
      <c r="AV199" s="50"/>
      <c r="AW199" s="50"/>
      <c r="AX199" s="50"/>
      <c r="AY199" s="50"/>
      <c r="AZ199" s="17"/>
      <c r="BA199" s="17"/>
      <c r="BB199" s="17"/>
      <c r="BC199" s="17"/>
      <c r="BD199" s="16"/>
      <c r="BE199" s="16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29"/>
      <c r="BW199" s="29"/>
      <c r="BX199" s="29"/>
      <c r="BY199" s="94"/>
      <c r="BZ199" s="94"/>
      <c r="CA199" s="94"/>
      <c r="CB199" s="29"/>
      <c r="CC199" s="29"/>
      <c r="CD199" s="29"/>
      <c r="CE199" s="29"/>
      <c r="CF199" s="3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</row>
    <row r="200" spans="1:114" ht="11.1" customHeight="1" x14ac:dyDescent="0.25">
      <c r="A200" s="3"/>
      <c r="B200" s="3"/>
      <c r="C200" s="3"/>
      <c r="D200" s="3"/>
      <c r="E200" s="3"/>
      <c r="F200" s="9"/>
      <c r="G200" s="9"/>
      <c r="H200" s="9"/>
      <c r="I200" s="10"/>
      <c r="J200" s="10"/>
      <c r="K200" s="14"/>
      <c r="L200" s="11"/>
      <c r="M200" s="14"/>
      <c r="N200" s="14"/>
      <c r="O200" s="4"/>
      <c r="P200" s="3"/>
      <c r="Q200" s="4"/>
      <c r="R200" s="3"/>
      <c r="S200" s="3"/>
      <c r="T200" s="3"/>
      <c r="U200" s="4"/>
      <c r="V200" s="4"/>
      <c r="W200" s="4"/>
      <c r="X200" s="4"/>
      <c r="Y200" s="4"/>
      <c r="Z200" s="11"/>
      <c r="AA200" s="15"/>
      <c r="AB200" s="15"/>
      <c r="AC200" s="15"/>
      <c r="AD200" s="16"/>
      <c r="AE200" s="64"/>
      <c r="AF200" s="64"/>
      <c r="AG200" s="16"/>
      <c r="AH200" s="16"/>
      <c r="AI200" s="16"/>
      <c r="AJ200" s="15"/>
      <c r="AK200" s="15"/>
      <c r="AL200" s="15"/>
      <c r="AM200" s="15"/>
      <c r="AN200" s="15"/>
      <c r="AO200" s="15"/>
      <c r="AP200" s="3"/>
      <c r="AQ200" s="3"/>
      <c r="AR200" s="3"/>
      <c r="AS200" s="3"/>
      <c r="AT200" s="50"/>
      <c r="AU200" s="50"/>
      <c r="AV200" s="50"/>
      <c r="AW200" s="50"/>
      <c r="AX200" s="50"/>
      <c r="AY200" s="50"/>
      <c r="AZ200" s="17"/>
      <c r="BA200" s="17"/>
      <c r="BB200" s="17"/>
      <c r="BC200" s="17"/>
      <c r="BD200" s="16"/>
      <c r="BE200" s="16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29"/>
      <c r="BW200" s="29"/>
      <c r="BX200" s="29"/>
      <c r="BY200" s="94"/>
      <c r="BZ200" s="94"/>
      <c r="CA200" s="94"/>
      <c r="CB200" s="29"/>
      <c r="CC200" s="29"/>
      <c r="CD200" s="29"/>
      <c r="CE200" s="29"/>
      <c r="CF200" s="3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</row>
    <row r="201" spans="1:114" ht="11.1" customHeight="1" x14ac:dyDescent="0.25">
      <c r="A201" s="3"/>
      <c r="B201" s="3"/>
      <c r="C201" s="3"/>
      <c r="D201" s="3"/>
      <c r="E201" s="3"/>
      <c r="F201" s="9"/>
      <c r="G201" s="9"/>
      <c r="H201" s="9"/>
      <c r="I201" s="10"/>
      <c r="J201" s="10"/>
      <c r="K201" s="14"/>
      <c r="L201" s="11"/>
      <c r="M201" s="14"/>
      <c r="N201" s="14"/>
      <c r="O201" s="4"/>
      <c r="P201" s="3"/>
      <c r="Q201" s="4"/>
      <c r="R201" s="3"/>
      <c r="S201" s="3"/>
      <c r="T201" s="3"/>
      <c r="U201" s="4"/>
      <c r="V201" s="4"/>
      <c r="W201" s="4"/>
      <c r="X201" s="4"/>
      <c r="Y201" s="4"/>
      <c r="Z201" s="11"/>
      <c r="AA201" s="15"/>
      <c r="AB201" s="15"/>
      <c r="AC201" s="15"/>
      <c r="AD201" s="16"/>
      <c r="AE201" s="64"/>
      <c r="AF201" s="64"/>
      <c r="AG201" s="16"/>
      <c r="AH201" s="16"/>
      <c r="AI201" s="16"/>
      <c r="AJ201" s="15"/>
      <c r="AK201" s="15"/>
      <c r="AL201" s="15"/>
      <c r="AM201" s="15"/>
      <c r="AN201" s="15"/>
      <c r="AO201" s="15"/>
      <c r="AP201" s="3"/>
      <c r="AQ201" s="3"/>
      <c r="AR201" s="3"/>
      <c r="AS201" s="3"/>
      <c r="AT201" s="50"/>
      <c r="AU201" s="50"/>
      <c r="AV201" s="50"/>
      <c r="AW201" s="50"/>
      <c r="AX201" s="50"/>
      <c r="AY201" s="50"/>
      <c r="AZ201" s="17"/>
      <c r="BA201" s="17"/>
      <c r="BB201" s="17"/>
      <c r="BC201" s="17"/>
      <c r="BD201" s="16"/>
      <c r="BE201" s="16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29"/>
      <c r="BW201" s="29"/>
      <c r="BX201" s="29"/>
      <c r="BY201" s="94"/>
      <c r="BZ201" s="94"/>
      <c r="CA201" s="94"/>
      <c r="CB201" s="29"/>
      <c r="CC201" s="29"/>
      <c r="CD201" s="29"/>
      <c r="CE201" s="29"/>
      <c r="CF201" s="3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</row>
    <row r="202" spans="1:114" ht="11.1" customHeight="1" x14ac:dyDescent="0.25">
      <c r="A202" s="3"/>
      <c r="B202" s="3"/>
      <c r="C202" s="3"/>
      <c r="D202" s="3"/>
      <c r="E202" s="3"/>
      <c r="F202" s="9"/>
      <c r="G202" s="9"/>
      <c r="H202" s="9"/>
      <c r="I202" s="10"/>
      <c r="J202" s="10"/>
      <c r="K202" s="14"/>
      <c r="L202" s="11"/>
      <c r="M202" s="14"/>
      <c r="N202" s="14"/>
      <c r="O202" s="4"/>
      <c r="P202" s="3"/>
      <c r="Q202" s="4"/>
      <c r="R202" s="3"/>
      <c r="S202" s="3"/>
      <c r="T202" s="3"/>
      <c r="U202" s="4"/>
      <c r="V202" s="4"/>
      <c r="W202" s="4"/>
      <c r="X202" s="4"/>
      <c r="Y202" s="4"/>
      <c r="Z202" s="11"/>
      <c r="AA202" s="15"/>
      <c r="AB202" s="15"/>
      <c r="AC202" s="15"/>
      <c r="AD202" s="16"/>
      <c r="AE202" s="64"/>
      <c r="AF202" s="64"/>
      <c r="AG202" s="16"/>
      <c r="AH202" s="16"/>
      <c r="AI202" s="16"/>
      <c r="AJ202" s="15"/>
      <c r="AK202" s="15"/>
      <c r="AL202" s="15"/>
      <c r="AM202" s="15"/>
      <c r="AN202" s="15"/>
      <c r="AO202" s="15"/>
      <c r="AP202" s="3"/>
      <c r="AQ202" s="3"/>
      <c r="AR202" s="3"/>
      <c r="AS202" s="3"/>
      <c r="AT202" s="50"/>
      <c r="AU202" s="50"/>
      <c r="AV202" s="50"/>
      <c r="AW202" s="50"/>
      <c r="AX202" s="50"/>
      <c r="AY202" s="50"/>
      <c r="AZ202" s="17"/>
      <c r="BA202" s="17"/>
      <c r="BB202" s="17"/>
      <c r="BC202" s="17"/>
      <c r="BD202" s="16"/>
      <c r="BE202" s="16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29"/>
      <c r="BW202" s="29"/>
      <c r="BX202" s="29"/>
      <c r="BY202" s="94"/>
      <c r="BZ202" s="94"/>
      <c r="CA202" s="94"/>
      <c r="CB202" s="29"/>
      <c r="CC202" s="29"/>
      <c r="CD202" s="29"/>
      <c r="CE202" s="29"/>
      <c r="CF202" s="3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</row>
    <row r="203" spans="1:114" ht="11.1" customHeight="1" x14ac:dyDescent="0.25">
      <c r="A203" s="3"/>
      <c r="B203" s="3"/>
      <c r="C203" s="3"/>
      <c r="D203" s="3"/>
      <c r="E203" s="3"/>
      <c r="F203" s="9"/>
      <c r="G203" s="9"/>
      <c r="H203" s="9"/>
      <c r="I203" s="10"/>
      <c r="J203" s="10"/>
      <c r="K203" s="14"/>
      <c r="L203" s="11"/>
      <c r="M203" s="14"/>
      <c r="N203" s="14"/>
      <c r="O203" s="4"/>
      <c r="P203" s="3"/>
      <c r="Q203" s="4"/>
      <c r="R203" s="3"/>
      <c r="S203" s="3"/>
      <c r="T203" s="3"/>
      <c r="U203" s="4"/>
      <c r="V203" s="4"/>
      <c r="W203" s="4"/>
      <c r="X203" s="4"/>
      <c r="Y203" s="4"/>
      <c r="Z203" s="11"/>
      <c r="AA203" s="15"/>
      <c r="AB203" s="15"/>
      <c r="AC203" s="15"/>
      <c r="AD203" s="16"/>
      <c r="AE203" s="64"/>
      <c r="AF203" s="64"/>
      <c r="AG203" s="16"/>
      <c r="AH203" s="16"/>
      <c r="AI203" s="16"/>
      <c r="AJ203" s="15"/>
      <c r="AK203" s="15"/>
      <c r="AL203" s="15"/>
      <c r="AM203" s="15"/>
      <c r="AN203" s="15"/>
      <c r="AO203" s="15"/>
      <c r="AP203" s="3"/>
      <c r="AQ203" s="3"/>
      <c r="AR203" s="3"/>
      <c r="AS203" s="3"/>
      <c r="AT203" s="50"/>
      <c r="AU203" s="50"/>
      <c r="AV203" s="50"/>
      <c r="AW203" s="50"/>
      <c r="AX203" s="50"/>
      <c r="AY203" s="50"/>
      <c r="AZ203" s="17"/>
      <c r="BA203" s="17"/>
      <c r="BB203" s="17"/>
      <c r="BC203" s="17"/>
      <c r="BD203" s="16"/>
      <c r="BE203" s="16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29"/>
      <c r="BW203" s="29"/>
      <c r="BX203" s="29"/>
      <c r="BY203" s="94"/>
      <c r="BZ203" s="94"/>
      <c r="CA203" s="94"/>
      <c r="CB203" s="29"/>
      <c r="CC203" s="29"/>
      <c r="CD203" s="29"/>
      <c r="CE203" s="29"/>
      <c r="CF203" s="3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</row>
    <row r="204" spans="1:114" ht="11.1" customHeight="1" x14ac:dyDescent="0.25">
      <c r="A204" s="3"/>
      <c r="B204" s="3"/>
      <c r="C204" s="3"/>
      <c r="D204" s="3"/>
      <c r="E204" s="3"/>
      <c r="F204" s="9"/>
      <c r="G204" s="9"/>
      <c r="H204" s="9"/>
      <c r="I204" s="10"/>
      <c r="J204" s="10"/>
      <c r="K204" s="14"/>
      <c r="L204" s="11"/>
      <c r="M204" s="14"/>
      <c r="N204" s="14"/>
      <c r="O204" s="4"/>
      <c r="P204" s="3"/>
      <c r="Q204" s="4"/>
      <c r="R204" s="3"/>
      <c r="S204" s="3"/>
      <c r="T204" s="3"/>
      <c r="U204" s="4"/>
      <c r="V204" s="4"/>
      <c r="W204" s="4"/>
      <c r="X204" s="4"/>
      <c r="Y204" s="4"/>
      <c r="Z204" s="11"/>
      <c r="AA204" s="15"/>
      <c r="AB204" s="15"/>
      <c r="AC204" s="15"/>
      <c r="AD204" s="16"/>
      <c r="AE204" s="64"/>
      <c r="AF204" s="64"/>
      <c r="AG204" s="16"/>
      <c r="AH204" s="16"/>
      <c r="AI204" s="16"/>
      <c r="AJ204" s="15"/>
      <c r="AK204" s="15"/>
      <c r="AL204" s="15"/>
      <c r="AM204" s="15"/>
      <c r="AN204" s="15"/>
      <c r="AO204" s="15"/>
      <c r="AP204" s="3"/>
      <c r="AQ204" s="3"/>
      <c r="AR204" s="3"/>
      <c r="AS204" s="3"/>
      <c r="AT204" s="50"/>
      <c r="AU204" s="50"/>
      <c r="AV204" s="50"/>
      <c r="AW204" s="50"/>
      <c r="AX204" s="50"/>
      <c r="AY204" s="50"/>
      <c r="AZ204" s="17"/>
      <c r="BA204" s="17"/>
      <c r="BB204" s="17"/>
      <c r="BC204" s="17"/>
      <c r="BD204" s="16"/>
      <c r="BE204" s="16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29"/>
      <c r="BW204" s="29"/>
      <c r="BX204" s="29"/>
      <c r="BY204" s="94"/>
      <c r="BZ204" s="94"/>
      <c r="CA204" s="94"/>
      <c r="CB204" s="29"/>
      <c r="CC204" s="29"/>
      <c r="CD204" s="29"/>
      <c r="CE204" s="29"/>
      <c r="CF204" s="3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</row>
    <row r="205" spans="1:114" ht="11.1" customHeight="1" x14ac:dyDescent="0.25">
      <c r="A205" s="3"/>
      <c r="B205" s="3"/>
      <c r="C205" s="3"/>
      <c r="D205" s="3"/>
      <c r="E205" s="3"/>
      <c r="F205" s="9"/>
      <c r="G205" s="9"/>
      <c r="H205" s="9"/>
      <c r="I205" s="10"/>
      <c r="J205" s="10"/>
      <c r="K205" s="14"/>
      <c r="L205" s="11"/>
      <c r="M205" s="14"/>
      <c r="N205" s="14"/>
      <c r="O205" s="4"/>
      <c r="P205" s="3"/>
      <c r="Q205" s="4"/>
      <c r="R205" s="3"/>
      <c r="S205" s="3"/>
      <c r="T205" s="3"/>
      <c r="U205" s="4"/>
      <c r="V205" s="4"/>
      <c r="W205" s="4"/>
      <c r="X205" s="4"/>
      <c r="Y205" s="4"/>
      <c r="Z205" s="11"/>
      <c r="AA205" s="15"/>
      <c r="AB205" s="15"/>
      <c r="AC205" s="15"/>
      <c r="AD205" s="16"/>
      <c r="AE205" s="64"/>
      <c r="AF205" s="64"/>
      <c r="AG205" s="16"/>
      <c r="AH205" s="16"/>
      <c r="AI205" s="16"/>
      <c r="AJ205" s="15"/>
      <c r="AK205" s="15"/>
      <c r="AL205" s="15"/>
      <c r="AM205" s="15"/>
      <c r="AN205" s="15"/>
      <c r="AO205" s="15"/>
      <c r="AP205" s="3"/>
      <c r="AQ205" s="3"/>
      <c r="AR205" s="3"/>
      <c r="AS205" s="3"/>
      <c r="AT205" s="50"/>
      <c r="AU205" s="50"/>
      <c r="AV205" s="50"/>
      <c r="AW205" s="50"/>
      <c r="AX205" s="50"/>
      <c r="AY205" s="50"/>
      <c r="AZ205" s="17"/>
      <c r="BA205" s="17"/>
      <c r="BB205" s="17"/>
      <c r="BC205" s="17"/>
      <c r="BD205" s="16"/>
      <c r="BE205" s="16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29"/>
      <c r="BW205" s="29"/>
      <c r="BX205" s="29"/>
      <c r="BY205" s="94"/>
      <c r="BZ205" s="94"/>
      <c r="CA205" s="94"/>
      <c r="CB205" s="29"/>
      <c r="CC205" s="29"/>
      <c r="CD205" s="29"/>
      <c r="CE205" s="29"/>
      <c r="CF205" s="3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</row>
    <row r="206" spans="1:114" ht="11.1" customHeight="1" x14ac:dyDescent="0.25">
      <c r="A206" s="3"/>
      <c r="B206" s="3"/>
      <c r="C206" s="3"/>
      <c r="D206" s="3"/>
      <c r="E206" s="3"/>
      <c r="F206" s="9"/>
      <c r="G206" s="9"/>
      <c r="H206" s="9"/>
      <c r="I206" s="10"/>
      <c r="J206" s="10"/>
      <c r="K206" s="14"/>
      <c r="L206" s="11"/>
      <c r="M206" s="14"/>
      <c r="N206" s="14"/>
      <c r="O206" s="4"/>
      <c r="P206" s="3"/>
      <c r="Q206" s="4"/>
      <c r="R206" s="3"/>
      <c r="S206" s="3"/>
      <c r="T206" s="3"/>
      <c r="U206" s="4"/>
      <c r="V206" s="4"/>
      <c r="W206" s="4"/>
      <c r="X206" s="4"/>
      <c r="Y206" s="4"/>
      <c r="Z206" s="11"/>
      <c r="AA206" s="15"/>
      <c r="AB206" s="15"/>
      <c r="AC206" s="15"/>
      <c r="AD206" s="16"/>
      <c r="AE206" s="64"/>
      <c r="AF206" s="64"/>
      <c r="AG206" s="16"/>
      <c r="AH206" s="16"/>
      <c r="AI206" s="16"/>
      <c r="AJ206" s="15"/>
      <c r="AK206" s="15"/>
      <c r="AL206" s="15"/>
      <c r="AM206" s="15"/>
      <c r="AN206" s="15"/>
      <c r="AO206" s="15"/>
      <c r="AP206" s="3"/>
      <c r="AQ206" s="3"/>
      <c r="AR206" s="3"/>
      <c r="AS206" s="3"/>
      <c r="AT206" s="50"/>
      <c r="AU206" s="50"/>
      <c r="AV206" s="50"/>
      <c r="AW206" s="50"/>
      <c r="AX206" s="50"/>
      <c r="AY206" s="50"/>
      <c r="AZ206" s="17"/>
      <c r="BA206" s="17"/>
      <c r="BB206" s="17"/>
      <c r="BC206" s="17"/>
      <c r="BD206" s="16"/>
      <c r="BE206" s="16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29"/>
      <c r="BW206" s="29"/>
      <c r="BX206" s="29"/>
      <c r="BY206" s="94"/>
      <c r="BZ206" s="94"/>
      <c r="CA206" s="94"/>
      <c r="CB206" s="29"/>
      <c r="CC206" s="29"/>
      <c r="CD206" s="29"/>
      <c r="CE206" s="29"/>
      <c r="CF206" s="3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</row>
    <row r="207" spans="1:114" ht="11.1" customHeight="1" x14ac:dyDescent="0.25">
      <c r="A207" s="3"/>
      <c r="B207" s="3"/>
      <c r="C207" s="3"/>
      <c r="D207" s="3"/>
      <c r="E207" s="3"/>
      <c r="F207" s="9"/>
      <c r="G207" s="9"/>
      <c r="H207" s="9"/>
      <c r="I207" s="10"/>
      <c r="J207" s="10"/>
      <c r="K207" s="14"/>
      <c r="L207" s="11"/>
      <c r="M207" s="14"/>
      <c r="N207" s="14"/>
      <c r="O207" s="4"/>
      <c r="P207" s="3"/>
      <c r="Q207" s="4"/>
      <c r="R207" s="3"/>
      <c r="S207" s="3"/>
      <c r="T207" s="3"/>
      <c r="U207" s="4"/>
      <c r="V207" s="4"/>
      <c r="W207" s="4"/>
      <c r="X207" s="4"/>
      <c r="Y207" s="4"/>
      <c r="Z207" s="11"/>
      <c r="AA207" s="15"/>
      <c r="AB207" s="15"/>
      <c r="AC207" s="15"/>
      <c r="AD207" s="16"/>
      <c r="AE207" s="64"/>
      <c r="AF207" s="64"/>
      <c r="AG207" s="16"/>
      <c r="AH207" s="16"/>
      <c r="AI207" s="16"/>
      <c r="AJ207" s="15"/>
      <c r="AK207" s="15"/>
      <c r="AL207" s="15"/>
      <c r="AM207" s="15"/>
      <c r="AN207" s="15"/>
      <c r="AO207" s="15"/>
      <c r="AP207" s="3"/>
      <c r="AQ207" s="3"/>
      <c r="AR207" s="3"/>
      <c r="AS207" s="3"/>
      <c r="AT207" s="50"/>
      <c r="AU207" s="50"/>
      <c r="AV207" s="50"/>
      <c r="AW207" s="50"/>
      <c r="AX207" s="50"/>
      <c r="AY207" s="50"/>
      <c r="AZ207" s="17"/>
      <c r="BA207" s="17"/>
      <c r="BB207" s="17"/>
      <c r="BC207" s="17"/>
      <c r="BD207" s="16"/>
      <c r="BE207" s="16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29"/>
      <c r="BW207" s="29"/>
      <c r="BX207" s="29"/>
      <c r="BY207" s="94"/>
      <c r="BZ207" s="94"/>
      <c r="CA207" s="94"/>
      <c r="CB207" s="29"/>
      <c r="CC207" s="29"/>
      <c r="CD207" s="29"/>
      <c r="CE207" s="29"/>
      <c r="CF207" s="3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</row>
    <row r="208" spans="1:114" ht="11.1" customHeight="1" x14ac:dyDescent="0.25">
      <c r="A208" s="3"/>
      <c r="B208" s="3"/>
      <c r="C208" s="3"/>
      <c r="D208" s="3"/>
      <c r="E208" s="3"/>
      <c r="F208" s="9"/>
      <c r="G208" s="9"/>
      <c r="H208" s="9"/>
      <c r="I208" s="10"/>
      <c r="J208" s="10"/>
      <c r="K208" s="14"/>
      <c r="L208" s="11"/>
      <c r="M208" s="14"/>
      <c r="N208" s="14"/>
      <c r="O208" s="4"/>
      <c r="P208" s="3"/>
      <c r="Q208" s="4"/>
      <c r="R208" s="3"/>
      <c r="S208" s="3"/>
      <c r="T208" s="3"/>
      <c r="U208" s="4"/>
      <c r="V208" s="4"/>
      <c r="W208" s="4"/>
      <c r="X208" s="4"/>
      <c r="Y208" s="4"/>
      <c r="Z208" s="11"/>
      <c r="AA208" s="15"/>
      <c r="AB208" s="15"/>
      <c r="AC208" s="15"/>
      <c r="AD208" s="16"/>
      <c r="AE208" s="64"/>
      <c r="AF208" s="64"/>
      <c r="AG208" s="16"/>
      <c r="AH208" s="16"/>
      <c r="AI208" s="16"/>
      <c r="AJ208" s="15"/>
      <c r="AK208" s="15"/>
      <c r="AL208" s="15"/>
      <c r="AM208" s="15"/>
      <c r="AN208" s="15"/>
      <c r="AO208" s="15"/>
      <c r="AP208" s="3"/>
      <c r="AQ208" s="3"/>
      <c r="AR208" s="3"/>
      <c r="AS208" s="3"/>
      <c r="AT208" s="50"/>
      <c r="AU208" s="50"/>
      <c r="AV208" s="50"/>
      <c r="AW208" s="50"/>
      <c r="AX208" s="50"/>
      <c r="AY208" s="50"/>
      <c r="AZ208" s="17"/>
      <c r="BA208" s="17"/>
      <c r="BB208" s="17"/>
      <c r="BC208" s="17"/>
      <c r="BD208" s="16"/>
      <c r="BE208" s="16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29"/>
      <c r="BW208" s="29"/>
      <c r="BX208" s="29"/>
      <c r="BY208" s="94"/>
      <c r="BZ208" s="94"/>
      <c r="CA208" s="94"/>
      <c r="CB208" s="29"/>
      <c r="CC208" s="29"/>
      <c r="CD208" s="29"/>
      <c r="CE208" s="29"/>
      <c r="CF208" s="3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</row>
    <row r="209" spans="1:114" ht="11.1" customHeight="1" x14ac:dyDescent="0.25">
      <c r="A209" s="3"/>
      <c r="B209" s="3"/>
      <c r="C209" s="3"/>
      <c r="D209" s="3"/>
      <c r="E209" s="3"/>
      <c r="F209" s="9"/>
      <c r="G209" s="9"/>
      <c r="H209" s="9"/>
      <c r="I209" s="10"/>
      <c r="J209" s="10"/>
      <c r="K209" s="14"/>
      <c r="L209" s="11"/>
      <c r="M209" s="14"/>
      <c r="N209" s="14"/>
      <c r="O209" s="4"/>
      <c r="P209" s="3"/>
      <c r="Q209" s="4"/>
      <c r="R209" s="3"/>
      <c r="S209" s="3"/>
      <c r="T209" s="3"/>
      <c r="U209" s="4"/>
      <c r="V209" s="4"/>
      <c r="W209" s="4"/>
      <c r="X209" s="4"/>
      <c r="Y209" s="4"/>
      <c r="Z209" s="11"/>
      <c r="AA209" s="15"/>
      <c r="AB209" s="15"/>
      <c r="AC209" s="15"/>
      <c r="AD209" s="16"/>
      <c r="AE209" s="64"/>
      <c r="AF209" s="64"/>
      <c r="AG209" s="16"/>
      <c r="AH209" s="16"/>
      <c r="AI209" s="16"/>
      <c r="AJ209" s="15"/>
      <c r="AK209" s="15"/>
      <c r="AL209" s="15"/>
      <c r="AM209" s="15"/>
      <c r="AN209" s="15"/>
      <c r="AO209" s="15"/>
      <c r="AP209" s="3"/>
      <c r="AQ209" s="3"/>
      <c r="AR209" s="3"/>
      <c r="AS209" s="3"/>
      <c r="AT209" s="50"/>
      <c r="AU209" s="50"/>
      <c r="AV209" s="50"/>
      <c r="AW209" s="50"/>
      <c r="AX209" s="50"/>
      <c r="AY209" s="50"/>
      <c r="AZ209" s="17"/>
      <c r="BA209" s="17"/>
      <c r="BB209" s="17"/>
      <c r="BC209" s="17"/>
      <c r="BD209" s="16"/>
      <c r="BE209" s="16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29"/>
      <c r="BW209" s="29"/>
      <c r="BX209" s="29"/>
      <c r="BY209" s="94"/>
      <c r="BZ209" s="94"/>
      <c r="CA209" s="94"/>
      <c r="CB209" s="29"/>
      <c r="CC209" s="29"/>
      <c r="CD209" s="29"/>
      <c r="CE209" s="29"/>
      <c r="CF209" s="3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</row>
    <row r="210" spans="1:114" ht="11.1" customHeight="1" x14ac:dyDescent="0.25">
      <c r="A210" s="3"/>
      <c r="B210" s="3"/>
      <c r="C210" s="3"/>
      <c r="D210" s="3"/>
      <c r="E210" s="3"/>
      <c r="F210" s="9"/>
      <c r="G210" s="9"/>
      <c r="H210" s="9"/>
      <c r="I210" s="10"/>
      <c r="J210" s="10"/>
      <c r="K210" s="14"/>
      <c r="L210" s="11"/>
      <c r="M210" s="14"/>
      <c r="N210" s="14"/>
      <c r="O210" s="4"/>
      <c r="P210" s="3"/>
      <c r="Q210" s="4"/>
      <c r="R210" s="3"/>
      <c r="S210" s="3"/>
      <c r="T210" s="3"/>
      <c r="U210" s="4"/>
      <c r="V210" s="4"/>
      <c r="W210" s="4"/>
      <c r="X210" s="4"/>
      <c r="Y210" s="4"/>
      <c r="Z210" s="11"/>
      <c r="AA210" s="15"/>
      <c r="AB210" s="15"/>
      <c r="AC210" s="15"/>
      <c r="AD210" s="16"/>
      <c r="AE210" s="64"/>
      <c r="AF210" s="64"/>
      <c r="AG210" s="16"/>
      <c r="AH210" s="16"/>
      <c r="AI210" s="16"/>
      <c r="AJ210" s="15"/>
      <c r="AK210" s="15"/>
      <c r="AL210" s="15"/>
      <c r="AM210" s="15"/>
      <c r="AN210" s="15"/>
      <c r="AO210" s="15"/>
      <c r="AP210" s="3"/>
      <c r="AQ210" s="3"/>
      <c r="AR210" s="3"/>
      <c r="AS210" s="3"/>
      <c r="AT210" s="50"/>
      <c r="AU210" s="50"/>
      <c r="AV210" s="50"/>
      <c r="AW210" s="50"/>
      <c r="AX210" s="50"/>
      <c r="AY210" s="50"/>
      <c r="AZ210" s="17"/>
      <c r="BA210" s="17"/>
      <c r="BB210" s="17"/>
      <c r="BC210" s="17"/>
      <c r="BD210" s="16"/>
      <c r="BE210" s="16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29"/>
      <c r="BW210" s="29"/>
      <c r="BX210" s="29"/>
      <c r="BY210" s="94"/>
      <c r="BZ210" s="94"/>
      <c r="CA210" s="94"/>
      <c r="CB210" s="29"/>
      <c r="CC210" s="29"/>
      <c r="CD210" s="29"/>
      <c r="CE210" s="29"/>
      <c r="CF210" s="3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</row>
    <row r="211" spans="1:114" ht="11.1" customHeight="1" x14ac:dyDescent="0.25">
      <c r="A211" s="3"/>
      <c r="B211" s="3"/>
      <c r="C211" s="3"/>
      <c r="D211" s="3"/>
      <c r="E211" s="3"/>
      <c r="F211" s="9"/>
      <c r="G211" s="9"/>
      <c r="H211" s="9"/>
      <c r="I211" s="10"/>
      <c r="J211" s="10"/>
      <c r="K211" s="14"/>
      <c r="L211" s="11"/>
      <c r="M211" s="14"/>
      <c r="N211" s="14"/>
      <c r="O211" s="4"/>
      <c r="P211" s="3"/>
      <c r="Q211" s="4"/>
      <c r="R211" s="3"/>
      <c r="S211" s="3"/>
      <c r="T211" s="3"/>
      <c r="U211" s="4"/>
      <c r="V211" s="4"/>
      <c r="W211" s="4"/>
      <c r="X211" s="4"/>
      <c r="Y211" s="4"/>
      <c r="Z211" s="11"/>
      <c r="AA211" s="15"/>
      <c r="AB211" s="15"/>
      <c r="AC211" s="15"/>
      <c r="AD211" s="16"/>
      <c r="AE211" s="64"/>
      <c r="AF211" s="64"/>
      <c r="AG211" s="16"/>
      <c r="AH211" s="16"/>
      <c r="AI211" s="16"/>
      <c r="AJ211" s="15"/>
      <c r="AK211" s="15"/>
      <c r="AL211" s="15"/>
      <c r="AM211" s="15"/>
      <c r="AN211" s="15"/>
      <c r="AO211" s="15"/>
      <c r="AP211" s="3"/>
      <c r="AQ211" s="3"/>
      <c r="AR211" s="3"/>
      <c r="AS211" s="3"/>
      <c r="AT211" s="50"/>
      <c r="AU211" s="50"/>
      <c r="AV211" s="50"/>
      <c r="AW211" s="50"/>
      <c r="AX211" s="50"/>
      <c r="AY211" s="50"/>
      <c r="AZ211" s="17"/>
      <c r="BA211" s="17"/>
      <c r="BB211" s="17"/>
      <c r="BC211" s="17"/>
      <c r="BD211" s="16"/>
      <c r="BE211" s="16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29"/>
      <c r="BW211" s="29"/>
      <c r="BX211" s="29"/>
      <c r="BY211" s="94"/>
      <c r="BZ211" s="94"/>
      <c r="CA211" s="94"/>
      <c r="CB211" s="29"/>
      <c r="CC211" s="29"/>
      <c r="CD211" s="29"/>
      <c r="CE211" s="29"/>
      <c r="CF211" s="3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</row>
    <row r="212" spans="1:114" ht="11.1" customHeight="1" x14ac:dyDescent="0.25">
      <c r="A212" s="3"/>
      <c r="B212" s="3"/>
      <c r="C212" s="3"/>
      <c r="D212" s="3"/>
      <c r="E212" s="3"/>
      <c r="F212" s="9"/>
      <c r="G212" s="9"/>
      <c r="H212" s="9"/>
      <c r="I212" s="10"/>
      <c r="J212" s="10"/>
      <c r="K212" s="14"/>
      <c r="L212" s="11"/>
      <c r="M212" s="14"/>
      <c r="N212" s="14"/>
      <c r="O212" s="4"/>
      <c r="P212" s="3"/>
      <c r="Q212" s="4"/>
      <c r="R212" s="3"/>
      <c r="S212" s="3"/>
      <c r="T212" s="3"/>
      <c r="U212" s="4"/>
      <c r="V212" s="4"/>
      <c r="W212" s="4"/>
      <c r="X212" s="4"/>
      <c r="Y212" s="4"/>
      <c r="Z212" s="11"/>
      <c r="AA212" s="15"/>
      <c r="AB212" s="15"/>
      <c r="AC212" s="15"/>
      <c r="AD212" s="16"/>
      <c r="AE212" s="64"/>
      <c r="AF212" s="64"/>
      <c r="AG212" s="16"/>
      <c r="AH212" s="16"/>
      <c r="AI212" s="16"/>
      <c r="AJ212" s="15"/>
      <c r="AK212" s="15"/>
      <c r="AL212" s="15"/>
      <c r="AM212" s="15"/>
      <c r="AN212" s="15"/>
      <c r="AO212" s="15"/>
      <c r="AP212" s="3"/>
      <c r="AQ212" s="3"/>
      <c r="AR212" s="3"/>
      <c r="AS212" s="3"/>
      <c r="AT212" s="50"/>
      <c r="AU212" s="50"/>
      <c r="AV212" s="50"/>
      <c r="AW212" s="50"/>
      <c r="AX212" s="50"/>
      <c r="AY212" s="50"/>
      <c r="AZ212" s="17"/>
      <c r="BA212" s="17"/>
      <c r="BB212" s="17"/>
      <c r="BC212" s="17"/>
      <c r="BD212" s="16"/>
      <c r="BE212" s="16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29"/>
      <c r="BW212" s="29"/>
      <c r="BX212" s="29"/>
      <c r="BY212" s="94"/>
      <c r="BZ212" s="94"/>
      <c r="CA212" s="94"/>
      <c r="CB212" s="29"/>
      <c r="CC212" s="29"/>
      <c r="CD212" s="29"/>
      <c r="CE212" s="29"/>
      <c r="CF212" s="3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</row>
    <row r="213" spans="1:114" ht="11.1" customHeight="1" x14ac:dyDescent="0.25">
      <c r="A213" s="3"/>
      <c r="B213" s="3"/>
      <c r="C213" s="3"/>
      <c r="D213" s="3"/>
      <c r="E213" s="3"/>
      <c r="F213" s="9"/>
      <c r="G213" s="9"/>
      <c r="H213" s="9"/>
      <c r="I213" s="10"/>
      <c r="J213" s="10"/>
      <c r="K213" s="14"/>
      <c r="L213" s="11"/>
      <c r="M213" s="14"/>
      <c r="N213" s="14"/>
      <c r="O213" s="4"/>
      <c r="P213" s="3"/>
      <c r="Q213" s="4"/>
      <c r="R213" s="3"/>
      <c r="S213" s="3"/>
      <c r="T213" s="3"/>
      <c r="U213" s="4"/>
      <c r="V213" s="4"/>
      <c r="W213" s="4"/>
      <c r="X213" s="4"/>
      <c r="Y213" s="4"/>
      <c r="Z213" s="11"/>
      <c r="AA213" s="15"/>
      <c r="AB213" s="15"/>
      <c r="AC213" s="15"/>
      <c r="AD213" s="16"/>
      <c r="AE213" s="64"/>
      <c r="AF213" s="64"/>
      <c r="AG213" s="16"/>
      <c r="AH213" s="16"/>
      <c r="AI213" s="16"/>
      <c r="AJ213" s="15"/>
      <c r="AK213" s="15"/>
      <c r="AL213" s="15"/>
      <c r="AM213" s="15"/>
      <c r="AN213" s="15"/>
      <c r="AO213" s="15"/>
      <c r="AP213" s="3"/>
      <c r="AQ213" s="3"/>
      <c r="AR213" s="3"/>
      <c r="AS213" s="3"/>
      <c r="AT213" s="50"/>
      <c r="AU213" s="50"/>
      <c r="AV213" s="50"/>
      <c r="AW213" s="50"/>
      <c r="AX213" s="50"/>
      <c r="AY213" s="50"/>
      <c r="AZ213" s="17"/>
      <c r="BA213" s="17"/>
      <c r="BB213" s="17"/>
      <c r="BC213" s="17"/>
      <c r="BD213" s="16"/>
      <c r="BE213" s="16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29"/>
      <c r="BW213" s="29"/>
      <c r="BX213" s="29"/>
      <c r="BY213" s="94"/>
      <c r="BZ213" s="94"/>
      <c r="CA213" s="94"/>
      <c r="CB213" s="29"/>
      <c r="CC213" s="29"/>
      <c r="CD213" s="29"/>
      <c r="CE213" s="29"/>
      <c r="CF213" s="3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</row>
    <row r="214" spans="1:114" ht="11.1" customHeight="1" x14ac:dyDescent="0.25">
      <c r="A214" s="3"/>
      <c r="B214" s="3"/>
      <c r="C214" s="3"/>
      <c r="D214" s="3"/>
      <c r="E214" s="3"/>
      <c r="F214" s="9"/>
      <c r="G214" s="9"/>
      <c r="H214" s="9"/>
      <c r="I214" s="10"/>
      <c r="J214" s="10"/>
      <c r="K214" s="14"/>
      <c r="L214" s="11"/>
      <c r="M214" s="14"/>
      <c r="N214" s="14"/>
      <c r="O214" s="4"/>
      <c r="P214" s="3"/>
      <c r="Q214" s="4"/>
      <c r="R214" s="3"/>
      <c r="S214" s="3"/>
      <c r="T214" s="3"/>
      <c r="U214" s="4"/>
      <c r="V214" s="4"/>
      <c r="W214" s="4"/>
      <c r="X214" s="4"/>
      <c r="Y214" s="4"/>
      <c r="Z214" s="11"/>
      <c r="AA214" s="15"/>
      <c r="AB214" s="15"/>
      <c r="AC214" s="15"/>
      <c r="AD214" s="16"/>
      <c r="AE214" s="64"/>
      <c r="AF214" s="64"/>
      <c r="AG214" s="16"/>
      <c r="AH214" s="16"/>
      <c r="AI214" s="16"/>
      <c r="AJ214" s="15"/>
      <c r="AK214" s="15"/>
      <c r="AL214" s="15"/>
      <c r="AM214" s="15"/>
      <c r="AN214" s="15"/>
      <c r="AO214" s="15"/>
      <c r="AP214" s="3"/>
      <c r="AQ214" s="3"/>
      <c r="AR214" s="3"/>
      <c r="AS214" s="3"/>
      <c r="AT214" s="50"/>
      <c r="AU214" s="50"/>
      <c r="AV214" s="50"/>
      <c r="AW214" s="50"/>
      <c r="AX214" s="50"/>
      <c r="AY214" s="50"/>
      <c r="AZ214" s="17"/>
      <c r="BA214" s="17"/>
      <c r="BB214" s="17"/>
      <c r="BC214" s="17"/>
      <c r="BD214" s="16"/>
      <c r="BE214" s="16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29"/>
      <c r="BW214" s="29"/>
      <c r="BX214" s="29"/>
      <c r="BY214" s="94"/>
      <c r="BZ214" s="94"/>
      <c r="CA214" s="94"/>
      <c r="CB214" s="29"/>
      <c r="CC214" s="29"/>
      <c r="CD214" s="29"/>
      <c r="CE214" s="29"/>
      <c r="CF214" s="3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</row>
    <row r="215" spans="1:114" ht="11.1" customHeight="1" x14ac:dyDescent="0.25">
      <c r="A215" s="3"/>
      <c r="B215" s="3"/>
      <c r="C215" s="3"/>
      <c r="D215" s="3"/>
      <c r="E215" s="3"/>
      <c r="F215" s="9"/>
      <c r="G215" s="9"/>
      <c r="H215" s="9"/>
      <c r="I215" s="10"/>
      <c r="J215" s="10"/>
      <c r="K215" s="14"/>
      <c r="L215" s="11"/>
      <c r="M215" s="14"/>
      <c r="N215" s="14"/>
      <c r="O215" s="4"/>
      <c r="P215" s="3"/>
      <c r="Q215" s="4"/>
      <c r="R215" s="3"/>
      <c r="S215" s="3"/>
      <c r="T215" s="3"/>
      <c r="U215" s="4"/>
      <c r="V215" s="4"/>
      <c r="W215" s="4"/>
      <c r="X215" s="4"/>
      <c r="Y215" s="4"/>
      <c r="Z215" s="11"/>
      <c r="AA215" s="15"/>
      <c r="AB215" s="15"/>
      <c r="AC215" s="15"/>
      <c r="AD215" s="16"/>
      <c r="AE215" s="64"/>
      <c r="AF215" s="64"/>
      <c r="AG215" s="16"/>
      <c r="AH215" s="16"/>
      <c r="AI215" s="16"/>
      <c r="AJ215" s="15"/>
      <c r="AK215" s="15"/>
      <c r="AL215" s="15"/>
      <c r="AM215" s="15"/>
      <c r="AN215" s="15"/>
      <c r="AO215" s="15"/>
      <c r="AP215" s="3"/>
      <c r="AQ215" s="3"/>
      <c r="AR215" s="3"/>
      <c r="AS215" s="3"/>
      <c r="AT215" s="50"/>
      <c r="AU215" s="50"/>
      <c r="AV215" s="50"/>
      <c r="AW215" s="50"/>
      <c r="AX215" s="50"/>
      <c r="AY215" s="50"/>
      <c r="AZ215" s="17"/>
      <c r="BA215" s="17"/>
      <c r="BB215" s="17"/>
      <c r="BC215" s="17"/>
      <c r="BD215" s="16"/>
      <c r="BE215" s="16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29"/>
      <c r="BW215" s="29"/>
      <c r="BX215" s="29"/>
      <c r="BY215" s="94"/>
      <c r="BZ215" s="94"/>
      <c r="CA215" s="94"/>
      <c r="CB215" s="29"/>
      <c r="CC215" s="29"/>
      <c r="CD215" s="29"/>
      <c r="CE215" s="29"/>
      <c r="CF215" s="3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</row>
    <row r="216" spans="1:114" ht="11.1" customHeight="1" x14ac:dyDescent="0.25">
      <c r="A216" s="3"/>
      <c r="B216" s="3"/>
      <c r="C216" s="3"/>
      <c r="D216" s="3"/>
      <c r="E216" s="3"/>
      <c r="F216" s="9"/>
      <c r="G216" s="9"/>
      <c r="H216" s="9"/>
      <c r="I216" s="10"/>
      <c r="J216" s="10"/>
      <c r="K216" s="14"/>
      <c r="L216" s="11"/>
      <c r="M216" s="14"/>
      <c r="N216" s="14"/>
      <c r="O216" s="4"/>
      <c r="P216" s="3"/>
      <c r="Q216" s="4"/>
      <c r="R216" s="3"/>
      <c r="S216" s="3"/>
      <c r="T216" s="3"/>
      <c r="U216" s="4"/>
      <c r="V216" s="4"/>
      <c r="W216" s="4"/>
      <c r="X216" s="4"/>
      <c r="Y216" s="4"/>
      <c r="Z216" s="11"/>
      <c r="AA216" s="15"/>
      <c r="AB216" s="15"/>
      <c r="AC216" s="15"/>
      <c r="AD216" s="16"/>
      <c r="AE216" s="64"/>
      <c r="AF216" s="64"/>
      <c r="AG216" s="16"/>
      <c r="AH216" s="16"/>
      <c r="AI216" s="16"/>
      <c r="AJ216" s="15"/>
      <c r="AK216" s="15"/>
      <c r="AL216" s="15"/>
      <c r="AM216" s="15"/>
      <c r="AN216" s="15"/>
      <c r="AO216" s="15"/>
      <c r="AP216" s="3"/>
      <c r="AQ216" s="3"/>
      <c r="AR216" s="3"/>
      <c r="AS216" s="3"/>
      <c r="AT216" s="50"/>
      <c r="AU216" s="50"/>
      <c r="AV216" s="50"/>
      <c r="AW216" s="50"/>
      <c r="AX216" s="50"/>
      <c r="AY216" s="50"/>
      <c r="AZ216" s="17"/>
      <c r="BA216" s="17"/>
      <c r="BB216" s="17"/>
      <c r="BC216" s="17"/>
      <c r="BD216" s="16"/>
      <c r="BE216" s="16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29"/>
      <c r="BW216" s="29"/>
      <c r="BX216" s="29"/>
      <c r="BY216" s="94"/>
      <c r="BZ216" s="94"/>
      <c r="CA216" s="94"/>
      <c r="CB216" s="29"/>
      <c r="CC216" s="29"/>
      <c r="CD216" s="29"/>
      <c r="CE216" s="29"/>
      <c r="CF216" s="3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</row>
    <row r="217" spans="1:114" ht="11.1" customHeight="1" x14ac:dyDescent="0.25">
      <c r="A217" s="3"/>
      <c r="B217" s="3"/>
      <c r="C217" s="3"/>
      <c r="D217" s="3"/>
      <c r="E217" s="3"/>
      <c r="F217" s="9"/>
      <c r="G217" s="9"/>
      <c r="H217" s="9"/>
      <c r="I217" s="10"/>
      <c r="J217" s="10"/>
      <c r="K217" s="14"/>
      <c r="L217" s="11"/>
      <c r="M217" s="14"/>
      <c r="N217" s="14"/>
      <c r="O217" s="4"/>
      <c r="P217" s="3"/>
      <c r="Q217" s="4"/>
      <c r="R217" s="3"/>
      <c r="S217" s="3"/>
      <c r="T217" s="3"/>
      <c r="U217" s="4"/>
      <c r="V217" s="4"/>
      <c r="W217" s="4"/>
      <c r="X217" s="4"/>
      <c r="Y217" s="4"/>
      <c r="Z217" s="11"/>
      <c r="AA217" s="15"/>
      <c r="AB217" s="15"/>
      <c r="AC217" s="15"/>
      <c r="AD217" s="16"/>
      <c r="AE217" s="64"/>
      <c r="AF217" s="64"/>
      <c r="AG217" s="16"/>
      <c r="AH217" s="16"/>
      <c r="AI217" s="16"/>
      <c r="AJ217" s="15"/>
      <c r="AK217" s="15"/>
      <c r="AL217" s="15"/>
      <c r="AM217" s="15"/>
      <c r="AN217" s="15"/>
      <c r="AO217" s="15"/>
      <c r="AP217" s="3"/>
      <c r="AQ217" s="3"/>
      <c r="AR217" s="3"/>
      <c r="AS217" s="3"/>
      <c r="AT217" s="50"/>
      <c r="AU217" s="50"/>
      <c r="AV217" s="50"/>
      <c r="AW217" s="50"/>
      <c r="AX217" s="50"/>
      <c r="AY217" s="50"/>
      <c r="AZ217" s="17"/>
      <c r="BA217" s="17"/>
      <c r="BB217" s="17"/>
      <c r="BC217" s="17"/>
      <c r="BD217" s="16"/>
      <c r="BE217" s="16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29"/>
      <c r="BW217" s="29"/>
      <c r="BX217" s="29"/>
      <c r="BY217" s="94"/>
      <c r="BZ217" s="94"/>
      <c r="CA217" s="94"/>
      <c r="CB217" s="29"/>
      <c r="CC217" s="29"/>
      <c r="CD217" s="29"/>
      <c r="CE217" s="29"/>
      <c r="CF217" s="3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</row>
    <row r="218" spans="1:114" ht="11.1" customHeight="1" x14ac:dyDescent="0.25">
      <c r="A218" s="3"/>
      <c r="B218" s="3"/>
      <c r="C218" s="3"/>
      <c r="D218" s="3"/>
      <c r="E218" s="3"/>
      <c r="F218" s="9"/>
      <c r="G218" s="9"/>
      <c r="H218" s="9"/>
      <c r="I218" s="10"/>
      <c r="J218" s="10"/>
      <c r="K218" s="14"/>
      <c r="L218" s="11"/>
      <c r="M218" s="14"/>
      <c r="N218" s="14"/>
      <c r="O218" s="4"/>
      <c r="P218" s="3"/>
      <c r="Q218" s="4"/>
      <c r="R218" s="3"/>
      <c r="S218" s="3"/>
      <c r="T218" s="3"/>
      <c r="U218" s="4"/>
      <c r="V218" s="4"/>
      <c r="W218" s="4"/>
      <c r="X218" s="4"/>
      <c r="Y218" s="4"/>
      <c r="Z218" s="11"/>
      <c r="AA218" s="15"/>
      <c r="AB218" s="15"/>
      <c r="AC218" s="15"/>
      <c r="AD218" s="16"/>
      <c r="AE218" s="64"/>
      <c r="AF218" s="64"/>
      <c r="AG218" s="16"/>
      <c r="AH218" s="16"/>
      <c r="AI218" s="16"/>
      <c r="AJ218" s="15"/>
      <c r="AK218" s="15"/>
      <c r="AL218" s="15"/>
      <c r="AM218" s="15"/>
      <c r="AN218" s="15"/>
      <c r="AO218" s="15"/>
      <c r="AP218" s="3"/>
      <c r="AQ218" s="3"/>
      <c r="AR218" s="3"/>
      <c r="AS218" s="3"/>
      <c r="AT218" s="50"/>
      <c r="AU218" s="50"/>
      <c r="AV218" s="50"/>
      <c r="AW218" s="50"/>
      <c r="AX218" s="50"/>
      <c r="AY218" s="50"/>
      <c r="AZ218" s="17"/>
      <c r="BA218" s="17"/>
      <c r="BB218" s="17"/>
      <c r="BC218" s="17"/>
      <c r="BD218" s="16"/>
      <c r="BE218" s="16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29"/>
      <c r="BW218" s="29"/>
      <c r="BX218" s="29"/>
      <c r="BY218" s="94"/>
      <c r="BZ218" s="94"/>
      <c r="CA218" s="94"/>
      <c r="CB218" s="29"/>
      <c r="CC218" s="29"/>
      <c r="CD218" s="29"/>
      <c r="CE218" s="29"/>
      <c r="CF218" s="3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</row>
    <row r="219" spans="1:114" ht="11.1" customHeight="1" x14ac:dyDescent="0.25">
      <c r="A219" s="3"/>
      <c r="B219" s="3"/>
      <c r="C219" s="3"/>
      <c r="D219" s="3"/>
      <c r="E219" s="3"/>
      <c r="F219" s="9"/>
      <c r="G219" s="9"/>
      <c r="H219" s="9"/>
      <c r="I219" s="10"/>
      <c r="J219" s="10"/>
      <c r="K219" s="14"/>
      <c r="L219" s="11"/>
      <c r="M219" s="14"/>
      <c r="N219" s="14"/>
      <c r="O219" s="4"/>
      <c r="P219" s="3"/>
      <c r="Q219" s="4"/>
      <c r="R219" s="3"/>
      <c r="S219" s="3"/>
      <c r="T219" s="3"/>
      <c r="U219" s="4"/>
      <c r="V219" s="4"/>
      <c r="W219" s="4"/>
      <c r="X219" s="4"/>
      <c r="Y219" s="4"/>
      <c r="Z219" s="11"/>
      <c r="AA219" s="15"/>
      <c r="AB219" s="15"/>
      <c r="AC219" s="15"/>
      <c r="AD219" s="16"/>
      <c r="AE219" s="64"/>
      <c r="AF219" s="64"/>
      <c r="AG219" s="16"/>
      <c r="AH219" s="16"/>
      <c r="AI219" s="16"/>
      <c r="AJ219" s="15"/>
      <c r="AK219" s="15"/>
      <c r="AL219" s="15"/>
      <c r="AM219" s="15"/>
      <c r="AN219" s="15"/>
      <c r="AO219" s="15"/>
      <c r="AP219" s="3"/>
      <c r="AQ219" s="3"/>
      <c r="AR219" s="3"/>
      <c r="AS219" s="3"/>
      <c r="AT219" s="50"/>
      <c r="AU219" s="50"/>
      <c r="AV219" s="50"/>
      <c r="AW219" s="50"/>
      <c r="AX219" s="50"/>
      <c r="AY219" s="50"/>
      <c r="AZ219" s="17"/>
      <c r="BA219" s="17"/>
      <c r="BB219" s="17"/>
      <c r="BC219" s="17"/>
      <c r="BD219" s="16"/>
      <c r="BE219" s="16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29"/>
      <c r="BW219" s="29"/>
      <c r="BX219" s="29"/>
      <c r="BY219" s="94"/>
      <c r="BZ219" s="94"/>
      <c r="CA219" s="94"/>
      <c r="CB219" s="29"/>
      <c r="CC219" s="29"/>
      <c r="CD219" s="29"/>
      <c r="CE219" s="29"/>
      <c r="CF219" s="3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</row>
    <row r="220" spans="1:114" ht="11.1" customHeight="1" x14ac:dyDescent="0.25">
      <c r="A220" s="3"/>
      <c r="B220" s="3"/>
      <c r="C220" s="3"/>
      <c r="D220" s="3"/>
      <c r="E220" s="3"/>
      <c r="F220" s="9"/>
      <c r="G220" s="9"/>
      <c r="H220" s="9"/>
      <c r="I220" s="10"/>
      <c r="J220" s="10"/>
      <c r="K220" s="14"/>
      <c r="L220" s="11"/>
      <c r="M220" s="14"/>
      <c r="N220" s="14"/>
      <c r="O220" s="4"/>
      <c r="P220" s="3"/>
      <c r="Q220" s="4"/>
      <c r="R220" s="3"/>
      <c r="S220" s="3"/>
      <c r="T220" s="3"/>
      <c r="U220" s="4"/>
      <c r="V220" s="4"/>
      <c r="W220" s="4"/>
      <c r="X220" s="4"/>
      <c r="Y220" s="4"/>
      <c r="Z220" s="11"/>
      <c r="AA220" s="15"/>
      <c r="AB220" s="15"/>
      <c r="AC220" s="15"/>
      <c r="AD220" s="16"/>
      <c r="AE220" s="64"/>
      <c r="AF220" s="64"/>
      <c r="AG220" s="16"/>
      <c r="AH220" s="16"/>
      <c r="AI220" s="16"/>
      <c r="AJ220" s="15"/>
      <c r="AK220" s="15"/>
      <c r="AL220" s="15"/>
      <c r="AM220" s="15"/>
      <c r="AN220" s="15"/>
      <c r="AO220" s="15"/>
      <c r="AP220" s="3"/>
      <c r="AQ220" s="3"/>
      <c r="AR220" s="3"/>
      <c r="AS220" s="3"/>
      <c r="AT220" s="50"/>
      <c r="AU220" s="50"/>
      <c r="AV220" s="50"/>
      <c r="AW220" s="50"/>
      <c r="AX220" s="50"/>
      <c r="AY220" s="50"/>
      <c r="AZ220" s="17"/>
      <c r="BA220" s="17"/>
      <c r="BB220" s="17"/>
      <c r="BC220" s="17"/>
      <c r="BD220" s="16"/>
      <c r="BE220" s="16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29"/>
      <c r="BW220" s="29"/>
      <c r="BX220" s="29"/>
      <c r="BY220" s="94"/>
      <c r="BZ220" s="94"/>
      <c r="CA220" s="94"/>
      <c r="CB220" s="29"/>
      <c r="CC220" s="29"/>
      <c r="CD220" s="29"/>
      <c r="CE220" s="29"/>
      <c r="CF220" s="3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</row>
    <row r="221" spans="1:114" ht="11.1" customHeight="1" x14ac:dyDescent="0.25">
      <c r="A221" s="3"/>
      <c r="B221" s="3"/>
      <c r="C221" s="3"/>
      <c r="D221" s="3"/>
      <c r="E221" s="3"/>
      <c r="F221" s="9"/>
      <c r="G221" s="9"/>
      <c r="H221" s="9"/>
      <c r="I221" s="10"/>
      <c r="J221" s="10"/>
      <c r="K221" s="14"/>
      <c r="L221" s="11"/>
      <c r="M221" s="14"/>
      <c r="N221" s="14"/>
      <c r="O221" s="4"/>
      <c r="P221" s="3"/>
      <c r="Q221" s="4"/>
      <c r="R221" s="3"/>
      <c r="S221" s="3"/>
      <c r="T221" s="3"/>
      <c r="U221" s="4"/>
      <c r="V221" s="4"/>
      <c r="W221" s="4"/>
      <c r="X221" s="4"/>
      <c r="Y221" s="4"/>
      <c r="Z221" s="11"/>
      <c r="AA221" s="15"/>
      <c r="AB221" s="15"/>
      <c r="AC221" s="15"/>
      <c r="AD221" s="16"/>
      <c r="AE221" s="64"/>
      <c r="AF221" s="64"/>
      <c r="AG221" s="16"/>
      <c r="AH221" s="16"/>
      <c r="AI221" s="16"/>
      <c r="AJ221" s="15"/>
      <c r="AK221" s="15"/>
      <c r="AL221" s="15"/>
      <c r="AM221" s="15"/>
      <c r="AN221" s="15"/>
      <c r="AO221" s="15"/>
      <c r="AP221" s="3"/>
      <c r="AQ221" s="3"/>
      <c r="AR221" s="3"/>
      <c r="AS221" s="3"/>
      <c r="AT221" s="50"/>
      <c r="AU221" s="50"/>
      <c r="AV221" s="50"/>
      <c r="AW221" s="50"/>
      <c r="AX221" s="50"/>
      <c r="AY221" s="50"/>
      <c r="AZ221" s="17"/>
      <c r="BA221" s="17"/>
      <c r="BB221" s="17"/>
      <c r="BC221" s="17"/>
      <c r="BD221" s="16"/>
      <c r="BE221" s="16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29"/>
      <c r="BW221" s="29"/>
      <c r="BX221" s="29"/>
      <c r="BY221" s="94"/>
      <c r="BZ221" s="94"/>
      <c r="CA221" s="94"/>
      <c r="CB221" s="29"/>
      <c r="CC221" s="29"/>
      <c r="CD221" s="29"/>
      <c r="CE221" s="29"/>
      <c r="CF221" s="3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</row>
    <row r="222" spans="1:114" ht="11.1" customHeight="1" x14ac:dyDescent="0.25">
      <c r="A222" s="3"/>
      <c r="B222" s="3"/>
      <c r="C222" s="3"/>
      <c r="D222" s="3"/>
      <c r="E222" s="3"/>
      <c r="F222" s="9"/>
      <c r="G222" s="9"/>
      <c r="H222" s="9"/>
      <c r="I222" s="10"/>
      <c r="J222" s="10"/>
      <c r="K222" s="14"/>
      <c r="L222" s="11"/>
      <c r="M222" s="14"/>
      <c r="N222" s="14"/>
      <c r="O222" s="4"/>
      <c r="P222" s="3"/>
      <c r="Q222" s="4"/>
      <c r="R222" s="3"/>
      <c r="S222" s="3"/>
      <c r="T222" s="3"/>
      <c r="U222" s="4"/>
      <c r="V222" s="4"/>
      <c r="W222" s="4"/>
      <c r="X222" s="4"/>
      <c r="Y222" s="4"/>
      <c r="Z222" s="11"/>
      <c r="AA222" s="15"/>
      <c r="AB222" s="15"/>
      <c r="AC222" s="15"/>
      <c r="AD222" s="16"/>
      <c r="AE222" s="64"/>
      <c r="AF222" s="64"/>
      <c r="AG222" s="16"/>
      <c r="AH222" s="16"/>
      <c r="AI222" s="16"/>
      <c r="AJ222" s="15"/>
      <c r="AK222" s="15"/>
      <c r="AL222" s="15"/>
      <c r="AM222" s="15"/>
      <c r="AN222" s="15"/>
      <c r="AO222" s="15"/>
      <c r="AP222" s="3"/>
      <c r="AQ222" s="3"/>
      <c r="AR222" s="3"/>
      <c r="AS222" s="3"/>
      <c r="AT222" s="50"/>
      <c r="AU222" s="50"/>
      <c r="AV222" s="50"/>
      <c r="AW222" s="50"/>
      <c r="AX222" s="50"/>
      <c r="AY222" s="50"/>
      <c r="AZ222" s="17"/>
      <c r="BA222" s="17"/>
      <c r="BB222" s="17"/>
      <c r="BC222" s="17"/>
      <c r="BD222" s="16"/>
      <c r="BE222" s="16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29"/>
      <c r="BW222" s="29"/>
      <c r="BX222" s="29"/>
      <c r="BY222" s="94"/>
      <c r="BZ222" s="94"/>
      <c r="CA222" s="94"/>
      <c r="CB222" s="29"/>
      <c r="CC222" s="29"/>
      <c r="CD222" s="29"/>
      <c r="CE222" s="29"/>
      <c r="CF222" s="3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</row>
    <row r="223" spans="1:114" ht="11.1" customHeight="1" x14ac:dyDescent="0.25">
      <c r="A223" s="3"/>
      <c r="B223" s="3"/>
      <c r="C223" s="3"/>
      <c r="D223" s="3"/>
      <c r="E223" s="3"/>
      <c r="F223" s="9"/>
      <c r="G223" s="9"/>
      <c r="H223" s="9"/>
      <c r="I223" s="10"/>
      <c r="J223" s="10"/>
      <c r="K223" s="14"/>
      <c r="L223" s="11"/>
      <c r="M223" s="14"/>
      <c r="N223" s="14"/>
      <c r="O223" s="4"/>
      <c r="P223" s="3"/>
      <c r="Q223" s="4"/>
      <c r="R223" s="3"/>
      <c r="S223" s="3"/>
      <c r="T223" s="3"/>
      <c r="U223" s="4"/>
      <c r="V223" s="4"/>
      <c r="W223" s="4"/>
      <c r="X223" s="4"/>
      <c r="Y223" s="4"/>
      <c r="Z223" s="11"/>
      <c r="AA223" s="15"/>
      <c r="AB223" s="15"/>
      <c r="AC223" s="15"/>
      <c r="AD223" s="16"/>
      <c r="AE223" s="64"/>
      <c r="AF223" s="64"/>
      <c r="AG223" s="16"/>
      <c r="AH223" s="16"/>
      <c r="AI223" s="16"/>
      <c r="AJ223" s="15"/>
      <c r="AK223" s="15"/>
      <c r="AL223" s="15"/>
      <c r="AM223" s="15"/>
      <c r="AN223" s="15"/>
      <c r="AO223" s="15"/>
      <c r="AP223" s="3"/>
      <c r="AQ223" s="3"/>
      <c r="AR223" s="3"/>
      <c r="AS223" s="3"/>
      <c r="AT223" s="50"/>
      <c r="AU223" s="50"/>
      <c r="AV223" s="50"/>
      <c r="AW223" s="50"/>
      <c r="AX223" s="50"/>
      <c r="AY223" s="50"/>
      <c r="AZ223" s="17"/>
      <c r="BA223" s="17"/>
      <c r="BB223" s="17"/>
      <c r="BC223" s="17"/>
      <c r="BD223" s="16"/>
      <c r="BE223" s="16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29"/>
      <c r="BW223" s="29"/>
      <c r="BX223" s="29"/>
      <c r="BY223" s="94"/>
      <c r="BZ223" s="94"/>
      <c r="CA223" s="94"/>
      <c r="CB223" s="29"/>
      <c r="CC223" s="29"/>
      <c r="CD223" s="29"/>
      <c r="CE223" s="29"/>
      <c r="CF223" s="3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</row>
    <row r="224" spans="1:114" ht="11.1" customHeight="1" x14ac:dyDescent="0.25">
      <c r="A224" s="3"/>
      <c r="B224" s="3"/>
      <c r="C224" s="3"/>
      <c r="D224" s="3"/>
      <c r="E224" s="3"/>
      <c r="F224" s="9"/>
      <c r="G224" s="9"/>
      <c r="H224" s="9"/>
      <c r="I224" s="10"/>
      <c r="J224" s="10"/>
      <c r="K224" s="14"/>
      <c r="L224" s="11"/>
      <c r="M224" s="14"/>
      <c r="N224" s="14"/>
      <c r="O224" s="4"/>
      <c r="P224" s="3"/>
      <c r="Q224" s="4"/>
      <c r="R224" s="3"/>
      <c r="S224" s="3"/>
      <c r="T224" s="3"/>
      <c r="U224" s="4"/>
      <c r="V224" s="4"/>
      <c r="W224" s="4"/>
      <c r="X224" s="4"/>
      <c r="Y224" s="4"/>
      <c r="Z224" s="11"/>
      <c r="AA224" s="15"/>
      <c r="AB224" s="15"/>
      <c r="AC224" s="15"/>
      <c r="AD224" s="16"/>
      <c r="AE224" s="64"/>
      <c r="AF224" s="64"/>
      <c r="AG224" s="16"/>
      <c r="AH224" s="16"/>
      <c r="AI224" s="16"/>
      <c r="AJ224" s="15"/>
      <c r="AK224" s="15"/>
      <c r="AL224" s="15"/>
      <c r="AM224" s="15"/>
      <c r="AN224" s="15"/>
      <c r="AO224" s="15"/>
      <c r="AP224" s="3"/>
      <c r="AQ224" s="3"/>
      <c r="AR224" s="3"/>
      <c r="AS224" s="3"/>
      <c r="AT224" s="50"/>
      <c r="AU224" s="50"/>
      <c r="AV224" s="50"/>
      <c r="AW224" s="50"/>
      <c r="AX224" s="50"/>
      <c r="AY224" s="50"/>
      <c r="AZ224" s="17"/>
      <c r="BA224" s="17"/>
      <c r="BB224" s="17"/>
      <c r="BC224" s="17"/>
      <c r="BD224" s="16"/>
      <c r="BE224" s="16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29"/>
      <c r="BW224" s="29"/>
      <c r="BX224" s="29"/>
      <c r="BY224" s="94"/>
      <c r="BZ224" s="94"/>
      <c r="CA224" s="94"/>
      <c r="CB224" s="29"/>
      <c r="CC224" s="29"/>
      <c r="CD224" s="29"/>
      <c r="CE224" s="29"/>
      <c r="CF224" s="3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</row>
    <row r="225" spans="1:114" ht="11.1" customHeight="1" x14ac:dyDescent="0.25">
      <c r="A225" s="3"/>
      <c r="B225" s="3"/>
      <c r="C225" s="3"/>
      <c r="D225" s="3"/>
      <c r="E225" s="3"/>
      <c r="F225" s="9"/>
      <c r="G225" s="9"/>
      <c r="H225" s="9"/>
      <c r="I225" s="10"/>
      <c r="J225" s="10"/>
      <c r="K225" s="14"/>
      <c r="L225" s="11"/>
      <c r="M225" s="14"/>
      <c r="N225" s="14"/>
      <c r="O225" s="4"/>
      <c r="P225" s="3"/>
      <c r="Q225" s="4"/>
      <c r="R225" s="3"/>
      <c r="S225" s="3"/>
      <c r="T225" s="3"/>
      <c r="U225" s="4"/>
      <c r="V225" s="4"/>
      <c r="W225" s="4"/>
      <c r="X225" s="4"/>
      <c r="Y225" s="4"/>
      <c r="Z225" s="11"/>
      <c r="AA225" s="15"/>
      <c r="AB225" s="15"/>
      <c r="AC225" s="15"/>
      <c r="AD225" s="16"/>
      <c r="AE225" s="64"/>
      <c r="AF225" s="64"/>
      <c r="AG225" s="16"/>
      <c r="AH225" s="16"/>
      <c r="AI225" s="16"/>
      <c r="AJ225" s="15"/>
      <c r="AK225" s="15"/>
      <c r="AL225" s="15"/>
      <c r="AM225" s="15"/>
      <c r="AN225" s="15"/>
      <c r="AO225" s="15"/>
      <c r="AP225" s="3"/>
      <c r="AQ225" s="3"/>
      <c r="AR225" s="3"/>
      <c r="AS225" s="3"/>
      <c r="AT225" s="50"/>
      <c r="AU225" s="50"/>
      <c r="AV225" s="50"/>
      <c r="AW225" s="50"/>
      <c r="AX225" s="50"/>
      <c r="AY225" s="50"/>
      <c r="AZ225" s="17"/>
      <c r="BA225" s="17"/>
      <c r="BB225" s="17"/>
      <c r="BC225" s="17"/>
      <c r="BD225" s="16"/>
      <c r="BE225" s="16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29"/>
      <c r="BW225" s="29"/>
      <c r="BX225" s="29"/>
      <c r="BY225" s="94"/>
      <c r="BZ225" s="94"/>
      <c r="CA225" s="94"/>
      <c r="CB225" s="29"/>
      <c r="CC225" s="29"/>
      <c r="CD225" s="29"/>
      <c r="CE225" s="29"/>
      <c r="CF225" s="3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</row>
    <row r="226" spans="1:114" ht="11.1" customHeight="1" x14ac:dyDescent="0.25">
      <c r="A226" s="3"/>
      <c r="B226" s="3"/>
      <c r="C226" s="3"/>
      <c r="D226" s="3"/>
      <c r="E226" s="3"/>
      <c r="F226" s="9"/>
      <c r="G226" s="9"/>
      <c r="H226" s="9"/>
      <c r="I226" s="10"/>
      <c r="J226" s="10"/>
      <c r="K226" s="14"/>
      <c r="L226" s="11"/>
      <c r="M226" s="14"/>
      <c r="N226" s="14"/>
      <c r="O226" s="4"/>
      <c r="P226" s="3"/>
      <c r="Q226" s="4"/>
      <c r="R226" s="3"/>
      <c r="S226" s="3"/>
      <c r="T226" s="3"/>
      <c r="U226" s="4"/>
      <c r="V226" s="4"/>
      <c r="W226" s="4"/>
      <c r="X226" s="4"/>
      <c r="Y226" s="4"/>
      <c r="Z226" s="11"/>
      <c r="AA226" s="15"/>
      <c r="AB226" s="15"/>
      <c r="AC226" s="15"/>
      <c r="AD226" s="16"/>
      <c r="AE226" s="64"/>
      <c r="AF226" s="64"/>
      <c r="AG226" s="16"/>
      <c r="AH226" s="16"/>
      <c r="AI226" s="16"/>
      <c r="AJ226" s="15"/>
      <c r="AK226" s="15"/>
      <c r="AL226" s="15"/>
      <c r="AM226" s="15"/>
      <c r="AN226" s="15"/>
      <c r="AO226" s="15"/>
      <c r="AP226" s="3"/>
      <c r="AQ226" s="3"/>
      <c r="AR226" s="3"/>
      <c r="AS226" s="3"/>
      <c r="AT226" s="50"/>
      <c r="AU226" s="50"/>
      <c r="AV226" s="50"/>
      <c r="AW226" s="50"/>
      <c r="AX226" s="50"/>
      <c r="AY226" s="50"/>
      <c r="AZ226" s="17"/>
      <c r="BA226" s="17"/>
      <c r="BB226" s="17"/>
      <c r="BC226" s="17"/>
      <c r="BD226" s="16"/>
      <c r="BE226" s="16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29"/>
      <c r="BW226" s="29"/>
      <c r="BX226" s="29"/>
      <c r="BY226" s="94"/>
      <c r="BZ226" s="94"/>
      <c r="CA226" s="94"/>
      <c r="CB226" s="29"/>
      <c r="CC226" s="29"/>
      <c r="CD226" s="29"/>
      <c r="CE226" s="29"/>
      <c r="CF226" s="3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</row>
    <row r="227" spans="1:114" ht="11.1" customHeight="1" x14ac:dyDescent="0.25">
      <c r="A227" s="3"/>
      <c r="B227" s="3"/>
      <c r="C227" s="3"/>
      <c r="D227" s="3"/>
      <c r="E227" s="3"/>
      <c r="F227" s="9"/>
      <c r="G227" s="9"/>
      <c r="H227" s="9"/>
      <c r="I227" s="10"/>
      <c r="J227" s="10"/>
      <c r="K227" s="14"/>
      <c r="L227" s="11"/>
      <c r="M227" s="14"/>
      <c r="N227" s="14"/>
      <c r="O227" s="4"/>
      <c r="P227" s="3"/>
      <c r="Q227" s="4"/>
      <c r="R227" s="3"/>
      <c r="S227" s="3"/>
      <c r="T227" s="3"/>
      <c r="U227" s="4"/>
      <c r="V227" s="4"/>
      <c r="W227" s="4"/>
      <c r="X227" s="4"/>
      <c r="Y227" s="4"/>
      <c r="Z227" s="11"/>
      <c r="AA227" s="15"/>
      <c r="AB227" s="15"/>
      <c r="AC227" s="15"/>
      <c r="AD227" s="16"/>
      <c r="AE227" s="64"/>
      <c r="AF227" s="64"/>
      <c r="AG227" s="16"/>
      <c r="AH227" s="16"/>
      <c r="AI227" s="16"/>
      <c r="AJ227" s="15"/>
      <c r="AK227" s="15"/>
      <c r="AL227" s="15"/>
      <c r="AM227" s="15"/>
      <c r="AN227" s="15"/>
      <c r="AO227" s="15"/>
      <c r="AP227" s="3"/>
      <c r="AQ227" s="3"/>
      <c r="AR227" s="3"/>
      <c r="AS227" s="3"/>
      <c r="AT227" s="50"/>
      <c r="AU227" s="50"/>
      <c r="AV227" s="50"/>
      <c r="AW227" s="50"/>
      <c r="AX227" s="50"/>
      <c r="AY227" s="50"/>
      <c r="AZ227" s="17"/>
      <c r="BA227" s="17"/>
      <c r="BB227" s="17"/>
      <c r="BC227" s="17"/>
      <c r="BD227" s="16"/>
      <c r="BE227" s="16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29"/>
      <c r="BW227" s="29"/>
      <c r="BX227" s="29"/>
      <c r="BY227" s="94"/>
      <c r="BZ227" s="94"/>
      <c r="CA227" s="94"/>
      <c r="CB227" s="29"/>
      <c r="CC227" s="29"/>
      <c r="CD227" s="29"/>
      <c r="CE227" s="29"/>
      <c r="CF227" s="3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</row>
    <row r="228" spans="1:114" ht="11.1" customHeight="1" x14ac:dyDescent="0.25">
      <c r="A228" s="3"/>
      <c r="B228" s="3"/>
      <c r="C228" s="3"/>
      <c r="D228" s="3"/>
      <c r="E228" s="3"/>
      <c r="F228" s="9"/>
      <c r="G228" s="9"/>
      <c r="H228" s="9"/>
      <c r="I228" s="10"/>
      <c r="J228" s="10"/>
      <c r="K228" s="14"/>
      <c r="L228" s="11"/>
      <c r="M228" s="14"/>
      <c r="N228" s="14"/>
      <c r="O228" s="4"/>
      <c r="P228" s="3"/>
      <c r="Q228" s="4"/>
      <c r="R228" s="3"/>
      <c r="S228" s="3"/>
      <c r="T228" s="3"/>
      <c r="U228" s="4"/>
      <c r="V228" s="4"/>
      <c r="W228" s="4"/>
      <c r="X228" s="4"/>
      <c r="Y228" s="4"/>
      <c r="Z228" s="11"/>
      <c r="AA228" s="15"/>
      <c r="AB228" s="15"/>
      <c r="AC228" s="15"/>
      <c r="AD228" s="16"/>
      <c r="AE228" s="64"/>
      <c r="AF228" s="64"/>
      <c r="AG228" s="16"/>
      <c r="AH228" s="16"/>
      <c r="AI228" s="16"/>
      <c r="AJ228" s="15"/>
      <c r="AK228" s="15"/>
      <c r="AL228" s="15"/>
      <c r="AM228" s="15"/>
      <c r="AN228" s="15"/>
      <c r="AO228" s="15"/>
      <c r="AP228" s="3"/>
      <c r="AQ228" s="3"/>
      <c r="AR228" s="3"/>
      <c r="AS228" s="3"/>
      <c r="AT228" s="50"/>
      <c r="AU228" s="50"/>
      <c r="AV228" s="50"/>
      <c r="AW228" s="50"/>
      <c r="AX228" s="50"/>
      <c r="AY228" s="50"/>
      <c r="AZ228" s="17"/>
      <c r="BA228" s="17"/>
      <c r="BB228" s="17"/>
      <c r="BC228" s="17"/>
      <c r="BD228" s="16"/>
      <c r="BE228" s="16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29"/>
      <c r="BW228" s="29"/>
      <c r="BX228" s="29"/>
      <c r="BY228" s="94"/>
      <c r="BZ228" s="94"/>
      <c r="CA228" s="94"/>
      <c r="CB228" s="29"/>
      <c r="CC228" s="29"/>
      <c r="CD228" s="29"/>
      <c r="CE228" s="29"/>
      <c r="CF228" s="3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</row>
    <row r="229" spans="1:114" ht="11.1" customHeight="1" x14ac:dyDescent="0.25">
      <c r="A229" s="3"/>
      <c r="B229" s="3"/>
      <c r="C229" s="3"/>
      <c r="D229" s="3"/>
      <c r="E229" s="3"/>
      <c r="F229" s="9"/>
      <c r="G229" s="9"/>
      <c r="H229" s="9"/>
      <c r="I229" s="10"/>
      <c r="J229" s="10"/>
      <c r="K229" s="14"/>
      <c r="L229" s="11"/>
      <c r="M229" s="14"/>
      <c r="N229" s="14"/>
      <c r="O229" s="4"/>
      <c r="P229" s="3"/>
      <c r="Q229" s="4"/>
      <c r="R229" s="3"/>
      <c r="S229" s="3"/>
      <c r="T229" s="3"/>
      <c r="U229" s="4"/>
      <c r="V229" s="4"/>
      <c r="W229" s="4"/>
      <c r="X229" s="4"/>
      <c r="Y229" s="4"/>
      <c r="Z229" s="11"/>
      <c r="AA229" s="15"/>
      <c r="AB229" s="15"/>
      <c r="AC229" s="15"/>
      <c r="AD229" s="16"/>
      <c r="AE229" s="64"/>
      <c r="AF229" s="64"/>
      <c r="AG229" s="16"/>
      <c r="AH229" s="16"/>
      <c r="AI229" s="16"/>
      <c r="AJ229" s="15"/>
      <c r="AK229" s="15"/>
      <c r="AL229" s="15"/>
      <c r="AM229" s="15"/>
      <c r="AN229" s="15"/>
      <c r="AO229" s="15"/>
      <c r="AP229" s="3"/>
      <c r="AQ229" s="3"/>
      <c r="AR229" s="3"/>
      <c r="AS229" s="3"/>
      <c r="AT229" s="50"/>
      <c r="AU229" s="50"/>
      <c r="AV229" s="50"/>
      <c r="AW229" s="50"/>
      <c r="AX229" s="50"/>
      <c r="AY229" s="50"/>
      <c r="AZ229" s="17"/>
      <c r="BA229" s="17"/>
      <c r="BB229" s="17"/>
      <c r="BC229" s="17"/>
      <c r="BD229" s="16"/>
      <c r="BE229" s="16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29"/>
      <c r="BW229" s="29"/>
      <c r="BX229" s="29"/>
      <c r="BY229" s="94"/>
      <c r="BZ229" s="94"/>
      <c r="CA229" s="94"/>
      <c r="CB229" s="29"/>
      <c r="CC229" s="29"/>
      <c r="CD229" s="29"/>
      <c r="CE229" s="29"/>
      <c r="CF229" s="3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</row>
    <row r="230" spans="1:114" ht="11.1" customHeight="1" x14ac:dyDescent="0.25">
      <c r="A230" s="3"/>
      <c r="B230" s="3"/>
      <c r="C230" s="3"/>
      <c r="D230" s="3"/>
      <c r="E230" s="3"/>
      <c r="F230" s="9"/>
      <c r="G230" s="9"/>
      <c r="H230" s="9"/>
      <c r="I230" s="10"/>
      <c r="J230" s="10"/>
      <c r="K230" s="14"/>
      <c r="L230" s="11"/>
      <c r="M230" s="14"/>
      <c r="N230" s="14"/>
      <c r="O230" s="4"/>
      <c r="P230" s="3"/>
      <c r="Q230" s="4"/>
      <c r="R230" s="3"/>
      <c r="S230" s="3"/>
      <c r="T230" s="3"/>
      <c r="U230" s="4"/>
      <c r="V230" s="4"/>
      <c r="W230" s="4"/>
      <c r="X230" s="4"/>
      <c r="Y230" s="4"/>
      <c r="Z230" s="11"/>
      <c r="AA230" s="15"/>
      <c r="AB230" s="15"/>
      <c r="AC230" s="15"/>
      <c r="AD230" s="16"/>
      <c r="AE230" s="64"/>
      <c r="AF230" s="64"/>
      <c r="AG230" s="16"/>
      <c r="AH230" s="16"/>
      <c r="AI230" s="16"/>
      <c r="AJ230" s="15"/>
      <c r="AK230" s="15"/>
      <c r="AL230" s="15"/>
      <c r="AM230" s="15"/>
      <c r="AN230" s="15"/>
      <c r="AO230" s="15"/>
      <c r="AP230" s="3"/>
      <c r="AQ230" s="3"/>
      <c r="AR230" s="3"/>
      <c r="AS230" s="3"/>
      <c r="AT230" s="50"/>
      <c r="AU230" s="50"/>
      <c r="AV230" s="50"/>
      <c r="AW230" s="50"/>
      <c r="AX230" s="50"/>
      <c r="AY230" s="50"/>
      <c r="AZ230" s="17"/>
      <c r="BA230" s="17"/>
      <c r="BB230" s="17"/>
      <c r="BC230" s="17"/>
      <c r="BD230" s="16"/>
      <c r="BE230" s="16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29"/>
      <c r="BW230" s="29"/>
      <c r="BX230" s="29"/>
      <c r="BY230" s="94"/>
      <c r="BZ230" s="94"/>
      <c r="CA230" s="94"/>
      <c r="CB230" s="29"/>
      <c r="CC230" s="29"/>
      <c r="CD230" s="29"/>
      <c r="CE230" s="29"/>
      <c r="CF230" s="3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</row>
    <row r="231" spans="1:114" ht="11.1" customHeight="1" x14ac:dyDescent="0.25">
      <c r="A231" s="3"/>
      <c r="B231" s="3"/>
      <c r="C231" s="3"/>
      <c r="D231" s="3"/>
      <c r="E231" s="3"/>
      <c r="F231" s="9"/>
      <c r="G231" s="9"/>
      <c r="H231" s="9"/>
      <c r="I231" s="10"/>
      <c r="J231" s="10"/>
      <c r="K231" s="14"/>
      <c r="L231" s="11"/>
      <c r="M231" s="14"/>
      <c r="N231" s="14"/>
      <c r="O231" s="4"/>
      <c r="P231" s="3"/>
      <c r="Q231" s="4"/>
      <c r="R231" s="3"/>
      <c r="S231" s="3"/>
      <c r="T231" s="3"/>
      <c r="U231" s="4"/>
      <c r="V231" s="4"/>
      <c r="W231" s="4"/>
      <c r="X231" s="4"/>
      <c r="Y231" s="4"/>
      <c r="Z231" s="11"/>
      <c r="AA231" s="15"/>
      <c r="AB231" s="15"/>
      <c r="AC231" s="15"/>
      <c r="AD231" s="16"/>
      <c r="AE231" s="64"/>
      <c r="AF231" s="64"/>
      <c r="AG231" s="16"/>
      <c r="AH231" s="16"/>
      <c r="AI231" s="16"/>
      <c r="AJ231" s="15"/>
      <c r="AK231" s="15"/>
      <c r="AL231" s="15"/>
      <c r="AM231" s="15"/>
      <c r="AN231" s="15"/>
      <c r="AO231" s="15"/>
      <c r="AP231" s="3"/>
      <c r="AQ231" s="3"/>
      <c r="AR231" s="3"/>
      <c r="AS231" s="3"/>
      <c r="AT231" s="50"/>
      <c r="AU231" s="50"/>
      <c r="AV231" s="50"/>
      <c r="AW231" s="50"/>
      <c r="AX231" s="50"/>
      <c r="AY231" s="50"/>
      <c r="AZ231" s="17"/>
      <c r="BA231" s="17"/>
      <c r="BB231" s="17"/>
      <c r="BC231" s="17"/>
      <c r="BD231" s="16"/>
      <c r="BE231" s="16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29"/>
      <c r="BW231" s="29"/>
      <c r="BX231" s="29"/>
      <c r="BY231" s="94"/>
      <c r="BZ231" s="94"/>
      <c r="CA231" s="94"/>
      <c r="CB231" s="29"/>
      <c r="CC231" s="29"/>
      <c r="CD231" s="29"/>
      <c r="CE231" s="29"/>
      <c r="CF231" s="3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</row>
    <row r="232" spans="1:114" ht="11.1" customHeight="1" x14ac:dyDescent="0.25">
      <c r="A232" s="3"/>
      <c r="B232" s="3"/>
      <c r="C232" s="3"/>
      <c r="D232" s="3"/>
      <c r="E232" s="3"/>
      <c r="F232" s="9"/>
      <c r="G232" s="9"/>
      <c r="H232" s="9"/>
      <c r="I232" s="10"/>
      <c r="J232" s="10"/>
      <c r="K232" s="14"/>
      <c r="L232" s="11"/>
      <c r="M232" s="14"/>
      <c r="N232" s="14"/>
      <c r="O232" s="4"/>
      <c r="P232" s="3"/>
      <c r="Q232" s="4"/>
      <c r="R232" s="3"/>
      <c r="S232" s="3"/>
      <c r="T232" s="3"/>
      <c r="U232" s="4"/>
      <c r="V232" s="4"/>
      <c r="W232" s="4"/>
      <c r="X232" s="4"/>
      <c r="Y232" s="4"/>
      <c r="Z232" s="11"/>
      <c r="AA232" s="15"/>
      <c r="AB232" s="15"/>
      <c r="AC232" s="15"/>
      <c r="AD232" s="16"/>
      <c r="AE232" s="64"/>
      <c r="AF232" s="64"/>
      <c r="AG232" s="16"/>
      <c r="AH232" s="16"/>
      <c r="AI232" s="16"/>
      <c r="AJ232" s="15"/>
      <c r="AK232" s="15"/>
      <c r="AL232" s="15"/>
      <c r="AM232" s="15"/>
      <c r="AN232" s="15"/>
      <c r="AO232" s="15"/>
      <c r="AP232" s="3"/>
      <c r="AQ232" s="3"/>
      <c r="AR232" s="3"/>
      <c r="AS232" s="3"/>
      <c r="AT232" s="50"/>
      <c r="AU232" s="50"/>
      <c r="AV232" s="50"/>
      <c r="AW232" s="50"/>
      <c r="AX232" s="50"/>
      <c r="AY232" s="50"/>
      <c r="AZ232" s="17"/>
      <c r="BA232" s="17"/>
      <c r="BB232" s="17"/>
      <c r="BC232" s="17"/>
      <c r="BD232" s="16"/>
      <c r="BE232" s="16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29"/>
      <c r="BW232" s="29"/>
      <c r="BX232" s="29"/>
      <c r="BY232" s="94"/>
      <c r="BZ232" s="94"/>
      <c r="CA232" s="94"/>
      <c r="CB232" s="29"/>
      <c r="CC232" s="29"/>
      <c r="CD232" s="29"/>
      <c r="CE232" s="29"/>
      <c r="CF232" s="3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</row>
    <row r="233" spans="1:114" ht="11.1" customHeight="1" x14ac:dyDescent="0.25">
      <c r="A233" s="3"/>
      <c r="B233" s="3"/>
      <c r="C233" s="3"/>
      <c r="D233" s="3"/>
      <c r="E233" s="3"/>
      <c r="F233" s="9"/>
      <c r="G233" s="9"/>
      <c r="H233" s="9"/>
      <c r="I233" s="10"/>
      <c r="J233" s="10"/>
      <c r="K233" s="14"/>
      <c r="L233" s="11"/>
      <c r="M233" s="14"/>
      <c r="N233" s="14"/>
      <c r="O233" s="4"/>
      <c r="P233" s="3"/>
      <c r="Q233" s="4"/>
      <c r="R233" s="3"/>
      <c r="S233" s="3"/>
      <c r="T233" s="3"/>
      <c r="U233" s="4"/>
      <c r="V233" s="4"/>
      <c r="W233" s="4"/>
      <c r="X233" s="4"/>
      <c r="Y233" s="4"/>
      <c r="Z233" s="11"/>
      <c r="AA233" s="15"/>
      <c r="AB233" s="15"/>
      <c r="AC233" s="15"/>
      <c r="AD233" s="16"/>
      <c r="AE233" s="64"/>
      <c r="AF233" s="64"/>
      <c r="AG233" s="16"/>
      <c r="AH233" s="16"/>
      <c r="AI233" s="16"/>
      <c r="AJ233" s="15"/>
      <c r="AK233" s="15"/>
      <c r="AL233" s="15"/>
      <c r="AM233" s="15"/>
      <c r="AN233" s="15"/>
      <c r="AO233" s="15"/>
      <c r="AP233" s="3"/>
      <c r="AQ233" s="3"/>
      <c r="AR233" s="3"/>
      <c r="AS233" s="3"/>
      <c r="AT233" s="50"/>
      <c r="AU233" s="50"/>
      <c r="AV233" s="50"/>
      <c r="AW233" s="50"/>
      <c r="AX233" s="50"/>
      <c r="AY233" s="50"/>
      <c r="AZ233" s="17"/>
      <c r="BA233" s="17"/>
      <c r="BB233" s="17"/>
      <c r="BC233" s="17"/>
      <c r="BD233" s="16"/>
      <c r="BE233" s="16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29"/>
      <c r="BW233" s="29"/>
      <c r="BX233" s="29"/>
      <c r="BY233" s="94"/>
      <c r="BZ233" s="94"/>
      <c r="CA233" s="94"/>
      <c r="CB233" s="29"/>
      <c r="CC233" s="29"/>
      <c r="CD233" s="29"/>
      <c r="CE233" s="29"/>
      <c r="CF233" s="3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</row>
    <row r="234" spans="1:114" ht="11.1" customHeight="1" x14ac:dyDescent="0.25">
      <c r="A234" s="3"/>
      <c r="B234" s="3"/>
      <c r="C234" s="3"/>
      <c r="D234" s="3"/>
      <c r="E234" s="3"/>
      <c r="F234" s="9"/>
      <c r="G234" s="9"/>
      <c r="H234" s="9"/>
      <c r="I234" s="10"/>
      <c r="J234" s="10"/>
      <c r="K234" s="14"/>
      <c r="L234" s="11"/>
      <c r="M234" s="14"/>
      <c r="N234" s="14"/>
      <c r="O234" s="4"/>
      <c r="P234" s="3"/>
      <c r="Q234" s="4"/>
      <c r="R234" s="3"/>
      <c r="S234" s="3"/>
      <c r="T234" s="3"/>
      <c r="U234" s="4"/>
      <c r="V234" s="4"/>
      <c r="W234" s="4"/>
      <c r="X234" s="4"/>
      <c r="Y234" s="4"/>
      <c r="Z234" s="11"/>
      <c r="AA234" s="15"/>
      <c r="AB234" s="15"/>
      <c r="AC234" s="15"/>
      <c r="AD234" s="16"/>
      <c r="AE234" s="64"/>
      <c r="AF234" s="64"/>
      <c r="AG234" s="16"/>
      <c r="AH234" s="16"/>
      <c r="AI234" s="16"/>
      <c r="AJ234" s="15"/>
      <c r="AK234" s="15"/>
      <c r="AL234" s="15"/>
      <c r="AM234" s="15"/>
      <c r="AN234" s="15"/>
      <c r="AO234" s="15"/>
      <c r="AP234" s="3"/>
      <c r="AQ234" s="3"/>
      <c r="AR234" s="3"/>
      <c r="AS234" s="3"/>
      <c r="AT234" s="50"/>
      <c r="AU234" s="50"/>
      <c r="AV234" s="50"/>
      <c r="AW234" s="50"/>
      <c r="AX234" s="50"/>
      <c r="AY234" s="50"/>
      <c r="AZ234" s="17"/>
      <c r="BA234" s="17"/>
      <c r="BB234" s="17"/>
      <c r="BC234" s="17"/>
      <c r="BD234" s="16"/>
      <c r="BE234" s="16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29"/>
      <c r="BW234" s="29"/>
      <c r="BX234" s="29"/>
      <c r="BY234" s="94"/>
      <c r="BZ234" s="94"/>
      <c r="CA234" s="94"/>
      <c r="CB234" s="29"/>
      <c r="CC234" s="29"/>
      <c r="CD234" s="29"/>
      <c r="CE234" s="29"/>
      <c r="CF234" s="3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</row>
    <row r="235" spans="1:114" ht="11.1" customHeight="1" x14ac:dyDescent="0.25">
      <c r="A235" s="3"/>
      <c r="B235" s="3"/>
      <c r="C235" s="3"/>
      <c r="D235" s="3"/>
      <c r="E235" s="3"/>
      <c r="F235" s="9"/>
      <c r="G235" s="9"/>
      <c r="H235" s="9"/>
      <c r="I235" s="10"/>
      <c r="J235" s="10"/>
      <c r="K235" s="14"/>
      <c r="L235" s="11"/>
      <c r="M235" s="14"/>
      <c r="N235" s="14"/>
      <c r="O235" s="4"/>
      <c r="P235" s="3"/>
      <c r="Q235" s="4"/>
      <c r="R235" s="3"/>
      <c r="S235" s="3"/>
      <c r="T235" s="3"/>
      <c r="U235" s="4"/>
      <c r="V235" s="4"/>
      <c r="W235" s="4"/>
      <c r="X235" s="4"/>
      <c r="Y235" s="4"/>
      <c r="Z235" s="11"/>
      <c r="AA235" s="15"/>
      <c r="AB235" s="15"/>
      <c r="AC235" s="15"/>
      <c r="AD235" s="16"/>
      <c r="AE235" s="64"/>
      <c r="AF235" s="64"/>
      <c r="AG235" s="16"/>
      <c r="AH235" s="16"/>
      <c r="AI235" s="16"/>
      <c r="AJ235" s="15"/>
      <c r="AK235" s="15"/>
      <c r="AL235" s="15"/>
      <c r="AM235" s="15"/>
      <c r="AN235" s="15"/>
      <c r="AO235" s="15"/>
      <c r="AP235" s="3"/>
      <c r="AQ235" s="3"/>
      <c r="AR235" s="3"/>
      <c r="AS235" s="3"/>
      <c r="AT235" s="50"/>
      <c r="AU235" s="50"/>
      <c r="AV235" s="50"/>
      <c r="AW235" s="50"/>
      <c r="AX235" s="50"/>
      <c r="AY235" s="50"/>
      <c r="AZ235" s="17"/>
      <c r="BA235" s="17"/>
      <c r="BB235" s="17"/>
      <c r="BC235" s="17"/>
      <c r="BD235" s="16"/>
      <c r="BE235" s="16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29"/>
      <c r="BW235" s="29"/>
      <c r="BX235" s="29"/>
      <c r="BY235" s="94"/>
      <c r="BZ235" s="94"/>
      <c r="CA235" s="94"/>
      <c r="CB235" s="29"/>
      <c r="CC235" s="29"/>
      <c r="CD235" s="29"/>
      <c r="CE235" s="29"/>
      <c r="CF235" s="3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</row>
    <row r="236" spans="1:114" ht="11.1" customHeight="1" x14ac:dyDescent="0.25">
      <c r="A236" s="3"/>
      <c r="B236" s="3"/>
      <c r="C236" s="3"/>
      <c r="D236" s="3"/>
      <c r="E236" s="3"/>
      <c r="F236" s="9"/>
      <c r="G236" s="9"/>
      <c r="H236" s="9"/>
      <c r="I236" s="10"/>
      <c r="J236" s="10"/>
      <c r="K236" s="14"/>
      <c r="L236" s="11"/>
      <c r="M236" s="14"/>
      <c r="N236" s="14"/>
      <c r="O236" s="4"/>
      <c r="P236" s="3"/>
      <c r="Q236" s="4"/>
      <c r="R236" s="3"/>
      <c r="S236" s="3"/>
      <c r="T236" s="3"/>
      <c r="U236" s="4"/>
      <c r="V236" s="4"/>
      <c r="W236" s="4"/>
      <c r="X236" s="4"/>
      <c r="Y236" s="4"/>
      <c r="Z236" s="11"/>
      <c r="AA236" s="15"/>
      <c r="AB236" s="15"/>
      <c r="AC236" s="15"/>
      <c r="AD236" s="16"/>
      <c r="AE236" s="64"/>
      <c r="AF236" s="64"/>
      <c r="AG236" s="16"/>
      <c r="AH236" s="16"/>
      <c r="AI236" s="16"/>
      <c r="AJ236" s="15"/>
      <c r="AK236" s="15"/>
      <c r="AL236" s="15"/>
      <c r="AM236" s="15"/>
      <c r="AN236" s="15"/>
      <c r="AO236" s="15"/>
      <c r="AP236" s="3"/>
      <c r="AQ236" s="3"/>
      <c r="AR236" s="3"/>
      <c r="AS236" s="3"/>
      <c r="AT236" s="50"/>
      <c r="AU236" s="50"/>
      <c r="AV236" s="50"/>
      <c r="AW236" s="50"/>
      <c r="AX236" s="50"/>
      <c r="AY236" s="50"/>
      <c r="AZ236" s="17"/>
      <c r="BA236" s="17"/>
      <c r="BB236" s="17"/>
      <c r="BC236" s="17"/>
      <c r="BD236" s="16"/>
      <c r="BE236" s="16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29"/>
      <c r="BW236" s="29"/>
      <c r="BX236" s="29"/>
      <c r="BY236" s="94"/>
      <c r="BZ236" s="94"/>
      <c r="CA236" s="94"/>
      <c r="CB236" s="29"/>
      <c r="CC236" s="29"/>
      <c r="CD236" s="29"/>
      <c r="CE236" s="29"/>
      <c r="CF236" s="3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</row>
    <row r="237" spans="1:114" ht="11.1" customHeight="1" x14ac:dyDescent="0.25">
      <c r="A237" s="3"/>
      <c r="B237" s="3"/>
      <c r="C237" s="3"/>
      <c r="D237" s="3"/>
      <c r="E237" s="3"/>
      <c r="F237" s="9"/>
      <c r="G237" s="9"/>
      <c r="H237" s="9"/>
      <c r="I237" s="10"/>
      <c r="J237" s="10"/>
      <c r="K237" s="14"/>
      <c r="L237" s="11"/>
      <c r="M237" s="14"/>
      <c r="N237" s="14"/>
      <c r="O237" s="4"/>
      <c r="P237" s="3"/>
      <c r="Q237" s="4"/>
      <c r="R237" s="3"/>
      <c r="S237" s="3"/>
      <c r="T237" s="3"/>
      <c r="U237" s="4"/>
      <c r="V237" s="4"/>
      <c r="W237" s="4"/>
      <c r="X237" s="4"/>
      <c r="Y237" s="4"/>
      <c r="Z237" s="11"/>
      <c r="AA237" s="15"/>
      <c r="AB237" s="15"/>
      <c r="AC237" s="15"/>
      <c r="AD237" s="16"/>
      <c r="AE237" s="64"/>
      <c r="AF237" s="64"/>
      <c r="AG237" s="16"/>
      <c r="AH237" s="16"/>
      <c r="AI237" s="16"/>
      <c r="AJ237" s="15"/>
      <c r="AK237" s="15"/>
      <c r="AL237" s="15"/>
      <c r="AM237" s="15"/>
      <c r="AN237" s="15"/>
      <c r="AO237" s="15"/>
      <c r="AP237" s="3"/>
      <c r="AQ237" s="3"/>
      <c r="AR237" s="3"/>
      <c r="AS237" s="3"/>
      <c r="AT237" s="50"/>
      <c r="AU237" s="50"/>
      <c r="AV237" s="50"/>
      <c r="AW237" s="50"/>
      <c r="AX237" s="50"/>
      <c r="AY237" s="50"/>
      <c r="AZ237" s="17"/>
      <c r="BA237" s="17"/>
      <c r="BB237" s="17"/>
      <c r="BC237" s="17"/>
      <c r="BD237" s="16"/>
      <c r="BE237" s="16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29"/>
      <c r="BW237" s="29"/>
      <c r="BX237" s="29"/>
      <c r="BY237" s="94"/>
      <c r="BZ237" s="94"/>
      <c r="CA237" s="94"/>
      <c r="CB237" s="29"/>
      <c r="CC237" s="29"/>
      <c r="CD237" s="29"/>
      <c r="CE237" s="29"/>
      <c r="CF237" s="3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</row>
    <row r="238" spans="1:114" ht="11.1" customHeight="1" x14ac:dyDescent="0.25">
      <c r="A238" s="3"/>
      <c r="B238" s="3"/>
      <c r="C238" s="3"/>
      <c r="D238" s="3"/>
      <c r="E238" s="3"/>
      <c r="F238" s="9"/>
      <c r="G238" s="9"/>
      <c r="H238" s="9"/>
      <c r="I238" s="10"/>
      <c r="J238" s="10"/>
      <c r="K238" s="14"/>
      <c r="L238" s="11"/>
      <c r="M238" s="14"/>
      <c r="N238" s="14"/>
      <c r="O238" s="4"/>
      <c r="P238" s="3"/>
      <c r="Q238" s="4"/>
      <c r="R238" s="3"/>
      <c r="S238" s="3"/>
      <c r="T238" s="3"/>
      <c r="U238" s="4"/>
      <c r="V238" s="4"/>
      <c r="W238" s="4"/>
      <c r="X238" s="4"/>
      <c r="Y238" s="4"/>
      <c r="Z238" s="11"/>
      <c r="AA238" s="15"/>
      <c r="AB238" s="15"/>
      <c r="AC238" s="15"/>
      <c r="AD238" s="16"/>
      <c r="AE238" s="64"/>
      <c r="AF238" s="64"/>
      <c r="AG238" s="16"/>
      <c r="AH238" s="16"/>
      <c r="AI238" s="16"/>
      <c r="AJ238" s="15"/>
      <c r="AK238" s="15"/>
      <c r="AL238" s="15"/>
      <c r="AM238" s="15"/>
      <c r="AN238" s="15"/>
      <c r="AO238" s="15"/>
      <c r="AP238" s="3"/>
      <c r="AQ238" s="3"/>
      <c r="AR238" s="3"/>
      <c r="AS238" s="3"/>
      <c r="AT238" s="50"/>
      <c r="AU238" s="50"/>
      <c r="AV238" s="50"/>
      <c r="AW238" s="50"/>
      <c r="AX238" s="50"/>
      <c r="AY238" s="50"/>
      <c r="AZ238" s="17"/>
      <c r="BA238" s="17"/>
      <c r="BB238" s="17"/>
      <c r="BC238" s="17"/>
      <c r="BD238" s="16"/>
      <c r="BE238" s="16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29"/>
      <c r="BW238" s="29"/>
      <c r="BX238" s="29"/>
      <c r="BY238" s="94"/>
      <c r="BZ238" s="94"/>
      <c r="CA238" s="94"/>
      <c r="CB238" s="29"/>
      <c r="CC238" s="29"/>
      <c r="CD238" s="29"/>
      <c r="CE238" s="29"/>
      <c r="CF238" s="3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</row>
    <row r="239" spans="1:114" ht="11.1" customHeight="1" x14ac:dyDescent="0.25">
      <c r="A239" s="3"/>
      <c r="B239" s="3"/>
      <c r="C239" s="3"/>
      <c r="D239" s="3"/>
      <c r="E239" s="3"/>
      <c r="F239" s="9"/>
      <c r="G239" s="9"/>
      <c r="H239" s="9"/>
      <c r="I239" s="10"/>
      <c r="J239" s="10"/>
      <c r="K239" s="14"/>
      <c r="L239" s="11"/>
      <c r="M239" s="14"/>
      <c r="N239" s="14"/>
      <c r="O239" s="4"/>
      <c r="P239" s="3"/>
      <c r="Q239" s="4"/>
      <c r="R239" s="3"/>
      <c r="S239" s="3"/>
      <c r="T239" s="3"/>
      <c r="U239" s="4"/>
      <c r="V239" s="4"/>
      <c r="W239" s="4"/>
      <c r="X239" s="4"/>
      <c r="Y239" s="4"/>
      <c r="Z239" s="11"/>
      <c r="AA239" s="15"/>
      <c r="AB239" s="15"/>
      <c r="AC239" s="15"/>
      <c r="AD239" s="16"/>
      <c r="AE239" s="64"/>
      <c r="AF239" s="64"/>
      <c r="AG239" s="16"/>
      <c r="AH239" s="16"/>
      <c r="AI239" s="16"/>
      <c r="AJ239" s="15"/>
      <c r="AK239" s="15"/>
      <c r="AL239" s="15"/>
      <c r="AM239" s="15"/>
      <c r="AN239" s="15"/>
      <c r="AO239" s="15"/>
      <c r="AP239" s="3"/>
      <c r="AQ239" s="3"/>
      <c r="AR239" s="3"/>
      <c r="AS239" s="3"/>
      <c r="AT239" s="50"/>
      <c r="AU239" s="50"/>
      <c r="AV239" s="50"/>
      <c r="AW239" s="50"/>
      <c r="AX239" s="50"/>
      <c r="AY239" s="50"/>
      <c r="AZ239" s="17"/>
      <c r="BA239" s="17"/>
      <c r="BB239" s="17"/>
      <c r="BC239" s="17"/>
      <c r="BD239" s="16"/>
      <c r="BE239" s="16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29"/>
      <c r="BW239" s="29"/>
      <c r="BX239" s="29"/>
      <c r="BY239" s="94"/>
      <c r="BZ239" s="94"/>
      <c r="CA239" s="94"/>
      <c r="CB239" s="29"/>
      <c r="CC239" s="29"/>
      <c r="CD239" s="29"/>
      <c r="CE239" s="29"/>
      <c r="CF239" s="3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</row>
    <row r="240" spans="1:114" ht="11.1" customHeight="1" x14ac:dyDescent="0.25">
      <c r="A240" s="3"/>
      <c r="B240" s="3"/>
      <c r="C240" s="3"/>
      <c r="D240" s="3"/>
      <c r="E240" s="3"/>
      <c r="F240" s="9"/>
      <c r="G240" s="9"/>
      <c r="H240" s="9"/>
      <c r="I240" s="10"/>
      <c r="J240" s="10"/>
      <c r="K240" s="14"/>
      <c r="L240" s="11"/>
      <c r="M240" s="14"/>
      <c r="N240" s="14"/>
      <c r="O240" s="4"/>
      <c r="P240" s="3"/>
      <c r="Q240" s="4"/>
      <c r="R240" s="3"/>
      <c r="S240" s="3"/>
      <c r="T240" s="3"/>
      <c r="U240" s="4"/>
      <c r="V240" s="4"/>
      <c r="W240" s="4"/>
      <c r="X240" s="4"/>
      <c r="Y240" s="4"/>
      <c r="Z240" s="11"/>
      <c r="AA240" s="15"/>
      <c r="AB240" s="15"/>
      <c r="AC240" s="15"/>
      <c r="AD240" s="16"/>
      <c r="AE240" s="64"/>
      <c r="AF240" s="64"/>
      <c r="AG240" s="16"/>
      <c r="AH240" s="16"/>
      <c r="AI240" s="16"/>
      <c r="AJ240" s="15"/>
      <c r="AK240" s="15"/>
      <c r="AL240" s="15"/>
      <c r="AM240" s="15"/>
      <c r="AN240" s="15"/>
      <c r="AO240" s="15"/>
      <c r="AP240" s="3"/>
      <c r="AQ240" s="3"/>
      <c r="AR240" s="3"/>
      <c r="AS240" s="3"/>
      <c r="AT240" s="50"/>
      <c r="AU240" s="50"/>
      <c r="AV240" s="50"/>
      <c r="AW240" s="50"/>
      <c r="AX240" s="50"/>
      <c r="AY240" s="50"/>
      <c r="AZ240" s="17"/>
      <c r="BA240" s="17"/>
      <c r="BB240" s="17"/>
      <c r="BC240" s="17"/>
      <c r="BD240" s="16"/>
      <c r="BE240" s="16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29"/>
      <c r="BW240" s="29"/>
      <c r="BX240" s="29"/>
      <c r="BY240" s="94"/>
      <c r="BZ240" s="94"/>
      <c r="CA240" s="94"/>
      <c r="CB240" s="29"/>
      <c r="CC240" s="29"/>
      <c r="CD240" s="29"/>
      <c r="CE240" s="29"/>
      <c r="CF240" s="3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</row>
    <row r="241" spans="1:114" ht="11.1" customHeight="1" x14ac:dyDescent="0.25">
      <c r="A241" s="3"/>
      <c r="B241" s="3"/>
      <c r="C241" s="3"/>
      <c r="D241" s="3"/>
      <c r="E241" s="3"/>
      <c r="F241" s="9"/>
      <c r="G241" s="9"/>
      <c r="H241" s="9"/>
      <c r="I241" s="10"/>
      <c r="J241" s="10"/>
      <c r="K241" s="14"/>
      <c r="L241" s="11"/>
      <c r="M241" s="14"/>
      <c r="N241" s="14"/>
      <c r="O241" s="4"/>
      <c r="P241" s="3"/>
      <c r="Q241" s="4"/>
      <c r="R241" s="3"/>
      <c r="S241" s="3"/>
      <c r="T241" s="3"/>
      <c r="U241" s="4"/>
      <c r="V241" s="4"/>
      <c r="W241" s="4"/>
      <c r="X241" s="4"/>
      <c r="Y241" s="4"/>
      <c r="Z241" s="11"/>
      <c r="AA241" s="15"/>
      <c r="AB241" s="15"/>
      <c r="AC241" s="15"/>
      <c r="AD241" s="16"/>
      <c r="AE241" s="64"/>
      <c r="AF241" s="64"/>
      <c r="AG241" s="16"/>
      <c r="AH241" s="16"/>
      <c r="AI241" s="16"/>
      <c r="AJ241" s="15"/>
      <c r="AK241" s="15"/>
      <c r="AL241" s="15"/>
      <c r="AM241" s="15"/>
      <c r="AN241" s="15"/>
      <c r="AO241" s="15"/>
      <c r="AP241" s="3"/>
      <c r="AQ241" s="3"/>
      <c r="AR241" s="3"/>
      <c r="AS241" s="3"/>
      <c r="AT241" s="50"/>
      <c r="AU241" s="50"/>
      <c r="AV241" s="50"/>
      <c r="AW241" s="50"/>
      <c r="AX241" s="50"/>
      <c r="AY241" s="50"/>
      <c r="AZ241" s="17"/>
      <c r="BA241" s="17"/>
      <c r="BB241" s="17"/>
      <c r="BC241" s="17"/>
      <c r="BD241" s="16"/>
      <c r="BE241" s="16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29"/>
      <c r="BW241" s="29"/>
      <c r="BX241" s="29"/>
      <c r="BY241" s="94"/>
      <c r="BZ241" s="94"/>
      <c r="CA241" s="94"/>
      <c r="CB241" s="29"/>
      <c r="CC241" s="29"/>
      <c r="CD241" s="29"/>
      <c r="CE241" s="29"/>
      <c r="CF241" s="3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</row>
    <row r="242" spans="1:114" ht="11.1" customHeight="1" x14ac:dyDescent="0.25">
      <c r="A242" s="3"/>
      <c r="B242" s="3"/>
      <c r="C242" s="3"/>
      <c r="D242" s="3"/>
      <c r="E242" s="3"/>
      <c r="F242" s="9"/>
      <c r="G242" s="9"/>
      <c r="H242" s="9"/>
      <c r="I242" s="10"/>
      <c r="J242" s="10"/>
      <c r="K242" s="14"/>
      <c r="L242" s="11"/>
      <c r="M242" s="14"/>
      <c r="N242" s="14"/>
      <c r="O242" s="4"/>
      <c r="P242" s="3"/>
      <c r="Q242" s="4"/>
      <c r="R242" s="3"/>
      <c r="S242" s="3"/>
      <c r="T242" s="3"/>
      <c r="U242" s="4"/>
      <c r="V242" s="4"/>
      <c r="W242" s="4"/>
      <c r="X242" s="4"/>
      <c r="Y242" s="4"/>
      <c r="Z242" s="11"/>
      <c r="AA242" s="15"/>
      <c r="AB242" s="15"/>
      <c r="AC242" s="15"/>
      <c r="AD242" s="16"/>
      <c r="AE242" s="64"/>
      <c r="AF242" s="64"/>
      <c r="AG242" s="16"/>
      <c r="AH242" s="16"/>
      <c r="AI242" s="16"/>
      <c r="AJ242" s="15"/>
      <c r="AK242" s="15"/>
      <c r="AL242" s="15"/>
      <c r="AM242" s="15"/>
      <c r="AN242" s="15"/>
      <c r="AO242" s="15"/>
      <c r="AP242" s="3"/>
      <c r="AQ242" s="3"/>
      <c r="AR242" s="3"/>
      <c r="AS242" s="3"/>
      <c r="AT242" s="50"/>
      <c r="AU242" s="50"/>
      <c r="AV242" s="50"/>
      <c r="AW242" s="50"/>
      <c r="AX242" s="50"/>
      <c r="AY242" s="50"/>
      <c r="AZ242" s="17"/>
      <c r="BA242" s="17"/>
      <c r="BB242" s="17"/>
      <c r="BC242" s="17"/>
      <c r="BD242" s="16"/>
      <c r="BE242" s="16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29"/>
      <c r="BW242" s="29"/>
      <c r="BX242" s="29"/>
      <c r="BY242" s="94"/>
      <c r="BZ242" s="94"/>
      <c r="CA242" s="94"/>
      <c r="CB242" s="29"/>
      <c r="CC242" s="29"/>
      <c r="CD242" s="29"/>
      <c r="CE242" s="29"/>
      <c r="CF242" s="3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</row>
    <row r="243" spans="1:114" ht="11.1" customHeight="1" x14ac:dyDescent="0.25">
      <c r="A243" s="3"/>
      <c r="B243" s="3"/>
      <c r="C243" s="3"/>
      <c r="D243" s="3"/>
      <c r="E243" s="3"/>
      <c r="F243" s="9"/>
      <c r="G243" s="9"/>
      <c r="H243" s="9"/>
      <c r="I243" s="10"/>
      <c r="J243" s="10"/>
      <c r="K243" s="14"/>
      <c r="L243" s="11"/>
      <c r="M243" s="14"/>
      <c r="N243" s="14"/>
      <c r="O243" s="4"/>
      <c r="P243" s="3"/>
      <c r="Q243" s="4"/>
      <c r="R243" s="3"/>
      <c r="S243" s="3"/>
      <c r="T243" s="3"/>
      <c r="U243" s="4"/>
      <c r="V243" s="4"/>
      <c r="W243" s="4"/>
      <c r="X243" s="4"/>
      <c r="Y243" s="4"/>
      <c r="Z243" s="11"/>
      <c r="AA243" s="15"/>
      <c r="AB243" s="15"/>
      <c r="AC243" s="15"/>
      <c r="AD243" s="16"/>
      <c r="AE243" s="64"/>
      <c r="AF243" s="64"/>
      <c r="AG243" s="16"/>
      <c r="AH243" s="16"/>
      <c r="AI243" s="16"/>
      <c r="AJ243" s="15"/>
      <c r="AK243" s="15"/>
      <c r="AL243" s="15"/>
      <c r="AM243" s="15"/>
      <c r="AN243" s="15"/>
      <c r="AO243" s="15"/>
      <c r="AP243" s="3"/>
      <c r="AQ243" s="3"/>
      <c r="AR243" s="3"/>
      <c r="AS243" s="3"/>
      <c r="AT243" s="50"/>
      <c r="AU243" s="50"/>
      <c r="AV243" s="50"/>
      <c r="AW243" s="50"/>
      <c r="AX243" s="50"/>
      <c r="AY243" s="50"/>
      <c r="AZ243" s="17"/>
      <c r="BA243" s="17"/>
      <c r="BB243" s="17"/>
      <c r="BC243" s="17"/>
      <c r="BD243" s="16"/>
      <c r="BE243" s="16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29"/>
      <c r="BW243" s="29"/>
      <c r="BX243" s="29"/>
      <c r="BY243" s="94"/>
      <c r="BZ243" s="94"/>
      <c r="CA243" s="94"/>
      <c r="CB243" s="29"/>
      <c r="CC243" s="29"/>
      <c r="CD243" s="29"/>
      <c r="CE243" s="29"/>
      <c r="CF243" s="3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</row>
    <row r="244" spans="1:114" ht="11.1" customHeight="1" x14ac:dyDescent="0.25">
      <c r="A244" s="3"/>
      <c r="B244" s="3"/>
      <c r="C244" s="3"/>
      <c r="D244" s="3"/>
      <c r="E244" s="3"/>
      <c r="F244" s="9"/>
      <c r="G244" s="9"/>
      <c r="H244" s="9"/>
      <c r="I244" s="10"/>
      <c r="J244" s="10"/>
      <c r="K244" s="14"/>
      <c r="L244" s="11"/>
      <c r="M244" s="14"/>
      <c r="N244" s="14"/>
      <c r="O244" s="4"/>
      <c r="P244" s="3"/>
      <c r="Q244" s="4"/>
      <c r="R244" s="3"/>
      <c r="S244" s="3"/>
      <c r="T244" s="3"/>
      <c r="U244" s="4"/>
      <c r="V244" s="4"/>
      <c r="W244" s="4"/>
      <c r="X244" s="4"/>
      <c r="Y244" s="4"/>
      <c r="Z244" s="11"/>
      <c r="AA244" s="15"/>
      <c r="AB244" s="15"/>
      <c r="AC244" s="15"/>
      <c r="AD244" s="16"/>
      <c r="AE244" s="64"/>
      <c r="AF244" s="64"/>
      <c r="AG244" s="16"/>
      <c r="AH244" s="16"/>
      <c r="AI244" s="16"/>
      <c r="AJ244" s="15"/>
      <c r="AK244" s="15"/>
      <c r="AL244" s="15"/>
      <c r="AM244" s="15"/>
      <c r="AN244" s="15"/>
      <c r="AO244" s="15"/>
      <c r="AP244" s="3"/>
      <c r="AQ244" s="3"/>
      <c r="AR244" s="3"/>
      <c r="AS244" s="3"/>
      <c r="AT244" s="50"/>
      <c r="AU244" s="50"/>
      <c r="AV244" s="50"/>
      <c r="AW244" s="50"/>
      <c r="AX244" s="50"/>
      <c r="AY244" s="50"/>
      <c r="AZ244" s="17"/>
      <c r="BA244" s="17"/>
      <c r="BB244" s="17"/>
      <c r="BC244" s="17"/>
      <c r="BD244" s="16"/>
      <c r="BE244" s="16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29"/>
      <c r="BW244" s="29"/>
      <c r="BX244" s="29"/>
      <c r="BY244" s="94"/>
      <c r="BZ244" s="94"/>
      <c r="CA244" s="94"/>
      <c r="CB244" s="29"/>
      <c r="CC244" s="29"/>
      <c r="CD244" s="29"/>
      <c r="CE244" s="29"/>
      <c r="CF244" s="3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</row>
    <row r="245" spans="1:114" ht="11.1" customHeight="1" x14ac:dyDescent="0.25">
      <c r="A245" s="3"/>
      <c r="B245" s="3"/>
      <c r="C245" s="3"/>
      <c r="D245" s="3"/>
      <c r="E245" s="3"/>
      <c r="F245" s="9"/>
      <c r="G245" s="9"/>
      <c r="H245" s="9"/>
      <c r="I245" s="10"/>
      <c r="J245" s="10"/>
      <c r="K245" s="14"/>
      <c r="L245" s="11"/>
      <c r="M245" s="14"/>
      <c r="N245" s="14"/>
      <c r="O245" s="4"/>
      <c r="P245" s="3"/>
      <c r="Q245" s="4"/>
      <c r="R245" s="3"/>
      <c r="S245" s="3"/>
      <c r="T245" s="3"/>
      <c r="U245" s="4"/>
      <c r="V245" s="4"/>
      <c r="W245" s="4"/>
      <c r="X245" s="4"/>
      <c r="Y245" s="4"/>
      <c r="Z245" s="11"/>
      <c r="AA245" s="15"/>
      <c r="AB245" s="15"/>
      <c r="AC245" s="15"/>
      <c r="AD245" s="16"/>
      <c r="AE245" s="64"/>
      <c r="AF245" s="64"/>
      <c r="AG245" s="16"/>
      <c r="AH245" s="16"/>
      <c r="AI245" s="16"/>
      <c r="AJ245" s="15"/>
      <c r="AK245" s="15"/>
      <c r="AL245" s="15"/>
      <c r="AM245" s="15"/>
      <c r="AN245" s="15"/>
      <c r="AO245" s="15"/>
      <c r="AP245" s="3"/>
      <c r="AQ245" s="3"/>
      <c r="AR245" s="3"/>
      <c r="AS245" s="3"/>
      <c r="AT245" s="50"/>
      <c r="AU245" s="50"/>
      <c r="AV245" s="50"/>
      <c r="AW245" s="50"/>
      <c r="AX245" s="50"/>
      <c r="AY245" s="50"/>
      <c r="AZ245" s="17"/>
      <c r="BA245" s="17"/>
      <c r="BB245" s="17"/>
      <c r="BC245" s="17"/>
      <c r="BD245" s="16"/>
      <c r="BE245" s="16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29"/>
      <c r="BW245" s="29"/>
      <c r="BX245" s="29"/>
      <c r="BY245" s="94"/>
      <c r="BZ245" s="94"/>
      <c r="CA245" s="94"/>
      <c r="CB245" s="29"/>
      <c r="CC245" s="29"/>
      <c r="CD245" s="29"/>
      <c r="CE245" s="29"/>
      <c r="CF245" s="3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</row>
    <row r="246" spans="1:114" ht="11.1" customHeight="1" x14ac:dyDescent="0.25">
      <c r="A246" s="3"/>
      <c r="B246" s="3"/>
      <c r="C246" s="3"/>
      <c r="D246" s="3"/>
      <c r="E246" s="3"/>
      <c r="F246" s="9"/>
      <c r="G246" s="9"/>
      <c r="H246" s="9"/>
      <c r="I246" s="10"/>
      <c r="J246" s="10"/>
      <c r="K246" s="14"/>
      <c r="L246" s="11"/>
      <c r="M246" s="14"/>
      <c r="N246" s="14"/>
      <c r="O246" s="4"/>
      <c r="P246" s="3"/>
      <c r="Q246" s="4"/>
      <c r="R246" s="3"/>
      <c r="S246" s="3"/>
      <c r="T246" s="3"/>
      <c r="U246" s="4"/>
      <c r="V246" s="4"/>
      <c r="W246" s="4"/>
      <c r="X246" s="4"/>
      <c r="Y246" s="4"/>
      <c r="Z246" s="11"/>
      <c r="AA246" s="15"/>
      <c r="AB246" s="15"/>
      <c r="AC246" s="15"/>
      <c r="AD246" s="16"/>
      <c r="AE246" s="64"/>
      <c r="AF246" s="64"/>
      <c r="AG246" s="16"/>
      <c r="AH246" s="16"/>
      <c r="AI246" s="16"/>
      <c r="AJ246" s="15"/>
      <c r="AK246" s="15"/>
      <c r="AL246" s="15"/>
      <c r="AM246" s="15"/>
      <c r="AN246" s="15"/>
      <c r="AO246" s="15"/>
      <c r="AP246" s="3"/>
      <c r="AQ246" s="3"/>
      <c r="AR246" s="3"/>
      <c r="AS246" s="3"/>
      <c r="AT246" s="50"/>
      <c r="AU246" s="50"/>
      <c r="AV246" s="50"/>
      <c r="AW246" s="50"/>
      <c r="AX246" s="50"/>
      <c r="AY246" s="50"/>
      <c r="AZ246" s="17"/>
      <c r="BA246" s="17"/>
      <c r="BB246" s="17"/>
      <c r="BC246" s="17"/>
      <c r="BD246" s="16"/>
      <c r="BE246" s="16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29"/>
      <c r="BW246" s="29"/>
      <c r="BX246" s="29"/>
      <c r="BY246" s="94"/>
      <c r="BZ246" s="94"/>
      <c r="CA246" s="94"/>
      <c r="CB246" s="29"/>
      <c r="CC246" s="29"/>
      <c r="CD246" s="29"/>
      <c r="CE246" s="29"/>
      <c r="CF246" s="3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</row>
    <row r="247" spans="1:114" ht="11.1" customHeight="1" x14ac:dyDescent="0.25">
      <c r="A247" s="3"/>
      <c r="B247" s="3"/>
      <c r="C247" s="3"/>
      <c r="D247" s="3"/>
      <c r="E247" s="3"/>
      <c r="F247" s="9"/>
      <c r="G247" s="9"/>
      <c r="H247" s="9"/>
      <c r="I247" s="10"/>
      <c r="J247" s="10"/>
      <c r="K247" s="14"/>
      <c r="L247" s="11"/>
      <c r="M247" s="14"/>
      <c r="N247" s="14"/>
      <c r="O247" s="4"/>
      <c r="P247" s="3"/>
      <c r="Q247" s="4"/>
      <c r="R247" s="3"/>
      <c r="S247" s="3"/>
      <c r="T247" s="3"/>
      <c r="U247" s="4"/>
      <c r="V247" s="4"/>
      <c r="W247" s="4"/>
      <c r="X247" s="4"/>
      <c r="Y247" s="4"/>
      <c r="Z247" s="11"/>
      <c r="AA247" s="15"/>
      <c r="AB247" s="15"/>
      <c r="AC247" s="15"/>
      <c r="AD247" s="16"/>
      <c r="AE247" s="64"/>
      <c r="AF247" s="64"/>
      <c r="AG247" s="16"/>
      <c r="AH247" s="16"/>
      <c r="AI247" s="16"/>
      <c r="AJ247" s="15"/>
      <c r="AK247" s="15"/>
      <c r="AL247" s="15"/>
      <c r="AM247" s="15"/>
      <c r="AN247" s="15"/>
      <c r="AO247" s="15"/>
      <c r="AP247" s="3"/>
      <c r="AQ247" s="3"/>
      <c r="AR247" s="3"/>
      <c r="AS247" s="3"/>
      <c r="AT247" s="50"/>
      <c r="AU247" s="50"/>
      <c r="AV247" s="50"/>
      <c r="AW247" s="50"/>
      <c r="AX247" s="50"/>
      <c r="AY247" s="50"/>
      <c r="AZ247" s="17"/>
      <c r="BA247" s="17"/>
      <c r="BB247" s="17"/>
      <c r="BC247" s="17"/>
      <c r="BD247" s="16"/>
      <c r="BE247" s="16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29"/>
      <c r="BW247" s="29"/>
      <c r="BX247" s="29"/>
      <c r="BY247" s="94"/>
      <c r="BZ247" s="94"/>
      <c r="CA247" s="94"/>
      <c r="CB247" s="29"/>
      <c r="CC247" s="29"/>
      <c r="CD247" s="29"/>
      <c r="CE247" s="29"/>
      <c r="CF247" s="3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</row>
    <row r="248" spans="1:114" ht="11.1" customHeight="1" x14ac:dyDescent="0.25">
      <c r="A248" s="3"/>
      <c r="B248" s="3"/>
      <c r="C248" s="3"/>
      <c r="D248" s="3"/>
      <c r="E248" s="3"/>
      <c r="F248" s="9"/>
      <c r="G248" s="9"/>
      <c r="H248" s="9"/>
      <c r="I248" s="10"/>
      <c r="J248" s="10"/>
      <c r="K248" s="14"/>
      <c r="L248" s="11"/>
      <c r="M248" s="14"/>
      <c r="N248" s="14"/>
      <c r="O248" s="4"/>
      <c r="P248" s="3"/>
      <c r="Q248" s="4"/>
      <c r="R248" s="3"/>
      <c r="S248" s="3"/>
      <c r="T248" s="3"/>
      <c r="U248" s="4"/>
      <c r="V248" s="4"/>
      <c r="W248" s="4"/>
      <c r="X248" s="4"/>
      <c r="Y248" s="4"/>
      <c r="Z248" s="11"/>
      <c r="AA248" s="15"/>
      <c r="AB248" s="15"/>
      <c r="AC248" s="15"/>
      <c r="AD248" s="16"/>
      <c r="AE248" s="64"/>
      <c r="AF248" s="64"/>
      <c r="AG248" s="16"/>
      <c r="AH248" s="16"/>
      <c r="AI248" s="16"/>
      <c r="AJ248" s="15"/>
      <c r="AK248" s="15"/>
      <c r="AL248" s="15"/>
      <c r="AM248" s="15"/>
      <c r="AN248" s="15"/>
      <c r="AO248" s="15"/>
      <c r="AP248" s="3"/>
      <c r="AQ248" s="3"/>
      <c r="AR248" s="3"/>
      <c r="AS248" s="3"/>
      <c r="AT248" s="50"/>
      <c r="AU248" s="50"/>
      <c r="AV248" s="50"/>
      <c r="AW248" s="50"/>
      <c r="AX248" s="50"/>
      <c r="AY248" s="50"/>
      <c r="AZ248" s="17"/>
      <c r="BA248" s="17"/>
      <c r="BB248" s="17"/>
      <c r="BC248" s="17"/>
      <c r="BD248" s="16"/>
      <c r="BE248" s="16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29"/>
      <c r="BW248" s="29"/>
      <c r="BX248" s="29"/>
      <c r="BY248" s="94"/>
      <c r="BZ248" s="94"/>
      <c r="CA248" s="94"/>
      <c r="CB248" s="29"/>
      <c r="CC248" s="29"/>
      <c r="CD248" s="29"/>
      <c r="CE248" s="29"/>
      <c r="CF248" s="3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</row>
    <row r="249" spans="1:114" ht="11.1" customHeight="1" x14ac:dyDescent="0.25">
      <c r="A249" s="3"/>
      <c r="B249" s="3"/>
      <c r="C249" s="3"/>
      <c r="D249" s="3"/>
      <c r="E249" s="3"/>
      <c r="F249" s="9"/>
      <c r="G249" s="9"/>
      <c r="H249" s="9"/>
      <c r="I249" s="10"/>
      <c r="J249" s="10"/>
      <c r="K249" s="14"/>
      <c r="L249" s="11"/>
      <c r="M249" s="14"/>
      <c r="N249" s="14"/>
      <c r="O249" s="4"/>
      <c r="P249" s="3"/>
      <c r="Q249" s="4"/>
      <c r="R249" s="3"/>
      <c r="S249" s="3"/>
      <c r="T249" s="3"/>
      <c r="U249" s="4"/>
      <c r="V249" s="4"/>
      <c r="W249" s="4"/>
      <c r="X249" s="4"/>
      <c r="Y249" s="4"/>
      <c r="Z249" s="11"/>
      <c r="AA249" s="15"/>
      <c r="AB249" s="15"/>
      <c r="AC249" s="15"/>
      <c r="AD249" s="16"/>
      <c r="AE249" s="64"/>
      <c r="AF249" s="64"/>
      <c r="AG249" s="16"/>
      <c r="AH249" s="16"/>
      <c r="AI249" s="16"/>
      <c r="AJ249" s="15"/>
      <c r="AK249" s="15"/>
      <c r="AL249" s="15"/>
      <c r="AM249" s="15"/>
      <c r="AN249" s="15"/>
      <c r="AO249" s="15"/>
      <c r="AP249" s="3"/>
      <c r="AQ249" s="3"/>
      <c r="AR249" s="3"/>
      <c r="AS249" s="3"/>
      <c r="AT249" s="50"/>
      <c r="AU249" s="50"/>
      <c r="AV249" s="50"/>
      <c r="AW249" s="50"/>
      <c r="AX249" s="50"/>
      <c r="AY249" s="50"/>
      <c r="AZ249" s="17"/>
      <c r="BA249" s="17"/>
      <c r="BB249" s="17"/>
      <c r="BC249" s="17"/>
      <c r="BD249" s="16"/>
      <c r="BE249" s="16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29"/>
      <c r="BW249" s="29"/>
      <c r="BX249" s="29"/>
      <c r="BY249" s="94"/>
      <c r="BZ249" s="94"/>
      <c r="CA249" s="94"/>
      <c r="CB249" s="29"/>
      <c r="CC249" s="29"/>
      <c r="CD249" s="29"/>
      <c r="CE249" s="29"/>
      <c r="CF249" s="3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</row>
    <row r="250" spans="1:114" ht="11.1" customHeight="1" x14ac:dyDescent="0.25">
      <c r="A250" s="3"/>
      <c r="B250" s="3"/>
      <c r="C250" s="3"/>
      <c r="D250" s="3"/>
      <c r="E250" s="3"/>
      <c r="F250" s="9"/>
      <c r="G250" s="9"/>
      <c r="H250" s="9"/>
      <c r="I250" s="10"/>
      <c r="J250" s="10"/>
      <c r="K250" s="14"/>
      <c r="L250" s="11"/>
      <c r="M250" s="14"/>
      <c r="N250" s="14"/>
      <c r="O250" s="4"/>
      <c r="P250" s="3"/>
      <c r="Q250" s="4"/>
      <c r="R250" s="3"/>
      <c r="S250" s="3"/>
      <c r="T250" s="3"/>
      <c r="U250" s="4"/>
      <c r="V250" s="4"/>
      <c r="W250" s="4"/>
      <c r="X250" s="4"/>
      <c r="Y250" s="4"/>
      <c r="Z250" s="11"/>
      <c r="AA250" s="15"/>
      <c r="AB250" s="15"/>
      <c r="AC250" s="15"/>
      <c r="AD250" s="16"/>
      <c r="AE250" s="64"/>
      <c r="AF250" s="64"/>
      <c r="AG250" s="16"/>
      <c r="AH250" s="16"/>
      <c r="AI250" s="16"/>
      <c r="AJ250" s="15"/>
      <c r="AK250" s="15"/>
      <c r="AL250" s="15"/>
      <c r="AM250" s="15"/>
      <c r="AN250" s="15"/>
      <c r="AO250" s="15"/>
      <c r="AP250" s="3"/>
      <c r="AQ250" s="3"/>
      <c r="AR250" s="3"/>
      <c r="AS250" s="3"/>
      <c r="AT250" s="50"/>
      <c r="AU250" s="50"/>
      <c r="AV250" s="50"/>
      <c r="AW250" s="50"/>
      <c r="AX250" s="50"/>
      <c r="AY250" s="50"/>
      <c r="AZ250" s="17"/>
      <c r="BA250" s="17"/>
      <c r="BB250" s="17"/>
      <c r="BC250" s="17"/>
      <c r="BD250" s="16"/>
      <c r="BE250" s="16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29"/>
      <c r="BW250" s="29"/>
      <c r="BX250" s="29"/>
      <c r="BY250" s="94"/>
      <c r="BZ250" s="94"/>
      <c r="CA250" s="94"/>
      <c r="CB250" s="29"/>
      <c r="CC250" s="29"/>
      <c r="CD250" s="29"/>
      <c r="CE250" s="29"/>
      <c r="CF250" s="3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</row>
    <row r="251" spans="1:114" ht="11.1" customHeight="1" x14ac:dyDescent="0.25">
      <c r="A251" s="3"/>
      <c r="B251" s="3"/>
      <c r="C251" s="3"/>
      <c r="D251" s="3"/>
      <c r="E251" s="3"/>
      <c r="F251" s="9"/>
      <c r="G251" s="9"/>
      <c r="H251" s="9"/>
      <c r="I251" s="10"/>
      <c r="J251" s="10"/>
      <c r="K251" s="14"/>
      <c r="L251" s="11"/>
      <c r="M251" s="14"/>
      <c r="N251" s="14"/>
      <c r="O251" s="4"/>
      <c r="P251" s="3"/>
      <c r="Q251" s="4"/>
      <c r="R251" s="3"/>
      <c r="S251" s="3"/>
      <c r="T251" s="3"/>
      <c r="U251" s="4"/>
      <c r="V251" s="4"/>
      <c r="W251" s="4"/>
      <c r="X251" s="4"/>
      <c r="Y251" s="4"/>
      <c r="Z251" s="11"/>
      <c r="AA251" s="15"/>
      <c r="AB251" s="15"/>
      <c r="AC251" s="15"/>
      <c r="AD251" s="16"/>
      <c r="AE251" s="64"/>
      <c r="AF251" s="64"/>
      <c r="AG251" s="16"/>
      <c r="AH251" s="16"/>
      <c r="AI251" s="16"/>
      <c r="AJ251" s="15"/>
      <c r="AK251" s="15"/>
      <c r="AL251" s="15"/>
      <c r="AM251" s="15"/>
      <c r="AN251" s="15"/>
      <c r="AO251" s="15"/>
      <c r="AP251" s="3"/>
      <c r="AQ251" s="3"/>
      <c r="AR251" s="3"/>
      <c r="AS251" s="3"/>
      <c r="AT251" s="50"/>
      <c r="AU251" s="50"/>
      <c r="AV251" s="50"/>
      <c r="AW251" s="50"/>
      <c r="AX251" s="50"/>
      <c r="AY251" s="50"/>
      <c r="AZ251" s="17"/>
      <c r="BA251" s="17"/>
      <c r="BB251" s="17"/>
      <c r="BC251" s="17"/>
      <c r="BD251" s="16"/>
      <c r="BE251" s="16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29"/>
      <c r="BW251" s="29"/>
      <c r="BX251" s="29"/>
      <c r="BY251" s="94"/>
      <c r="BZ251" s="94"/>
      <c r="CA251" s="94"/>
      <c r="CB251" s="29"/>
      <c r="CC251" s="29"/>
      <c r="CD251" s="29"/>
      <c r="CE251" s="29"/>
      <c r="CF251" s="3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</row>
    <row r="252" spans="1:114" ht="11.1" customHeight="1" x14ac:dyDescent="0.25">
      <c r="A252" s="3"/>
      <c r="B252" s="3"/>
      <c r="C252" s="3"/>
      <c r="D252" s="3"/>
      <c r="E252" s="3"/>
      <c r="F252" s="9"/>
      <c r="G252" s="9"/>
      <c r="H252" s="9"/>
      <c r="I252" s="10"/>
      <c r="J252" s="10"/>
      <c r="K252" s="14"/>
      <c r="L252" s="11"/>
      <c r="M252" s="14"/>
      <c r="N252" s="14"/>
      <c r="O252" s="4"/>
      <c r="P252" s="3"/>
      <c r="Q252" s="4"/>
      <c r="R252" s="3"/>
      <c r="S252" s="3"/>
      <c r="T252" s="3"/>
      <c r="U252" s="4"/>
      <c r="V252" s="4"/>
      <c r="W252" s="4"/>
      <c r="X252" s="4"/>
      <c r="Y252" s="4"/>
      <c r="Z252" s="11"/>
      <c r="AA252" s="15"/>
      <c r="AB252" s="15"/>
      <c r="AC252" s="15"/>
      <c r="AD252" s="16"/>
      <c r="AE252" s="64"/>
      <c r="AF252" s="64"/>
      <c r="AG252" s="16"/>
      <c r="AH252" s="16"/>
      <c r="AI252" s="16"/>
      <c r="AJ252" s="15"/>
      <c r="AK252" s="15"/>
      <c r="AL252" s="15"/>
      <c r="AM252" s="15"/>
      <c r="AN252" s="15"/>
      <c r="AO252" s="15"/>
      <c r="AP252" s="3"/>
      <c r="AQ252" s="3"/>
      <c r="AR252" s="3"/>
      <c r="AS252" s="3"/>
      <c r="AT252" s="50"/>
      <c r="AU252" s="50"/>
      <c r="AV252" s="50"/>
      <c r="AW252" s="50"/>
      <c r="AX252" s="50"/>
      <c r="AY252" s="50"/>
      <c r="AZ252" s="17"/>
      <c r="BA252" s="17"/>
      <c r="BB252" s="17"/>
      <c r="BC252" s="17"/>
      <c r="BD252" s="16"/>
      <c r="BE252" s="16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29"/>
      <c r="BW252" s="29"/>
      <c r="BX252" s="29"/>
      <c r="BY252" s="94"/>
      <c r="BZ252" s="94"/>
      <c r="CA252" s="94"/>
      <c r="CB252" s="29"/>
      <c r="CC252" s="29"/>
      <c r="CD252" s="29"/>
      <c r="CE252" s="29"/>
      <c r="CF252" s="3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</row>
    <row r="253" spans="1:114" ht="11.1" customHeight="1" x14ac:dyDescent="0.25">
      <c r="A253" s="3"/>
      <c r="B253" s="3"/>
      <c r="C253" s="3"/>
      <c r="D253" s="3"/>
      <c r="E253" s="3"/>
      <c r="F253" s="9"/>
      <c r="G253" s="9"/>
      <c r="H253" s="9"/>
      <c r="I253" s="10"/>
      <c r="J253" s="10"/>
      <c r="K253" s="14"/>
      <c r="L253" s="11"/>
      <c r="M253" s="14"/>
      <c r="N253" s="14"/>
      <c r="O253" s="4"/>
      <c r="P253" s="3"/>
      <c r="Q253" s="4"/>
      <c r="R253" s="3"/>
      <c r="S253" s="3"/>
      <c r="T253" s="3"/>
      <c r="U253" s="4"/>
      <c r="V253" s="4"/>
      <c r="W253" s="4"/>
      <c r="X253" s="4"/>
      <c r="Y253" s="4"/>
      <c r="Z253" s="11"/>
      <c r="AA253" s="15"/>
      <c r="AB253" s="15"/>
      <c r="AC253" s="15"/>
      <c r="AD253" s="16"/>
      <c r="AE253" s="64"/>
      <c r="AF253" s="64"/>
      <c r="AG253" s="16"/>
      <c r="AH253" s="16"/>
      <c r="AI253" s="16"/>
      <c r="AJ253" s="15"/>
      <c r="AK253" s="15"/>
      <c r="AL253" s="15"/>
      <c r="AM253" s="15"/>
      <c r="AN253" s="15"/>
      <c r="AO253" s="15"/>
      <c r="AP253" s="3"/>
      <c r="AQ253" s="3"/>
      <c r="AR253" s="3"/>
      <c r="AS253" s="3"/>
      <c r="AT253" s="50"/>
      <c r="AU253" s="50"/>
      <c r="AV253" s="50"/>
      <c r="AW253" s="50"/>
      <c r="AX253" s="50"/>
      <c r="AY253" s="50"/>
      <c r="AZ253" s="17"/>
      <c r="BA253" s="17"/>
      <c r="BB253" s="17"/>
      <c r="BC253" s="17"/>
      <c r="BD253" s="16"/>
      <c r="BE253" s="16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29"/>
      <c r="BW253" s="29"/>
      <c r="BX253" s="29"/>
      <c r="BY253" s="94"/>
      <c r="BZ253" s="94"/>
      <c r="CA253" s="94"/>
      <c r="CB253" s="29"/>
      <c r="CC253" s="29"/>
      <c r="CD253" s="29"/>
      <c r="CE253" s="29"/>
      <c r="CF253" s="3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</row>
    <row r="254" spans="1:114" ht="11.1" customHeight="1" x14ac:dyDescent="0.25">
      <c r="A254" s="3"/>
      <c r="B254" s="3"/>
      <c r="C254" s="3"/>
      <c r="D254" s="3"/>
      <c r="E254" s="3"/>
      <c r="F254" s="9"/>
      <c r="G254" s="9"/>
      <c r="H254" s="9"/>
      <c r="I254" s="10"/>
      <c r="J254" s="10"/>
      <c r="K254" s="14"/>
      <c r="L254" s="11"/>
      <c r="M254" s="14"/>
      <c r="N254" s="14"/>
      <c r="O254" s="4"/>
      <c r="P254" s="3"/>
      <c r="Q254" s="4"/>
      <c r="R254" s="3"/>
      <c r="S254" s="3"/>
      <c r="T254" s="3"/>
      <c r="U254" s="4"/>
      <c r="V254" s="4"/>
      <c r="W254" s="4"/>
      <c r="X254" s="4"/>
      <c r="Y254" s="4"/>
      <c r="Z254" s="11"/>
      <c r="AA254" s="15"/>
      <c r="AB254" s="15"/>
      <c r="AC254" s="15"/>
      <c r="AD254" s="16"/>
      <c r="AE254" s="64"/>
      <c r="AF254" s="64"/>
      <c r="AG254" s="16"/>
      <c r="AH254" s="16"/>
      <c r="AI254" s="16"/>
      <c r="AJ254" s="15"/>
      <c r="AK254" s="15"/>
      <c r="AL254" s="15"/>
      <c r="AM254" s="15"/>
      <c r="AN254" s="15"/>
      <c r="AO254" s="15"/>
      <c r="AP254" s="3"/>
      <c r="AQ254" s="3"/>
      <c r="AR254" s="3"/>
      <c r="AS254" s="3"/>
      <c r="AT254" s="50"/>
      <c r="AU254" s="50"/>
      <c r="AV254" s="50"/>
      <c r="AW254" s="50"/>
      <c r="AX254" s="50"/>
      <c r="AY254" s="50"/>
      <c r="AZ254" s="17"/>
      <c r="BA254" s="17"/>
      <c r="BB254" s="17"/>
      <c r="BC254" s="17"/>
      <c r="BD254" s="16"/>
      <c r="BE254" s="16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29"/>
      <c r="BW254" s="29"/>
      <c r="BX254" s="29"/>
      <c r="BY254" s="94"/>
      <c r="BZ254" s="94"/>
      <c r="CA254" s="94"/>
      <c r="CB254" s="29"/>
      <c r="CC254" s="29"/>
      <c r="CD254" s="29"/>
      <c r="CE254" s="29"/>
      <c r="CF254" s="3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</row>
    <row r="255" spans="1:114" ht="11.1" customHeight="1" x14ac:dyDescent="0.25">
      <c r="A255" s="3"/>
      <c r="B255" s="3"/>
      <c r="C255" s="3"/>
      <c r="D255" s="3"/>
      <c r="E255" s="3"/>
      <c r="F255" s="9"/>
      <c r="G255" s="9"/>
      <c r="H255" s="9"/>
      <c r="I255" s="10"/>
      <c r="J255" s="10"/>
      <c r="K255" s="14"/>
      <c r="L255" s="11"/>
      <c r="M255" s="14"/>
      <c r="N255" s="14"/>
      <c r="O255" s="4"/>
      <c r="P255" s="3"/>
      <c r="Q255" s="4"/>
      <c r="R255" s="3"/>
      <c r="S255" s="3"/>
      <c r="T255" s="3"/>
      <c r="U255" s="4"/>
      <c r="V255" s="4"/>
      <c r="W255" s="4"/>
      <c r="X255" s="4"/>
      <c r="Y255" s="4"/>
      <c r="Z255" s="11"/>
      <c r="AA255" s="15"/>
      <c r="AB255" s="15"/>
      <c r="AC255" s="15"/>
      <c r="AD255" s="16"/>
      <c r="AE255" s="64"/>
      <c r="AF255" s="64"/>
      <c r="AG255" s="16"/>
      <c r="AH255" s="16"/>
      <c r="AI255" s="16"/>
      <c r="AJ255" s="15"/>
      <c r="AK255" s="15"/>
      <c r="AL255" s="15"/>
      <c r="AM255" s="15"/>
      <c r="AN255" s="15"/>
      <c r="AO255" s="15"/>
      <c r="AP255" s="3"/>
      <c r="AQ255" s="3"/>
      <c r="AR255" s="3"/>
      <c r="AS255" s="3"/>
      <c r="AT255" s="50"/>
      <c r="AU255" s="50"/>
      <c r="AV255" s="50"/>
      <c r="AW255" s="50"/>
      <c r="AX255" s="50"/>
      <c r="AY255" s="50"/>
      <c r="AZ255" s="17"/>
      <c r="BA255" s="17"/>
      <c r="BB255" s="17"/>
      <c r="BC255" s="17"/>
      <c r="BD255" s="16"/>
      <c r="BE255" s="16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29"/>
      <c r="BW255" s="29"/>
      <c r="BX255" s="29"/>
      <c r="BY255" s="94"/>
      <c r="BZ255" s="94"/>
      <c r="CA255" s="94"/>
      <c r="CB255" s="29"/>
      <c r="CC255" s="29"/>
      <c r="CD255" s="29"/>
      <c r="CE255" s="29"/>
      <c r="CF255" s="3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</row>
    <row r="256" spans="1:114" ht="11.1" customHeight="1" x14ac:dyDescent="0.25">
      <c r="A256" s="3"/>
      <c r="B256" s="3"/>
      <c r="C256" s="3"/>
      <c r="D256" s="3"/>
      <c r="E256" s="3"/>
      <c r="F256" s="9"/>
      <c r="G256" s="9"/>
      <c r="H256" s="9"/>
      <c r="I256" s="10"/>
      <c r="J256" s="10"/>
      <c r="K256" s="14"/>
      <c r="L256" s="11"/>
      <c r="M256" s="14"/>
      <c r="N256" s="14"/>
      <c r="O256" s="4"/>
      <c r="P256" s="3"/>
      <c r="Q256" s="4"/>
      <c r="R256" s="3"/>
      <c r="S256" s="3"/>
      <c r="T256" s="3"/>
      <c r="U256" s="4"/>
      <c r="V256" s="4"/>
      <c r="W256" s="4"/>
      <c r="X256" s="4"/>
      <c r="Y256" s="4"/>
      <c r="Z256" s="11"/>
      <c r="AA256" s="15"/>
      <c r="AB256" s="15"/>
      <c r="AC256" s="15"/>
      <c r="AD256" s="16"/>
      <c r="AE256" s="64"/>
      <c r="AF256" s="64"/>
      <c r="AG256" s="16"/>
      <c r="AH256" s="16"/>
      <c r="AI256" s="16"/>
      <c r="AJ256" s="15"/>
      <c r="AK256" s="15"/>
      <c r="AL256" s="15"/>
      <c r="AM256" s="15"/>
      <c r="AN256" s="15"/>
      <c r="AO256" s="15"/>
      <c r="AP256" s="3"/>
      <c r="AQ256" s="3"/>
      <c r="AR256" s="3"/>
      <c r="AS256" s="3"/>
      <c r="AT256" s="50"/>
      <c r="AU256" s="50"/>
      <c r="AV256" s="50"/>
      <c r="AW256" s="50"/>
      <c r="AX256" s="50"/>
      <c r="AY256" s="50"/>
      <c r="AZ256" s="17"/>
      <c r="BA256" s="17"/>
      <c r="BB256" s="17"/>
      <c r="BC256" s="17"/>
      <c r="BD256" s="16"/>
      <c r="BE256" s="16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29"/>
      <c r="BW256" s="29"/>
      <c r="BX256" s="29"/>
      <c r="BY256" s="94"/>
      <c r="BZ256" s="94"/>
      <c r="CA256" s="94"/>
      <c r="CB256" s="29"/>
      <c r="CC256" s="29"/>
      <c r="CD256" s="29"/>
      <c r="CE256" s="29"/>
      <c r="CF256" s="3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</row>
    <row r="257" spans="1:114" ht="11.1" customHeight="1" x14ac:dyDescent="0.25">
      <c r="A257" s="3"/>
      <c r="B257" s="3"/>
      <c r="C257" s="3"/>
      <c r="D257" s="3"/>
      <c r="E257" s="3"/>
      <c r="F257" s="9"/>
      <c r="G257" s="9"/>
      <c r="H257" s="9"/>
      <c r="I257" s="10"/>
      <c r="J257" s="10"/>
      <c r="K257" s="14"/>
      <c r="L257" s="11"/>
      <c r="M257" s="14"/>
      <c r="N257" s="14"/>
      <c r="O257" s="4"/>
      <c r="P257" s="3"/>
      <c r="Q257" s="4"/>
      <c r="R257" s="3"/>
      <c r="S257" s="3"/>
      <c r="T257" s="3"/>
      <c r="U257" s="4"/>
      <c r="V257" s="4"/>
      <c r="W257" s="4"/>
      <c r="X257" s="4"/>
      <c r="Y257" s="4"/>
      <c r="Z257" s="11"/>
      <c r="AA257" s="15"/>
      <c r="AB257" s="15"/>
      <c r="AC257" s="15"/>
      <c r="AD257" s="16"/>
      <c r="AE257" s="64"/>
      <c r="AF257" s="64"/>
      <c r="AG257" s="16"/>
      <c r="AH257" s="16"/>
      <c r="AI257" s="16"/>
      <c r="AJ257" s="15"/>
      <c r="AK257" s="15"/>
      <c r="AL257" s="15"/>
      <c r="AM257" s="15"/>
      <c r="AN257" s="15"/>
      <c r="AO257" s="15"/>
      <c r="AP257" s="3"/>
      <c r="AQ257" s="3"/>
      <c r="AR257" s="3"/>
      <c r="AS257" s="3"/>
      <c r="AT257" s="50"/>
      <c r="AU257" s="50"/>
      <c r="AV257" s="50"/>
      <c r="AW257" s="50"/>
      <c r="AX257" s="50"/>
      <c r="AY257" s="50"/>
      <c r="AZ257" s="17"/>
      <c r="BA257" s="17"/>
      <c r="BB257" s="17"/>
      <c r="BC257" s="17"/>
      <c r="BD257" s="16"/>
      <c r="BE257" s="16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29"/>
      <c r="BW257" s="29"/>
      <c r="BX257" s="29"/>
      <c r="BY257" s="94"/>
      <c r="BZ257" s="94"/>
      <c r="CA257" s="94"/>
      <c r="CB257" s="29"/>
      <c r="CC257" s="29"/>
      <c r="CD257" s="29"/>
      <c r="CE257" s="29"/>
      <c r="CF257" s="3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</row>
    <row r="258" spans="1:114" ht="11.1" customHeight="1" x14ac:dyDescent="0.25">
      <c r="A258" s="3"/>
      <c r="B258" s="3"/>
      <c r="C258" s="3"/>
      <c r="D258" s="3"/>
      <c r="E258" s="3"/>
      <c r="F258" s="9"/>
      <c r="G258" s="9"/>
      <c r="H258" s="9"/>
      <c r="I258" s="10"/>
      <c r="J258" s="10"/>
      <c r="K258" s="14"/>
      <c r="L258" s="11"/>
      <c r="M258" s="14"/>
      <c r="N258" s="14"/>
      <c r="O258" s="4"/>
      <c r="P258" s="3"/>
      <c r="Q258" s="4"/>
      <c r="R258" s="3"/>
      <c r="S258" s="3"/>
      <c r="T258" s="3"/>
      <c r="U258" s="4"/>
      <c r="V258" s="4"/>
      <c r="W258" s="4"/>
      <c r="X258" s="4"/>
      <c r="Y258" s="4"/>
      <c r="Z258" s="11"/>
      <c r="AA258" s="15"/>
      <c r="AB258" s="15"/>
      <c r="AC258" s="15"/>
      <c r="AD258" s="16"/>
      <c r="AE258" s="64"/>
      <c r="AF258" s="64"/>
      <c r="AG258" s="16"/>
      <c r="AH258" s="16"/>
      <c r="AI258" s="16"/>
      <c r="AJ258" s="15"/>
      <c r="AK258" s="15"/>
      <c r="AL258" s="15"/>
      <c r="AM258" s="15"/>
      <c r="AN258" s="15"/>
      <c r="AO258" s="15"/>
      <c r="AP258" s="3"/>
      <c r="AQ258" s="3"/>
      <c r="AR258" s="3"/>
      <c r="AS258" s="3"/>
      <c r="AT258" s="50"/>
      <c r="AU258" s="50"/>
      <c r="AV258" s="50"/>
      <c r="AW258" s="50"/>
      <c r="AX258" s="50"/>
      <c r="AY258" s="50"/>
      <c r="AZ258" s="17"/>
      <c r="BA258" s="17"/>
      <c r="BB258" s="17"/>
      <c r="BC258" s="17"/>
      <c r="BD258" s="16"/>
      <c r="BE258" s="16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29"/>
      <c r="BW258" s="29"/>
      <c r="BX258" s="29"/>
      <c r="BY258" s="94"/>
      <c r="BZ258" s="94"/>
      <c r="CA258" s="94"/>
      <c r="CB258" s="29"/>
      <c r="CC258" s="29"/>
      <c r="CD258" s="29"/>
      <c r="CE258" s="29"/>
      <c r="CF258" s="3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</row>
    <row r="259" spans="1:114" ht="11.1" customHeight="1" x14ac:dyDescent="0.25">
      <c r="A259" s="3"/>
      <c r="B259" s="3"/>
      <c r="C259" s="3"/>
      <c r="D259" s="3"/>
      <c r="E259" s="3"/>
      <c r="F259" s="9"/>
      <c r="G259" s="9"/>
      <c r="H259" s="9"/>
      <c r="I259" s="10"/>
      <c r="J259" s="10"/>
      <c r="K259" s="14"/>
      <c r="L259" s="11"/>
      <c r="M259" s="14"/>
      <c r="N259" s="14"/>
      <c r="O259" s="4"/>
      <c r="P259" s="3"/>
      <c r="Q259" s="4"/>
      <c r="R259" s="3"/>
      <c r="S259" s="3"/>
      <c r="T259" s="3"/>
      <c r="U259" s="4"/>
      <c r="V259" s="4"/>
      <c r="W259" s="4"/>
      <c r="X259" s="4"/>
      <c r="Y259" s="4"/>
      <c r="Z259" s="11"/>
      <c r="AA259" s="15"/>
      <c r="AB259" s="15"/>
      <c r="AC259" s="15"/>
      <c r="AD259" s="16"/>
      <c r="AE259" s="64"/>
      <c r="AF259" s="64"/>
      <c r="AG259" s="16"/>
      <c r="AH259" s="16"/>
      <c r="AI259" s="16"/>
      <c r="AJ259" s="15"/>
      <c r="AK259" s="15"/>
      <c r="AL259" s="15"/>
      <c r="AM259" s="15"/>
      <c r="AN259" s="15"/>
      <c r="AO259" s="15"/>
      <c r="AP259" s="3"/>
      <c r="AQ259" s="3"/>
      <c r="AR259" s="3"/>
      <c r="AS259" s="3"/>
      <c r="AT259" s="50"/>
      <c r="AU259" s="50"/>
      <c r="AV259" s="50"/>
      <c r="AW259" s="50"/>
      <c r="AX259" s="50"/>
      <c r="AY259" s="50"/>
      <c r="AZ259" s="17"/>
      <c r="BA259" s="17"/>
      <c r="BB259" s="17"/>
      <c r="BC259" s="17"/>
      <c r="BD259" s="16"/>
      <c r="BE259" s="16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29"/>
      <c r="BW259" s="29"/>
      <c r="BX259" s="29"/>
      <c r="BY259" s="94"/>
      <c r="BZ259" s="94"/>
      <c r="CA259" s="94"/>
      <c r="CB259" s="29"/>
      <c r="CC259" s="29"/>
      <c r="CD259" s="29"/>
      <c r="CE259" s="29"/>
      <c r="CF259" s="3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</row>
    <row r="260" spans="1:114" ht="11.1" customHeight="1" x14ac:dyDescent="0.25">
      <c r="A260" s="3"/>
      <c r="B260" s="3"/>
      <c r="C260" s="3"/>
      <c r="D260" s="3"/>
      <c r="E260" s="3"/>
      <c r="F260" s="9"/>
      <c r="G260" s="9"/>
      <c r="H260" s="9"/>
      <c r="I260" s="10"/>
      <c r="J260" s="10"/>
      <c r="K260" s="14"/>
      <c r="L260" s="11"/>
      <c r="M260" s="14"/>
      <c r="N260" s="14"/>
      <c r="O260" s="4"/>
      <c r="P260" s="3"/>
      <c r="Q260" s="4"/>
      <c r="R260" s="3"/>
      <c r="S260" s="3"/>
      <c r="T260" s="3"/>
      <c r="U260" s="4"/>
      <c r="V260" s="4"/>
      <c r="W260" s="4"/>
      <c r="X260" s="4"/>
      <c r="Y260" s="4"/>
      <c r="Z260" s="11"/>
      <c r="AA260" s="15"/>
      <c r="AB260" s="15"/>
      <c r="AC260" s="15"/>
      <c r="AD260" s="16"/>
      <c r="AE260" s="64"/>
      <c r="AF260" s="64"/>
      <c r="AG260" s="16"/>
      <c r="AH260" s="16"/>
      <c r="AI260" s="16"/>
      <c r="AJ260" s="15"/>
      <c r="AK260" s="15"/>
      <c r="AL260" s="15"/>
      <c r="AM260" s="15"/>
      <c r="AN260" s="15"/>
      <c r="AO260" s="15"/>
      <c r="AP260" s="3"/>
      <c r="AQ260" s="3"/>
      <c r="AR260" s="3"/>
      <c r="AS260" s="3"/>
      <c r="AT260" s="50"/>
      <c r="AU260" s="50"/>
      <c r="AV260" s="50"/>
      <c r="AW260" s="50"/>
      <c r="AX260" s="50"/>
      <c r="AY260" s="50"/>
      <c r="AZ260" s="17"/>
      <c r="BA260" s="17"/>
      <c r="BB260" s="17"/>
      <c r="BC260" s="17"/>
      <c r="BD260" s="16"/>
      <c r="BE260" s="16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29"/>
      <c r="BW260" s="29"/>
      <c r="BX260" s="29"/>
      <c r="BY260" s="94"/>
      <c r="BZ260" s="94"/>
      <c r="CA260" s="94"/>
      <c r="CB260" s="29"/>
      <c r="CC260" s="29"/>
      <c r="CD260" s="29"/>
      <c r="CE260" s="29"/>
      <c r="CF260" s="3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</row>
    <row r="261" spans="1:114" ht="11.1" customHeight="1" x14ac:dyDescent="0.25">
      <c r="A261" s="3"/>
      <c r="B261" s="3"/>
      <c r="C261" s="3"/>
      <c r="D261" s="3"/>
      <c r="E261" s="3"/>
      <c r="F261" s="9"/>
      <c r="G261" s="9"/>
      <c r="H261" s="9"/>
      <c r="I261" s="10"/>
      <c r="J261" s="10"/>
      <c r="K261" s="14"/>
      <c r="L261" s="11"/>
      <c r="M261" s="14"/>
      <c r="N261" s="14"/>
      <c r="O261" s="4"/>
      <c r="P261" s="3"/>
      <c r="Q261" s="4"/>
      <c r="R261" s="3"/>
      <c r="S261" s="3"/>
      <c r="T261" s="3"/>
      <c r="U261" s="4"/>
      <c r="V261" s="4"/>
      <c r="W261" s="4"/>
      <c r="X261" s="4"/>
      <c r="Y261" s="4"/>
      <c r="Z261" s="11"/>
      <c r="AA261" s="15"/>
      <c r="AB261" s="15"/>
      <c r="AC261" s="15"/>
      <c r="AD261" s="16"/>
      <c r="AE261" s="64"/>
      <c r="AF261" s="64"/>
      <c r="AG261" s="16"/>
      <c r="AH261" s="16"/>
      <c r="AI261" s="16"/>
      <c r="AJ261" s="15"/>
      <c r="AK261" s="15"/>
      <c r="AL261" s="15"/>
      <c r="AM261" s="15"/>
      <c r="AN261" s="15"/>
      <c r="AO261" s="15"/>
      <c r="AP261" s="3"/>
      <c r="AQ261" s="3"/>
      <c r="AR261" s="3"/>
      <c r="AS261" s="3"/>
      <c r="AT261" s="50"/>
      <c r="AU261" s="50"/>
      <c r="AV261" s="50"/>
      <c r="AW261" s="50"/>
      <c r="AX261" s="50"/>
      <c r="AY261" s="50"/>
      <c r="AZ261" s="17"/>
      <c r="BA261" s="17"/>
      <c r="BB261" s="17"/>
      <c r="BC261" s="17"/>
      <c r="BD261" s="16"/>
      <c r="BE261" s="16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29"/>
      <c r="BW261" s="29"/>
      <c r="BX261" s="29"/>
      <c r="BY261" s="94"/>
      <c r="BZ261" s="94"/>
      <c r="CA261" s="94"/>
      <c r="CB261" s="29"/>
      <c r="CC261" s="29"/>
      <c r="CD261" s="29"/>
      <c r="CE261" s="29"/>
      <c r="CF261" s="3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</row>
    <row r="262" spans="1:114" ht="11.1" customHeight="1" x14ac:dyDescent="0.25">
      <c r="A262" s="3"/>
      <c r="B262" s="3"/>
      <c r="C262" s="3"/>
      <c r="D262" s="3"/>
      <c r="E262" s="3"/>
      <c r="F262" s="9"/>
      <c r="G262" s="9"/>
      <c r="H262" s="9"/>
      <c r="I262" s="10"/>
      <c r="J262" s="10"/>
      <c r="K262" s="14"/>
      <c r="L262" s="11"/>
      <c r="M262" s="14"/>
      <c r="N262" s="14"/>
      <c r="O262" s="4"/>
      <c r="P262" s="3"/>
      <c r="Q262" s="4"/>
      <c r="R262" s="3"/>
      <c r="S262" s="3"/>
      <c r="T262" s="3"/>
      <c r="U262" s="4"/>
      <c r="V262" s="4"/>
      <c r="W262" s="4"/>
      <c r="X262" s="4"/>
      <c r="Y262" s="4"/>
      <c r="Z262" s="11"/>
      <c r="AA262" s="15"/>
      <c r="AB262" s="15"/>
      <c r="AC262" s="15"/>
      <c r="AD262" s="16"/>
      <c r="AE262" s="64"/>
      <c r="AF262" s="64"/>
      <c r="AG262" s="16"/>
      <c r="AH262" s="16"/>
      <c r="AI262" s="16"/>
      <c r="AJ262" s="15"/>
      <c r="AK262" s="15"/>
      <c r="AL262" s="15"/>
      <c r="AM262" s="15"/>
      <c r="AN262" s="15"/>
      <c r="AO262" s="15"/>
      <c r="AP262" s="3"/>
      <c r="AQ262" s="3"/>
      <c r="AR262" s="3"/>
      <c r="AS262" s="3"/>
      <c r="AT262" s="50"/>
      <c r="AU262" s="50"/>
      <c r="AV262" s="50"/>
      <c r="AW262" s="50"/>
      <c r="AX262" s="50"/>
      <c r="AY262" s="50"/>
      <c r="AZ262" s="17"/>
      <c r="BA262" s="17"/>
      <c r="BB262" s="17"/>
      <c r="BC262" s="17"/>
      <c r="BD262" s="16"/>
      <c r="BE262" s="16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29"/>
      <c r="BW262" s="29"/>
      <c r="BX262" s="29"/>
      <c r="BY262" s="94"/>
      <c r="BZ262" s="94"/>
      <c r="CA262" s="94"/>
      <c r="CB262" s="29"/>
      <c r="CC262" s="29"/>
      <c r="CD262" s="29"/>
      <c r="CE262" s="29"/>
      <c r="CF262" s="3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</row>
    <row r="263" spans="1:114" ht="11.1" customHeight="1" x14ac:dyDescent="0.25">
      <c r="A263" s="3"/>
      <c r="B263" s="3"/>
      <c r="C263" s="3"/>
      <c r="D263" s="3"/>
      <c r="E263" s="3"/>
      <c r="F263" s="9"/>
      <c r="G263" s="9"/>
      <c r="H263" s="9"/>
      <c r="I263" s="10"/>
      <c r="J263" s="10"/>
      <c r="K263" s="14"/>
      <c r="L263" s="11"/>
      <c r="M263" s="14"/>
      <c r="N263" s="14"/>
      <c r="O263" s="4"/>
      <c r="P263" s="3"/>
      <c r="Q263" s="4"/>
      <c r="R263" s="3"/>
      <c r="S263" s="3"/>
      <c r="T263" s="3"/>
      <c r="U263" s="4"/>
      <c r="V263" s="4"/>
      <c r="W263" s="4"/>
      <c r="X263" s="4"/>
      <c r="Y263" s="4"/>
      <c r="Z263" s="11"/>
      <c r="AA263" s="15"/>
      <c r="AB263" s="15"/>
      <c r="AC263" s="15"/>
      <c r="AD263" s="16"/>
      <c r="AE263" s="64"/>
      <c r="AF263" s="64"/>
      <c r="AG263" s="16"/>
      <c r="AH263" s="16"/>
      <c r="AI263" s="16"/>
      <c r="AJ263" s="15"/>
      <c r="AK263" s="15"/>
      <c r="AL263" s="15"/>
      <c r="AM263" s="15"/>
      <c r="AN263" s="15"/>
      <c r="AO263" s="15"/>
      <c r="AP263" s="3"/>
      <c r="AQ263" s="3"/>
      <c r="AR263" s="3"/>
      <c r="AS263" s="3"/>
      <c r="AT263" s="50"/>
      <c r="AU263" s="50"/>
      <c r="AV263" s="50"/>
      <c r="AW263" s="50"/>
      <c r="AX263" s="50"/>
      <c r="AY263" s="50"/>
      <c r="AZ263" s="17"/>
      <c r="BA263" s="17"/>
      <c r="BB263" s="17"/>
      <c r="BC263" s="17"/>
      <c r="BD263" s="16"/>
      <c r="BE263" s="16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29"/>
      <c r="BW263" s="29"/>
      <c r="BX263" s="29"/>
      <c r="BY263" s="94"/>
      <c r="BZ263" s="94"/>
      <c r="CA263" s="94"/>
      <c r="CB263" s="29"/>
      <c r="CC263" s="29"/>
      <c r="CD263" s="29"/>
      <c r="CE263" s="29"/>
      <c r="CF263" s="3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</row>
    <row r="264" spans="1:114" ht="11.1" customHeight="1" x14ac:dyDescent="0.25">
      <c r="A264" s="3"/>
      <c r="B264" s="3"/>
      <c r="C264" s="3"/>
      <c r="D264" s="3"/>
      <c r="E264" s="3"/>
      <c r="F264" s="9"/>
      <c r="G264" s="9"/>
      <c r="H264" s="9"/>
      <c r="I264" s="10"/>
      <c r="J264" s="10"/>
      <c r="K264" s="14"/>
      <c r="L264" s="11"/>
      <c r="M264" s="14"/>
      <c r="N264" s="14"/>
      <c r="O264" s="4"/>
      <c r="P264" s="3"/>
      <c r="Q264" s="4"/>
      <c r="R264" s="3"/>
      <c r="S264" s="3"/>
      <c r="T264" s="3"/>
      <c r="U264" s="4"/>
      <c r="V264" s="4"/>
      <c r="W264" s="4"/>
      <c r="X264" s="4"/>
      <c r="Y264" s="4"/>
      <c r="Z264" s="11"/>
      <c r="AA264" s="15"/>
      <c r="AB264" s="15"/>
      <c r="AC264" s="15"/>
      <c r="AD264" s="16"/>
      <c r="AE264" s="64"/>
      <c r="AF264" s="64"/>
      <c r="AG264" s="16"/>
      <c r="AH264" s="16"/>
      <c r="AI264" s="16"/>
      <c r="AJ264" s="15"/>
      <c r="AK264" s="15"/>
      <c r="AL264" s="15"/>
      <c r="AM264" s="15"/>
      <c r="AN264" s="15"/>
      <c r="AO264" s="15"/>
      <c r="AP264" s="3"/>
      <c r="AQ264" s="3"/>
      <c r="AR264" s="3"/>
      <c r="AS264" s="3"/>
      <c r="AT264" s="50"/>
      <c r="AU264" s="50"/>
      <c r="AV264" s="50"/>
      <c r="AW264" s="50"/>
      <c r="AX264" s="50"/>
      <c r="AY264" s="50"/>
      <c r="AZ264" s="17"/>
      <c r="BA264" s="17"/>
      <c r="BB264" s="17"/>
      <c r="BC264" s="17"/>
      <c r="BD264" s="16"/>
      <c r="BE264" s="16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29"/>
      <c r="BW264" s="29"/>
      <c r="BX264" s="29"/>
      <c r="BY264" s="94"/>
      <c r="BZ264" s="94"/>
      <c r="CA264" s="94"/>
      <c r="CB264" s="29"/>
      <c r="CC264" s="29"/>
      <c r="CD264" s="29"/>
      <c r="CE264" s="29"/>
      <c r="CF264" s="3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</row>
    <row r="265" spans="1:114" ht="11.1" customHeight="1" x14ac:dyDescent="0.25">
      <c r="A265" s="3"/>
      <c r="B265" s="3"/>
      <c r="C265" s="3"/>
      <c r="D265" s="3"/>
      <c r="E265" s="3"/>
      <c r="F265" s="9"/>
      <c r="G265" s="9"/>
      <c r="H265" s="9"/>
      <c r="I265" s="10"/>
      <c r="J265" s="10"/>
      <c r="K265" s="14"/>
      <c r="L265" s="11"/>
      <c r="M265" s="14"/>
      <c r="N265" s="14"/>
      <c r="O265" s="4"/>
      <c r="P265" s="3"/>
      <c r="Q265" s="4"/>
      <c r="R265" s="3"/>
      <c r="S265" s="3"/>
      <c r="T265" s="3"/>
      <c r="U265" s="4"/>
      <c r="V265" s="4"/>
      <c r="W265" s="4"/>
      <c r="X265" s="4"/>
      <c r="Y265" s="4"/>
      <c r="Z265" s="11"/>
      <c r="AA265" s="15"/>
      <c r="AB265" s="15"/>
      <c r="AC265" s="15"/>
      <c r="AD265" s="16"/>
      <c r="AE265" s="64"/>
      <c r="AF265" s="64"/>
      <c r="AG265" s="16"/>
      <c r="AH265" s="16"/>
      <c r="AI265" s="16"/>
      <c r="AJ265" s="15"/>
      <c r="AK265" s="15"/>
      <c r="AL265" s="15"/>
      <c r="AM265" s="15"/>
      <c r="AN265" s="15"/>
      <c r="AO265" s="15"/>
      <c r="AP265" s="3"/>
      <c r="AQ265" s="3"/>
      <c r="AR265" s="3"/>
      <c r="AS265" s="3"/>
      <c r="AT265" s="50"/>
      <c r="AU265" s="50"/>
      <c r="AV265" s="50"/>
      <c r="AW265" s="50"/>
      <c r="AX265" s="50"/>
      <c r="AY265" s="50"/>
      <c r="AZ265" s="17"/>
      <c r="BA265" s="17"/>
      <c r="BB265" s="17"/>
      <c r="BC265" s="17"/>
      <c r="BD265" s="16"/>
      <c r="BE265" s="16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29"/>
      <c r="BW265" s="29"/>
      <c r="BX265" s="29"/>
      <c r="BY265" s="94"/>
      <c r="BZ265" s="94"/>
      <c r="CA265" s="94"/>
      <c r="CB265" s="29"/>
      <c r="CC265" s="29"/>
      <c r="CD265" s="29"/>
      <c r="CE265" s="29"/>
      <c r="CF265" s="3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</row>
    <row r="266" spans="1:114" ht="11.1" customHeight="1" x14ac:dyDescent="0.25">
      <c r="A266" s="3"/>
      <c r="B266" s="3"/>
      <c r="C266" s="3"/>
      <c r="D266" s="3"/>
      <c r="E266" s="3"/>
      <c r="F266" s="9"/>
      <c r="G266" s="9"/>
      <c r="H266" s="9"/>
      <c r="I266" s="10"/>
      <c r="J266" s="10"/>
      <c r="K266" s="14"/>
      <c r="L266" s="11"/>
      <c r="M266" s="14"/>
      <c r="N266" s="14"/>
      <c r="O266" s="4"/>
      <c r="P266" s="3"/>
      <c r="Q266" s="4"/>
      <c r="R266" s="3"/>
      <c r="S266" s="3"/>
      <c r="T266" s="3"/>
      <c r="U266" s="4"/>
      <c r="V266" s="4"/>
      <c r="W266" s="4"/>
      <c r="X266" s="4"/>
      <c r="Y266" s="4"/>
      <c r="Z266" s="11"/>
      <c r="AA266" s="15"/>
      <c r="AB266" s="15"/>
      <c r="AC266" s="15"/>
      <c r="AD266" s="16"/>
      <c r="AE266" s="64"/>
      <c r="AF266" s="64"/>
      <c r="AG266" s="16"/>
      <c r="AH266" s="16"/>
      <c r="AI266" s="16"/>
      <c r="AJ266" s="15"/>
      <c r="AK266" s="15"/>
      <c r="AL266" s="15"/>
      <c r="AM266" s="15"/>
      <c r="AN266" s="15"/>
      <c r="AO266" s="15"/>
      <c r="AP266" s="3"/>
      <c r="AQ266" s="3"/>
      <c r="AR266" s="3"/>
      <c r="AS266" s="3"/>
      <c r="AT266" s="50"/>
      <c r="AU266" s="50"/>
      <c r="AV266" s="50"/>
      <c r="AW266" s="50"/>
      <c r="AX266" s="50"/>
      <c r="AY266" s="50"/>
      <c r="AZ266" s="17"/>
      <c r="BA266" s="17"/>
      <c r="BB266" s="17"/>
      <c r="BC266" s="17"/>
      <c r="BD266" s="16"/>
      <c r="BE266" s="16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29"/>
      <c r="BW266" s="29"/>
      <c r="BX266" s="29"/>
      <c r="BY266" s="94"/>
      <c r="BZ266" s="94"/>
      <c r="CA266" s="94"/>
      <c r="CB266" s="29"/>
      <c r="CC266" s="29"/>
      <c r="CD266" s="29"/>
      <c r="CE266" s="29"/>
      <c r="CF266" s="3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</row>
    <row r="267" spans="1:114" ht="11.1" customHeight="1" x14ac:dyDescent="0.25">
      <c r="A267" s="3"/>
      <c r="B267" s="3"/>
      <c r="C267" s="3"/>
      <c r="D267" s="3"/>
      <c r="E267" s="3"/>
      <c r="F267" s="9"/>
      <c r="G267" s="9"/>
      <c r="H267" s="9"/>
      <c r="I267" s="10"/>
      <c r="J267" s="10"/>
      <c r="K267" s="14"/>
      <c r="L267" s="11"/>
      <c r="M267" s="14"/>
      <c r="N267" s="14"/>
      <c r="O267" s="4"/>
      <c r="P267" s="3"/>
      <c r="Q267" s="4"/>
      <c r="R267" s="3"/>
      <c r="S267" s="3"/>
      <c r="T267" s="3"/>
      <c r="U267" s="4"/>
      <c r="V267" s="4"/>
      <c r="W267" s="4"/>
      <c r="X267" s="4"/>
      <c r="Y267" s="4"/>
      <c r="Z267" s="11"/>
      <c r="AA267" s="15"/>
      <c r="AB267" s="15"/>
      <c r="AC267" s="15"/>
      <c r="AD267" s="16"/>
      <c r="AE267" s="64"/>
      <c r="AF267" s="64"/>
      <c r="AG267" s="16"/>
      <c r="AH267" s="16"/>
      <c r="AI267" s="16"/>
      <c r="AJ267" s="15"/>
      <c r="AK267" s="15"/>
      <c r="AL267" s="15"/>
      <c r="AM267" s="15"/>
      <c r="AN267" s="15"/>
      <c r="AO267" s="15"/>
      <c r="AP267" s="3"/>
      <c r="AQ267" s="3"/>
      <c r="AR267" s="3"/>
      <c r="AS267" s="3"/>
      <c r="AT267" s="50"/>
      <c r="AU267" s="50"/>
      <c r="AV267" s="50"/>
      <c r="AW267" s="50"/>
      <c r="AX267" s="50"/>
      <c r="AY267" s="50"/>
      <c r="AZ267" s="17"/>
      <c r="BA267" s="17"/>
      <c r="BB267" s="17"/>
      <c r="BC267" s="17"/>
      <c r="BD267" s="16"/>
      <c r="BE267" s="16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29"/>
      <c r="BW267" s="29"/>
      <c r="BX267" s="29"/>
      <c r="BY267" s="94"/>
      <c r="BZ267" s="94"/>
      <c r="CA267" s="94"/>
      <c r="CB267" s="29"/>
      <c r="CC267" s="29"/>
      <c r="CD267" s="29"/>
      <c r="CE267" s="29"/>
      <c r="CF267" s="3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</row>
    <row r="268" spans="1:114" ht="11.1" customHeight="1" x14ac:dyDescent="0.25">
      <c r="A268" s="3"/>
      <c r="B268" s="3"/>
      <c r="C268" s="3"/>
      <c r="D268" s="3"/>
      <c r="E268" s="3"/>
      <c r="F268" s="9"/>
      <c r="G268" s="9"/>
      <c r="H268" s="9"/>
      <c r="I268" s="10"/>
      <c r="J268" s="10"/>
      <c r="K268" s="14"/>
      <c r="L268" s="11"/>
      <c r="M268" s="14"/>
      <c r="N268" s="14"/>
      <c r="O268" s="4"/>
      <c r="P268" s="3"/>
      <c r="Q268" s="4"/>
      <c r="R268" s="3"/>
      <c r="S268" s="3"/>
      <c r="T268" s="3"/>
      <c r="U268" s="4"/>
      <c r="V268" s="4"/>
      <c r="W268" s="4"/>
      <c r="X268" s="4"/>
      <c r="Y268" s="4"/>
      <c r="Z268" s="11"/>
      <c r="AA268" s="15"/>
      <c r="AB268" s="15"/>
      <c r="AC268" s="15"/>
      <c r="AD268" s="16"/>
      <c r="AE268" s="64"/>
      <c r="AF268" s="64"/>
      <c r="AG268" s="16"/>
      <c r="AH268" s="16"/>
      <c r="AI268" s="16"/>
      <c r="AJ268" s="15"/>
      <c r="AK268" s="15"/>
      <c r="AL268" s="15"/>
      <c r="AM268" s="15"/>
      <c r="AN268" s="15"/>
      <c r="AO268" s="15"/>
      <c r="AP268" s="3"/>
      <c r="AQ268" s="3"/>
      <c r="AR268" s="3"/>
      <c r="AS268" s="3"/>
      <c r="AT268" s="50"/>
      <c r="AU268" s="50"/>
      <c r="AV268" s="50"/>
      <c r="AW268" s="50"/>
      <c r="AX268" s="50"/>
      <c r="AY268" s="50"/>
      <c r="AZ268" s="17"/>
      <c r="BA268" s="17"/>
      <c r="BB268" s="17"/>
      <c r="BC268" s="17"/>
      <c r="BD268" s="16"/>
      <c r="BE268" s="16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29"/>
      <c r="BW268" s="29"/>
      <c r="BX268" s="29"/>
      <c r="BY268" s="94"/>
      <c r="BZ268" s="94"/>
      <c r="CA268" s="94"/>
      <c r="CB268" s="29"/>
      <c r="CC268" s="29"/>
      <c r="CD268" s="29"/>
      <c r="CE268" s="29"/>
      <c r="CF268" s="3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</row>
    <row r="269" spans="1:114" ht="11.1" customHeight="1" x14ac:dyDescent="0.25">
      <c r="A269" s="3"/>
      <c r="B269" s="3"/>
      <c r="C269" s="3"/>
      <c r="D269" s="3"/>
      <c r="E269" s="3"/>
      <c r="F269" s="9"/>
      <c r="G269" s="9"/>
      <c r="H269" s="9"/>
      <c r="I269" s="10"/>
      <c r="J269" s="10"/>
      <c r="K269" s="14"/>
      <c r="L269" s="11"/>
      <c r="M269" s="14"/>
      <c r="N269" s="14"/>
      <c r="O269" s="4"/>
      <c r="P269" s="3"/>
      <c r="Q269" s="4"/>
      <c r="R269" s="3"/>
      <c r="S269" s="3"/>
      <c r="T269" s="3"/>
      <c r="U269" s="4"/>
      <c r="V269" s="4"/>
      <c r="W269" s="4"/>
      <c r="X269" s="4"/>
      <c r="Y269" s="4"/>
      <c r="Z269" s="11"/>
      <c r="AA269" s="15"/>
      <c r="AB269" s="15"/>
      <c r="AC269" s="15"/>
      <c r="AD269" s="16"/>
      <c r="AE269" s="64"/>
      <c r="AF269" s="64"/>
      <c r="AG269" s="16"/>
      <c r="AH269" s="16"/>
      <c r="AI269" s="16"/>
      <c r="AJ269" s="15"/>
      <c r="AK269" s="15"/>
      <c r="AL269" s="15"/>
      <c r="AM269" s="15"/>
      <c r="AN269" s="15"/>
      <c r="AO269" s="15"/>
      <c r="AP269" s="3"/>
      <c r="AQ269" s="3"/>
      <c r="AR269" s="3"/>
      <c r="AS269" s="3"/>
      <c r="AT269" s="50"/>
      <c r="AU269" s="50"/>
      <c r="AV269" s="50"/>
      <c r="AW269" s="50"/>
      <c r="AX269" s="50"/>
      <c r="AY269" s="50"/>
      <c r="AZ269" s="17"/>
      <c r="BA269" s="17"/>
      <c r="BB269" s="17"/>
      <c r="BC269" s="17"/>
      <c r="BD269" s="16"/>
      <c r="BE269" s="16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29"/>
      <c r="BW269" s="29"/>
      <c r="BX269" s="29"/>
      <c r="BY269" s="94"/>
      <c r="BZ269" s="94"/>
      <c r="CA269" s="94"/>
      <c r="CB269" s="29"/>
      <c r="CC269" s="29"/>
      <c r="CD269" s="29"/>
      <c r="CE269" s="29"/>
      <c r="CF269" s="3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</row>
    <row r="270" spans="1:114" ht="11.1" customHeight="1" x14ac:dyDescent="0.25">
      <c r="A270" s="3"/>
      <c r="B270" s="3"/>
      <c r="C270" s="3"/>
      <c r="D270" s="3"/>
      <c r="E270" s="3"/>
      <c r="F270" s="9"/>
      <c r="G270" s="9"/>
      <c r="H270" s="9"/>
      <c r="I270" s="10"/>
      <c r="J270" s="10"/>
      <c r="K270" s="14"/>
      <c r="L270" s="11"/>
      <c r="M270" s="14"/>
      <c r="N270" s="14"/>
      <c r="O270" s="4"/>
      <c r="P270" s="3"/>
      <c r="Q270" s="4"/>
      <c r="R270" s="3"/>
      <c r="S270" s="3"/>
      <c r="T270" s="3"/>
      <c r="U270" s="4"/>
      <c r="V270" s="4"/>
      <c r="W270" s="4"/>
      <c r="X270" s="4"/>
      <c r="Y270" s="4"/>
      <c r="Z270" s="11"/>
      <c r="AA270" s="15"/>
      <c r="AB270" s="15"/>
      <c r="AC270" s="15"/>
      <c r="AD270" s="16"/>
      <c r="AE270" s="64"/>
      <c r="AF270" s="64"/>
      <c r="AG270" s="16"/>
      <c r="AH270" s="16"/>
      <c r="AI270" s="16"/>
      <c r="AJ270" s="15"/>
      <c r="AK270" s="15"/>
      <c r="AL270" s="15"/>
      <c r="AM270" s="15"/>
      <c r="AN270" s="15"/>
      <c r="AO270" s="15"/>
      <c r="AP270" s="3"/>
      <c r="AQ270" s="3"/>
      <c r="AR270" s="3"/>
      <c r="AS270" s="3"/>
      <c r="AT270" s="50"/>
      <c r="AU270" s="50"/>
      <c r="AV270" s="50"/>
      <c r="AW270" s="50"/>
      <c r="AX270" s="50"/>
      <c r="AY270" s="50"/>
      <c r="AZ270" s="17"/>
      <c r="BA270" s="17"/>
      <c r="BB270" s="17"/>
      <c r="BC270" s="17"/>
      <c r="BD270" s="16"/>
      <c r="BE270" s="16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29"/>
      <c r="BW270" s="29"/>
      <c r="BX270" s="29"/>
      <c r="BY270" s="94"/>
      <c r="BZ270" s="94"/>
      <c r="CA270" s="94"/>
      <c r="CB270" s="29"/>
      <c r="CC270" s="29"/>
      <c r="CD270" s="29"/>
      <c r="CE270" s="29"/>
      <c r="CF270" s="3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</row>
    <row r="271" spans="1:114" ht="11.1" customHeight="1" x14ac:dyDescent="0.25">
      <c r="A271" s="3"/>
      <c r="B271" s="3"/>
      <c r="C271" s="3"/>
      <c r="D271" s="3"/>
      <c r="E271" s="3"/>
      <c r="F271" s="9"/>
      <c r="G271" s="9"/>
      <c r="H271" s="9"/>
      <c r="I271" s="10"/>
      <c r="J271" s="10"/>
      <c r="K271" s="14"/>
      <c r="M271" s="14"/>
      <c r="N271" s="14"/>
      <c r="O271" s="4"/>
      <c r="P271" s="3"/>
      <c r="Q271" s="4"/>
      <c r="R271" s="3"/>
      <c r="S271" s="3"/>
      <c r="T271" s="3"/>
      <c r="U271" s="4"/>
      <c r="V271" s="4"/>
      <c r="W271" s="4"/>
      <c r="X271" s="4"/>
      <c r="Y271" s="4"/>
      <c r="Z271" s="11"/>
      <c r="AA271" s="15"/>
      <c r="AB271" s="15"/>
      <c r="AC271" s="15"/>
      <c r="AD271" s="16"/>
      <c r="AE271" s="64"/>
      <c r="AF271" s="64"/>
      <c r="AG271" s="16"/>
      <c r="AH271" s="16"/>
      <c r="AI271" s="16"/>
      <c r="AJ271" s="15"/>
      <c r="AK271" s="15"/>
      <c r="AL271" s="15"/>
      <c r="AM271" s="15"/>
      <c r="AN271" s="15"/>
      <c r="AO271" s="15"/>
      <c r="AP271" s="3"/>
      <c r="AQ271" s="3"/>
      <c r="AR271" s="3"/>
      <c r="AS271" s="3"/>
      <c r="AT271" s="50"/>
      <c r="AU271" s="50"/>
      <c r="AV271" s="50"/>
      <c r="AW271" s="50"/>
      <c r="AX271" s="50"/>
      <c r="AY271" s="50"/>
      <c r="AZ271" s="17"/>
      <c r="BA271" s="17"/>
      <c r="BB271" s="17"/>
      <c r="BC271" s="17"/>
      <c r="BD271" s="16"/>
      <c r="BE271" s="16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29"/>
      <c r="BW271" s="29"/>
      <c r="BX271" s="29"/>
      <c r="BY271" s="94"/>
      <c r="BZ271" s="94"/>
      <c r="CA271" s="94"/>
      <c r="CB271" s="29"/>
      <c r="CC271" s="29"/>
      <c r="CD271" s="29"/>
      <c r="CE271" s="29"/>
      <c r="CF271" s="3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</row>
    <row r="272" spans="1:114" ht="11.1" customHeight="1" x14ac:dyDescent="0.25">
      <c r="A272" s="3"/>
      <c r="B272" s="3"/>
      <c r="C272" s="3"/>
      <c r="D272" s="3"/>
      <c r="E272" s="3"/>
      <c r="K272" s="14"/>
      <c r="M272" s="14"/>
      <c r="N272" s="14"/>
      <c r="P272" s="3"/>
      <c r="Q272" s="4"/>
      <c r="R272" s="3"/>
      <c r="S272" s="3"/>
      <c r="T272" s="3"/>
      <c r="U272" s="4"/>
      <c r="V272" s="4"/>
      <c r="Z272" s="11"/>
      <c r="AA272" s="15"/>
      <c r="AB272" s="15"/>
      <c r="AC272" s="15"/>
      <c r="AD272" s="16"/>
      <c r="AE272" s="64"/>
      <c r="AF272" s="64"/>
      <c r="AG272" s="16"/>
      <c r="AH272" s="16"/>
      <c r="AI272" s="16"/>
      <c r="AJ272" s="15"/>
      <c r="AK272" s="15"/>
      <c r="AL272" s="15"/>
      <c r="AM272" s="15"/>
      <c r="AN272" s="15"/>
      <c r="AO272" s="15"/>
      <c r="AP272" s="3"/>
      <c r="AQ272" s="3"/>
      <c r="AR272" s="3"/>
      <c r="AS272" s="3"/>
      <c r="AT272" s="50"/>
      <c r="AU272" s="50"/>
      <c r="AV272" s="50"/>
      <c r="AW272" s="50"/>
      <c r="AX272" s="50"/>
      <c r="AY272" s="50"/>
      <c r="AZ272" s="17"/>
      <c r="BA272" s="17"/>
      <c r="BB272" s="17"/>
      <c r="BC272" s="17"/>
      <c r="BD272" s="16"/>
      <c r="BE272" s="16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29"/>
      <c r="BW272" s="29"/>
      <c r="BX272" s="29"/>
      <c r="BY272" s="94"/>
      <c r="BZ272" s="94"/>
      <c r="CA272" s="94"/>
      <c r="CB272" s="29"/>
      <c r="CC272" s="29"/>
      <c r="CD272" s="29"/>
      <c r="CE272" s="29"/>
      <c r="CF272" s="3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</row>
    <row r="273" spans="1:114" ht="11.1" customHeight="1" x14ac:dyDescent="0.25">
      <c r="A273" s="3"/>
      <c r="B273" s="3"/>
      <c r="C273" s="3"/>
      <c r="D273" s="3"/>
      <c r="E273" s="3"/>
      <c r="K273" s="14"/>
      <c r="M273" s="14"/>
      <c r="N273" s="14"/>
      <c r="P273" s="3"/>
      <c r="Q273" s="4"/>
      <c r="R273" s="3"/>
      <c r="S273" s="3"/>
      <c r="T273" s="3"/>
      <c r="U273" s="4"/>
      <c r="V273" s="4"/>
      <c r="Z273" s="11"/>
      <c r="AA273" s="15"/>
      <c r="AB273" s="15"/>
      <c r="AC273" s="15"/>
      <c r="AD273" s="16"/>
      <c r="AE273" s="64"/>
      <c r="AF273" s="64"/>
      <c r="AG273" s="16"/>
      <c r="AH273" s="16"/>
      <c r="AI273" s="16"/>
      <c r="AJ273" s="15"/>
      <c r="AK273" s="15"/>
      <c r="AL273" s="15"/>
      <c r="AM273" s="15"/>
      <c r="AN273" s="15"/>
      <c r="AO273" s="15"/>
      <c r="AP273" s="3"/>
      <c r="AQ273" s="3"/>
      <c r="AR273" s="3"/>
      <c r="AS273" s="3"/>
      <c r="AT273" s="50"/>
      <c r="AU273" s="50"/>
      <c r="AV273" s="50"/>
      <c r="AW273" s="50"/>
      <c r="AX273" s="50"/>
      <c r="AY273" s="50"/>
      <c r="AZ273" s="17"/>
      <c r="BA273" s="17"/>
      <c r="BB273" s="17"/>
      <c r="BC273" s="17"/>
      <c r="BD273" s="16"/>
      <c r="BE273" s="16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29"/>
      <c r="BW273" s="29"/>
      <c r="BX273" s="29"/>
      <c r="BY273" s="94"/>
      <c r="BZ273" s="94"/>
      <c r="CA273" s="94"/>
      <c r="CB273" s="29"/>
      <c r="CC273" s="29"/>
      <c r="CD273" s="29"/>
      <c r="CE273" s="29"/>
      <c r="CF273" s="3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</row>
    <row r="274" spans="1:114" ht="11.1" customHeight="1" x14ac:dyDescent="0.25">
      <c r="A274" s="3"/>
      <c r="B274" s="3"/>
      <c r="C274" s="3"/>
      <c r="D274" s="3"/>
      <c r="E274" s="3"/>
      <c r="K274" s="14"/>
      <c r="M274" s="14"/>
      <c r="N274" s="14"/>
      <c r="P274" s="3"/>
      <c r="Q274" s="4"/>
      <c r="R274" s="3"/>
      <c r="S274" s="3"/>
      <c r="T274" s="3"/>
      <c r="U274" s="4"/>
      <c r="V274" s="4"/>
      <c r="Z274" s="11"/>
      <c r="AA274" s="15"/>
      <c r="AB274" s="15"/>
      <c r="AC274" s="15"/>
      <c r="AD274" s="16"/>
      <c r="AE274" s="64"/>
      <c r="AF274" s="64"/>
      <c r="AG274" s="16"/>
      <c r="AH274" s="16"/>
      <c r="AI274" s="16"/>
      <c r="AJ274" s="15"/>
      <c r="AK274" s="15"/>
      <c r="AL274" s="15"/>
      <c r="AM274" s="15"/>
      <c r="AN274" s="15"/>
      <c r="AO274" s="15"/>
      <c r="AP274" s="3"/>
      <c r="AQ274" s="3"/>
      <c r="AR274" s="3"/>
      <c r="AS274" s="3"/>
      <c r="AT274" s="50"/>
      <c r="AU274" s="50"/>
      <c r="AV274" s="50"/>
      <c r="AW274" s="50"/>
      <c r="AX274" s="50"/>
      <c r="AY274" s="50"/>
      <c r="AZ274" s="17"/>
      <c r="BA274" s="17"/>
      <c r="BB274" s="17"/>
      <c r="BC274" s="17"/>
      <c r="BD274" s="16"/>
      <c r="BE274" s="16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29"/>
      <c r="BW274" s="29"/>
      <c r="BX274" s="29"/>
      <c r="BY274" s="94"/>
      <c r="BZ274" s="94"/>
      <c r="CA274" s="94"/>
      <c r="CB274" s="29"/>
      <c r="CC274" s="29"/>
      <c r="CD274" s="29"/>
      <c r="CE274" s="29"/>
      <c r="CF274" s="3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</row>
    <row r="275" spans="1:114" ht="11.1" customHeight="1" x14ac:dyDescent="0.25">
      <c r="A275" s="3"/>
      <c r="B275" s="3"/>
      <c r="C275" s="3"/>
      <c r="D275" s="3"/>
      <c r="E275" s="3"/>
      <c r="K275" s="14"/>
      <c r="M275" s="14"/>
      <c r="N275" s="14"/>
      <c r="P275" s="3"/>
      <c r="Q275" s="4"/>
      <c r="R275" s="3"/>
      <c r="S275" s="3"/>
      <c r="T275" s="3"/>
      <c r="U275" s="4"/>
      <c r="V275" s="4"/>
      <c r="Z275" s="11"/>
      <c r="AA275" s="15"/>
      <c r="AB275" s="15"/>
      <c r="AC275" s="15"/>
      <c r="AD275" s="16"/>
      <c r="AE275" s="64"/>
      <c r="AF275" s="64"/>
      <c r="AG275" s="16"/>
      <c r="AH275" s="16"/>
      <c r="AI275" s="16"/>
      <c r="AJ275" s="15"/>
      <c r="AK275" s="15"/>
      <c r="AL275" s="15"/>
      <c r="AM275" s="15"/>
      <c r="AN275" s="15"/>
      <c r="AO275" s="15"/>
      <c r="AP275" s="3"/>
      <c r="AQ275" s="3"/>
      <c r="AR275" s="3"/>
      <c r="AS275" s="3"/>
      <c r="AT275" s="50"/>
      <c r="AU275" s="50"/>
      <c r="AV275" s="50"/>
      <c r="AW275" s="50"/>
      <c r="AX275" s="50"/>
      <c r="AY275" s="50"/>
      <c r="AZ275" s="17"/>
      <c r="BA275" s="17"/>
      <c r="BB275" s="17"/>
      <c r="BC275" s="17"/>
      <c r="BD275" s="16"/>
      <c r="BE275" s="16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29"/>
      <c r="BW275" s="29"/>
      <c r="BX275" s="29"/>
      <c r="BY275" s="94"/>
      <c r="BZ275" s="94"/>
      <c r="CA275" s="94"/>
      <c r="CB275" s="29"/>
      <c r="CC275" s="29"/>
      <c r="CD275" s="29"/>
      <c r="CE275" s="29"/>
      <c r="CF275" s="3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</row>
    <row r="276" spans="1:114" ht="11.1" customHeight="1" x14ac:dyDescent="0.25">
      <c r="A276" s="3"/>
      <c r="B276" s="3"/>
      <c r="C276" s="3"/>
      <c r="D276" s="3"/>
      <c r="E276" s="3"/>
      <c r="K276" s="14"/>
      <c r="M276" s="14"/>
      <c r="N276" s="14"/>
      <c r="P276" s="3"/>
      <c r="Q276" s="4"/>
      <c r="R276" s="3"/>
      <c r="S276" s="3"/>
      <c r="T276" s="3"/>
      <c r="U276" s="4"/>
      <c r="V276" s="4"/>
      <c r="Z276" s="11"/>
      <c r="AA276" s="15"/>
      <c r="AB276" s="15"/>
      <c r="AC276" s="15"/>
      <c r="AD276" s="16"/>
      <c r="AE276" s="64"/>
      <c r="AF276" s="64"/>
      <c r="AG276" s="16"/>
      <c r="AH276" s="16"/>
      <c r="AI276" s="16"/>
      <c r="AJ276" s="15"/>
      <c r="AK276" s="15"/>
      <c r="AL276" s="15"/>
      <c r="AM276" s="15"/>
      <c r="AN276" s="15"/>
      <c r="AO276" s="15"/>
      <c r="AP276" s="3"/>
      <c r="AQ276" s="3"/>
      <c r="AR276" s="3"/>
      <c r="AS276" s="3"/>
      <c r="AT276" s="50"/>
      <c r="AU276" s="50"/>
      <c r="AV276" s="50"/>
      <c r="AW276" s="50"/>
      <c r="AX276" s="50"/>
      <c r="AY276" s="50"/>
      <c r="AZ276" s="17"/>
      <c r="BA276" s="17"/>
      <c r="BB276" s="17"/>
      <c r="BC276" s="17"/>
      <c r="BD276" s="16"/>
      <c r="BE276" s="16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29"/>
      <c r="BW276" s="29"/>
      <c r="BX276" s="29"/>
      <c r="BY276" s="94"/>
      <c r="BZ276" s="94"/>
      <c r="CA276" s="94"/>
      <c r="CB276" s="29"/>
      <c r="CC276" s="29"/>
      <c r="CD276" s="29"/>
      <c r="CE276" s="29"/>
      <c r="CF276" s="3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</row>
    <row r="277" spans="1:114" ht="11.1" customHeight="1" x14ac:dyDescent="0.25">
      <c r="A277" s="3"/>
      <c r="B277" s="3"/>
      <c r="C277" s="3"/>
      <c r="D277" s="3"/>
      <c r="E277" s="3"/>
      <c r="K277" s="14"/>
      <c r="M277" s="14"/>
      <c r="N277" s="14"/>
      <c r="P277" s="3"/>
      <c r="Q277" s="4"/>
      <c r="R277" s="3"/>
      <c r="S277" s="3"/>
      <c r="T277" s="3"/>
      <c r="U277" s="4"/>
      <c r="V277" s="4"/>
      <c r="Z277" s="11"/>
      <c r="AA277" s="15"/>
      <c r="AB277" s="15"/>
      <c r="AC277" s="15"/>
      <c r="AD277" s="16"/>
      <c r="AE277" s="64"/>
      <c r="AF277" s="64"/>
      <c r="AG277" s="16"/>
      <c r="AH277" s="16"/>
      <c r="AI277" s="16"/>
      <c r="AJ277" s="15"/>
      <c r="AK277" s="15"/>
      <c r="AL277" s="15"/>
      <c r="AM277" s="15"/>
      <c r="AN277" s="15"/>
      <c r="AO277" s="15"/>
      <c r="AP277" s="3"/>
      <c r="AQ277" s="3"/>
      <c r="AR277" s="3"/>
      <c r="AS277" s="3"/>
      <c r="AT277" s="50"/>
      <c r="AU277" s="50"/>
      <c r="AV277" s="50"/>
      <c r="AW277" s="50"/>
      <c r="AX277" s="50"/>
      <c r="AY277" s="50"/>
      <c r="AZ277" s="17"/>
      <c r="BA277" s="17"/>
      <c r="BB277" s="17"/>
      <c r="BC277" s="17"/>
      <c r="BD277" s="16"/>
      <c r="BE277" s="16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29"/>
      <c r="BW277" s="29"/>
      <c r="BX277" s="29"/>
      <c r="BY277" s="94"/>
      <c r="BZ277" s="94"/>
      <c r="CA277" s="94"/>
      <c r="CB277" s="29"/>
      <c r="CC277" s="29"/>
      <c r="CD277" s="29"/>
      <c r="CE277" s="29"/>
      <c r="CF277" s="3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</row>
    <row r="278" spans="1:114" ht="11.1" customHeight="1" x14ac:dyDescent="0.25">
      <c r="A278" s="3"/>
      <c r="B278" s="3"/>
      <c r="C278" s="3"/>
      <c r="D278" s="3"/>
      <c r="E278" s="3"/>
      <c r="K278" s="14"/>
      <c r="M278" s="14"/>
      <c r="N278" s="14"/>
      <c r="P278" s="3"/>
      <c r="Q278" s="4"/>
      <c r="R278" s="3"/>
      <c r="S278" s="3"/>
      <c r="T278" s="3"/>
      <c r="U278" s="4"/>
      <c r="V278" s="4"/>
      <c r="Z278" s="11"/>
      <c r="AA278" s="15"/>
      <c r="AB278" s="15"/>
      <c r="AC278" s="15"/>
      <c r="AD278" s="16"/>
      <c r="AE278" s="64"/>
      <c r="AF278" s="64"/>
      <c r="AG278" s="16"/>
      <c r="AH278" s="16"/>
      <c r="AI278" s="16"/>
      <c r="AJ278" s="15"/>
      <c r="AK278" s="15"/>
      <c r="AL278" s="15"/>
      <c r="AM278" s="15"/>
      <c r="AN278" s="15"/>
      <c r="AO278" s="15"/>
      <c r="AP278" s="3"/>
      <c r="AQ278" s="3"/>
      <c r="AR278" s="3"/>
      <c r="AS278" s="3"/>
      <c r="AT278" s="50"/>
      <c r="AU278" s="50"/>
      <c r="AV278" s="50"/>
      <c r="AW278" s="50"/>
      <c r="AX278" s="50"/>
      <c r="AY278" s="50"/>
      <c r="AZ278" s="17"/>
      <c r="BA278" s="17"/>
      <c r="BB278" s="17"/>
      <c r="BC278" s="17"/>
      <c r="BD278" s="16"/>
      <c r="BE278" s="16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29"/>
      <c r="BW278" s="29"/>
      <c r="BX278" s="29"/>
      <c r="BY278" s="94"/>
      <c r="BZ278" s="94"/>
      <c r="CA278" s="94"/>
      <c r="CB278" s="29"/>
      <c r="CC278" s="29"/>
      <c r="CD278" s="29"/>
      <c r="CE278" s="29"/>
      <c r="CF278" s="3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</row>
    <row r="279" spans="1:114" ht="11.1" customHeight="1" x14ac:dyDescent="0.25">
      <c r="A279" s="3"/>
      <c r="B279" s="3"/>
      <c r="C279" s="3"/>
      <c r="D279" s="3"/>
      <c r="E279" s="3"/>
      <c r="K279" s="14"/>
      <c r="M279" s="14"/>
      <c r="N279" s="14"/>
      <c r="P279" s="3"/>
      <c r="Q279" s="4"/>
      <c r="R279" s="3"/>
      <c r="S279" s="3"/>
      <c r="T279" s="3"/>
      <c r="U279" s="4"/>
      <c r="V279" s="4"/>
      <c r="Z279" s="11"/>
      <c r="AA279" s="15"/>
      <c r="AB279" s="15"/>
      <c r="AC279" s="15"/>
      <c r="AD279" s="16"/>
      <c r="AE279" s="64"/>
      <c r="AF279" s="64"/>
      <c r="AG279" s="16"/>
      <c r="AH279" s="16"/>
      <c r="AI279" s="16"/>
      <c r="AJ279" s="15"/>
      <c r="AK279" s="15"/>
      <c r="AL279" s="15"/>
      <c r="AM279" s="15"/>
      <c r="AN279" s="15"/>
      <c r="AO279" s="15"/>
      <c r="AP279" s="3"/>
      <c r="AQ279" s="3"/>
      <c r="AR279" s="3"/>
      <c r="AS279" s="3"/>
      <c r="AT279" s="50"/>
      <c r="AU279" s="50"/>
      <c r="AV279" s="50"/>
      <c r="AW279" s="50"/>
      <c r="AX279" s="50"/>
      <c r="AY279" s="50"/>
      <c r="AZ279" s="17"/>
      <c r="BA279" s="17"/>
      <c r="BB279" s="17"/>
      <c r="BC279" s="17"/>
      <c r="BD279" s="16"/>
      <c r="BE279" s="16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29"/>
      <c r="BW279" s="29"/>
      <c r="BX279" s="29"/>
      <c r="BY279" s="94"/>
      <c r="BZ279" s="94"/>
      <c r="CA279" s="94"/>
      <c r="CB279" s="29"/>
      <c r="CC279" s="29"/>
      <c r="CD279" s="29"/>
      <c r="CE279" s="29"/>
      <c r="CF279" s="3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</row>
    <row r="280" spans="1:114" ht="11.1" customHeight="1" x14ac:dyDescent="0.25">
      <c r="A280" s="3"/>
      <c r="B280" s="3"/>
      <c r="C280" s="3"/>
      <c r="D280" s="3"/>
      <c r="E280" s="3"/>
      <c r="K280" s="14"/>
      <c r="M280" s="14"/>
      <c r="N280" s="14"/>
      <c r="P280" s="3"/>
      <c r="Q280" s="4"/>
      <c r="R280" s="3"/>
      <c r="S280" s="3"/>
      <c r="T280" s="3"/>
      <c r="U280" s="4"/>
      <c r="V280" s="4"/>
      <c r="Z280" s="11"/>
      <c r="AA280" s="15"/>
      <c r="AB280" s="15"/>
      <c r="AC280" s="15"/>
      <c r="AD280" s="16"/>
      <c r="AE280" s="64"/>
      <c r="AF280" s="64"/>
      <c r="AG280" s="16"/>
      <c r="AH280" s="16"/>
      <c r="AI280" s="16"/>
      <c r="AJ280" s="15"/>
      <c r="AK280" s="15"/>
      <c r="AL280" s="15"/>
      <c r="AM280" s="15"/>
      <c r="AN280" s="15"/>
      <c r="AO280" s="15"/>
      <c r="AP280" s="3"/>
      <c r="AQ280" s="3"/>
      <c r="AR280" s="3"/>
      <c r="AS280" s="3"/>
      <c r="AT280" s="50"/>
      <c r="AU280" s="50"/>
      <c r="AV280" s="50"/>
      <c r="AW280" s="50"/>
      <c r="AX280" s="50"/>
      <c r="AY280" s="50"/>
      <c r="AZ280" s="17"/>
      <c r="BA280" s="17"/>
      <c r="BB280" s="17"/>
      <c r="BC280" s="17"/>
      <c r="BD280" s="16"/>
      <c r="BE280" s="16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29"/>
      <c r="BW280" s="29"/>
      <c r="BX280" s="29"/>
      <c r="BY280" s="94"/>
      <c r="BZ280" s="94"/>
      <c r="CA280" s="94"/>
      <c r="CB280" s="29"/>
      <c r="CC280" s="29"/>
      <c r="CD280" s="29"/>
      <c r="CE280" s="29"/>
      <c r="CF280" s="3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</row>
    <row r="281" spans="1:114" ht="11.1" customHeight="1" x14ac:dyDescent="0.25">
      <c r="A281" s="3"/>
      <c r="B281" s="3"/>
      <c r="C281" s="3"/>
      <c r="D281" s="3"/>
      <c r="E281" s="3"/>
      <c r="K281" s="14"/>
      <c r="M281" s="14"/>
      <c r="N281" s="14"/>
      <c r="P281" s="3"/>
      <c r="Q281" s="4"/>
      <c r="R281" s="3"/>
      <c r="S281" s="3"/>
      <c r="T281" s="3"/>
      <c r="U281" s="4"/>
      <c r="V281" s="4"/>
      <c r="Z281" s="11"/>
      <c r="AA281" s="15"/>
      <c r="AB281" s="15"/>
      <c r="AC281" s="15"/>
      <c r="AD281" s="16"/>
      <c r="AE281" s="64"/>
      <c r="AF281" s="64"/>
      <c r="AG281" s="16"/>
      <c r="AH281" s="16"/>
      <c r="AI281" s="16"/>
      <c r="AJ281" s="15"/>
      <c r="AK281" s="15"/>
      <c r="AL281" s="15"/>
      <c r="AM281" s="15"/>
      <c r="AN281" s="15"/>
      <c r="AO281" s="15"/>
      <c r="AP281" s="3"/>
      <c r="AQ281" s="3"/>
      <c r="AR281" s="3"/>
      <c r="AS281" s="3"/>
      <c r="AT281" s="50"/>
      <c r="AU281" s="50"/>
      <c r="AV281" s="50"/>
      <c r="AW281" s="50"/>
      <c r="AX281" s="50"/>
      <c r="AY281" s="50"/>
      <c r="AZ281" s="17"/>
      <c r="BA281" s="17"/>
      <c r="BB281" s="17"/>
      <c r="BC281" s="17"/>
      <c r="BD281" s="16"/>
      <c r="BE281" s="16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29"/>
      <c r="BW281" s="29"/>
      <c r="BX281" s="29"/>
      <c r="BY281" s="94"/>
      <c r="BZ281" s="94"/>
      <c r="CA281" s="94"/>
      <c r="CB281" s="29"/>
      <c r="CC281" s="29"/>
      <c r="CD281" s="29"/>
      <c r="CE281" s="29"/>
      <c r="CF281" s="3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</row>
    <row r="282" spans="1:114" ht="11.1" customHeight="1" x14ac:dyDescent="0.25">
      <c r="A282" s="3"/>
      <c r="B282" s="3"/>
      <c r="C282" s="3"/>
      <c r="D282" s="3"/>
      <c r="E282" s="3"/>
      <c r="K282" s="14"/>
      <c r="M282" s="14"/>
      <c r="N282" s="14"/>
      <c r="P282" s="3"/>
      <c r="Q282" s="4"/>
      <c r="R282" s="3"/>
      <c r="S282" s="3"/>
      <c r="T282" s="3"/>
      <c r="U282" s="4"/>
      <c r="V282" s="4"/>
      <c r="Z282" s="11"/>
      <c r="AA282" s="15"/>
      <c r="AB282" s="15"/>
      <c r="AC282" s="15"/>
      <c r="AD282" s="16"/>
      <c r="AE282" s="64"/>
      <c r="AF282" s="64"/>
      <c r="AG282" s="16"/>
      <c r="AH282" s="16"/>
      <c r="AI282" s="16"/>
      <c r="AJ282" s="15"/>
      <c r="AK282" s="15"/>
      <c r="AL282" s="15"/>
      <c r="AM282" s="15"/>
      <c r="AN282" s="15"/>
      <c r="AO282" s="15"/>
      <c r="AP282" s="3"/>
      <c r="AQ282" s="3"/>
      <c r="AR282" s="3"/>
      <c r="AS282" s="3"/>
      <c r="AT282" s="50"/>
      <c r="AU282" s="50"/>
      <c r="AV282" s="50"/>
      <c r="AW282" s="50"/>
      <c r="AX282" s="50"/>
      <c r="AY282" s="50"/>
      <c r="AZ282" s="17"/>
      <c r="BA282" s="17"/>
      <c r="BB282" s="17"/>
      <c r="BC282" s="17"/>
      <c r="BD282" s="16"/>
      <c r="BE282" s="16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29"/>
      <c r="BW282" s="29"/>
      <c r="BX282" s="29"/>
      <c r="BY282" s="94"/>
      <c r="BZ282" s="94"/>
      <c r="CA282" s="94"/>
      <c r="CB282" s="29"/>
      <c r="CC282" s="29"/>
      <c r="CD282" s="29"/>
      <c r="CE282" s="29"/>
      <c r="CF282" s="3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</row>
    <row r="283" spans="1:114" ht="11.1" customHeight="1" x14ac:dyDescent="0.25">
      <c r="A283" s="3"/>
      <c r="B283" s="3"/>
      <c r="C283" s="3"/>
      <c r="D283" s="3"/>
      <c r="E283" s="3"/>
      <c r="K283" s="14"/>
      <c r="M283" s="14"/>
      <c r="N283" s="14"/>
      <c r="P283" s="3"/>
      <c r="Q283" s="4"/>
      <c r="R283" s="3"/>
      <c r="S283" s="3"/>
      <c r="T283" s="3"/>
      <c r="U283" s="4"/>
      <c r="V283" s="4"/>
      <c r="Z283" s="11"/>
      <c r="AA283" s="15"/>
      <c r="AB283" s="15"/>
      <c r="AC283" s="15"/>
      <c r="AD283" s="16"/>
      <c r="AE283" s="64"/>
      <c r="AF283" s="64"/>
      <c r="AG283" s="16"/>
      <c r="AH283" s="16"/>
      <c r="AI283" s="16"/>
      <c r="AJ283" s="15"/>
      <c r="AK283" s="15"/>
      <c r="AL283" s="15"/>
      <c r="AM283" s="15"/>
      <c r="AN283" s="15"/>
      <c r="AO283" s="15"/>
      <c r="AP283" s="3"/>
      <c r="AQ283" s="3"/>
      <c r="AR283" s="3"/>
      <c r="AS283" s="3"/>
      <c r="AT283" s="50"/>
      <c r="AU283" s="50"/>
      <c r="AV283" s="50"/>
      <c r="AW283" s="50"/>
      <c r="AX283" s="50"/>
      <c r="AY283" s="50"/>
      <c r="AZ283" s="17"/>
      <c r="BA283" s="17"/>
      <c r="BB283" s="17"/>
      <c r="BC283" s="17"/>
      <c r="BD283" s="16"/>
      <c r="BE283" s="16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29"/>
      <c r="BW283" s="29"/>
      <c r="BX283" s="29"/>
      <c r="BY283" s="94"/>
      <c r="BZ283" s="94"/>
      <c r="CA283" s="94"/>
      <c r="CB283" s="29"/>
      <c r="CC283" s="29"/>
      <c r="CD283" s="29"/>
      <c r="CE283" s="29"/>
      <c r="CF283" s="3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</row>
    <row r="284" spans="1:114" ht="11.1" customHeight="1" x14ac:dyDescent="0.25">
      <c r="A284" s="3"/>
      <c r="B284" s="3"/>
      <c r="C284" s="3"/>
      <c r="D284" s="3"/>
      <c r="E284" s="3"/>
      <c r="K284" s="14"/>
      <c r="M284" s="14"/>
      <c r="N284" s="14"/>
      <c r="P284" s="3"/>
      <c r="Q284" s="4"/>
      <c r="R284" s="3"/>
      <c r="S284" s="3"/>
      <c r="T284" s="3"/>
      <c r="U284" s="4"/>
      <c r="V284" s="4"/>
      <c r="Z284" s="11"/>
      <c r="AA284" s="15"/>
      <c r="AB284" s="15"/>
      <c r="AC284" s="15"/>
      <c r="AD284" s="16"/>
      <c r="AE284" s="64"/>
      <c r="AF284" s="64"/>
      <c r="AG284" s="16"/>
      <c r="AH284" s="16"/>
      <c r="AI284" s="16"/>
      <c r="AJ284" s="15"/>
      <c r="AK284" s="15"/>
      <c r="AL284" s="15"/>
      <c r="AM284" s="15"/>
      <c r="AN284" s="15"/>
      <c r="AO284" s="15"/>
      <c r="AP284" s="3"/>
      <c r="AQ284" s="3"/>
      <c r="AR284" s="3"/>
      <c r="AS284" s="3"/>
      <c r="AT284" s="50"/>
      <c r="AU284" s="50"/>
      <c r="AV284" s="50"/>
      <c r="AW284" s="50"/>
      <c r="AX284" s="50"/>
      <c r="AY284" s="50"/>
      <c r="AZ284" s="17"/>
      <c r="BA284" s="17"/>
      <c r="BB284" s="17"/>
      <c r="BC284" s="17"/>
      <c r="BD284" s="16"/>
      <c r="BE284" s="16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29"/>
      <c r="BW284" s="29"/>
      <c r="BX284" s="29"/>
      <c r="BY284" s="94"/>
      <c r="BZ284" s="94"/>
      <c r="CA284" s="94"/>
      <c r="CB284" s="29"/>
      <c r="CC284" s="29"/>
      <c r="CD284" s="29"/>
      <c r="CE284" s="29"/>
      <c r="CF284" s="3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</row>
    <row r="285" spans="1:114" ht="11.1" customHeight="1" x14ac:dyDescent="0.25">
      <c r="A285" s="3"/>
      <c r="B285" s="3"/>
      <c r="C285" s="3"/>
      <c r="D285" s="3"/>
      <c r="E285" s="3"/>
      <c r="K285" s="14"/>
      <c r="M285" s="14"/>
      <c r="N285" s="14"/>
      <c r="P285" s="3"/>
      <c r="Q285" s="4"/>
      <c r="R285" s="3"/>
      <c r="S285" s="3"/>
      <c r="T285" s="3"/>
      <c r="U285" s="4"/>
      <c r="V285" s="4"/>
      <c r="Z285" s="11"/>
      <c r="AA285" s="15"/>
      <c r="AB285" s="15"/>
      <c r="AC285" s="15"/>
      <c r="AD285" s="16"/>
      <c r="AE285" s="64"/>
      <c r="AF285" s="64"/>
      <c r="AG285" s="16"/>
      <c r="AH285" s="16"/>
      <c r="AI285" s="16"/>
      <c r="AJ285" s="15"/>
      <c r="AK285" s="15"/>
      <c r="AL285" s="15"/>
      <c r="AM285" s="15"/>
      <c r="AN285" s="15"/>
      <c r="AO285" s="15"/>
      <c r="AP285" s="3"/>
      <c r="AQ285" s="3"/>
      <c r="AR285" s="3"/>
      <c r="AS285" s="3"/>
      <c r="AT285" s="50"/>
      <c r="AU285" s="50"/>
      <c r="AV285" s="50"/>
      <c r="AW285" s="50"/>
      <c r="AX285" s="50"/>
      <c r="AY285" s="50"/>
      <c r="AZ285" s="17"/>
      <c r="BA285" s="17"/>
      <c r="BB285" s="17"/>
      <c r="BC285" s="17"/>
      <c r="BD285" s="16"/>
      <c r="BE285" s="16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29"/>
      <c r="BW285" s="29"/>
      <c r="BX285" s="29"/>
      <c r="BY285" s="94"/>
      <c r="BZ285" s="94"/>
      <c r="CA285" s="94"/>
      <c r="CB285" s="29"/>
      <c r="CC285" s="29"/>
      <c r="CD285" s="29"/>
      <c r="CE285" s="29"/>
      <c r="CF285" s="3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</row>
    <row r="286" spans="1:114" ht="11.1" customHeight="1" x14ac:dyDescent="0.25">
      <c r="A286" s="3"/>
      <c r="B286" s="3"/>
      <c r="C286" s="3"/>
      <c r="D286" s="3"/>
      <c r="E286" s="3"/>
      <c r="K286" s="14"/>
      <c r="M286" s="14"/>
      <c r="N286" s="14"/>
      <c r="P286" s="3"/>
      <c r="Q286" s="4"/>
      <c r="R286" s="3"/>
      <c r="S286" s="3"/>
      <c r="T286" s="3"/>
      <c r="U286" s="4"/>
      <c r="V286" s="4"/>
      <c r="Z286" s="11"/>
      <c r="AA286" s="15"/>
      <c r="AB286" s="15"/>
      <c r="AC286" s="15"/>
      <c r="AD286" s="16"/>
      <c r="AE286" s="64"/>
      <c r="AF286" s="64"/>
      <c r="AG286" s="16"/>
      <c r="AH286" s="16"/>
      <c r="AI286" s="16"/>
      <c r="AJ286" s="15"/>
      <c r="AK286" s="15"/>
      <c r="AL286" s="15"/>
      <c r="AM286" s="15"/>
      <c r="AN286" s="15"/>
      <c r="AO286" s="15"/>
      <c r="AP286" s="3"/>
      <c r="AQ286" s="3"/>
      <c r="AR286" s="3"/>
      <c r="AS286" s="3"/>
      <c r="AT286" s="50"/>
      <c r="AU286" s="50"/>
      <c r="AV286" s="50"/>
      <c r="AW286" s="50"/>
      <c r="AX286" s="50"/>
      <c r="AY286" s="50"/>
      <c r="AZ286" s="17"/>
      <c r="BA286" s="17"/>
      <c r="BB286" s="17"/>
      <c r="BC286" s="17"/>
      <c r="BD286" s="16"/>
      <c r="BE286" s="16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29"/>
      <c r="BW286" s="29"/>
      <c r="BX286" s="29"/>
      <c r="BY286" s="94"/>
      <c r="BZ286" s="94"/>
      <c r="CA286" s="94"/>
      <c r="CB286" s="29"/>
      <c r="CC286" s="29"/>
      <c r="CD286" s="29"/>
      <c r="CE286" s="29"/>
      <c r="CF286" s="3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</row>
    <row r="287" spans="1:114" ht="11.1" customHeight="1" x14ac:dyDescent="0.25">
      <c r="A287" s="3"/>
      <c r="B287" s="3"/>
      <c r="C287" s="3"/>
      <c r="D287" s="3"/>
      <c r="E287" s="3"/>
      <c r="K287" s="14"/>
      <c r="M287" s="14"/>
      <c r="N287" s="14"/>
      <c r="P287" s="3"/>
      <c r="Q287" s="4"/>
      <c r="R287" s="3"/>
      <c r="S287" s="3"/>
      <c r="T287" s="3"/>
      <c r="U287" s="4"/>
      <c r="V287" s="4"/>
      <c r="Z287" s="11"/>
      <c r="AA287" s="15"/>
      <c r="AB287" s="15"/>
      <c r="AC287" s="15"/>
      <c r="AD287" s="16"/>
      <c r="AE287" s="64"/>
      <c r="AF287" s="64"/>
      <c r="AG287" s="16"/>
      <c r="AH287" s="16"/>
      <c r="AI287" s="16"/>
      <c r="AJ287" s="15"/>
      <c r="AK287" s="15"/>
      <c r="AL287" s="15"/>
      <c r="AM287" s="15"/>
      <c r="AN287" s="15"/>
      <c r="AO287" s="15"/>
      <c r="AP287" s="3"/>
      <c r="AQ287" s="3"/>
      <c r="AR287" s="3"/>
      <c r="AS287" s="3"/>
      <c r="AT287" s="50"/>
      <c r="AU287" s="50"/>
      <c r="AV287" s="50"/>
      <c r="AW287" s="50"/>
      <c r="AX287" s="50"/>
      <c r="AY287" s="50"/>
      <c r="AZ287" s="17"/>
      <c r="BA287" s="17"/>
      <c r="BB287" s="17"/>
      <c r="BC287" s="17"/>
      <c r="BD287" s="16"/>
      <c r="BE287" s="16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29"/>
      <c r="BW287" s="29"/>
      <c r="BX287" s="29"/>
      <c r="BY287" s="94"/>
      <c r="BZ287" s="94"/>
      <c r="CA287" s="94"/>
      <c r="CB287" s="29"/>
      <c r="CC287" s="29"/>
      <c r="CD287" s="29"/>
      <c r="CE287" s="29"/>
      <c r="CF287" s="3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</row>
    <row r="288" spans="1:114" ht="11.1" customHeight="1" x14ac:dyDescent="0.25">
      <c r="A288" s="3"/>
      <c r="B288" s="3"/>
      <c r="C288" s="3"/>
      <c r="D288" s="3"/>
      <c r="E288" s="3"/>
      <c r="K288" s="14"/>
      <c r="M288" s="14"/>
      <c r="N288" s="14"/>
      <c r="P288" s="3"/>
      <c r="Q288" s="4"/>
      <c r="R288" s="3"/>
      <c r="S288" s="3"/>
      <c r="T288" s="3"/>
      <c r="U288" s="4"/>
      <c r="V288" s="4"/>
      <c r="Z288" s="11"/>
      <c r="AA288" s="15"/>
      <c r="AB288" s="15"/>
      <c r="AC288" s="15"/>
      <c r="AD288" s="16"/>
      <c r="AE288" s="64"/>
      <c r="AF288" s="64"/>
      <c r="AG288" s="16"/>
      <c r="AH288" s="16"/>
      <c r="AI288" s="16"/>
      <c r="AJ288" s="15"/>
      <c r="AK288" s="15"/>
      <c r="AL288" s="15"/>
      <c r="AM288" s="15"/>
      <c r="AN288" s="15"/>
      <c r="AO288" s="15"/>
      <c r="AP288" s="3"/>
      <c r="AQ288" s="3"/>
      <c r="AR288" s="3"/>
      <c r="AS288" s="3"/>
      <c r="AT288" s="50"/>
      <c r="AU288" s="50"/>
      <c r="AV288" s="50"/>
      <c r="AW288" s="50"/>
      <c r="AX288" s="50"/>
      <c r="AY288" s="50"/>
      <c r="AZ288" s="17"/>
      <c r="BA288" s="17"/>
      <c r="BB288" s="17"/>
      <c r="BC288" s="17"/>
      <c r="BD288" s="16"/>
      <c r="BE288" s="16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29"/>
      <c r="BW288" s="29"/>
      <c r="BX288" s="29"/>
      <c r="BY288" s="94"/>
      <c r="BZ288" s="94"/>
      <c r="CA288" s="94"/>
      <c r="CB288" s="29"/>
      <c r="CC288" s="29"/>
      <c r="CD288" s="29"/>
      <c r="CE288" s="29"/>
      <c r="CF288" s="3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</row>
    <row r="289" spans="1:114" ht="11.1" customHeight="1" x14ac:dyDescent="0.25">
      <c r="A289" s="3"/>
      <c r="B289" s="3"/>
      <c r="C289" s="3"/>
      <c r="D289" s="3"/>
      <c r="E289" s="3"/>
      <c r="K289" s="14"/>
      <c r="M289" s="14"/>
      <c r="N289" s="14"/>
      <c r="P289" s="3"/>
      <c r="Q289" s="4"/>
      <c r="R289" s="3"/>
      <c r="S289" s="3"/>
      <c r="T289" s="3"/>
      <c r="U289" s="4"/>
      <c r="V289" s="4"/>
      <c r="Z289" s="11"/>
      <c r="AA289" s="15"/>
      <c r="AB289" s="15"/>
      <c r="AC289" s="15"/>
      <c r="AD289" s="16"/>
      <c r="AE289" s="64"/>
      <c r="AF289" s="64"/>
      <c r="AG289" s="16"/>
      <c r="AH289" s="16"/>
      <c r="AI289" s="16"/>
      <c r="AJ289" s="15"/>
      <c r="AK289" s="15"/>
      <c r="AL289" s="15"/>
      <c r="AM289" s="15"/>
      <c r="AN289" s="15"/>
      <c r="AO289" s="15"/>
      <c r="AP289" s="3"/>
      <c r="AQ289" s="3"/>
      <c r="AR289" s="3"/>
      <c r="AS289" s="3"/>
      <c r="AT289" s="50"/>
      <c r="AU289" s="50"/>
      <c r="AV289" s="50"/>
      <c r="AW289" s="50"/>
      <c r="AX289" s="50"/>
      <c r="AY289" s="50"/>
      <c r="AZ289" s="17"/>
      <c r="BA289" s="17"/>
      <c r="BB289" s="17"/>
      <c r="BC289" s="17"/>
      <c r="BD289" s="16"/>
      <c r="BE289" s="16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29"/>
      <c r="BW289" s="29"/>
      <c r="BX289" s="29"/>
      <c r="BY289" s="94"/>
      <c r="BZ289" s="94"/>
      <c r="CA289" s="94"/>
      <c r="CB289" s="29"/>
      <c r="CC289" s="29"/>
      <c r="CD289" s="29"/>
      <c r="CE289" s="29"/>
      <c r="CF289" s="3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</row>
    <row r="290" spans="1:114" ht="11.1" customHeight="1" x14ac:dyDescent="0.25">
      <c r="A290" s="3"/>
      <c r="B290" s="3"/>
      <c r="C290" s="3"/>
      <c r="D290" s="3"/>
      <c r="E290" s="3"/>
      <c r="K290" s="14"/>
      <c r="M290" s="14"/>
      <c r="N290" s="14"/>
      <c r="P290" s="3"/>
      <c r="Q290" s="4"/>
      <c r="R290" s="3"/>
      <c r="S290" s="3"/>
      <c r="T290" s="3"/>
      <c r="U290" s="4"/>
      <c r="V290" s="4"/>
      <c r="Z290" s="11"/>
      <c r="AA290" s="15"/>
      <c r="AB290" s="15"/>
      <c r="AC290" s="15"/>
      <c r="AD290" s="16"/>
      <c r="AE290" s="64"/>
      <c r="AF290" s="64"/>
      <c r="AG290" s="16"/>
      <c r="AH290" s="16"/>
      <c r="AI290" s="16"/>
      <c r="AJ290" s="15"/>
      <c r="AK290" s="15"/>
      <c r="AL290" s="15"/>
      <c r="AM290" s="15"/>
      <c r="AN290" s="15"/>
      <c r="AO290" s="15"/>
      <c r="AP290" s="3"/>
      <c r="AQ290" s="3"/>
      <c r="AR290" s="3"/>
      <c r="AS290" s="3"/>
      <c r="AT290" s="50"/>
      <c r="AU290" s="50"/>
      <c r="AV290" s="50"/>
      <c r="AW290" s="50"/>
      <c r="AX290" s="50"/>
      <c r="AY290" s="50"/>
      <c r="AZ290" s="17"/>
      <c r="BA290" s="17"/>
      <c r="BB290" s="17"/>
      <c r="BC290" s="17"/>
      <c r="BD290" s="16"/>
      <c r="BE290" s="16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29"/>
      <c r="BW290" s="29"/>
      <c r="BX290" s="29"/>
      <c r="BY290" s="94"/>
      <c r="BZ290" s="94"/>
      <c r="CA290" s="94"/>
      <c r="CB290" s="29"/>
      <c r="CC290" s="29"/>
      <c r="CD290" s="29"/>
      <c r="CE290" s="29"/>
      <c r="CF290" s="3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</row>
    <row r="291" spans="1:114" ht="11.1" customHeight="1" x14ac:dyDescent="0.25">
      <c r="A291" s="3"/>
      <c r="B291" s="3"/>
      <c r="C291" s="3"/>
      <c r="D291" s="3"/>
      <c r="E291" s="3"/>
      <c r="K291" s="14"/>
      <c r="M291" s="14"/>
      <c r="N291" s="14"/>
      <c r="P291" s="3"/>
      <c r="Q291" s="4"/>
      <c r="R291" s="3"/>
      <c r="S291" s="3"/>
      <c r="T291" s="3"/>
      <c r="U291" s="4"/>
      <c r="V291" s="4"/>
      <c r="Z291" s="11"/>
      <c r="AA291" s="15"/>
      <c r="AB291" s="15"/>
      <c r="AC291" s="15"/>
      <c r="AD291" s="16"/>
      <c r="AE291" s="64"/>
      <c r="AF291" s="64"/>
      <c r="AG291" s="16"/>
      <c r="AH291" s="16"/>
      <c r="AI291" s="16"/>
      <c r="AJ291" s="15"/>
      <c r="AK291" s="15"/>
      <c r="AL291" s="15"/>
      <c r="AM291" s="15"/>
      <c r="AN291" s="15"/>
      <c r="AO291" s="15"/>
      <c r="AP291" s="3"/>
      <c r="AQ291" s="3"/>
      <c r="AR291" s="3"/>
      <c r="AS291" s="3"/>
      <c r="AT291" s="50"/>
      <c r="AU291" s="50"/>
      <c r="AV291" s="50"/>
      <c r="AW291" s="50"/>
      <c r="AX291" s="50"/>
      <c r="AY291" s="50"/>
      <c r="AZ291" s="17"/>
      <c r="BA291" s="17"/>
      <c r="BB291" s="17"/>
      <c r="BC291" s="17"/>
      <c r="BD291" s="16"/>
      <c r="BE291" s="16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29"/>
      <c r="BW291" s="29"/>
      <c r="BX291" s="29"/>
      <c r="BY291" s="94"/>
      <c r="BZ291" s="94"/>
      <c r="CA291" s="94"/>
      <c r="CB291" s="29"/>
      <c r="CC291" s="29"/>
      <c r="CD291" s="29"/>
      <c r="CE291" s="29"/>
      <c r="CF291" s="3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</row>
    <row r="292" spans="1:114" ht="11.1" customHeight="1" x14ac:dyDescent="0.25">
      <c r="A292" s="3"/>
      <c r="B292" s="3"/>
      <c r="C292" s="3"/>
      <c r="D292" s="3"/>
      <c r="E292" s="3"/>
      <c r="K292" s="14"/>
      <c r="M292" s="14"/>
      <c r="N292" s="14"/>
      <c r="P292" s="3"/>
      <c r="Q292" s="4"/>
      <c r="R292" s="3"/>
      <c r="S292" s="3"/>
      <c r="T292" s="3"/>
      <c r="U292" s="4"/>
      <c r="V292" s="4"/>
      <c r="Z292" s="11"/>
      <c r="AA292" s="15"/>
      <c r="AB292" s="15"/>
      <c r="AC292" s="15"/>
      <c r="AD292" s="16"/>
      <c r="AE292" s="64"/>
      <c r="AF292" s="64"/>
      <c r="AG292" s="16"/>
      <c r="AH292" s="16"/>
      <c r="AI292" s="16"/>
      <c r="AJ292" s="15"/>
      <c r="AK292" s="15"/>
      <c r="AL292" s="15"/>
      <c r="AM292" s="15"/>
      <c r="AN292" s="15"/>
      <c r="AO292" s="15"/>
      <c r="AP292" s="3"/>
      <c r="AQ292" s="3"/>
      <c r="AR292" s="3"/>
      <c r="AS292" s="3"/>
      <c r="AT292" s="50"/>
      <c r="AU292" s="50"/>
      <c r="AV292" s="50"/>
      <c r="AW292" s="50"/>
      <c r="AX292" s="50"/>
      <c r="AY292" s="50"/>
      <c r="AZ292" s="17"/>
      <c r="BA292" s="17"/>
      <c r="BB292" s="17"/>
      <c r="BC292" s="17"/>
      <c r="BD292" s="16"/>
      <c r="BE292" s="16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29"/>
      <c r="BW292" s="29"/>
      <c r="BX292" s="29"/>
      <c r="BY292" s="94"/>
      <c r="BZ292" s="94"/>
      <c r="CA292" s="94"/>
      <c r="CB292" s="29"/>
      <c r="CC292" s="29"/>
      <c r="CD292" s="29"/>
      <c r="CE292" s="29"/>
      <c r="CF292" s="3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</row>
    <row r="293" spans="1:114" ht="11.1" customHeight="1" x14ac:dyDescent="0.25">
      <c r="A293" s="3"/>
      <c r="B293" s="3"/>
      <c r="C293" s="3"/>
      <c r="D293" s="3"/>
      <c r="E293" s="3"/>
      <c r="K293" s="14"/>
      <c r="M293" s="14"/>
      <c r="N293" s="14"/>
      <c r="P293" s="3"/>
      <c r="Q293" s="4"/>
      <c r="R293" s="3"/>
      <c r="S293" s="3"/>
      <c r="T293" s="3"/>
      <c r="U293" s="4"/>
      <c r="V293" s="4"/>
      <c r="Z293" s="11"/>
      <c r="AA293" s="15"/>
      <c r="AB293" s="15"/>
      <c r="AC293" s="15"/>
      <c r="AD293" s="16"/>
      <c r="AE293" s="64"/>
      <c r="AF293" s="64"/>
      <c r="AG293" s="16"/>
      <c r="AH293" s="16"/>
      <c r="AI293" s="16"/>
      <c r="AJ293" s="15"/>
      <c r="AK293" s="15"/>
      <c r="AL293" s="15"/>
      <c r="AM293" s="15"/>
      <c r="AN293" s="15"/>
      <c r="AO293" s="15"/>
      <c r="AP293" s="3"/>
      <c r="AQ293" s="3"/>
      <c r="AR293" s="3"/>
      <c r="AS293" s="3"/>
      <c r="AT293" s="50"/>
      <c r="AU293" s="50"/>
      <c r="AV293" s="50"/>
      <c r="AW293" s="50"/>
      <c r="AX293" s="50"/>
      <c r="AY293" s="50"/>
      <c r="AZ293" s="17"/>
      <c r="BA293" s="17"/>
      <c r="BB293" s="17"/>
      <c r="BC293" s="17"/>
      <c r="BD293" s="16"/>
      <c r="BE293" s="16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29"/>
      <c r="BW293" s="29"/>
      <c r="BX293" s="29"/>
      <c r="BY293" s="94"/>
      <c r="BZ293" s="94"/>
      <c r="CA293" s="94"/>
      <c r="CB293" s="29"/>
      <c r="CC293" s="29"/>
      <c r="CD293" s="29"/>
      <c r="CE293" s="29"/>
      <c r="CF293" s="3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</row>
    <row r="294" spans="1:114" ht="11.1" customHeight="1" x14ac:dyDescent="0.25">
      <c r="A294" s="3"/>
      <c r="B294" s="3"/>
      <c r="C294" s="3"/>
      <c r="D294" s="3"/>
      <c r="E294" s="3"/>
      <c r="K294" s="14"/>
      <c r="M294" s="14"/>
      <c r="N294" s="14"/>
      <c r="P294" s="3"/>
      <c r="Q294" s="4"/>
      <c r="R294" s="3"/>
      <c r="S294" s="3"/>
      <c r="T294" s="3"/>
      <c r="U294" s="4"/>
      <c r="V294" s="4"/>
      <c r="Z294" s="11"/>
      <c r="AA294" s="15"/>
      <c r="AB294" s="15"/>
      <c r="AC294" s="15"/>
      <c r="AD294" s="16"/>
      <c r="AE294" s="64"/>
      <c r="AF294" s="64"/>
      <c r="AG294" s="16"/>
      <c r="AH294" s="16"/>
      <c r="AI294" s="16"/>
      <c r="AJ294" s="15"/>
      <c r="AK294" s="15"/>
      <c r="AL294" s="15"/>
      <c r="AM294" s="15"/>
      <c r="AN294" s="15"/>
      <c r="AO294" s="15"/>
      <c r="AP294" s="3"/>
      <c r="AQ294" s="3"/>
      <c r="AR294" s="3"/>
      <c r="AS294" s="3"/>
      <c r="AT294" s="50"/>
      <c r="AU294" s="50"/>
      <c r="AV294" s="50"/>
      <c r="AW294" s="50"/>
      <c r="AX294" s="50"/>
      <c r="AY294" s="50"/>
      <c r="AZ294" s="17"/>
      <c r="BA294" s="17"/>
      <c r="BB294" s="17"/>
      <c r="BC294" s="17"/>
      <c r="BD294" s="16"/>
      <c r="BE294" s="16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29"/>
      <c r="BW294" s="29"/>
      <c r="BX294" s="29"/>
      <c r="BY294" s="94"/>
      <c r="BZ294" s="94"/>
      <c r="CA294" s="94"/>
      <c r="CB294" s="29"/>
      <c r="CC294" s="29"/>
      <c r="CD294" s="29"/>
      <c r="CE294" s="29"/>
      <c r="CF294" s="3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</row>
    <row r="295" spans="1:114" ht="11.1" customHeight="1" x14ac:dyDescent="0.25">
      <c r="A295" s="3"/>
      <c r="B295" s="3"/>
      <c r="C295" s="3"/>
      <c r="D295" s="3"/>
      <c r="E295" s="3"/>
      <c r="K295" s="14"/>
      <c r="M295" s="14"/>
      <c r="N295" s="14"/>
      <c r="P295" s="3"/>
      <c r="Q295" s="4"/>
      <c r="R295" s="3"/>
      <c r="S295" s="3"/>
      <c r="T295" s="3"/>
      <c r="U295" s="4"/>
      <c r="V295" s="4"/>
      <c r="Z295" s="11"/>
      <c r="AA295" s="15"/>
      <c r="AB295" s="15"/>
      <c r="AC295" s="15"/>
      <c r="AD295" s="16"/>
      <c r="AE295" s="64"/>
      <c r="AF295" s="64"/>
      <c r="AG295" s="16"/>
      <c r="AH295" s="16"/>
      <c r="AI295" s="16"/>
      <c r="AJ295" s="15"/>
      <c r="AK295" s="15"/>
      <c r="AL295" s="15"/>
      <c r="AM295" s="15"/>
      <c r="AN295" s="15"/>
      <c r="AO295" s="15"/>
      <c r="AP295" s="3"/>
      <c r="AQ295" s="3"/>
      <c r="AR295" s="3"/>
      <c r="AS295" s="3"/>
      <c r="AT295" s="50"/>
      <c r="AU295" s="50"/>
      <c r="AV295" s="50"/>
      <c r="AW295" s="50"/>
      <c r="AX295" s="50"/>
      <c r="AY295" s="50"/>
      <c r="AZ295" s="17"/>
      <c r="BA295" s="17"/>
      <c r="BB295" s="17"/>
      <c r="BC295" s="17"/>
      <c r="BD295" s="16"/>
      <c r="BE295" s="16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29"/>
      <c r="BW295" s="29"/>
      <c r="BX295" s="29"/>
      <c r="BY295" s="94"/>
      <c r="BZ295" s="94"/>
      <c r="CA295" s="94"/>
      <c r="CB295" s="29"/>
      <c r="CC295" s="29"/>
      <c r="CD295" s="29"/>
      <c r="CE295" s="29"/>
      <c r="CF295" s="3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</row>
    <row r="296" spans="1:114" ht="11.1" customHeight="1" x14ac:dyDescent="0.25">
      <c r="A296" s="3"/>
      <c r="B296" s="3"/>
      <c r="C296" s="3"/>
      <c r="D296" s="3"/>
      <c r="E296" s="3"/>
      <c r="K296" s="14"/>
      <c r="M296" s="14"/>
      <c r="N296" s="14"/>
      <c r="P296" s="3"/>
      <c r="Q296" s="4"/>
      <c r="R296" s="3"/>
      <c r="S296" s="3"/>
      <c r="T296" s="3"/>
      <c r="U296" s="4"/>
      <c r="V296" s="4"/>
      <c r="Z296" s="11"/>
      <c r="AA296" s="15"/>
      <c r="AB296" s="15"/>
      <c r="AC296" s="15"/>
      <c r="AD296" s="16"/>
      <c r="AE296" s="64"/>
      <c r="AF296" s="64"/>
      <c r="AG296" s="16"/>
      <c r="AH296" s="16"/>
      <c r="AI296" s="16"/>
      <c r="AJ296" s="15"/>
      <c r="AK296" s="15"/>
      <c r="AL296" s="15"/>
      <c r="AM296" s="15"/>
      <c r="AN296" s="15"/>
      <c r="AO296" s="15"/>
      <c r="AP296" s="3"/>
      <c r="AQ296" s="3"/>
      <c r="AR296" s="3"/>
      <c r="AS296" s="3"/>
      <c r="AT296" s="50"/>
      <c r="AU296" s="50"/>
      <c r="AV296" s="50"/>
      <c r="AW296" s="50"/>
      <c r="AX296" s="50"/>
      <c r="AY296" s="50"/>
      <c r="AZ296" s="17"/>
      <c r="BA296" s="17"/>
      <c r="BB296" s="17"/>
      <c r="BC296" s="17"/>
      <c r="BD296" s="16"/>
      <c r="BE296" s="16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29"/>
      <c r="BW296" s="29"/>
      <c r="BX296" s="29"/>
      <c r="BY296" s="94"/>
      <c r="BZ296" s="94"/>
      <c r="CA296" s="94"/>
      <c r="CB296" s="29"/>
      <c r="CC296" s="29"/>
      <c r="CD296" s="29"/>
      <c r="CE296" s="29"/>
      <c r="CF296" s="3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</row>
    <row r="297" spans="1:114" ht="11.1" customHeight="1" x14ac:dyDescent="0.25">
      <c r="A297" s="3"/>
      <c r="B297" s="3"/>
      <c r="C297" s="3"/>
      <c r="D297" s="3"/>
      <c r="E297" s="3"/>
      <c r="K297" s="14"/>
      <c r="M297" s="14"/>
      <c r="N297" s="14"/>
      <c r="P297" s="3"/>
      <c r="Q297" s="4"/>
      <c r="R297" s="3"/>
      <c r="S297" s="3"/>
      <c r="T297" s="3"/>
      <c r="U297" s="4"/>
      <c r="V297" s="4"/>
      <c r="Z297" s="11"/>
      <c r="AA297" s="15"/>
      <c r="AB297" s="15"/>
      <c r="AC297" s="15"/>
      <c r="AD297" s="16"/>
      <c r="AE297" s="64"/>
      <c r="AF297" s="64"/>
      <c r="AG297" s="16"/>
      <c r="AH297" s="16"/>
      <c r="AI297" s="16"/>
      <c r="AJ297" s="15"/>
      <c r="AK297" s="15"/>
      <c r="AL297" s="15"/>
      <c r="AM297" s="15"/>
      <c r="AN297" s="15"/>
      <c r="AO297" s="15"/>
      <c r="AP297" s="3"/>
      <c r="AQ297" s="3"/>
      <c r="AR297" s="3"/>
      <c r="AS297" s="3"/>
      <c r="AT297" s="50"/>
      <c r="AU297" s="50"/>
      <c r="AV297" s="50"/>
      <c r="AW297" s="50"/>
      <c r="AX297" s="50"/>
      <c r="AY297" s="50"/>
      <c r="AZ297" s="17"/>
      <c r="BA297" s="17"/>
      <c r="BB297" s="17"/>
      <c r="BC297" s="17"/>
      <c r="BD297" s="16"/>
      <c r="BE297" s="16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29"/>
      <c r="BW297" s="29"/>
      <c r="BX297" s="29"/>
      <c r="BY297" s="94"/>
      <c r="BZ297" s="94"/>
      <c r="CA297" s="94"/>
      <c r="CB297" s="29"/>
      <c r="CC297" s="29"/>
      <c r="CD297" s="29"/>
      <c r="CE297" s="29"/>
      <c r="CF297" s="3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</row>
    <row r="298" spans="1:114" ht="11.1" customHeight="1" x14ac:dyDescent="0.25">
      <c r="A298" s="3"/>
      <c r="B298" s="3"/>
      <c r="C298" s="3"/>
      <c r="D298" s="3"/>
      <c r="E298" s="3"/>
      <c r="K298" s="14"/>
      <c r="M298" s="14"/>
      <c r="N298" s="14"/>
      <c r="P298" s="3"/>
      <c r="Q298" s="4"/>
      <c r="R298" s="3"/>
      <c r="S298" s="3"/>
      <c r="T298" s="3"/>
      <c r="U298" s="4"/>
      <c r="V298" s="4"/>
      <c r="Z298" s="11"/>
      <c r="AA298" s="15"/>
      <c r="AB298" s="15"/>
      <c r="AC298" s="15"/>
      <c r="AD298" s="16"/>
      <c r="AE298" s="64"/>
      <c r="AF298" s="64"/>
      <c r="AG298" s="16"/>
      <c r="AH298" s="16"/>
      <c r="AI298" s="16"/>
      <c r="AJ298" s="15"/>
      <c r="AK298" s="15"/>
      <c r="AL298" s="15"/>
      <c r="AM298" s="15"/>
      <c r="AN298" s="15"/>
      <c r="AO298" s="15"/>
      <c r="AP298" s="3"/>
      <c r="AQ298" s="3"/>
      <c r="AR298" s="3"/>
      <c r="AS298" s="3"/>
      <c r="AT298" s="50"/>
      <c r="AU298" s="50"/>
      <c r="AV298" s="50"/>
      <c r="AW298" s="50"/>
      <c r="AX298" s="50"/>
      <c r="AY298" s="50"/>
      <c r="AZ298" s="17"/>
      <c r="BA298" s="17"/>
      <c r="BB298" s="17"/>
      <c r="BC298" s="17"/>
      <c r="BD298" s="16"/>
      <c r="BE298" s="16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29"/>
      <c r="BW298" s="29"/>
      <c r="BX298" s="29"/>
      <c r="BY298" s="94"/>
      <c r="BZ298" s="94"/>
      <c r="CA298" s="94"/>
      <c r="CB298" s="29"/>
      <c r="CC298" s="29"/>
      <c r="CD298" s="29"/>
      <c r="CE298" s="29"/>
      <c r="CF298" s="3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</row>
    <row r="299" spans="1:114" ht="11.1" customHeight="1" x14ac:dyDescent="0.25">
      <c r="A299" s="3"/>
      <c r="B299" s="3"/>
      <c r="C299" s="3"/>
      <c r="D299" s="3"/>
      <c r="E299" s="3"/>
      <c r="K299" s="14"/>
      <c r="M299" s="14"/>
      <c r="N299" s="14"/>
      <c r="P299" s="3"/>
      <c r="Q299" s="4"/>
      <c r="R299" s="3"/>
      <c r="S299" s="3"/>
      <c r="T299" s="3"/>
      <c r="U299" s="4"/>
      <c r="V299" s="4"/>
      <c r="Z299" s="11"/>
      <c r="AA299" s="15"/>
      <c r="AB299" s="15"/>
      <c r="AC299" s="15"/>
      <c r="AD299" s="16"/>
      <c r="AE299" s="64"/>
      <c r="AF299" s="64"/>
      <c r="AG299" s="16"/>
      <c r="AH299" s="16"/>
      <c r="AI299" s="16"/>
      <c r="AJ299" s="15"/>
      <c r="AK299" s="15"/>
      <c r="AL299" s="15"/>
      <c r="AM299" s="15"/>
      <c r="AN299" s="15"/>
      <c r="AO299" s="15"/>
      <c r="AP299" s="3"/>
      <c r="AQ299" s="3"/>
      <c r="AR299" s="3"/>
      <c r="AS299" s="3"/>
      <c r="AT299" s="50"/>
      <c r="AU299" s="50"/>
      <c r="AV299" s="50"/>
      <c r="AW299" s="50"/>
      <c r="AX299" s="50"/>
      <c r="AY299" s="50"/>
      <c r="AZ299" s="17"/>
      <c r="BA299" s="17"/>
      <c r="BB299" s="17"/>
      <c r="BC299" s="17"/>
      <c r="BD299" s="16"/>
      <c r="BE299" s="16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29"/>
      <c r="BW299" s="29"/>
      <c r="BX299" s="29"/>
      <c r="BY299" s="94"/>
      <c r="BZ299" s="94"/>
      <c r="CA299" s="94"/>
      <c r="CB299" s="29"/>
      <c r="CC299" s="29"/>
      <c r="CD299" s="29"/>
      <c r="CE299" s="29"/>
      <c r="CF299" s="3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</row>
    <row r="300" spans="1:114" ht="11.1" customHeight="1" x14ac:dyDescent="0.25">
      <c r="A300" s="3"/>
      <c r="B300" s="3"/>
      <c r="C300" s="3"/>
      <c r="D300" s="3"/>
      <c r="E300" s="3"/>
      <c r="K300" s="14"/>
      <c r="M300" s="14"/>
      <c r="N300" s="14"/>
      <c r="P300" s="3"/>
      <c r="Q300" s="4"/>
      <c r="R300" s="3"/>
      <c r="S300" s="3"/>
      <c r="T300" s="3"/>
      <c r="U300" s="4"/>
      <c r="V300" s="4"/>
      <c r="Z300" s="11"/>
      <c r="AA300" s="15"/>
      <c r="AB300" s="15"/>
      <c r="AC300" s="15"/>
      <c r="AD300" s="16"/>
      <c r="AE300" s="64"/>
      <c r="AF300" s="64"/>
      <c r="AG300" s="16"/>
      <c r="AH300" s="16"/>
      <c r="AI300" s="16"/>
      <c r="AJ300" s="15"/>
      <c r="AK300" s="15"/>
      <c r="AL300" s="15"/>
      <c r="AM300" s="15"/>
      <c r="AN300" s="15"/>
      <c r="AO300" s="15"/>
      <c r="AP300" s="3"/>
      <c r="AQ300" s="3"/>
      <c r="AR300" s="3"/>
      <c r="AS300" s="3"/>
      <c r="AT300" s="50"/>
      <c r="AU300" s="50"/>
      <c r="AV300" s="50"/>
      <c r="AW300" s="50"/>
      <c r="AX300" s="50"/>
      <c r="AY300" s="50"/>
      <c r="AZ300" s="17"/>
      <c r="BA300" s="17"/>
      <c r="BB300" s="17"/>
      <c r="BC300" s="17"/>
      <c r="BD300" s="16"/>
      <c r="BE300" s="16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29"/>
      <c r="BW300" s="29"/>
      <c r="BX300" s="29"/>
      <c r="BY300" s="94"/>
      <c r="BZ300" s="94"/>
      <c r="CA300" s="94"/>
      <c r="CB300" s="29"/>
      <c r="CC300" s="29"/>
      <c r="CD300" s="29"/>
      <c r="CE300" s="29"/>
      <c r="CF300" s="3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</row>
    <row r="301" spans="1:114" ht="11.1" customHeight="1" x14ac:dyDescent="0.25">
      <c r="A301" s="3"/>
      <c r="B301" s="3"/>
      <c r="C301" s="3"/>
      <c r="D301" s="3"/>
      <c r="E301" s="3"/>
      <c r="K301" s="14"/>
      <c r="M301" s="14"/>
      <c r="N301" s="14"/>
      <c r="P301" s="3"/>
      <c r="Q301" s="4"/>
      <c r="R301" s="3"/>
      <c r="S301" s="3"/>
      <c r="T301" s="3"/>
      <c r="U301" s="4"/>
      <c r="V301" s="4"/>
      <c r="Z301" s="11"/>
      <c r="AA301" s="15"/>
      <c r="AB301" s="15"/>
      <c r="AC301" s="15"/>
      <c r="AD301" s="16"/>
      <c r="AE301" s="64"/>
      <c r="AF301" s="64"/>
      <c r="AG301" s="16"/>
      <c r="AH301" s="16"/>
      <c r="AI301" s="16"/>
      <c r="AJ301" s="15"/>
      <c r="AK301" s="15"/>
      <c r="AL301" s="15"/>
      <c r="AM301" s="15"/>
      <c r="AN301" s="15"/>
      <c r="AO301" s="15"/>
      <c r="AP301" s="3"/>
      <c r="AQ301" s="3"/>
      <c r="AR301" s="3"/>
      <c r="AS301" s="3"/>
      <c r="AT301" s="50"/>
      <c r="AU301" s="50"/>
      <c r="AV301" s="50"/>
      <c r="AW301" s="50"/>
      <c r="AX301" s="50"/>
      <c r="AY301" s="50"/>
      <c r="AZ301" s="17"/>
      <c r="BA301" s="17"/>
      <c r="BB301" s="17"/>
      <c r="BC301" s="17"/>
      <c r="BD301" s="16"/>
      <c r="BE301" s="16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29"/>
      <c r="BW301" s="29"/>
      <c r="BX301" s="29"/>
      <c r="BY301" s="94"/>
      <c r="BZ301" s="94"/>
      <c r="CA301" s="94"/>
      <c r="CB301" s="29"/>
      <c r="CC301" s="29"/>
      <c r="CD301" s="29"/>
      <c r="CE301" s="29"/>
      <c r="CF301" s="3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</row>
    <row r="302" spans="1:114" ht="11.1" customHeight="1" x14ac:dyDescent="0.25">
      <c r="A302" s="3"/>
      <c r="B302" s="3"/>
      <c r="C302" s="3"/>
      <c r="D302" s="3"/>
      <c r="E302" s="3"/>
      <c r="K302" s="14"/>
      <c r="M302" s="14"/>
      <c r="N302" s="14"/>
      <c r="P302" s="3"/>
      <c r="Q302" s="4"/>
      <c r="R302" s="3"/>
      <c r="S302" s="3"/>
      <c r="T302" s="3"/>
      <c r="U302" s="4"/>
      <c r="V302" s="4"/>
      <c r="Z302" s="11"/>
      <c r="AA302" s="15"/>
      <c r="AB302" s="15"/>
      <c r="AC302" s="15"/>
      <c r="AD302" s="16"/>
      <c r="AE302" s="64"/>
      <c r="AF302" s="64"/>
      <c r="AG302" s="16"/>
      <c r="AH302" s="16"/>
      <c r="AI302" s="16"/>
      <c r="AJ302" s="15"/>
      <c r="AK302" s="15"/>
      <c r="AL302" s="15"/>
      <c r="AM302" s="15"/>
      <c r="AN302" s="15"/>
      <c r="AO302" s="15"/>
      <c r="AP302" s="3"/>
      <c r="AQ302" s="3"/>
      <c r="AR302" s="3"/>
      <c r="AS302" s="3"/>
      <c r="AT302" s="50"/>
      <c r="AU302" s="50"/>
      <c r="AV302" s="50"/>
      <c r="AW302" s="50"/>
      <c r="AX302" s="50"/>
      <c r="AY302" s="50"/>
      <c r="AZ302" s="17"/>
      <c r="BA302" s="17"/>
      <c r="BB302" s="17"/>
      <c r="BC302" s="17"/>
      <c r="BD302" s="16"/>
      <c r="BE302" s="16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29"/>
      <c r="BW302" s="29"/>
      <c r="BX302" s="29"/>
      <c r="BY302" s="94"/>
      <c r="BZ302" s="94"/>
      <c r="CA302" s="94"/>
      <c r="CB302" s="29"/>
      <c r="CC302" s="29"/>
      <c r="CD302" s="29"/>
      <c r="CE302" s="29"/>
      <c r="CF302" s="3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</row>
    <row r="303" spans="1:114" ht="11.1" customHeight="1" x14ac:dyDescent="0.25">
      <c r="A303" s="3"/>
      <c r="B303" s="3"/>
      <c r="C303" s="3"/>
      <c r="D303" s="3"/>
      <c r="E303" s="3"/>
      <c r="K303" s="14"/>
      <c r="M303" s="14"/>
      <c r="N303" s="14"/>
      <c r="P303" s="3"/>
      <c r="Q303" s="4"/>
      <c r="R303" s="3"/>
      <c r="S303" s="3"/>
      <c r="T303" s="3"/>
      <c r="U303" s="4"/>
      <c r="V303" s="4"/>
      <c r="Z303" s="11"/>
      <c r="AA303" s="15"/>
      <c r="AB303" s="15"/>
      <c r="AC303" s="15"/>
      <c r="AD303" s="16"/>
      <c r="AE303" s="64"/>
      <c r="AF303" s="64"/>
      <c r="AG303" s="16"/>
      <c r="AH303" s="16"/>
      <c r="AI303" s="16"/>
      <c r="AJ303" s="15"/>
      <c r="AK303" s="15"/>
      <c r="AL303" s="15"/>
      <c r="AM303" s="15"/>
      <c r="AN303" s="15"/>
      <c r="AO303" s="15"/>
      <c r="AP303" s="3"/>
      <c r="AQ303" s="3"/>
      <c r="AR303" s="3"/>
      <c r="AS303" s="3"/>
      <c r="AT303" s="50"/>
      <c r="AU303" s="50"/>
      <c r="AV303" s="50"/>
      <c r="AW303" s="50"/>
      <c r="AX303" s="50"/>
      <c r="AY303" s="50"/>
      <c r="AZ303" s="17"/>
      <c r="BA303" s="17"/>
      <c r="BB303" s="17"/>
      <c r="BC303" s="17"/>
      <c r="BD303" s="16"/>
      <c r="BE303" s="16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29"/>
      <c r="BW303" s="29"/>
      <c r="BX303" s="29"/>
      <c r="BY303" s="94"/>
      <c r="BZ303" s="94"/>
      <c r="CA303" s="94"/>
      <c r="CB303" s="29"/>
      <c r="CC303" s="29"/>
      <c r="CD303" s="29"/>
      <c r="CE303" s="29"/>
      <c r="CF303" s="3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</row>
    <row r="304" spans="1:114" ht="11.1" customHeight="1" x14ac:dyDescent="0.25">
      <c r="A304" s="3"/>
      <c r="B304" s="3"/>
      <c r="C304" s="3"/>
      <c r="D304" s="3"/>
      <c r="E304" s="3"/>
      <c r="K304" s="14"/>
      <c r="M304" s="14"/>
      <c r="N304" s="14"/>
      <c r="P304" s="3"/>
      <c r="Q304" s="4"/>
      <c r="R304" s="3"/>
      <c r="S304" s="3"/>
      <c r="T304" s="3"/>
      <c r="U304" s="4"/>
      <c r="V304" s="4"/>
      <c r="Z304" s="11"/>
      <c r="AA304" s="15"/>
      <c r="AB304" s="15"/>
      <c r="AC304" s="15"/>
      <c r="AD304" s="16"/>
      <c r="AE304" s="64"/>
      <c r="AF304" s="64"/>
      <c r="AG304" s="16"/>
      <c r="AH304" s="16"/>
      <c r="AI304" s="16"/>
      <c r="AJ304" s="15"/>
      <c r="AK304" s="15"/>
      <c r="AL304" s="15"/>
      <c r="AM304" s="15"/>
      <c r="AN304" s="15"/>
      <c r="AO304" s="15"/>
      <c r="AP304" s="3"/>
      <c r="AQ304" s="3"/>
      <c r="AR304" s="3"/>
      <c r="AS304" s="3"/>
      <c r="AT304" s="50"/>
      <c r="AU304" s="50"/>
      <c r="AV304" s="50"/>
      <c r="AW304" s="50"/>
      <c r="AX304" s="50"/>
      <c r="AY304" s="50"/>
      <c r="AZ304" s="17"/>
      <c r="BA304" s="17"/>
      <c r="BB304" s="17"/>
      <c r="BC304" s="17"/>
      <c r="BD304" s="16"/>
      <c r="BE304" s="16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29"/>
      <c r="BW304" s="29"/>
      <c r="BX304" s="29"/>
      <c r="BY304" s="94"/>
      <c r="BZ304" s="94"/>
      <c r="CA304" s="94"/>
      <c r="CB304" s="29"/>
      <c r="CC304" s="29"/>
      <c r="CD304" s="29"/>
      <c r="CE304" s="29"/>
      <c r="CF304" s="3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</row>
    <row r="305" spans="1:114" ht="11.1" customHeight="1" x14ac:dyDescent="0.25">
      <c r="A305" s="3"/>
      <c r="B305" s="3"/>
      <c r="C305" s="3"/>
      <c r="D305" s="3"/>
      <c r="E305" s="3"/>
      <c r="K305" s="14"/>
      <c r="M305" s="14"/>
      <c r="N305" s="14"/>
      <c r="P305" s="3"/>
      <c r="Q305" s="4"/>
      <c r="R305" s="3"/>
      <c r="S305" s="3"/>
      <c r="T305" s="3"/>
      <c r="U305" s="4"/>
      <c r="V305" s="4"/>
      <c r="Z305" s="11"/>
      <c r="AA305" s="15"/>
      <c r="AB305" s="15"/>
      <c r="AC305" s="15"/>
      <c r="AD305" s="16"/>
      <c r="AE305" s="64"/>
      <c r="AF305" s="64"/>
      <c r="AG305" s="16"/>
      <c r="AH305" s="16"/>
      <c r="AI305" s="16"/>
      <c r="AJ305" s="15"/>
      <c r="AK305" s="15"/>
      <c r="AL305" s="15"/>
      <c r="AM305" s="15"/>
      <c r="AN305" s="15"/>
      <c r="AO305" s="15"/>
      <c r="AP305" s="3"/>
      <c r="AQ305" s="3"/>
      <c r="AR305" s="3"/>
      <c r="AS305" s="3"/>
      <c r="AT305" s="50"/>
      <c r="AU305" s="50"/>
      <c r="AV305" s="50"/>
      <c r="AW305" s="50"/>
      <c r="AX305" s="50"/>
      <c r="AY305" s="50"/>
      <c r="AZ305" s="17"/>
      <c r="BA305" s="17"/>
      <c r="BB305" s="17"/>
      <c r="BC305" s="17"/>
      <c r="BD305" s="16"/>
      <c r="BE305" s="16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29"/>
      <c r="BW305" s="29"/>
      <c r="BX305" s="29"/>
      <c r="BY305" s="94"/>
      <c r="BZ305" s="94"/>
      <c r="CA305" s="94"/>
      <c r="CB305" s="29"/>
      <c r="CC305" s="29"/>
      <c r="CD305" s="29"/>
      <c r="CE305" s="29"/>
      <c r="CF305" s="3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</row>
    <row r="306" spans="1:114" ht="11.1" customHeight="1" x14ac:dyDescent="0.25">
      <c r="A306" s="3"/>
      <c r="B306" s="3"/>
      <c r="C306" s="3"/>
      <c r="D306" s="3"/>
      <c r="E306" s="3"/>
      <c r="K306" s="14"/>
      <c r="M306" s="14"/>
      <c r="N306" s="14"/>
      <c r="P306" s="3"/>
      <c r="Q306" s="4"/>
      <c r="R306" s="3"/>
      <c r="S306" s="3"/>
      <c r="T306" s="3"/>
      <c r="U306" s="4"/>
      <c r="V306" s="4"/>
      <c r="Z306" s="11"/>
      <c r="AA306" s="15"/>
      <c r="AB306" s="15"/>
      <c r="AC306" s="15"/>
      <c r="AD306" s="16"/>
      <c r="AE306" s="64"/>
      <c r="AF306" s="64"/>
      <c r="AG306" s="16"/>
      <c r="AH306" s="16"/>
      <c r="AI306" s="16"/>
      <c r="AJ306" s="15"/>
      <c r="AK306" s="15"/>
      <c r="AL306" s="15"/>
      <c r="AM306" s="15"/>
      <c r="AN306" s="15"/>
      <c r="AO306" s="15"/>
      <c r="AP306" s="3"/>
      <c r="AQ306" s="3"/>
      <c r="AR306" s="3"/>
      <c r="AS306" s="3"/>
      <c r="AT306" s="50"/>
      <c r="AU306" s="50"/>
      <c r="AV306" s="50"/>
      <c r="AW306" s="50"/>
      <c r="AX306" s="50"/>
      <c r="AY306" s="50"/>
      <c r="AZ306" s="17"/>
      <c r="BA306" s="17"/>
      <c r="BB306" s="17"/>
      <c r="BC306" s="17"/>
      <c r="BD306" s="16"/>
      <c r="BE306" s="16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29"/>
      <c r="BW306" s="29"/>
      <c r="BX306" s="29"/>
      <c r="BY306" s="94"/>
      <c r="BZ306" s="94"/>
      <c r="CA306" s="94"/>
      <c r="CB306" s="29"/>
      <c r="CC306" s="29"/>
      <c r="CD306" s="29"/>
      <c r="CE306" s="29"/>
      <c r="CF306" s="3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</row>
    <row r="307" spans="1:114" ht="11.1" customHeight="1" x14ac:dyDescent="0.25">
      <c r="A307" s="3"/>
      <c r="B307" s="3"/>
      <c r="C307" s="3"/>
      <c r="D307" s="3"/>
      <c r="E307" s="3"/>
      <c r="K307" s="14"/>
      <c r="M307" s="14"/>
      <c r="N307" s="14"/>
      <c r="P307" s="3"/>
      <c r="Q307" s="4"/>
      <c r="R307" s="3"/>
      <c r="S307" s="3"/>
      <c r="T307" s="3"/>
      <c r="U307" s="4"/>
      <c r="V307" s="4"/>
      <c r="Z307" s="11"/>
      <c r="AA307" s="15"/>
      <c r="AB307" s="15"/>
      <c r="AC307" s="15"/>
      <c r="AD307" s="16"/>
      <c r="AE307" s="64"/>
      <c r="AF307" s="64"/>
      <c r="AG307" s="16"/>
      <c r="AH307" s="16"/>
      <c r="AI307" s="16"/>
      <c r="AJ307" s="15"/>
      <c r="AK307" s="15"/>
      <c r="AL307" s="15"/>
      <c r="AM307" s="15"/>
      <c r="AN307" s="15"/>
      <c r="AO307" s="15"/>
      <c r="AP307" s="3"/>
      <c r="AQ307" s="3"/>
      <c r="AR307" s="3"/>
      <c r="AS307" s="3"/>
      <c r="AT307" s="50"/>
      <c r="AU307" s="50"/>
      <c r="AV307" s="50"/>
      <c r="AW307" s="50"/>
      <c r="AX307" s="50"/>
      <c r="AY307" s="50"/>
      <c r="AZ307" s="17"/>
      <c r="BA307" s="17"/>
      <c r="BB307" s="17"/>
      <c r="BC307" s="17"/>
      <c r="BD307" s="16"/>
      <c r="BE307" s="16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29"/>
      <c r="BW307" s="29"/>
      <c r="BX307" s="29"/>
      <c r="BY307" s="94"/>
      <c r="BZ307" s="94"/>
      <c r="CA307" s="94"/>
      <c r="CB307" s="29"/>
      <c r="CC307" s="29"/>
      <c r="CD307" s="29"/>
      <c r="CE307" s="29"/>
      <c r="CF307" s="3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</row>
    <row r="308" spans="1:114" ht="11.1" customHeight="1" x14ac:dyDescent="0.25">
      <c r="A308" s="3"/>
      <c r="B308" s="3"/>
      <c r="C308" s="3"/>
      <c r="D308" s="3"/>
      <c r="E308" s="3"/>
      <c r="K308" s="14"/>
      <c r="M308" s="14"/>
      <c r="N308" s="14"/>
      <c r="P308" s="3"/>
      <c r="Q308" s="4"/>
      <c r="R308" s="3"/>
      <c r="S308" s="3"/>
      <c r="T308" s="3"/>
      <c r="U308" s="4"/>
      <c r="V308" s="4"/>
      <c r="Z308" s="11"/>
      <c r="AA308" s="15"/>
      <c r="AB308" s="15"/>
      <c r="AC308" s="15"/>
      <c r="AD308" s="16"/>
      <c r="AE308" s="64"/>
      <c r="AF308" s="64"/>
      <c r="AG308" s="16"/>
      <c r="AH308" s="16"/>
      <c r="AI308" s="16"/>
      <c r="AJ308" s="15"/>
      <c r="AK308" s="15"/>
      <c r="AL308" s="15"/>
      <c r="AM308" s="15"/>
      <c r="AN308" s="15"/>
      <c r="AO308" s="15"/>
      <c r="AP308" s="3"/>
      <c r="AQ308" s="3"/>
      <c r="AR308" s="3"/>
      <c r="AS308" s="3"/>
      <c r="AT308" s="50"/>
      <c r="AU308" s="50"/>
      <c r="AV308" s="50"/>
      <c r="AW308" s="50"/>
      <c r="AX308" s="50"/>
      <c r="AY308" s="50"/>
      <c r="AZ308" s="17"/>
      <c r="BA308" s="17"/>
      <c r="BB308" s="17"/>
      <c r="BC308" s="17"/>
      <c r="BD308" s="16"/>
      <c r="BE308" s="16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29"/>
      <c r="BW308" s="29"/>
      <c r="BX308" s="29"/>
      <c r="BY308" s="94"/>
      <c r="BZ308" s="94"/>
      <c r="CA308" s="94"/>
      <c r="CB308" s="29"/>
      <c r="CC308" s="29"/>
      <c r="CD308" s="29"/>
      <c r="CE308" s="29"/>
      <c r="CF308" s="3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</row>
    <row r="309" spans="1:114" ht="11.1" customHeight="1" x14ac:dyDescent="0.25">
      <c r="A309" s="3"/>
      <c r="B309" s="3"/>
      <c r="C309" s="3"/>
      <c r="D309" s="3"/>
      <c r="E309" s="3"/>
      <c r="K309" s="14"/>
      <c r="M309" s="14"/>
      <c r="N309" s="14"/>
      <c r="Z309" s="11"/>
      <c r="AA309" s="15"/>
      <c r="AB309" s="15"/>
      <c r="AC309" s="15"/>
      <c r="AD309" s="16"/>
      <c r="AE309" s="64"/>
      <c r="AF309" s="64"/>
      <c r="AG309" s="16"/>
      <c r="AH309" s="16"/>
      <c r="AI309" s="16"/>
      <c r="AJ309" s="15"/>
      <c r="AK309" s="15"/>
      <c r="AL309" s="15"/>
      <c r="AM309" s="15"/>
      <c r="AN309" s="15"/>
      <c r="AO309" s="15"/>
      <c r="AP309" s="3"/>
      <c r="AQ309" s="3"/>
      <c r="AR309" s="3"/>
      <c r="AS309" s="3"/>
      <c r="AT309" s="50"/>
      <c r="AU309" s="50"/>
      <c r="AV309" s="50"/>
      <c r="AW309" s="50"/>
      <c r="AX309" s="50"/>
      <c r="AY309" s="50"/>
      <c r="AZ309" s="17"/>
      <c r="BA309" s="17"/>
      <c r="BB309" s="17"/>
      <c r="BC309" s="17"/>
      <c r="BD309" s="16"/>
      <c r="BE309" s="16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29"/>
      <c r="BW309" s="29"/>
      <c r="BX309" s="29"/>
      <c r="BY309" s="94"/>
      <c r="BZ309" s="94"/>
      <c r="CA309" s="94"/>
      <c r="CB309" s="29"/>
      <c r="CC309" s="29"/>
      <c r="CD309" s="29"/>
      <c r="CE309" s="29"/>
      <c r="CF309" s="3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</row>
    <row r="310" spans="1:114" ht="11.1" customHeight="1" x14ac:dyDescent="0.25">
      <c r="A310" s="3"/>
      <c r="B310" s="3"/>
      <c r="C310" s="3"/>
      <c r="D310" s="3"/>
      <c r="E310" s="3"/>
      <c r="K310" s="14"/>
      <c r="M310" s="14"/>
      <c r="N310" s="14"/>
      <c r="Z310" s="11"/>
      <c r="AA310" s="15"/>
      <c r="AB310" s="15"/>
      <c r="AC310" s="15"/>
      <c r="AD310" s="16"/>
      <c r="AE310" s="64"/>
      <c r="AF310" s="64"/>
      <c r="AG310" s="16"/>
      <c r="AH310" s="16"/>
      <c r="AI310" s="16"/>
      <c r="AJ310" s="15"/>
      <c r="AK310" s="15"/>
      <c r="AL310" s="15"/>
      <c r="AM310" s="15"/>
      <c r="AN310" s="15"/>
      <c r="AO310" s="15"/>
      <c r="AP310" s="3"/>
      <c r="AQ310" s="3"/>
      <c r="AR310" s="3"/>
      <c r="AS310" s="3"/>
      <c r="AT310" s="50"/>
      <c r="AU310" s="50"/>
      <c r="AV310" s="50"/>
      <c r="AW310" s="50"/>
      <c r="AX310" s="50"/>
      <c r="AY310" s="50"/>
      <c r="AZ310" s="17"/>
      <c r="BA310" s="17"/>
      <c r="BB310" s="17"/>
      <c r="BC310" s="17"/>
      <c r="BD310" s="16"/>
      <c r="BE310" s="16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29"/>
      <c r="BW310" s="29"/>
      <c r="BX310" s="29"/>
      <c r="BY310" s="94"/>
      <c r="BZ310" s="94"/>
      <c r="CA310" s="94"/>
      <c r="CB310" s="29"/>
      <c r="CC310" s="29"/>
      <c r="CD310" s="29"/>
      <c r="CE310" s="29"/>
      <c r="CF310" s="3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</row>
    <row r="311" spans="1:114" ht="11.1" customHeight="1" x14ac:dyDescent="0.25">
      <c r="A311" s="3"/>
      <c r="B311" s="3"/>
      <c r="C311" s="3"/>
      <c r="D311" s="3"/>
      <c r="E311" s="3"/>
      <c r="K311" s="14"/>
      <c r="M311" s="14"/>
      <c r="N311" s="14"/>
      <c r="Z311" s="11"/>
      <c r="AA311" s="15"/>
      <c r="AB311" s="15"/>
      <c r="AC311" s="15"/>
      <c r="AD311" s="16"/>
      <c r="AE311" s="64"/>
      <c r="AF311" s="64"/>
      <c r="AG311" s="16"/>
      <c r="AH311" s="16"/>
      <c r="AI311" s="16"/>
      <c r="AJ311" s="15"/>
      <c r="AK311" s="15"/>
      <c r="AL311" s="15"/>
      <c r="AM311" s="15"/>
      <c r="AN311" s="15"/>
      <c r="AO311" s="15"/>
      <c r="AP311" s="3"/>
      <c r="AQ311" s="3"/>
      <c r="AR311" s="3"/>
      <c r="AS311" s="3"/>
      <c r="AT311" s="50"/>
      <c r="AU311" s="50"/>
      <c r="AV311" s="50"/>
      <c r="AW311" s="50"/>
      <c r="AX311" s="50"/>
      <c r="AY311" s="50"/>
      <c r="AZ311" s="17"/>
      <c r="BA311" s="17"/>
      <c r="BB311" s="17"/>
      <c r="BC311" s="17"/>
      <c r="BD311" s="16"/>
      <c r="BE311" s="16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29"/>
      <c r="BW311" s="29"/>
      <c r="BX311" s="29"/>
      <c r="BY311" s="94"/>
      <c r="BZ311" s="94"/>
      <c r="CA311" s="94"/>
      <c r="CB311" s="29"/>
      <c r="CC311" s="29"/>
      <c r="CD311" s="29"/>
      <c r="CE311" s="29"/>
      <c r="CF311" s="3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</row>
    <row r="312" spans="1:114" ht="11.1" customHeight="1" x14ac:dyDescent="0.25">
      <c r="A312" s="3"/>
      <c r="B312" s="3"/>
      <c r="C312" s="3"/>
      <c r="D312" s="3"/>
      <c r="E312" s="3"/>
      <c r="K312" s="14"/>
      <c r="M312" s="14"/>
      <c r="N312" s="14"/>
      <c r="Z312" s="11"/>
      <c r="AA312" s="15"/>
      <c r="AB312" s="15"/>
      <c r="AC312" s="15"/>
      <c r="AD312" s="16"/>
      <c r="AE312" s="64"/>
      <c r="AF312" s="64"/>
      <c r="AG312" s="16"/>
      <c r="AH312" s="16"/>
      <c r="AI312" s="16"/>
      <c r="AJ312" s="15"/>
      <c r="AK312" s="15"/>
      <c r="AL312" s="15"/>
      <c r="AM312" s="15"/>
      <c r="AN312" s="15"/>
      <c r="AO312" s="15"/>
      <c r="AP312" s="3"/>
      <c r="AQ312" s="3"/>
      <c r="AR312" s="3"/>
      <c r="AS312" s="3"/>
      <c r="AT312" s="50"/>
      <c r="AU312" s="50"/>
      <c r="AV312" s="50"/>
      <c r="AW312" s="50"/>
      <c r="AX312" s="50"/>
      <c r="AY312" s="50"/>
      <c r="AZ312" s="17"/>
      <c r="BA312" s="17"/>
      <c r="BB312" s="17"/>
      <c r="BC312" s="17"/>
      <c r="BD312" s="16"/>
      <c r="BE312" s="16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29"/>
      <c r="BW312" s="29"/>
      <c r="BX312" s="29"/>
      <c r="BY312" s="94"/>
      <c r="BZ312" s="94"/>
      <c r="CA312" s="94"/>
      <c r="CB312" s="29"/>
      <c r="CC312" s="29"/>
      <c r="CD312" s="29"/>
      <c r="CE312" s="29"/>
      <c r="CF312" s="3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</row>
    <row r="313" spans="1:114" ht="11.1" customHeight="1" x14ac:dyDescent="0.25">
      <c r="A313" s="3"/>
      <c r="B313" s="3"/>
      <c r="C313" s="3"/>
      <c r="D313" s="3"/>
      <c r="E313" s="3"/>
      <c r="K313" s="14"/>
      <c r="M313" s="14"/>
      <c r="N313" s="14"/>
      <c r="Z313" s="11"/>
      <c r="AA313" s="15"/>
      <c r="AB313" s="15"/>
      <c r="AC313" s="15"/>
      <c r="AD313" s="16"/>
      <c r="AE313" s="64"/>
      <c r="AF313" s="64"/>
      <c r="AG313" s="16"/>
      <c r="AH313" s="16"/>
      <c r="AI313" s="16"/>
      <c r="AJ313" s="15"/>
      <c r="AK313" s="15"/>
      <c r="AL313" s="15"/>
      <c r="AM313" s="15"/>
      <c r="AN313" s="15"/>
      <c r="AO313" s="15"/>
      <c r="AP313" s="3"/>
      <c r="AQ313" s="3"/>
      <c r="AR313" s="3"/>
      <c r="AS313" s="3"/>
      <c r="AT313" s="50"/>
      <c r="AU313" s="50"/>
      <c r="AV313" s="50"/>
      <c r="AW313" s="50"/>
      <c r="AX313" s="50"/>
      <c r="AY313" s="50"/>
      <c r="AZ313" s="17"/>
      <c r="BA313" s="17"/>
      <c r="BB313" s="17"/>
      <c r="BC313" s="17"/>
      <c r="BD313" s="16"/>
      <c r="BE313" s="16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29"/>
      <c r="BW313" s="29"/>
      <c r="BX313" s="29"/>
      <c r="BY313" s="94"/>
      <c r="BZ313" s="94"/>
      <c r="CA313" s="94"/>
      <c r="CB313" s="29"/>
      <c r="CC313" s="29"/>
      <c r="CD313" s="29"/>
      <c r="CE313" s="29"/>
      <c r="CF313" s="3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</row>
    <row r="314" spans="1:114" ht="11.1" customHeight="1" x14ac:dyDescent="0.25">
      <c r="A314" s="3"/>
      <c r="B314" s="3"/>
      <c r="C314" s="3"/>
      <c r="D314" s="3"/>
      <c r="E314" s="3"/>
      <c r="K314" s="14"/>
      <c r="M314" s="14"/>
      <c r="N314" s="14"/>
      <c r="Z314" s="11"/>
      <c r="AA314" s="15"/>
      <c r="AB314" s="15"/>
      <c r="AC314" s="15"/>
      <c r="AD314" s="16"/>
      <c r="AE314" s="64"/>
      <c r="AF314" s="64"/>
      <c r="AG314" s="16"/>
      <c r="AH314" s="16"/>
      <c r="AI314" s="16"/>
      <c r="AJ314" s="15"/>
      <c r="AK314" s="15"/>
      <c r="AL314" s="15"/>
      <c r="AM314" s="15"/>
      <c r="AN314" s="15"/>
      <c r="AO314" s="15"/>
      <c r="AP314" s="3"/>
      <c r="AQ314" s="3"/>
      <c r="AR314" s="3"/>
      <c r="AS314" s="3"/>
      <c r="AT314" s="50"/>
      <c r="AU314" s="50"/>
      <c r="AV314" s="50"/>
      <c r="AW314" s="50"/>
      <c r="AX314" s="50"/>
      <c r="AY314" s="50"/>
      <c r="AZ314" s="17"/>
      <c r="BA314" s="17"/>
      <c r="BB314" s="17"/>
      <c r="BC314" s="17"/>
      <c r="BD314" s="16"/>
      <c r="BE314" s="16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29"/>
      <c r="BW314" s="29"/>
      <c r="BX314" s="29"/>
      <c r="BY314" s="94"/>
      <c r="BZ314" s="94"/>
      <c r="CA314" s="94"/>
      <c r="CB314" s="29"/>
      <c r="CC314" s="29"/>
      <c r="CD314" s="29"/>
      <c r="CE314" s="29"/>
      <c r="CF314" s="3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</row>
    <row r="315" spans="1:114" ht="11.1" customHeight="1" x14ac:dyDescent="0.25">
      <c r="A315" s="3"/>
      <c r="B315" s="3"/>
      <c r="C315" s="3"/>
      <c r="D315" s="3"/>
      <c r="E315" s="3"/>
      <c r="K315" s="14"/>
      <c r="M315" s="14"/>
      <c r="N315" s="14"/>
      <c r="Z315" s="11"/>
      <c r="AA315" s="15"/>
      <c r="AB315" s="15"/>
      <c r="AC315" s="15"/>
      <c r="AD315" s="16"/>
      <c r="AE315" s="64"/>
      <c r="AF315" s="64"/>
      <c r="AG315" s="16"/>
      <c r="AH315" s="16"/>
      <c r="AI315" s="16"/>
      <c r="AJ315" s="15"/>
      <c r="AK315" s="15"/>
      <c r="AL315" s="15"/>
      <c r="AM315" s="15"/>
      <c r="AN315" s="15"/>
      <c r="AO315" s="15"/>
      <c r="AP315" s="3"/>
      <c r="AQ315" s="3"/>
      <c r="AR315" s="3"/>
      <c r="AS315" s="3"/>
      <c r="AT315" s="50"/>
      <c r="AU315" s="50"/>
      <c r="AV315" s="50"/>
      <c r="AW315" s="50"/>
      <c r="AX315" s="50"/>
      <c r="AY315" s="50"/>
      <c r="AZ315" s="17"/>
      <c r="BA315" s="17"/>
      <c r="BB315" s="17"/>
      <c r="BC315" s="17"/>
      <c r="BD315" s="16"/>
      <c r="BE315" s="16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29"/>
      <c r="BW315" s="29"/>
      <c r="BX315" s="29"/>
      <c r="BY315" s="94"/>
      <c r="BZ315" s="94"/>
      <c r="CA315" s="94"/>
      <c r="CB315" s="29"/>
      <c r="CC315" s="29"/>
      <c r="CD315" s="29"/>
      <c r="CE315" s="29"/>
      <c r="CF315" s="3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</row>
    <row r="316" spans="1:114" ht="11.1" customHeight="1" x14ac:dyDescent="0.25">
      <c r="A316" s="3"/>
      <c r="B316" s="3"/>
      <c r="C316" s="3"/>
      <c r="D316" s="3"/>
      <c r="E316" s="3"/>
      <c r="K316" s="14"/>
      <c r="M316" s="14"/>
      <c r="N316" s="14"/>
      <c r="Z316" s="11"/>
      <c r="AA316" s="15"/>
      <c r="AB316" s="15"/>
      <c r="AC316" s="15"/>
      <c r="AD316" s="16"/>
      <c r="AE316" s="64"/>
      <c r="AF316" s="64"/>
      <c r="AG316" s="16"/>
      <c r="AH316" s="16"/>
      <c r="AI316" s="16"/>
      <c r="AJ316" s="15"/>
      <c r="AK316" s="15"/>
      <c r="AL316" s="15"/>
      <c r="AM316" s="15"/>
      <c r="AN316" s="15"/>
      <c r="AO316" s="15"/>
      <c r="AP316" s="3"/>
      <c r="AQ316" s="3"/>
      <c r="AR316" s="3"/>
      <c r="AS316" s="3"/>
      <c r="AT316" s="50"/>
      <c r="AU316" s="50"/>
      <c r="AV316" s="50"/>
      <c r="AW316" s="50"/>
      <c r="AX316" s="50"/>
      <c r="AY316" s="50"/>
      <c r="AZ316" s="17"/>
      <c r="BA316" s="17"/>
      <c r="BB316" s="17"/>
      <c r="BC316" s="17"/>
      <c r="BD316" s="16"/>
      <c r="BE316" s="16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29"/>
      <c r="BW316" s="29"/>
      <c r="BX316" s="29"/>
      <c r="BY316" s="94"/>
      <c r="BZ316" s="94"/>
      <c r="CA316" s="94"/>
      <c r="CB316" s="29"/>
      <c r="CC316" s="29"/>
      <c r="CD316" s="29"/>
      <c r="CE316" s="29"/>
      <c r="CF316" s="3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</row>
    <row r="317" spans="1:114" ht="11.1" customHeight="1" x14ac:dyDescent="0.25">
      <c r="A317" s="3"/>
      <c r="B317" s="3"/>
      <c r="C317" s="3"/>
      <c r="D317" s="3"/>
      <c r="E317" s="3"/>
      <c r="K317" s="14"/>
      <c r="M317" s="14"/>
      <c r="N317" s="14"/>
      <c r="Z317" s="11"/>
      <c r="AA317" s="15"/>
      <c r="AB317" s="15"/>
      <c r="AC317" s="15"/>
      <c r="AD317" s="16"/>
      <c r="AE317" s="64"/>
      <c r="AF317" s="64"/>
      <c r="AG317" s="16"/>
      <c r="AH317" s="16"/>
      <c r="AI317" s="16"/>
      <c r="AJ317" s="15"/>
      <c r="AK317" s="15"/>
      <c r="AL317" s="15"/>
      <c r="AM317" s="15"/>
      <c r="AN317" s="15"/>
      <c r="AO317" s="15"/>
      <c r="AP317" s="3"/>
      <c r="AQ317" s="3"/>
      <c r="AR317" s="3"/>
      <c r="AS317" s="3"/>
      <c r="AT317" s="50"/>
      <c r="AU317" s="50"/>
      <c r="AV317" s="50"/>
      <c r="AW317" s="50"/>
      <c r="AX317" s="50"/>
      <c r="AY317" s="50"/>
      <c r="AZ317" s="17"/>
      <c r="BA317" s="17"/>
      <c r="BB317" s="17"/>
      <c r="BC317" s="17"/>
      <c r="BD317" s="16"/>
      <c r="BE317" s="16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29"/>
      <c r="BW317" s="29"/>
      <c r="BX317" s="29"/>
      <c r="BY317" s="94"/>
      <c r="BZ317" s="94"/>
      <c r="CA317" s="94"/>
      <c r="CB317" s="29"/>
      <c r="CC317" s="29"/>
      <c r="CD317" s="29"/>
      <c r="CE317" s="29"/>
      <c r="CF317" s="3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</row>
    <row r="318" spans="1:114" ht="11.1" customHeight="1" x14ac:dyDescent="0.25">
      <c r="A318" s="3"/>
      <c r="B318" s="3"/>
      <c r="C318" s="3"/>
      <c r="D318" s="3"/>
      <c r="E318" s="3"/>
      <c r="K318" s="14"/>
      <c r="M318" s="14"/>
      <c r="N318" s="14"/>
      <c r="Z318" s="11"/>
      <c r="AA318" s="15"/>
      <c r="AB318" s="15"/>
      <c r="AC318" s="15"/>
      <c r="AD318" s="16"/>
      <c r="AE318" s="64"/>
      <c r="AF318" s="64"/>
      <c r="AG318" s="16"/>
      <c r="AH318" s="16"/>
      <c r="AI318" s="16"/>
      <c r="AJ318" s="15"/>
      <c r="AK318" s="15"/>
      <c r="AL318" s="15"/>
      <c r="AM318" s="15"/>
      <c r="AN318" s="15"/>
      <c r="AO318" s="15"/>
      <c r="AP318" s="3"/>
      <c r="AQ318" s="3"/>
      <c r="AR318" s="3"/>
      <c r="AS318" s="3"/>
      <c r="AT318" s="50"/>
      <c r="AU318" s="50"/>
      <c r="AV318" s="50"/>
      <c r="AW318" s="50"/>
      <c r="AX318" s="50"/>
      <c r="AY318" s="50"/>
      <c r="AZ318" s="17"/>
      <c r="BA318" s="17"/>
      <c r="BB318" s="17"/>
      <c r="BC318" s="17"/>
      <c r="BD318" s="16"/>
      <c r="BE318" s="16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29"/>
      <c r="BW318" s="29"/>
      <c r="BX318" s="29"/>
      <c r="BY318" s="94"/>
      <c r="BZ318" s="94"/>
      <c r="CA318" s="94"/>
      <c r="CB318" s="29"/>
      <c r="CC318" s="29"/>
      <c r="CD318" s="29"/>
      <c r="CE318" s="29"/>
      <c r="CF318" s="3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</row>
    <row r="319" spans="1:114" ht="11.1" customHeight="1" x14ac:dyDescent="0.25">
      <c r="A319" s="3"/>
      <c r="B319" s="3"/>
      <c r="C319" s="3"/>
      <c r="D319" s="3"/>
      <c r="E319" s="3"/>
      <c r="K319" s="14"/>
      <c r="M319" s="14"/>
      <c r="N319" s="14"/>
      <c r="Z319" s="11"/>
      <c r="AA319" s="15"/>
      <c r="AB319" s="15"/>
      <c r="AC319" s="15"/>
      <c r="AD319" s="16"/>
      <c r="AE319" s="64"/>
      <c r="AF319" s="64"/>
      <c r="AG319" s="16"/>
      <c r="AH319" s="16"/>
      <c r="AI319" s="16"/>
      <c r="AJ319" s="15"/>
      <c r="AK319" s="15"/>
      <c r="AL319" s="15"/>
      <c r="AM319" s="15"/>
      <c r="AN319" s="15"/>
      <c r="AO319" s="15"/>
      <c r="AP319" s="3"/>
      <c r="AQ319" s="3"/>
      <c r="AR319" s="3"/>
      <c r="AS319" s="3"/>
      <c r="AT319" s="50"/>
      <c r="AU319" s="50"/>
      <c r="AV319" s="50"/>
      <c r="AW319" s="50"/>
      <c r="AX319" s="50"/>
      <c r="AY319" s="50"/>
      <c r="AZ319" s="17"/>
      <c r="BA319" s="17"/>
      <c r="BB319" s="17"/>
      <c r="BC319" s="17"/>
      <c r="BD319" s="16"/>
      <c r="BE319" s="16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29"/>
      <c r="BW319" s="29"/>
      <c r="BX319" s="29"/>
      <c r="BY319" s="94"/>
      <c r="BZ319" s="94"/>
      <c r="CA319" s="94"/>
      <c r="CB319" s="29"/>
      <c r="CC319" s="29"/>
      <c r="CD319" s="29"/>
      <c r="CE319" s="29"/>
      <c r="CF319" s="3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</row>
    <row r="320" spans="1:114" ht="11.1" customHeight="1" x14ac:dyDescent="0.25">
      <c r="A320" s="3"/>
      <c r="B320" s="3"/>
      <c r="C320" s="3"/>
      <c r="D320" s="3"/>
      <c r="E320" s="3"/>
      <c r="K320" s="14"/>
      <c r="M320" s="14"/>
      <c r="N320" s="14"/>
      <c r="Z320" s="11"/>
      <c r="AA320" s="15"/>
      <c r="AB320" s="15"/>
      <c r="AC320" s="15"/>
      <c r="AD320" s="16"/>
      <c r="AE320" s="64"/>
      <c r="AF320" s="64"/>
      <c r="AG320" s="16"/>
      <c r="AH320" s="16"/>
      <c r="AI320" s="16"/>
      <c r="AJ320" s="15"/>
      <c r="AK320" s="15"/>
      <c r="AL320" s="15"/>
      <c r="AM320" s="15"/>
      <c r="AN320" s="15"/>
      <c r="AO320" s="15"/>
      <c r="AP320" s="3"/>
      <c r="AQ320" s="3"/>
      <c r="AR320" s="3"/>
      <c r="AS320" s="3"/>
      <c r="AT320" s="50"/>
      <c r="AU320" s="50"/>
      <c r="AV320" s="50"/>
      <c r="AW320" s="50"/>
      <c r="AX320" s="50"/>
      <c r="AY320" s="50"/>
      <c r="AZ320" s="17"/>
      <c r="BA320" s="17"/>
      <c r="BB320" s="17"/>
      <c r="BC320" s="17"/>
      <c r="BD320" s="16"/>
      <c r="BE320" s="16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29"/>
      <c r="BW320" s="29"/>
      <c r="BX320" s="29"/>
      <c r="BY320" s="94"/>
      <c r="BZ320" s="94"/>
      <c r="CA320" s="94"/>
      <c r="CB320" s="29"/>
      <c r="CC320" s="29"/>
      <c r="CD320" s="29"/>
      <c r="CE320" s="29"/>
      <c r="CF320" s="3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</row>
    <row r="321" spans="1:114" ht="11.1" customHeight="1" x14ac:dyDescent="0.25">
      <c r="A321" s="3"/>
      <c r="B321" s="3"/>
      <c r="C321" s="3"/>
      <c r="D321" s="3"/>
      <c r="E321" s="3"/>
      <c r="K321" s="14"/>
      <c r="M321" s="14"/>
      <c r="N321" s="14"/>
      <c r="Z321" s="11"/>
      <c r="AA321" s="15"/>
      <c r="AB321" s="15"/>
      <c r="AC321" s="15"/>
      <c r="AD321" s="16"/>
      <c r="AE321" s="64"/>
      <c r="AF321" s="64"/>
      <c r="AG321" s="16"/>
      <c r="AH321" s="16"/>
      <c r="AI321" s="16"/>
      <c r="AJ321" s="15"/>
      <c r="AK321" s="15"/>
      <c r="AL321" s="15"/>
      <c r="AM321" s="15"/>
      <c r="AN321" s="15"/>
      <c r="AO321" s="15"/>
      <c r="AP321" s="3"/>
      <c r="AQ321" s="3"/>
      <c r="AR321" s="3"/>
      <c r="AS321" s="3"/>
      <c r="AT321" s="50"/>
      <c r="AU321" s="50"/>
      <c r="AV321" s="50"/>
      <c r="AW321" s="50"/>
      <c r="AX321" s="50"/>
      <c r="AY321" s="50"/>
      <c r="AZ321" s="17"/>
      <c r="BA321" s="17"/>
      <c r="BB321" s="17"/>
      <c r="BC321" s="17"/>
      <c r="BD321" s="16"/>
      <c r="BE321" s="16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29"/>
      <c r="BW321" s="29"/>
      <c r="BX321" s="29"/>
      <c r="BY321" s="94"/>
      <c r="BZ321" s="94"/>
      <c r="CA321" s="94"/>
      <c r="CB321" s="29"/>
      <c r="CC321" s="29"/>
      <c r="CD321" s="29"/>
      <c r="CE321" s="29"/>
      <c r="CF321" s="3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</row>
    <row r="322" spans="1:114" ht="11.1" customHeight="1" x14ac:dyDescent="0.25">
      <c r="A322" s="3"/>
      <c r="B322" s="3"/>
      <c r="C322" s="3"/>
      <c r="D322" s="3"/>
      <c r="E322" s="3"/>
      <c r="K322" s="14"/>
      <c r="M322" s="14"/>
      <c r="N322" s="14"/>
      <c r="Z322" s="11"/>
      <c r="AA322" s="15"/>
      <c r="AB322" s="15"/>
      <c r="AC322" s="15"/>
      <c r="AD322" s="16"/>
      <c r="AE322" s="64"/>
      <c r="AF322" s="64"/>
      <c r="AG322" s="16"/>
      <c r="AH322" s="16"/>
      <c r="AI322" s="16"/>
      <c r="AJ322" s="15"/>
      <c r="AK322" s="15"/>
      <c r="AL322" s="15"/>
      <c r="AM322" s="15"/>
      <c r="AN322" s="15"/>
      <c r="AO322" s="15"/>
      <c r="AP322" s="3"/>
      <c r="AQ322" s="3"/>
      <c r="AR322" s="3"/>
      <c r="AS322" s="3"/>
      <c r="AT322" s="50"/>
      <c r="AU322" s="50"/>
      <c r="AV322" s="50"/>
      <c r="AW322" s="50"/>
      <c r="AX322" s="50"/>
      <c r="AY322" s="50"/>
      <c r="AZ322" s="17"/>
      <c r="BA322" s="17"/>
      <c r="BB322" s="17"/>
      <c r="BC322" s="17"/>
      <c r="BD322" s="16"/>
      <c r="BE322" s="16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29"/>
      <c r="BW322" s="29"/>
      <c r="BX322" s="29"/>
      <c r="BY322" s="94"/>
      <c r="BZ322" s="94"/>
      <c r="CA322" s="94"/>
      <c r="CB322" s="29"/>
      <c r="CC322" s="29"/>
      <c r="CD322" s="29"/>
      <c r="CE322" s="29"/>
      <c r="CF322" s="3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</row>
    <row r="323" spans="1:114" ht="11.1" customHeight="1" x14ac:dyDescent="0.25">
      <c r="A323" s="3"/>
      <c r="B323" s="3"/>
      <c r="C323" s="3"/>
      <c r="D323" s="3"/>
      <c r="E323" s="3"/>
      <c r="K323" s="14"/>
      <c r="M323" s="14"/>
      <c r="N323" s="14"/>
      <c r="Z323" s="11"/>
      <c r="AA323" s="15"/>
      <c r="AB323" s="15"/>
      <c r="AC323" s="15"/>
      <c r="AD323" s="16"/>
      <c r="AE323" s="64"/>
      <c r="AF323" s="64"/>
      <c r="AG323" s="16"/>
      <c r="AH323" s="16"/>
      <c r="AI323" s="16"/>
      <c r="AJ323" s="15"/>
      <c r="AK323" s="15"/>
      <c r="AL323" s="15"/>
      <c r="AM323" s="15"/>
      <c r="AN323" s="15"/>
      <c r="AO323" s="15"/>
      <c r="AP323" s="3"/>
      <c r="AQ323" s="3"/>
      <c r="AR323" s="3"/>
      <c r="AS323" s="3"/>
      <c r="AT323" s="50"/>
      <c r="AU323" s="50"/>
      <c r="AV323" s="50"/>
      <c r="AW323" s="50"/>
      <c r="AX323" s="50"/>
      <c r="AY323" s="50"/>
      <c r="AZ323" s="17"/>
      <c r="BA323" s="17"/>
      <c r="BB323" s="17"/>
      <c r="BC323" s="17"/>
      <c r="BD323" s="16"/>
      <c r="BE323" s="16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29"/>
      <c r="BW323" s="29"/>
      <c r="BX323" s="29"/>
      <c r="BY323" s="94"/>
      <c r="BZ323" s="94"/>
      <c r="CA323" s="94"/>
      <c r="CB323" s="29"/>
      <c r="CC323" s="29"/>
      <c r="CD323" s="29"/>
      <c r="CE323" s="29"/>
      <c r="CF323" s="3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</row>
    <row r="324" spans="1:114" ht="11.1" customHeight="1" x14ac:dyDescent="0.25">
      <c r="A324" s="3"/>
      <c r="B324" s="3"/>
      <c r="C324" s="3"/>
      <c r="D324" s="3"/>
      <c r="E324" s="3"/>
      <c r="K324" s="14"/>
      <c r="M324" s="14"/>
      <c r="N324" s="14"/>
      <c r="Z324" s="11"/>
      <c r="AA324" s="15"/>
      <c r="AB324" s="15"/>
      <c r="AC324" s="15"/>
      <c r="AD324" s="16"/>
      <c r="AE324" s="64"/>
      <c r="AF324" s="64"/>
      <c r="AG324" s="16"/>
      <c r="AH324" s="16"/>
      <c r="AI324" s="16"/>
      <c r="AJ324" s="15"/>
      <c r="AK324" s="15"/>
      <c r="AL324" s="15"/>
      <c r="AM324" s="15"/>
      <c r="AN324" s="15"/>
      <c r="AO324" s="15"/>
      <c r="AP324" s="3"/>
      <c r="AQ324" s="3"/>
      <c r="AR324" s="3"/>
      <c r="AS324" s="3"/>
      <c r="AT324" s="50"/>
      <c r="AU324" s="50"/>
      <c r="AV324" s="50"/>
      <c r="AW324" s="50"/>
      <c r="AX324" s="50"/>
      <c r="AY324" s="50"/>
      <c r="AZ324" s="17"/>
      <c r="BA324" s="17"/>
      <c r="BB324" s="17"/>
      <c r="BC324" s="17"/>
      <c r="BD324" s="16"/>
      <c r="BE324" s="16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29"/>
      <c r="BW324" s="29"/>
      <c r="BX324" s="29"/>
      <c r="BY324" s="94"/>
      <c r="BZ324" s="94"/>
      <c r="CA324" s="94"/>
      <c r="CB324" s="29"/>
      <c r="CC324" s="29"/>
      <c r="CD324" s="29"/>
      <c r="CE324" s="29"/>
      <c r="CF324" s="3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</row>
    <row r="325" spans="1:114" ht="11.1" customHeight="1" x14ac:dyDescent="0.25">
      <c r="A325" s="3"/>
      <c r="B325" s="3"/>
      <c r="C325" s="3"/>
      <c r="D325" s="3"/>
      <c r="E325" s="3"/>
      <c r="K325" s="14"/>
      <c r="M325" s="14"/>
      <c r="N325" s="14"/>
      <c r="Z325" s="11"/>
      <c r="AA325" s="15"/>
      <c r="AB325" s="15"/>
      <c r="AC325" s="15"/>
      <c r="AD325" s="16"/>
      <c r="AE325" s="64"/>
      <c r="AF325" s="64"/>
      <c r="AG325" s="16"/>
      <c r="AH325" s="16"/>
      <c r="AI325" s="16"/>
      <c r="AJ325" s="15"/>
      <c r="AK325" s="15"/>
      <c r="AL325" s="15"/>
      <c r="AM325" s="15"/>
      <c r="AN325" s="15"/>
      <c r="AO325" s="15"/>
      <c r="AP325" s="3"/>
      <c r="AQ325" s="3"/>
      <c r="AR325" s="3"/>
      <c r="AS325" s="3"/>
      <c r="AT325" s="50"/>
      <c r="AU325" s="50"/>
      <c r="AV325" s="50"/>
      <c r="AW325" s="50"/>
      <c r="AX325" s="50"/>
      <c r="AY325" s="50"/>
      <c r="AZ325" s="17"/>
      <c r="BA325" s="17"/>
      <c r="BB325" s="17"/>
      <c r="BC325" s="17"/>
      <c r="BD325" s="16"/>
      <c r="BE325" s="16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29"/>
      <c r="BW325" s="29"/>
      <c r="BX325" s="29"/>
      <c r="BY325" s="94"/>
      <c r="BZ325" s="94"/>
      <c r="CA325" s="94"/>
      <c r="CB325" s="29"/>
      <c r="CC325" s="29"/>
      <c r="CD325" s="29"/>
      <c r="CE325" s="29"/>
      <c r="CF325" s="3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</row>
    <row r="326" spans="1:114" ht="11.1" customHeight="1" x14ac:dyDescent="0.25">
      <c r="A326" s="3"/>
      <c r="B326" s="3"/>
      <c r="C326" s="3"/>
      <c r="D326" s="3"/>
      <c r="E326" s="3"/>
      <c r="K326" s="14"/>
      <c r="M326" s="14"/>
      <c r="N326" s="14"/>
      <c r="Z326" s="11"/>
      <c r="AA326" s="15"/>
      <c r="AB326" s="15"/>
      <c r="AC326" s="15"/>
      <c r="AD326" s="16"/>
      <c r="AE326" s="64"/>
      <c r="AF326" s="64"/>
      <c r="AG326" s="16"/>
      <c r="AH326" s="16"/>
      <c r="AI326" s="16"/>
      <c r="AJ326" s="15"/>
      <c r="AK326" s="15"/>
      <c r="AL326" s="15"/>
      <c r="AM326" s="15"/>
      <c r="AN326" s="15"/>
      <c r="AO326" s="15"/>
      <c r="AP326" s="3"/>
      <c r="AQ326" s="3"/>
      <c r="AR326" s="3"/>
      <c r="AS326" s="3"/>
      <c r="AT326" s="50"/>
      <c r="AU326" s="50"/>
      <c r="AV326" s="50"/>
      <c r="AW326" s="50"/>
      <c r="AX326" s="50"/>
      <c r="AY326" s="50"/>
      <c r="AZ326" s="17"/>
      <c r="BA326" s="17"/>
      <c r="BB326" s="17"/>
      <c r="BC326" s="17"/>
      <c r="BD326" s="16"/>
      <c r="BE326" s="16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29"/>
      <c r="BW326" s="29"/>
      <c r="BX326" s="29"/>
      <c r="BY326" s="94"/>
      <c r="BZ326" s="94"/>
      <c r="CA326" s="94"/>
      <c r="CB326" s="29"/>
      <c r="CC326" s="29"/>
      <c r="CD326" s="29"/>
      <c r="CE326" s="29"/>
      <c r="CF326" s="3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</row>
    <row r="327" spans="1:114" ht="11.1" customHeight="1" x14ac:dyDescent="0.25">
      <c r="A327" s="3"/>
      <c r="B327" s="3"/>
      <c r="C327" s="3"/>
      <c r="D327" s="3"/>
      <c r="E327" s="3"/>
      <c r="K327" s="14"/>
      <c r="M327" s="14"/>
      <c r="N327" s="14"/>
      <c r="Z327" s="11"/>
      <c r="AA327" s="15"/>
      <c r="AB327" s="15"/>
      <c r="AC327" s="15"/>
      <c r="AD327" s="16"/>
      <c r="AE327" s="64"/>
      <c r="AF327" s="64"/>
      <c r="AG327" s="16"/>
      <c r="AH327" s="16"/>
      <c r="AI327" s="16"/>
      <c r="AJ327" s="15"/>
      <c r="AK327" s="15"/>
      <c r="AL327" s="15"/>
      <c r="AM327" s="15"/>
      <c r="AN327" s="15"/>
      <c r="AO327" s="15"/>
      <c r="AP327" s="3"/>
      <c r="AQ327" s="3"/>
      <c r="AR327" s="3"/>
      <c r="AS327" s="3"/>
      <c r="AT327" s="50"/>
      <c r="AU327" s="50"/>
      <c r="AV327" s="50"/>
      <c r="AW327" s="50"/>
      <c r="AX327" s="50"/>
      <c r="AY327" s="50"/>
      <c r="AZ327" s="17"/>
      <c r="BA327" s="17"/>
      <c r="BB327" s="17"/>
      <c r="BC327" s="17"/>
      <c r="BD327" s="16"/>
      <c r="BE327" s="16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29"/>
      <c r="BW327" s="29"/>
      <c r="BX327" s="29"/>
      <c r="BY327" s="94"/>
      <c r="BZ327" s="94"/>
      <c r="CA327" s="94"/>
      <c r="CB327" s="29"/>
      <c r="CC327" s="29"/>
      <c r="CD327" s="29"/>
      <c r="CE327" s="29"/>
      <c r="CF327" s="3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</row>
    <row r="328" spans="1:114" ht="11.1" customHeight="1" x14ac:dyDescent="0.25">
      <c r="A328" s="3"/>
      <c r="B328" s="3"/>
      <c r="C328" s="3"/>
      <c r="D328" s="3"/>
      <c r="E328" s="3"/>
      <c r="K328" s="14"/>
      <c r="M328" s="14"/>
      <c r="N328" s="14"/>
      <c r="Z328" s="11"/>
      <c r="AA328" s="15"/>
      <c r="AB328" s="15"/>
      <c r="AC328" s="15"/>
      <c r="AD328" s="16"/>
      <c r="AE328" s="64"/>
      <c r="AF328" s="64"/>
      <c r="AG328" s="16"/>
      <c r="AH328" s="16"/>
      <c r="AI328" s="16"/>
      <c r="AJ328" s="15"/>
      <c r="AK328" s="15"/>
      <c r="AL328" s="15"/>
      <c r="AM328" s="15"/>
      <c r="AN328" s="15"/>
      <c r="AO328" s="15"/>
      <c r="AP328" s="3"/>
      <c r="AQ328" s="3"/>
      <c r="AR328" s="3"/>
      <c r="AS328" s="3"/>
      <c r="AT328" s="50"/>
      <c r="AU328" s="50"/>
      <c r="AV328" s="50"/>
      <c r="AW328" s="50"/>
      <c r="AX328" s="50"/>
      <c r="AY328" s="50"/>
      <c r="AZ328" s="17"/>
      <c r="BA328" s="17"/>
      <c r="BB328" s="17"/>
      <c r="BC328" s="17"/>
      <c r="BD328" s="16"/>
      <c r="BE328" s="16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29"/>
      <c r="BW328" s="29"/>
      <c r="BX328" s="29"/>
      <c r="BY328" s="94"/>
      <c r="BZ328" s="94"/>
      <c r="CA328" s="94"/>
      <c r="CB328" s="29"/>
      <c r="CC328" s="29"/>
      <c r="CD328" s="29"/>
      <c r="CE328" s="29"/>
      <c r="CF328" s="3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</row>
    <row r="329" spans="1:114" ht="11.1" customHeight="1" x14ac:dyDescent="0.25">
      <c r="A329" s="3"/>
      <c r="B329" s="3"/>
      <c r="C329" s="3"/>
      <c r="D329" s="3"/>
      <c r="E329" s="3"/>
      <c r="K329" s="14"/>
      <c r="M329" s="14"/>
      <c r="N329" s="14"/>
      <c r="Z329" s="11"/>
      <c r="AA329" s="15"/>
      <c r="AB329" s="15"/>
      <c r="AC329" s="15"/>
      <c r="AD329" s="16"/>
      <c r="AE329" s="64"/>
      <c r="AF329" s="64"/>
      <c r="AG329" s="16"/>
      <c r="AH329" s="16"/>
      <c r="AI329" s="16"/>
      <c r="AJ329" s="15"/>
      <c r="AK329" s="15"/>
      <c r="AL329" s="15"/>
      <c r="AM329" s="15"/>
      <c r="AN329" s="15"/>
      <c r="AO329" s="15"/>
      <c r="AP329" s="3"/>
      <c r="AQ329" s="3"/>
      <c r="AR329" s="3"/>
      <c r="AS329" s="3"/>
      <c r="AT329" s="50"/>
      <c r="AU329" s="50"/>
      <c r="AV329" s="50"/>
      <c r="AW329" s="50"/>
      <c r="AX329" s="50"/>
      <c r="AY329" s="50"/>
      <c r="AZ329" s="17"/>
      <c r="BA329" s="17"/>
      <c r="BB329" s="17"/>
      <c r="BC329" s="17"/>
      <c r="BD329" s="16"/>
      <c r="BE329" s="16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29"/>
      <c r="BW329" s="29"/>
      <c r="BX329" s="29"/>
      <c r="BY329" s="94"/>
      <c r="BZ329" s="94"/>
      <c r="CA329" s="94"/>
      <c r="CB329" s="29"/>
      <c r="CC329" s="29"/>
      <c r="CD329" s="29"/>
      <c r="CE329" s="29"/>
      <c r="CF329" s="3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</row>
    <row r="330" spans="1:114" ht="11.1" customHeight="1" x14ac:dyDescent="0.25">
      <c r="A330" s="3"/>
      <c r="B330" s="3"/>
      <c r="C330" s="3"/>
      <c r="D330" s="3"/>
      <c r="E330" s="3"/>
      <c r="K330" s="14"/>
      <c r="M330" s="14"/>
      <c r="N330" s="14"/>
      <c r="Z330" s="11"/>
      <c r="AA330" s="15"/>
      <c r="AB330" s="15"/>
      <c r="AC330" s="15"/>
      <c r="AD330" s="16"/>
      <c r="AE330" s="64"/>
      <c r="AF330" s="64"/>
      <c r="AG330" s="16"/>
      <c r="AH330" s="16"/>
      <c r="AI330" s="16"/>
      <c r="AJ330" s="15"/>
      <c r="AK330" s="15"/>
      <c r="AL330" s="15"/>
      <c r="AM330" s="15"/>
      <c r="AN330" s="15"/>
      <c r="AO330" s="15"/>
      <c r="AP330" s="3"/>
      <c r="AQ330" s="3"/>
      <c r="AR330" s="3"/>
      <c r="AS330" s="3"/>
      <c r="AT330" s="50"/>
      <c r="AU330" s="50"/>
      <c r="AV330" s="50"/>
      <c r="AW330" s="50"/>
      <c r="AX330" s="50"/>
      <c r="AY330" s="50"/>
      <c r="AZ330" s="17"/>
      <c r="BA330" s="17"/>
      <c r="BB330" s="17"/>
      <c r="BC330" s="17"/>
      <c r="BD330" s="16"/>
      <c r="BE330" s="16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29"/>
      <c r="BW330" s="29"/>
      <c r="BX330" s="29"/>
      <c r="BY330" s="94"/>
      <c r="BZ330" s="94"/>
      <c r="CA330" s="94"/>
      <c r="CB330" s="29"/>
      <c r="CC330" s="29"/>
      <c r="CD330" s="29"/>
      <c r="CE330" s="29"/>
      <c r="CF330" s="3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</row>
    <row r="331" spans="1:114" ht="11.1" customHeight="1" x14ac:dyDescent="0.25">
      <c r="A331" s="3"/>
      <c r="B331" s="3"/>
      <c r="C331" s="3"/>
      <c r="D331" s="3"/>
      <c r="E331" s="3"/>
      <c r="K331" s="14"/>
      <c r="M331" s="14"/>
      <c r="N331" s="14"/>
      <c r="Z331" s="11"/>
      <c r="AA331" s="15"/>
      <c r="AB331" s="15"/>
      <c r="AC331" s="15"/>
      <c r="AD331" s="16"/>
      <c r="AE331" s="64"/>
      <c r="AF331" s="64"/>
      <c r="AG331" s="16"/>
      <c r="AH331" s="16"/>
      <c r="AI331" s="16"/>
      <c r="AJ331" s="15"/>
      <c r="AK331" s="15"/>
      <c r="AL331" s="15"/>
      <c r="AM331" s="15"/>
      <c r="AN331" s="15"/>
      <c r="AO331" s="15"/>
      <c r="AP331" s="3"/>
      <c r="AQ331" s="3"/>
      <c r="AR331" s="3"/>
      <c r="AS331" s="3"/>
      <c r="AT331" s="50"/>
      <c r="AU331" s="50"/>
      <c r="AV331" s="50"/>
      <c r="AW331" s="50"/>
      <c r="AX331" s="50"/>
      <c r="AY331" s="50"/>
      <c r="AZ331" s="17"/>
      <c r="BA331" s="17"/>
      <c r="BB331" s="17"/>
      <c r="BC331" s="17"/>
      <c r="BD331" s="16"/>
      <c r="BE331" s="16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29"/>
      <c r="BW331" s="29"/>
      <c r="BX331" s="29"/>
      <c r="BY331" s="94"/>
      <c r="BZ331" s="94"/>
      <c r="CA331" s="94"/>
      <c r="CB331" s="29"/>
      <c r="CC331" s="29"/>
      <c r="CD331" s="29"/>
      <c r="CE331" s="29"/>
      <c r="CF331" s="3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</row>
    <row r="332" spans="1:114" ht="11.1" customHeight="1" x14ac:dyDescent="0.25">
      <c r="A332" s="3"/>
      <c r="B332" s="3"/>
      <c r="C332" s="3"/>
      <c r="D332" s="3"/>
      <c r="E332" s="3"/>
      <c r="K332" s="14"/>
      <c r="M332" s="14"/>
      <c r="N332" s="14"/>
      <c r="Z332" s="11"/>
      <c r="AA332" s="15"/>
      <c r="AB332" s="15"/>
      <c r="AC332" s="15"/>
      <c r="AD332" s="16"/>
      <c r="AE332" s="64"/>
      <c r="AF332" s="64"/>
      <c r="AG332" s="16"/>
      <c r="AH332" s="16"/>
      <c r="AI332" s="16"/>
      <c r="AJ332" s="15"/>
      <c r="AK332" s="15"/>
      <c r="AL332" s="15"/>
      <c r="AM332" s="15"/>
      <c r="AN332" s="15"/>
      <c r="AO332" s="15"/>
      <c r="AP332" s="3"/>
      <c r="AQ332" s="3"/>
      <c r="AR332" s="3"/>
      <c r="AS332" s="3"/>
      <c r="AT332" s="50"/>
      <c r="AU332" s="50"/>
      <c r="AV332" s="50"/>
      <c r="AW332" s="50"/>
      <c r="AX332" s="50"/>
      <c r="AY332" s="50"/>
      <c r="AZ332" s="17"/>
      <c r="BA332" s="17"/>
      <c r="BB332" s="17"/>
      <c r="BC332" s="17"/>
      <c r="BD332" s="16"/>
      <c r="BE332" s="16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29"/>
      <c r="BW332" s="29"/>
      <c r="BX332" s="29"/>
      <c r="BY332" s="94"/>
      <c r="BZ332" s="94"/>
      <c r="CA332" s="94"/>
      <c r="CB332" s="29"/>
      <c r="CC332" s="29"/>
      <c r="CD332" s="29"/>
      <c r="CE332" s="29"/>
      <c r="CF332" s="3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</row>
    <row r="333" spans="1:114" ht="11.1" customHeight="1" x14ac:dyDescent="0.25">
      <c r="A333" s="3"/>
      <c r="B333" s="3"/>
      <c r="C333" s="3"/>
      <c r="D333" s="3"/>
      <c r="E333" s="3"/>
      <c r="K333" s="14"/>
      <c r="M333" s="14"/>
      <c r="N333" s="14"/>
      <c r="Z333" s="11"/>
      <c r="AA333" s="15"/>
      <c r="AB333" s="15"/>
      <c r="AC333" s="15"/>
      <c r="AD333" s="16"/>
      <c r="AE333" s="64"/>
      <c r="AF333" s="64"/>
      <c r="AG333" s="16"/>
      <c r="AH333" s="16"/>
      <c r="AI333" s="16"/>
      <c r="AJ333" s="15"/>
      <c r="AK333" s="15"/>
      <c r="AL333" s="15"/>
      <c r="AM333" s="15"/>
      <c r="AN333" s="15"/>
      <c r="AO333" s="15"/>
      <c r="AP333" s="3"/>
      <c r="AQ333" s="3"/>
      <c r="AR333" s="3"/>
      <c r="AS333" s="3"/>
      <c r="AT333" s="50"/>
      <c r="AU333" s="50"/>
      <c r="AV333" s="50"/>
      <c r="AW333" s="50"/>
      <c r="AX333" s="50"/>
      <c r="AY333" s="50"/>
      <c r="AZ333" s="17"/>
      <c r="BA333" s="17"/>
      <c r="BB333" s="17"/>
      <c r="BC333" s="17"/>
      <c r="BD333" s="16"/>
      <c r="BE333" s="16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29"/>
      <c r="BW333" s="29"/>
      <c r="BX333" s="29"/>
      <c r="BY333" s="94"/>
      <c r="BZ333" s="94"/>
      <c r="CA333" s="94"/>
      <c r="CB333" s="29"/>
      <c r="CC333" s="29"/>
      <c r="CD333" s="29"/>
      <c r="CE333" s="29"/>
      <c r="CF333" s="3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</row>
    <row r="334" spans="1:114" ht="11.1" customHeight="1" x14ac:dyDescent="0.25">
      <c r="A334" s="3"/>
      <c r="B334" s="3"/>
      <c r="C334" s="3"/>
      <c r="D334" s="3"/>
      <c r="E334" s="3"/>
      <c r="K334" s="14"/>
      <c r="M334" s="14"/>
      <c r="N334" s="14"/>
      <c r="Z334" s="11"/>
      <c r="AA334" s="15"/>
      <c r="AB334" s="15"/>
      <c r="AC334" s="15"/>
      <c r="AD334" s="16"/>
      <c r="AE334" s="64"/>
      <c r="AF334" s="64"/>
      <c r="AG334" s="16"/>
      <c r="AH334" s="16"/>
      <c r="AI334" s="16"/>
      <c r="AJ334" s="15"/>
      <c r="AK334" s="15"/>
      <c r="AL334" s="15"/>
      <c r="AM334" s="15"/>
      <c r="AN334" s="15"/>
      <c r="AO334" s="15"/>
      <c r="AP334" s="3"/>
      <c r="AQ334" s="3"/>
      <c r="AR334" s="3"/>
      <c r="AS334" s="3"/>
      <c r="AT334" s="50"/>
      <c r="AU334" s="50"/>
      <c r="AV334" s="50"/>
      <c r="AW334" s="50"/>
      <c r="AX334" s="50"/>
      <c r="AY334" s="50"/>
      <c r="AZ334" s="17"/>
      <c r="BA334" s="17"/>
      <c r="BB334" s="17"/>
      <c r="BC334" s="17"/>
      <c r="BD334" s="16"/>
      <c r="BE334" s="16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29"/>
      <c r="BW334" s="29"/>
      <c r="BX334" s="29"/>
      <c r="BY334" s="94"/>
      <c r="BZ334" s="94"/>
      <c r="CA334" s="94"/>
      <c r="CB334" s="29"/>
      <c r="CC334" s="29"/>
      <c r="CD334" s="29"/>
      <c r="CE334" s="29"/>
      <c r="CF334" s="3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</row>
    <row r="335" spans="1:114" ht="11.1" customHeight="1" x14ac:dyDescent="0.25">
      <c r="A335" s="3"/>
      <c r="B335" s="3"/>
      <c r="C335" s="3"/>
      <c r="D335" s="3"/>
      <c r="E335" s="3"/>
      <c r="K335" s="14"/>
      <c r="M335" s="14"/>
      <c r="N335" s="14"/>
      <c r="Z335" s="11"/>
      <c r="AA335" s="15"/>
      <c r="AB335" s="15"/>
      <c r="AC335" s="15"/>
      <c r="AD335" s="16"/>
      <c r="AE335" s="64"/>
      <c r="AF335" s="64"/>
      <c r="AG335" s="16"/>
      <c r="AH335" s="16"/>
      <c r="AI335" s="16"/>
      <c r="AJ335" s="15"/>
      <c r="AK335" s="15"/>
      <c r="AL335" s="15"/>
      <c r="AM335" s="15"/>
      <c r="AN335" s="15"/>
      <c r="AO335" s="15"/>
      <c r="AP335" s="3"/>
      <c r="AQ335" s="3"/>
      <c r="AR335" s="3"/>
      <c r="AS335" s="3"/>
      <c r="AT335" s="50"/>
      <c r="AU335" s="50"/>
      <c r="AV335" s="50"/>
      <c r="AW335" s="50"/>
      <c r="AX335" s="50"/>
      <c r="AY335" s="50"/>
      <c r="AZ335" s="17"/>
      <c r="BA335" s="17"/>
      <c r="BB335" s="17"/>
      <c r="BC335" s="17"/>
      <c r="BD335" s="16"/>
      <c r="BE335" s="16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29"/>
      <c r="BW335" s="29"/>
      <c r="BX335" s="29"/>
      <c r="BY335" s="94"/>
      <c r="BZ335" s="94"/>
      <c r="CA335" s="94"/>
      <c r="CB335" s="29"/>
      <c r="CC335" s="29"/>
      <c r="CD335" s="29"/>
      <c r="CE335" s="29"/>
      <c r="CF335" s="3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</row>
    <row r="336" spans="1:114" ht="11.1" customHeight="1" x14ac:dyDescent="0.25">
      <c r="A336" s="3"/>
      <c r="B336" s="3"/>
      <c r="C336" s="3"/>
      <c r="D336" s="3"/>
      <c r="E336" s="3"/>
      <c r="K336" s="14"/>
      <c r="M336" s="14"/>
      <c r="N336" s="14"/>
      <c r="Z336" s="11"/>
      <c r="AA336" s="15"/>
      <c r="AB336" s="15"/>
      <c r="AC336" s="15"/>
      <c r="AD336" s="16"/>
      <c r="AE336" s="64"/>
      <c r="AF336" s="64"/>
      <c r="AG336" s="16"/>
      <c r="AH336" s="16"/>
      <c r="AI336" s="16"/>
      <c r="AJ336" s="15"/>
      <c r="AK336" s="15"/>
      <c r="AL336" s="15"/>
      <c r="AM336" s="15"/>
      <c r="AN336" s="15"/>
      <c r="AO336" s="15"/>
      <c r="AP336" s="3"/>
      <c r="AQ336" s="3"/>
      <c r="AR336" s="3"/>
      <c r="AS336" s="3"/>
      <c r="AT336" s="50"/>
      <c r="AU336" s="50"/>
      <c r="AV336" s="50"/>
      <c r="AW336" s="50"/>
      <c r="AX336" s="50"/>
      <c r="AY336" s="50"/>
      <c r="AZ336" s="17"/>
      <c r="BA336" s="17"/>
      <c r="BB336" s="17"/>
      <c r="BC336" s="17"/>
      <c r="BD336" s="16"/>
      <c r="BE336" s="16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29"/>
      <c r="BW336" s="29"/>
      <c r="BX336" s="29"/>
      <c r="BY336" s="94"/>
      <c r="BZ336" s="94"/>
      <c r="CA336" s="94"/>
      <c r="CB336" s="29"/>
      <c r="CC336" s="29"/>
      <c r="CD336" s="29"/>
      <c r="CE336" s="29"/>
      <c r="CF336" s="3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</row>
    <row r="337" spans="1:114" ht="11.1" customHeight="1" x14ac:dyDescent="0.25">
      <c r="A337" s="3"/>
      <c r="B337" s="3"/>
      <c r="C337" s="3"/>
      <c r="D337" s="3"/>
      <c r="E337" s="3"/>
      <c r="K337" s="14"/>
      <c r="M337" s="14"/>
      <c r="N337" s="14"/>
      <c r="Z337" s="11"/>
      <c r="AA337" s="15"/>
      <c r="AB337" s="15"/>
      <c r="AC337" s="15"/>
      <c r="AD337" s="16"/>
      <c r="AE337" s="64"/>
      <c r="AF337" s="64"/>
      <c r="AG337" s="16"/>
      <c r="AH337" s="16"/>
      <c r="AI337" s="16"/>
      <c r="AJ337" s="15"/>
      <c r="AK337" s="15"/>
      <c r="AL337" s="15"/>
      <c r="AM337" s="15"/>
      <c r="AN337" s="15"/>
      <c r="AO337" s="15"/>
      <c r="AP337" s="3"/>
      <c r="AQ337" s="3"/>
      <c r="AR337" s="3"/>
      <c r="AS337" s="3"/>
      <c r="AT337" s="50"/>
      <c r="AU337" s="50"/>
      <c r="AV337" s="50"/>
      <c r="AW337" s="50"/>
      <c r="AX337" s="50"/>
      <c r="AY337" s="50"/>
      <c r="AZ337" s="17"/>
      <c r="BA337" s="17"/>
      <c r="BB337" s="17"/>
      <c r="BC337" s="17"/>
      <c r="BD337" s="16"/>
      <c r="BE337" s="16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29"/>
      <c r="BW337" s="29"/>
      <c r="BX337" s="29"/>
      <c r="BY337" s="94"/>
      <c r="BZ337" s="94"/>
      <c r="CA337" s="94"/>
      <c r="CB337" s="29"/>
      <c r="CC337" s="29"/>
      <c r="CD337" s="29"/>
      <c r="CE337" s="29"/>
      <c r="CF337" s="3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</row>
    <row r="338" spans="1:114" ht="11.1" customHeight="1" x14ac:dyDescent="0.25">
      <c r="A338" s="3"/>
      <c r="B338" s="3"/>
      <c r="C338" s="3"/>
      <c r="D338" s="3"/>
      <c r="E338" s="3"/>
      <c r="K338" s="14"/>
      <c r="M338" s="14"/>
      <c r="N338" s="14"/>
      <c r="Z338" s="11"/>
      <c r="AA338" s="15"/>
      <c r="AB338" s="15"/>
      <c r="AC338" s="15"/>
      <c r="AD338" s="16"/>
      <c r="AE338" s="64"/>
      <c r="AF338" s="64"/>
      <c r="AG338" s="16"/>
      <c r="AH338" s="16"/>
      <c r="AI338" s="16"/>
      <c r="AJ338" s="15"/>
      <c r="AK338" s="15"/>
      <c r="AL338" s="15"/>
      <c r="AM338" s="15"/>
      <c r="AN338" s="15"/>
      <c r="AO338" s="15"/>
      <c r="AP338" s="3"/>
      <c r="AQ338" s="3"/>
      <c r="AR338" s="3"/>
      <c r="AS338" s="3"/>
      <c r="AT338" s="50"/>
      <c r="AU338" s="50"/>
      <c r="AV338" s="50"/>
      <c r="AW338" s="50"/>
      <c r="AX338" s="50"/>
      <c r="AY338" s="50"/>
      <c r="AZ338" s="17"/>
      <c r="BA338" s="17"/>
      <c r="BB338" s="17"/>
      <c r="BC338" s="17"/>
      <c r="BD338" s="16"/>
      <c r="BE338" s="16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29"/>
      <c r="BW338" s="29"/>
      <c r="BX338" s="29"/>
      <c r="BY338" s="94"/>
      <c r="BZ338" s="94"/>
      <c r="CA338" s="94"/>
      <c r="CB338" s="29"/>
      <c r="CC338" s="29"/>
      <c r="CD338" s="29"/>
      <c r="CE338" s="29"/>
      <c r="CF338" s="3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</row>
    <row r="339" spans="1:114" ht="11.1" customHeight="1" x14ac:dyDescent="0.25">
      <c r="A339" s="3"/>
      <c r="B339" s="3"/>
      <c r="C339" s="3"/>
      <c r="D339" s="3"/>
      <c r="E339" s="3"/>
      <c r="K339" s="14"/>
      <c r="M339" s="14"/>
      <c r="N339" s="14"/>
      <c r="Z339" s="11"/>
      <c r="AA339" s="15"/>
      <c r="AB339" s="15"/>
      <c r="AC339" s="15"/>
      <c r="AD339" s="16"/>
      <c r="AE339" s="64"/>
      <c r="AF339" s="64"/>
      <c r="AG339" s="16"/>
      <c r="AH339" s="16"/>
      <c r="AI339" s="16"/>
      <c r="AJ339" s="15"/>
      <c r="AK339" s="15"/>
      <c r="AL339" s="15"/>
      <c r="AM339" s="15"/>
      <c r="AN339" s="15"/>
      <c r="AO339" s="15"/>
      <c r="AP339" s="3"/>
      <c r="AQ339" s="3"/>
      <c r="AR339" s="3"/>
      <c r="AS339" s="3"/>
      <c r="AT339" s="50"/>
      <c r="AU339" s="50"/>
      <c r="AV339" s="50"/>
      <c r="AW339" s="50"/>
      <c r="AX339" s="50"/>
      <c r="AY339" s="50"/>
      <c r="AZ339" s="17"/>
      <c r="BA339" s="17"/>
      <c r="BB339" s="17"/>
      <c r="BC339" s="17"/>
      <c r="BD339" s="16"/>
      <c r="BE339" s="16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29"/>
      <c r="BW339" s="29"/>
      <c r="BX339" s="29"/>
      <c r="BY339" s="94"/>
      <c r="BZ339" s="94"/>
      <c r="CA339" s="94"/>
      <c r="CB339" s="29"/>
      <c r="CC339" s="29"/>
      <c r="CD339" s="29"/>
      <c r="CE339" s="29"/>
      <c r="CF339" s="3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</row>
    <row r="340" spans="1:114" ht="11.1" customHeight="1" x14ac:dyDescent="0.25">
      <c r="A340" s="3"/>
      <c r="B340" s="3"/>
      <c r="C340" s="3"/>
      <c r="D340" s="3"/>
      <c r="E340" s="3"/>
      <c r="K340" s="14"/>
      <c r="M340" s="14"/>
      <c r="N340" s="14"/>
      <c r="Z340" s="11"/>
      <c r="AA340" s="15"/>
      <c r="AB340" s="15"/>
      <c r="AC340" s="15"/>
      <c r="AD340" s="16"/>
      <c r="AE340" s="64"/>
      <c r="AF340" s="64"/>
      <c r="AG340" s="16"/>
      <c r="AH340" s="16"/>
      <c r="AI340" s="16"/>
      <c r="AJ340" s="15"/>
      <c r="AK340" s="15"/>
      <c r="AL340" s="15"/>
      <c r="AM340" s="15"/>
      <c r="AN340" s="15"/>
      <c r="AO340" s="15"/>
      <c r="AP340" s="3"/>
      <c r="AQ340" s="3"/>
      <c r="AR340" s="3"/>
      <c r="AS340" s="3"/>
      <c r="AT340" s="50"/>
      <c r="AU340" s="50"/>
      <c r="AV340" s="50"/>
      <c r="AW340" s="50"/>
      <c r="AX340" s="50"/>
      <c r="AY340" s="50"/>
      <c r="AZ340" s="17"/>
      <c r="BA340" s="17"/>
      <c r="BB340" s="17"/>
      <c r="BC340" s="17"/>
      <c r="BD340" s="16"/>
      <c r="BE340" s="16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29"/>
      <c r="BW340" s="29"/>
      <c r="BX340" s="29"/>
      <c r="BY340" s="94"/>
      <c r="BZ340" s="94"/>
      <c r="CA340" s="94"/>
      <c r="CB340" s="29"/>
      <c r="CC340" s="29"/>
      <c r="CD340" s="29"/>
      <c r="CE340" s="29"/>
      <c r="CF340" s="3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</row>
    <row r="341" spans="1:114" ht="11.1" customHeight="1" x14ac:dyDescent="0.25">
      <c r="A341" s="3"/>
      <c r="B341" s="3"/>
      <c r="C341" s="3"/>
      <c r="D341" s="3"/>
      <c r="E341" s="3"/>
      <c r="K341" s="14"/>
      <c r="M341" s="14"/>
      <c r="N341" s="14"/>
      <c r="Z341" s="11"/>
      <c r="AA341" s="15"/>
      <c r="AB341" s="15"/>
      <c r="AC341" s="15"/>
      <c r="AD341" s="16"/>
      <c r="AE341" s="64"/>
      <c r="AF341" s="64"/>
      <c r="AG341" s="16"/>
      <c r="AH341" s="16"/>
      <c r="AI341" s="16"/>
      <c r="AJ341" s="15"/>
      <c r="AK341" s="15"/>
      <c r="AL341" s="15"/>
      <c r="AM341" s="15"/>
      <c r="AN341" s="15"/>
      <c r="AO341" s="15"/>
      <c r="AP341" s="3"/>
      <c r="AQ341" s="3"/>
      <c r="AR341" s="3"/>
      <c r="AS341" s="3"/>
      <c r="AT341" s="50"/>
      <c r="AU341" s="50"/>
      <c r="AV341" s="50"/>
      <c r="AW341" s="50"/>
      <c r="AX341" s="50"/>
      <c r="AY341" s="50"/>
      <c r="AZ341" s="17"/>
      <c r="BA341" s="17"/>
      <c r="BB341" s="17"/>
      <c r="BC341" s="17"/>
      <c r="BD341" s="16"/>
      <c r="BE341" s="16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29"/>
      <c r="BW341" s="29"/>
      <c r="BX341" s="29"/>
      <c r="BY341" s="94"/>
      <c r="BZ341" s="94"/>
      <c r="CA341" s="94"/>
      <c r="CB341" s="29"/>
      <c r="CC341" s="29"/>
      <c r="CD341" s="29"/>
      <c r="CE341" s="29"/>
      <c r="CF341" s="3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</row>
    <row r="342" spans="1:114" ht="11.1" customHeight="1" x14ac:dyDescent="0.25">
      <c r="A342" s="3"/>
      <c r="B342" s="3"/>
      <c r="C342" s="3"/>
      <c r="D342" s="3"/>
      <c r="E342" s="3"/>
      <c r="K342" s="14"/>
      <c r="M342" s="14"/>
      <c r="N342" s="14"/>
      <c r="Z342" s="11"/>
      <c r="AA342" s="15"/>
      <c r="AB342" s="15"/>
      <c r="AC342" s="15"/>
      <c r="AD342" s="16"/>
      <c r="AE342" s="64"/>
      <c r="AF342" s="64"/>
      <c r="AG342" s="16"/>
      <c r="AH342" s="16"/>
      <c r="AI342" s="16"/>
      <c r="AJ342" s="15"/>
      <c r="AK342" s="15"/>
      <c r="AL342" s="15"/>
      <c r="AM342" s="15"/>
      <c r="AN342" s="15"/>
      <c r="AO342" s="15"/>
      <c r="AP342" s="3"/>
      <c r="AQ342" s="3"/>
      <c r="AR342" s="3"/>
      <c r="AS342" s="3"/>
      <c r="AT342" s="50"/>
      <c r="AU342" s="50"/>
      <c r="AV342" s="50"/>
      <c r="AW342" s="50"/>
      <c r="AX342" s="50"/>
      <c r="AY342" s="50"/>
      <c r="AZ342" s="17"/>
      <c r="BA342" s="17"/>
      <c r="BB342" s="17"/>
      <c r="BC342" s="17"/>
      <c r="BD342" s="16"/>
      <c r="BE342" s="16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29"/>
      <c r="BW342" s="29"/>
      <c r="BX342" s="29"/>
      <c r="BY342" s="94"/>
      <c r="BZ342" s="94"/>
      <c r="CA342" s="94"/>
      <c r="CB342" s="29"/>
      <c r="CC342" s="29"/>
      <c r="CD342" s="29"/>
      <c r="CE342" s="29"/>
      <c r="CF342" s="3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</row>
    <row r="343" spans="1:114" ht="11.1" customHeight="1" x14ac:dyDescent="0.25">
      <c r="A343" s="3"/>
      <c r="B343" s="3"/>
      <c r="C343" s="3"/>
      <c r="D343" s="3"/>
      <c r="E343" s="3"/>
      <c r="K343" s="14"/>
      <c r="M343" s="14"/>
      <c r="N343" s="14"/>
      <c r="Z343" s="11"/>
      <c r="AA343" s="15"/>
      <c r="AB343" s="15"/>
      <c r="AC343" s="15"/>
      <c r="AD343" s="16"/>
      <c r="AE343" s="64"/>
      <c r="AF343" s="64"/>
      <c r="AG343" s="16"/>
      <c r="AH343" s="16"/>
      <c r="AI343" s="16"/>
      <c r="AJ343" s="15"/>
      <c r="AK343" s="15"/>
      <c r="AL343" s="15"/>
      <c r="AM343" s="15"/>
      <c r="AN343" s="15"/>
      <c r="AO343" s="15"/>
      <c r="AP343" s="3"/>
      <c r="AQ343" s="3"/>
      <c r="AR343" s="3"/>
      <c r="AS343" s="3"/>
      <c r="AT343" s="50"/>
      <c r="AU343" s="50"/>
      <c r="AV343" s="50"/>
      <c r="AW343" s="50"/>
      <c r="AX343" s="50"/>
      <c r="AY343" s="50"/>
      <c r="AZ343" s="17"/>
      <c r="BA343" s="17"/>
      <c r="BB343" s="17"/>
      <c r="BC343" s="17"/>
      <c r="BD343" s="16"/>
      <c r="BE343" s="16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29"/>
      <c r="BW343" s="29"/>
      <c r="BX343" s="29"/>
      <c r="BY343" s="94"/>
      <c r="BZ343" s="94"/>
      <c r="CA343" s="94"/>
      <c r="CB343" s="29"/>
      <c r="CC343" s="29"/>
      <c r="CD343" s="29"/>
      <c r="CE343" s="29"/>
      <c r="CF343" s="3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</row>
    <row r="344" spans="1:114" ht="11.1" customHeight="1" x14ac:dyDescent="0.25">
      <c r="A344" s="3"/>
      <c r="B344" s="3"/>
      <c r="C344" s="3"/>
      <c r="D344" s="3"/>
      <c r="E344" s="3"/>
      <c r="K344" s="14"/>
      <c r="M344" s="14"/>
      <c r="N344" s="14"/>
      <c r="Z344" s="11"/>
      <c r="AA344" s="15"/>
      <c r="AB344" s="15"/>
      <c r="AC344" s="15"/>
      <c r="AD344" s="16"/>
      <c r="AE344" s="64"/>
      <c r="AF344" s="64"/>
      <c r="AG344" s="16"/>
      <c r="AH344" s="16"/>
      <c r="AI344" s="16"/>
      <c r="AJ344" s="15"/>
      <c r="AK344" s="15"/>
      <c r="AL344" s="15"/>
      <c r="AM344" s="15"/>
      <c r="AN344" s="15"/>
      <c r="AO344" s="15"/>
      <c r="AP344" s="3"/>
      <c r="AQ344" s="3"/>
      <c r="AR344" s="3"/>
      <c r="AS344" s="3"/>
      <c r="AT344" s="50"/>
      <c r="AU344" s="50"/>
      <c r="AV344" s="50"/>
      <c r="AW344" s="50"/>
      <c r="AX344" s="50"/>
      <c r="AY344" s="50"/>
      <c r="AZ344" s="17"/>
      <c r="BA344" s="17"/>
      <c r="BB344" s="17"/>
      <c r="BC344" s="17"/>
      <c r="BD344" s="16"/>
      <c r="BE344" s="16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29"/>
      <c r="BW344" s="29"/>
      <c r="BX344" s="29"/>
      <c r="BY344" s="94"/>
      <c r="BZ344" s="94"/>
      <c r="CA344" s="94"/>
      <c r="CB344" s="29"/>
      <c r="CC344" s="29"/>
      <c r="CD344" s="29"/>
      <c r="CE344" s="29"/>
      <c r="CF344" s="3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</row>
    <row r="345" spans="1:114" ht="11.1" customHeight="1" x14ac:dyDescent="0.25">
      <c r="A345" s="3"/>
      <c r="B345" s="3"/>
      <c r="C345" s="3"/>
      <c r="D345" s="3"/>
      <c r="E345" s="3"/>
      <c r="K345" s="14"/>
      <c r="M345" s="14"/>
      <c r="N345" s="14"/>
      <c r="Z345" s="11"/>
      <c r="AA345" s="15"/>
      <c r="AB345" s="15"/>
      <c r="AC345" s="15"/>
      <c r="AD345" s="16"/>
      <c r="AE345" s="64"/>
      <c r="AF345" s="64"/>
      <c r="AG345" s="16"/>
      <c r="AH345" s="16"/>
      <c r="AI345" s="16"/>
      <c r="AJ345" s="15"/>
      <c r="AK345" s="15"/>
      <c r="AL345" s="15"/>
      <c r="AM345" s="15"/>
      <c r="AN345" s="15"/>
      <c r="AO345" s="15"/>
      <c r="AP345" s="3"/>
      <c r="AQ345" s="3"/>
      <c r="AR345" s="3"/>
      <c r="AS345" s="3"/>
      <c r="AT345" s="50"/>
      <c r="AU345" s="50"/>
      <c r="AV345" s="50"/>
      <c r="AW345" s="50"/>
      <c r="AX345" s="50"/>
      <c r="AY345" s="50"/>
      <c r="AZ345" s="17"/>
      <c r="BA345" s="17"/>
      <c r="BB345" s="17"/>
      <c r="BC345" s="17"/>
      <c r="BD345" s="16"/>
      <c r="BE345" s="16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29"/>
      <c r="BW345" s="29"/>
      <c r="BX345" s="29"/>
      <c r="BY345" s="94"/>
      <c r="BZ345" s="94"/>
      <c r="CA345" s="94"/>
      <c r="CB345" s="29"/>
      <c r="CC345" s="29"/>
      <c r="CD345" s="29"/>
      <c r="CE345" s="29"/>
      <c r="CF345" s="3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</row>
    <row r="346" spans="1:114" ht="11.1" customHeight="1" x14ac:dyDescent="0.25">
      <c r="A346" s="3"/>
      <c r="B346" s="3"/>
      <c r="C346" s="3"/>
      <c r="D346" s="3"/>
      <c r="E346" s="3"/>
      <c r="K346" s="14"/>
      <c r="M346" s="14"/>
      <c r="N346" s="14"/>
      <c r="Z346" s="11"/>
      <c r="AA346" s="15"/>
      <c r="AB346" s="15"/>
      <c r="AC346" s="15"/>
      <c r="AD346" s="16"/>
      <c r="AE346" s="64"/>
      <c r="AF346" s="64"/>
      <c r="AG346" s="16"/>
      <c r="AH346" s="16"/>
      <c r="AI346" s="16"/>
      <c r="AJ346" s="15"/>
      <c r="AK346" s="15"/>
      <c r="AL346" s="15"/>
      <c r="AM346" s="15"/>
      <c r="AN346" s="15"/>
      <c r="AO346" s="15"/>
      <c r="AP346" s="3"/>
      <c r="AQ346" s="3"/>
      <c r="AR346" s="3"/>
      <c r="AS346" s="3"/>
      <c r="AT346" s="50"/>
      <c r="AU346" s="50"/>
      <c r="AV346" s="50"/>
      <c r="AW346" s="50"/>
      <c r="AX346" s="50"/>
      <c r="AY346" s="50"/>
      <c r="AZ346" s="17"/>
      <c r="BA346" s="17"/>
      <c r="BB346" s="17"/>
      <c r="BC346" s="17"/>
      <c r="BD346" s="16"/>
      <c r="BE346" s="16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29"/>
      <c r="BW346" s="29"/>
      <c r="BX346" s="29"/>
      <c r="BY346" s="94"/>
      <c r="BZ346" s="94"/>
      <c r="CA346" s="94"/>
      <c r="CB346" s="29"/>
      <c r="CC346" s="29"/>
      <c r="CD346" s="29"/>
      <c r="CE346" s="29"/>
      <c r="CF346" s="3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</row>
    <row r="347" spans="1:114" ht="11.1" customHeight="1" x14ac:dyDescent="0.25">
      <c r="A347" s="3"/>
      <c r="B347" s="3"/>
      <c r="C347" s="3"/>
      <c r="D347" s="3"/>
      <c r="E347" s="3"/>
      <c r="K347" s="14"/>
      <c r="M347" s="14"/>
      <c r="N347" s="14"/>
      <c r="Z347" s="11"/>
      <c r="AA347" s="15"/>
      <c r="AB347" s="15"/>
      <c r="AC347" s="15"/>
      <c r="AD347" s="16"/>
      <c r="AE347" s="64"/>
      <c r="AF347" s="64"/>
      <c r="AG347" s="16"/>
      <c r="AH347" s="16"/>
      <c r="AI347" s="16"/>
      <c r="AJ347" s="15"/>
      <c r="AK347" s="15"/>
      <c r="AL347" s="15"/>
      <c r="AM347" s="15"/>
      <c r="AN347" s="15"/>
      <c r="AO347" s="15"/>
      <c r="AP347" s="3"/>
      <c r="AQ347" s="3"/>
      <c r="AR347" s="3"/>
      <c r="AS347" s="3"/>
      <c r="AT347" s="50"/>
      <c r="AU347" s="50"/>
      <c r="AV347" s="50"/>
      <c r="AW347" s="50"/>
      <c r="AX347" s="50"/>
      <c r="AY347" s="50"/>
      <c r="AZ347" s="17"/>
      <c r="BA347" s="17"/>
      <c r="BB347" s="17"/>
      <c r="BC347" s="17"/>
      <c r="BD347" s="16"/>
      <c r="BE347" s="16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29"/>
      <c r="BW347" s="29"/>
      <c r="BX347" s="29"/>
      <c r="BY347" s="94"/>
      <c r="BZ347" s="94"/>
      <c r="CA347" s="94"/>
      <c r="CB347" s="29"/>
      <c r="CC347" s="29"/>
      <c r="CD347" s="29"/>
      <c r="CE347" s="29"/>
      <c r="CF347" s="3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</row>
    <row r="348" spans="1:114" ht="11.1" customHeight="1" x14ac:dyDescent="0.25">
      <c r="A348" s="3"/>
      <c r="B348" s="3"/>
      <c r="C348" s="3"/>
      <c r="D348" s="3"/>
      <c r="E348" s="3"/>
      <c r="K348" s="14"/>
      <c r="M348" s="14"/>
      <c r="N348" s="14"/>
      <c r="Z348" s="11"/>
      <c r="AA348" s="15"/>
      <c r="AB348" s="15"/>
      <c r="AC348" s="15"/>
      <c r="AD348" s="16"/>
      <c r="AE348" s="64"/>
      <c r="AF348" s="64"/>
      <c r="AG348" s="16"/>
      <c r="AH348" s="16"/>
      <c r="AI348" s="16"/>
      <c r="AJ348" s="15"/>
      <c r="AK348" s="15"/>
      <c r="AL348" s="15"/>
      <c r="AM348" s="15"/>
      <c r="AN348" s="15"/>
      <c r="AO348" s="15"/>
      <c r="AP348" s="3"/>
      <c r="AQ348" s="3"/>
      <c r="AR348" s="3"/>
      <c r="AS348" s="3"/>
      <c r="AT348" s="50"/>
      <c r="AU348" s="50"/>
      <c r="AV348" s="50"/>
      <c r="AW348" s="50"/>
      <c r="AX348" s="50"/>
      <c r="AY348" s="50"/>
      <c r="AZ348" s="17"/>
      <c r="BA348" s="17"/>
      <c r="BB348" s="17"/>
      <c r="BC348" s="17"/>
      <c r="BD348" s="16"/>
      <c r="BE348" s="16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29"/>
      <c r="BW348" s="29"/>
      <c r="BX348" s="29"/>
      <c r="BY348" s="94"/>
      <c r="BZ348" s="94"/>
      <c r="CA348" s="94"/>
      <c r="CB348" s="29"/>
      <c r="CC348" s="29"/>
      <c r="CD348" s="29"/>
      <c r="CE348" s="29"/>
      <c r="CF348" s="3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</row>
    <row r="349" spans="1:114" ht="11.1" customHeight="1" x14ac:dyDescent="0.25">
      <c r="A349" s="3"/>
      <c r="B349" s="3"/>
      <c r="C349" s="3"/>
      <c r="D349" s="3"/>
      <c r="E349" s="3"/>
      <c r="K349" s="14"/>
      <c r="M349" s="14"/>
      <c r="N349" s="14"/>
      <c r="Z349" s="11"/>
      <c r="AA349" s="15"/>
      <c r="AB349" s="15"/>
      <c r="AC349" s="15"/>
      <c r="AD349" s="16"/>
      <c r="AE349" s="64"/>
      <c r="AF349" s="64"/>
      <c r="AG349" s="16"/>
      <c r="AH349" s="16"/>
      <c r="AI349" s="16"/>
      <c r="AJ349" s="15"/>
      <c r="AK349" s="15"/>
      <c r="AL349" s="15"/>
      <c r="AM349" s="15"/>
      <c r="AN349" s="15"/>
      <c r="AO349" s="15"/>
      <c r="AP349" s="3"/>
      <c r="AQ349" s="3"/>
      <c r="AR349" s="3"/>
      <c r="AS349" s="3"/>
      <c r="AT349" s="50"/>
      <c r="AU349" s="50"/>
      <c r="AV349" s="50"/>
      <c r="AW349" s="50"/>
      <c r="AX349" s="50"/>
      <c r="AY349" s="50"/>
      <c r="AZ349" s="17"/>
      <c r="BA349" s="17"/>
      <c r="BB349" s="17"/>
      <c r="BC349" s="17"/>
      <c r="BD349" s="16"/>
      <c r="BE349" s="16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29"/>
      <c r="BW349" s="29"/>
      <c r="BX349" s="29"/>
      <c r="BY349" s="94"/>
      <c r="BZ349" s="94"/>
      <c r="CA349" s="94"/>
      <c r="CB349" s="29"/>
      <c r="CC349" s="29"/>
      <c r="CD349" s="29"/>
      <c r="CE349" s="29"/>
      <c r="CF349" s="3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</row>
    <row r="350" spans="1:114" ht="11.1" customHeight="1" x14ac:dyDescent="0.25">
      <c r="A350" s="3"/>
      <c r="B350" s="3"/>
      <c r="C350" s="3"/>
      <c r="D350" s="3"/>
      <c r="E350" s="3"/>
      <c r="K350" s="14"/>
      <c r="M350" s="14"/>
      <c r="N350" s="14"/>
      <c r="Z350" s="11"/>
      <c r="AA350" s="15"/>
      <c r="AB350" s="15"/>
      <c r="AC350" s="15"/>
      <c r="AD350" s="16"/>
      <c r="AE350" s="64"/>
      <c r="AF350" s="64"/>
      <c r="AG350" s="16"/>
      <c r="AH350" s="16"/>
      <c r="AI350" s="16"/>
      <c r="AJ350" s="15"/>
      <c r="AK350" s="15"/>
      <c r="AL350" s="15"/>
      <c r="AM350" s="15"/>
      <c r="AN350" s="15"/>
      <c r="AO350" s="15"/>
      <c r="AP350" s="3"/>
      <c r="AQ350" s="3"/>
      <c r="AR350" s="3"/>
      <c r="AS350" s="3"/>
      <c r="AT350" s="50"/>
      <c r="AU350" s="50"/>
      <c r="AV350" s="50"/>
      <c r="AW350" s="50"/>
      <c r="AX350" s="50"/>
      <c r="AY350" s="50"/>
      <c r="AZ350" s="17"/>
      <c r="BA350" s="17"/>
      <c r="BB350" s="17"/>
      <c r="BC350" s="17"/>
      <c r="BD350" s="16"/>
      <c r="BE350" s="16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29"/>
      <c r="BW350" s="29"/>
      <c r="BX350" s="29"/>
      <c r="BY350" s="94"/>
      <c r="BZ350" s="94"/>
      <c r="CA350" s="94"/>
      <c r="CB350" s="29"/>
      <c r="CC350" s="29"/>
      <c r="CD350" s="29"/>
      <c r="CE350" s="29"/>
      <c r="CF350" s="3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</row>
    <row r="351" spans="1:114" ht="11.1" customHeight="1" x14ac:dyDescent="0.25">
      <c r="A351" s="3"/>
      <c r="B351" s="3"/>
      <c r="C351" s="3"/>
      <c r="D351" s="3"/>
      <c r="E351" s="3"/>
      <c r="K351" s="14"/>
      <c r="M351" s="14"/>
      <c r="N351" s="14"/>
      <c r="Z351" s="11"/>
      <c r="AA351" s="15"/>
      <c r="AB351" s="15"/>
      <c r="AC351" s="15"/>
      <c r="AD351" s="16"/>
      <c r="AE351" s="64"/>
      <c r="AF351" s="64"/>
      <c r="AG351" s="16"/>
      <c r="AH351" s="16"/>
      <c r="AI351" s="16"/>
      <c r="AJ351" s="15"/>
      <c r="AK351" s="15"/>
      <c r="AL351" s="15"/>
      <c r="AM351" s="15"/>
      <c r="AN351" s="15"/>
      <c r="AO351" s="15"/>
      <c r="AP351" s="3"/>
      <c r="AQ351" s="3"/>
      <c r="AR351" s="3"/>
      <c r="AS351" s="3"/>
      <c r="AT351" s="50"/>
      <c r="AU351" s="50"/>
      <c r="AV351" s="50"/>
      <c r="AW351" s="50"/>
      <c r="AX351" s="50"/>
      <c r="AY351" s="50"/>
      <c r="AZ351" s="17"/>
      <c r="BA351" s="17"/>
      <c r="BB351" s="17"/>
      <c r="BC351" s="17"/>
      <c r="BD351" s="16"/>
      <c r="BE351" s="16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29"/>
      <c r="BW351" s="29"/>
      <c r="BX351" s="29"/>
      <c r="BY351" s="94"/>
      <c r="BZ351" s="94"/>
      <c r="CA351" s="94"/>
      <c r="CB351" s="29"/>
      <c r="CC351" s="29"/>
      <c r="CD351" s="29"/>
      <c r="CE351" s="29"/>
      <c r="CF351" s="3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</row>
    <row r="352" spans="1:114" ht="11.1" customHeight="1" x14ac:dyDescent="0.25">
      <c r="A352" s="3"/>
      <c r="B352" s="3"/>
      <c r="C352" s="3"/>
      <c r="D352" s="3"/>
      <c r="E352" s="3"/>
      <c r="K352" s="14"/>
      <c r="M352" s="14"/>
      <c r="N352" s="14"/>
      <c r="Z352" s="11"/>
      <c r="AA352" s="15"/>
      <c r="AB352" s="15"/>
      <c r="AC352" s="15"/>
      <c r="AD352" s="16"/>
      <c r="AE352" s="64"/>
      <c r="AF352" s="64"/>
      <c r="AG352" s="16"/>
      <c r="AH352" s="16"/>
      <c r="AI352" s="16"/>
      <c r="AJ352" s="15"/>
      <c r="AK352" s="15"/>
      <c r="AL352" s="15"/>
      <c r="AM352" s="15"/>
      <c r="AN352" s="15"/>
      <c r="AO352" s="15"/>
      <c r="AP352" s="3"/>
      <c r="AQ352" s="3"/>
      <c r="AR352" s="3"/>
      <c r="AS352" s="3"/>
      <c r="AT352" s="50"/>
      <c r="AU352" s="50"/>
      <c r="AV352" s="50"/>
      <c r="AW352" s="50"/>
      <c r="AX352" s="50"/>
      <c r="AY352" s="50"/>
      <c r="AZ352" s="17"/>
      <c r="BA352" s="17"/>
      <c r="BB352" s="17"/>
      <c r="BC352" s="17"/>
      <c r="BD352" s="16"/>
      <c r="BE352" s="16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29"/>
      <c r="BW352" s="29"/>
      <c r="BX352" s="29"/>
      <c r="BY352" s="94"/>
      <c r="BZ352" s="94"/>
      <c r="CA352" s="94"/>
      <c r="CB352" s="29"/>
      <c r="CC352" s="29"/>
      <c r="CD352" s="29"/>
      <c r="CE352" s="29"/>
      <c r="CF352" s="3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</row>
    <row r="353" spans="1:114" ht="11.1" customHeight="1" x14ac:dyDescent="0.25">
      <c r="A353" s="3"/>
      <c r="B353" s="3"/>
      <c r="C353" s="3"/>
      <c r="D353" s="3"/>
      <c r="E353" s="3"/>
      <c r="K353" s="14"/>
      <c r="M353" s="14"/>
      <c r="N353" s="14"/>
      <c r="Z353" s="11"/>
      <c r="AA353" s="15"/>
      <c r="AB353" s="15"/>
      <c r="AC353" s="15"/>
      <c r="AD353" s="16"/>
      <c r="AE353" s="64"/>
      <c r="AF353" s="64"/>
      <c r="AG353" s="16"/>
      <c r="AH353" s="16"/>
      <c r="AI353" s="16"/>
      <c r="AJ353" s="15"/>
      <c r="AK353" s="15"/>
      <c r="AL353" s="15"/>
      <c r="AM353" s="15"/>
      <c r="AN353" s="15"/>
      <c r="AO353" s="15"/>
      <c r="AP353" s="3"/>
      <c r="AQ353" s="3"/>
      <c r="AR353" s="3"/>
      <c r="AS353" s="3"/>
      <c r="AT353" s="50"/>
      <c r="AU353" s="50"/>
      <c r="AV353" s="50"/>
      <c r="AW353" s="50"/>
      <c r="AX353" s="50"/>
      <c r="AY353" s="50"/>
      <c r="AZ353" s="17"/>
      <c r="BA353" s="17"/>
      <c r="BB353" s="17"/>
      <c r="BC353" s="17"/>
      <c r="BD353" s="16"/>
      <c r="BE353" s="16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29"/>
      <c r="BW353" s="29"/>
      <c r="BX353" s="29"/>
      <c r="BY353" s="94"/>
      <c r="BZ353" s="94"/>
      <c r="CA353" s="94"/>
      <c r="CB353" s="29"/>
      <c r="CC353" s="29"/>
      <c r="CD353" s="29"/>
      <c r="CE353" s="29"/>
      <c r="CF353" s="3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</row>
    <row r="354" spans="1:114" ht="11.1" customHeight="1" x14ac:dyDescent="0.25">
      <c r="A354" s="3"/>
      <c r="B354" s="3"/>
      <c r="C354" s="3"/>
      <c r="D354" s="3"/>
      <c r="E354" s="3"/>
      <c r="K354" s="14"/>
      <c r="M354" s="14"/>
      <c r="N354" s="14"/>
      <c r="Z354" s="11"/>
      <c r="AA354" s="15"/>
      <c r="AB354" s="15"/>
      <c r="AC354" s="15"/>
      <c r="AD354" s="16"/>
      <c r="AE354" s="64"/>
      <c r="AF354" s="64"/>
      <c r="AG354" s="16"/>
      <c r="AH354" s="16"/>
      <c r="AI354" s="16"/>
      <c r="AJ354" s="15"/>
      <c r="AK354" s="15"/>
      <c r="AL354" s="15"/>
      <c r="AM354" s="15"/>
      <c r="AN354" s="15"/>
      <c r="AO354" s="15"/>
      <c r="AP354" s="3"/>
      <c r="AQ354" s="3"/>
      <c r="AR354" s="3"/>
      <c r="AS354" s="3"/>
      <c r="AT354" s="50"/>
      <c r="AU354" s="50"/>
      <c r="AV354" s="50"/>
      <c r="AW354" s="50"/>
      <c r="AX354" s="50"/>
      <c r="AY354" s="50"/>
      <c r="AZ354" s="17"/>
      <c r="BA354" s="17"/>
      <c r="BB354" s="17"/>
      <c r="BC354" s="17"/>
      <c r="BD354" s="16"/>
      <c r="BE354" s="16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29"/>
      <c r="BW354" s="29"/>
      <c r="BX354" s="29"/>
      <c r="BY354" s="94"/>
      <c r="BZ354" s="94"/>
      <c r="CA354" s="94"/>
      <c r="CB354" s="29"/>
      <c r="CC354" s="29"/>
      <c r="CD354" s="29"/>
      <c r="CE354" s="29"/>
      <c r="CF354" s="3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</row>
    <row r="355" spans="1:114" ht="11.1" customHeight="1" x14ac:dyDescent="0.25">
      <c r="A355" s="3"/>
      <c r="B355" s="3"/>
      <c r="C355" s="3"/>
      <c r="D355" s="3"/>
      <c r="E355" s="3"/>
      <c r="K355" s="14"/>
      <c r="M355" s="14"/>
      <c r="N355" s="14"/>
      <c r="Z355" s="11"/>
      <c r="AA355" s="15"/>
      <c r="AB355" s="15"/>
      <c r="AC355" s="15"/>
      <c r="AD355" s="16"/>
      <c r="AE355" s="64"/>
      <c r="AF355" s="64"/>
      <c r="AG355" s="16"/>
      <c r="AH355" s="16"/>
      <c r="AI355" s="16"/>
      <c r="AJ355" s="15"/>
      <c r="AK355" s="15"/>
      <c r="AL355" s="15"/>
      <c r="AM355" s="15"/>
      <c r="AN355" s="15"/>
      <c r="AO355" s="15"/>
      <c r="AP355" s="3"/>
      <c r="AQ355" s="3"/>
      <c r="AR355" s="3"/>
      <c r="AS355" s="3"/>
      <c r="AT355" s="50"/>
      <c r="AU355" s="50"/>
      <c r="AV355" s="50"/>
      <c r="AW355" s="50"/>
      <c r="AX355" s="50"/>
      <c r="AY355" s="50"/>
      <c r="AZ355" s="17"/>
      <c r="BA355" s="17"/>
      <c r="BB355" s="17"/>
      <c r="BC355" s="17"/>
      <c r="BD355" s="16"/>
      <c r="BE355" s="16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29"/>
      <c r="BW355" s="29"/>
      <c r="BX355" s="29"/>
      <c r="BY355" s="94"/>
      <c r="BZ355" s="94"/>
      <c r="CA355" s="94"/>
      <c r="CB355" s="29"/>
      <c r="CC355" s="29"/>
      <c r="CD355" s="29"/>
      <c r="CE355" s="29"/>
      <c r="CF355" s="3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</row>
    <row r="356" spans="1:114" ht="11.1" customHeight="1" x14ac:dyDescent="0.25">
      <c r="A356" s="3"/>
      <c r="B356" s="3"/>
      <c r="C356" s="3"/>
      <c r="D356" s="3"/>
      <c r="E356" s="3"/>
      <c r="K356" s="14"/>
      <c r="M356" s="14"/>
      <c r="N356" s="14"/>
      <c r="Z356" s="11"/>
      <c r="AA356" s="15"/>
      <c r="AB356" s="15"/>
      <c r="AC356" s="15"/>
      <c r="AD356" s="16"/>
      <c r="AE356" s="64"/>
      <c r="AF356" s="64"/>
      <c r="AG356" s="16"/>
      <c r="AH356" s="16"/>
      <c r="AI356" s="16"/>
      <c r="AJ356" s="15"/>
      <c r="AK356" s="15"/>
      <c r="AL356" s="15"/>
      <c r="AM356" s="15"/>
      <c r="AN356" s="15"/>
      <c r="AO356" s="15"/>
      <c r="AP356" s="3"/>
      <c r="AQ356" s="3"/>
      <c r="AR356" s="3"/>
      <c r="AS356" s="3"/>
      <c r="AT356" s="50"/>
      <c r="AU356" s="50"/>
      <c r="AV356" s="50"/>
      <c r="AW356" s="50"/>
      <c r="AX356" s="50"/>
      <c r="AY356" s="50"/>
      <c r="AZ356" s="17"/>
      <c r="BA356" s="17"/>
      <c r="BB356" s="17"/>
      <c r="BC356" s="17"/>
      <c r="BD356" s="16"/>
      <c r="BE356" s="16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29"/>
      <c r="BW356" s="29"/>
      <c r="BX356" s="29"/>
      <c r="BY356" s="94"/>
      <c r="BZ356" s="94"/>
      <c r="CA356" s="94"/>
      <c r="CB356" s="29"/>
      <c r="CC356" s="29"/>
      <c r="CD356" s="29"/>
      <c r="CE356" s="29"/>
      <c r="CF356" s="3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</row>
    <row r="357" spans="1:114" ht="11.1" customHeight="1" x14ac:dyDescent="0.25">
      <c r="A357" s="3"/>
      <c r="B357" s="3"/>
      <c r="C357" s="3"/>
      <c r="D357" s="3"/>
      <c r="E357" s="3"/>
      <c r="K357" s="14"/>
      <c r="M357" s="14"/>
      <c r="N357" s="14"/>
      <c r="Z357" s="11"/>
      <c r="AA357" s="15"/>
      <c r="AB357" s="15"/>
      <c r="AC357" s="15"/>
      <c r="AD357" s="16"/>
      <c r="AE357" s="64"/>
      <c r="AF357" s="64"/>
      <c r="AG357" s="16"/>
      <c r="AH357" s="16"/>
      <c r="AI357" s="16"/>
      <c r="AJ357" s="15"/>
      <c r="AK357" s="15"/>
      <c r="AL357" s="15"/>
      <c r="AM357" s="15"/>
      <c r="AN357" s="15"/>
      <c r="AO357" s="15"/>
      <c r="AP357" s="3"/>
      <c r="AQ357" s="3"/>
      <c r="AR357" s="3"/>
      <c r="AS357" s="3"/>
      <c r="AT357" s="50"/>
      <c r="AU357" s="50"/>
      <c r="AV357" s="50"/>
      <c r="AW357" s="50"/>
      <c r="AX357" s="50"/>
      <c r="AY357" s="50"/>
      <c r="AZ357" s="17"/>
      <c r="BA357" s="17"/>
      <c r="BB357" s="17"/>
      <c r="BC357" s="17"/>
      <c r="BD357" s="16"/>
      <c r="BE357" s="16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29"/>
      <c r="BW357" s="29"/>
      <c r="BX357" s="29"/>
      <c r="BY357" s="94"/>
      <c r="BZ357" s="94"/>
      <c r="CA357" s="94"/>
      <c r="CB357" s="29"/>
      <c r="CC357" s="29"/>
      <c r="CD357" s="29"/>
      <c r="CE357" s="29"/>
      <c r="CF357" s="3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</row>
    <row r="358" spans="1:114" ht="11.1" customHeight="1" x14ac:dyDescent="0.25">
      <c r="A358" s="3"/>
      <c r="B358" s="3"/>
      <c r="C358" s="3"/>
      <c r="D358" s="3"/>
      <c r="E358" s="3"/>
      <c r="K358" s="14"/>
      <c r="M358" s="14"/>
      <c r="N358" s="14"/>
      <c r="Z358" s="11"/>
      <c r="AA358" s="15"/>
      <c r="AB358" s="15"/>
      <c r="AC358" s="15"/>
      <c r="AD358" s="16"/>
      <c r="AE358" s="64"/>
      <c r="AF358" s="64"/>
      <c r="AG358" s="16"/>
      <c r="AH358" s="16"/>
      <c r="AI358" s="16"/>
      <c r="AJ358" s="15"/>
      <c r="AK358" s="15"/>
      <c r="AL358" s="15"/>
      <c r="AM358" s="15"/>
      <c r="AN358" s="15"/>
      <c r="AO358" s="15"/>
      <c r="AP358" s="3"/>
      <c r="AQ358" s="3"/>
      <c r="AR358" s="3"/>
      <c r="AS358" s="3"/>
      <c r="AT358" s="50"/>
      <c r="AU358" s="50"/>
      <c r="AV358" s="50"/>
      <c r="AW358" s="50"/>
      <c r="AX358" s="50"/>
      <c r="AY358" s="50"/>
      <c r="AZ358" s="17"/>
      <c r="BA358" s="17"/>
      <c r="BB358" s="17"/>
      <c r="BC358" s="17"/>
      <c r="BD358" s="16"/>
      <c r="BE358" s="16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29"/>
      <c r="BW358" s="29"/>
      <c r="BX358" s="29"/>
      <c r="BY358" s="94"/>
      <c r="BZ358" s="94"/>
      <c r="CA358" s="94"/>
      <c r="CB358" s="29"/>
      <c r="CC358" s="29"/>
      <c r="CD358" s="29"/>
      <c r="CE358" s="29"/>
      <c r="CF358" s="3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</row>
    <row r="359" spans="1:114" ht="11.1" customHeight="1" x14ac:dyDescent="0.25">
      <c r="A359" s="3"/>
      <c r="B359" s="3"/>
      <c r="C359" s="3"/>
      <c r="D359" s="3"/>
      <c r="E359" s="3"/>
      <c r="K359" s="14"/>
      <c r="M359" s="14"/>
      <c r="N359" s="14"/>
      <c r="Z359" s="11"/>
      <c r="AA359" s="15"/>
      <c r="AB359" s="15"/>
      <c r="AC359" s="15"/>
      <c r="AD359" s="16"/>
      <c r="AE359" s="64"/>
      <c r="AF359" s="64"/>
      <c r="AG359" s="16"/>
      <c r="AH359" s="16"/>
      <c r="AI359" s="16"/>
      <c r="AJ359" s="15"/>
      <c r="AK359" s="15"/>
      <c r="AL359" s="15"/>
      <c r="AM359" s="15"/>
      <c r="AN359" s="15"/>
      <c r="AO359" s="15"/>
      <c r="AP359" s="3"/>
      <c r="AQ359" s="3"/>
      <c r="AR359" s="3"/>
      <c r="AS359" s="3"/>
      <c r="AT359" s="50"/>
      <c r="AU359" s="50"/>
      <c r="AV359" s="50"/>
      <c r="AW359" s="50"/>
      <c r="AX359" s="50"/>
      <c r="AY359" s="50"/>
      <c r="AZ359" s="17"/>
      <c r="BA359" s="17"/>
      <c r="BB359" s="17"/>
      <c r="BC359" s="17"/>
      <c r="BD359" s="16"/>
      <c r="BE359" s="16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29"/>
      <c r="BW359" s="29"/>
      <c r="BX359" s="29"/>
      <c r="BY359" s="94"/>
      <c r="BZ359" s="94"/>
      <c r="CA359" s="94"/>
      <c r="CB359" s="29"/>
      <c r="CC359" s="29"/>
      <c r="CD359" s="29"/>
      <c r="CE359" s="29"/>
      <c r="CF359" s="3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</row>
    <row r="360" spans="1:114" ht="11.1" customHeight="1" x14ac:dyDescent="0.25">
      <c r="A360" s="3"/>
      <c r="B360" s="3"/>
      <c r="C360" s="3"/>
      <c r="D360" s="3"/>
      <c r="E360" s="3"/>
      <c r="K360" s="14"/>
      <c r="M360" s="14"/>
      <c r="N360" s="14"/>
      <c r="Z360" s="11"/>
      <c r="AA360" s="15"/>
      <c r="AB360" s="15"/>
      <c r="AC360" s="15"/>
      <c r="AD360" s="16"/>
      <c r="AE360" s="64"/>
      <c r="AF360" s="64"/>
      <c r="AG360" s="16"/>
      <c r="AH360" s="16"/>
      <c r="AI360" s="16"/>
      <c r="AJ360" s="15"/>
      <c r="AK360" s="15"/>
      <c r="AL360" s="15"/>
      <c r="AM360" s="15"/>
      <c r="AN360" s="15"/>
      <c r="AO360" s="15"/>
      <c r="AP360" s="3"/>
      <c r="AQ360" s="3"/>
      <c r="AR360" s="3"/>
      <c r="AS360" s="3"/>
      <c r="AT360" s="50"/>
      <c r="AU360" s="50"/>
      <c r="AV360" s="50"/>
      <c r="AW360" s="50"/>
      <c r="AX360" s="50"/>
      <c r="AY360" s="50"/>
      <c r="AZ360" s="17"/>
      <c r="BA360" s="17"/>
      <c r="BB360" s="17"/>
      <c r="BC360" s="17"/>
      <c r="BD360" s="16"/>
      <c r="BE360" s="16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29"/>
      <c r="BW360" s="29"/>
      <c r="BX360" s="29"/>
      <c r="BY360" s="94"/>
      <c r="BZ360" s="94"/>
      <c r="CA360" s="94"/>
      <c r="CB360" s="29"/>
      <c r="CC360" s="29"/>
      <c r="CD360" s="29"/>
      <c r="CE360" s="29"/>
      <c r="CF360" s="3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</row>
    <row r="361" spans="1:114" ht="11.1" customHeight="1" x14ac:dyDescent="0.25">
      <c r="A361" s="3"/>
      <c r="B361" s="3"/>
      <c r="C361" s="3"/>
      <c r="D361" s="3"/>
      <c r="E361" s="3"/>
      <c r="K361" s="14"/>
      <c r="M361" s="14"/>
      <c r="N361" s="14"/>
      <c r="Z361" s="11"/>
      <c r="AA361" s="15"/>
      <c r="AB361" s="15"/>
      <c r="AC361" s="15"/>
      <c r="AD361" s="16"/>
      <c r="AE361" s="64"/>
      <c r="AF361" s="64"/>
      <c r="AG361" s="16"/>
      <c r="AH361" s="16"/>
      <c r="AI361" s="16"/>
      <c r="AJ361" s="15"/>
      <c r="AK361" s="15"/>
      <c r="AL361" s="15"/>
      <c r="AM361" s="15"/>
      <c r="AN361" s="15"/>
      <c r="AO361" s="15"/>
      <c r="AP361" s="3"/>
      <c r="AQ361" s="3"/>
      <c r="AR361" s="3"/>
      <c r="AS361" s="3"/>
      <c r="AT361" s="50"/>
      <c r="AU361" s="50"/>
      <c r="AV361" s="50"/>
      <c r="AW361" s="50"/>
      <c r="AX361" s="50"/>
      <c r="AY361" s="50"/>
      <c r="AZ361" s="17"/>
      <c r="BA361" s="17"/>
      <c r="BB361" s="17"/>
      <c r="BC361" s="17"/>
      <c r="BD361" s="16"/>
      <c r="BE361" s="16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29"/>
      <c r="BW361" s="29"/>
      <c r="BX361" s="29"/>
      <c r="BY361" s="94"/>
      <c r="BZ361" s="94"/>
      <c r="CA361" s="94"/>
      <c r="CB361" s="29"/>
      <c r="CC361" s="29"/>
      <c r="CD361" s="29"/>
      <c r="CE361" s="29"/>
      <c r="CF361" s="3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</row>
    <row r="362" spans="1:114" ht="11.1" customHeight="1" x14ac:dyDescent="0.25">
      <c r="A362" s="3"/>
      <c r="B362" s="3"/>
      <c r="C362" s="3"/>
      <c r="D362" s="3"/>
      <c r="E362" s="3"/>
      <c r="K362" s="14"/>
      <c r="M362" s="14"/>
      <c r="N362" s="14"/>
      <c r="Z362" s="11"/>
      <c r="AA362" s="15"/>
      <c r="AB362" s="15"/>
      <c r="AC362" s="15"/>
      <c r="AD362" s="16"/>
      <c r="AE362" s="64"/>
      <c r="AF362" s="64"/>
      <c r="AG362" s="16"/>
      <c r="AH362" s="16"/>
      <c r="AI362" s="16"/>
      <c r="AJ362" s="15"/>
      <c r="AK362" s="15"/>
      <c r="AL362" s="15"/>
      <c r="AM362" s="15"/>
      <c r="AN362" s="15"/>
      <c r="AO362" s="15"/>
      <c r="AP362" s="3"/>
      <c r="AQ362" s="3"/>
      <c r="AR362" s="3"/>
      <c r="AS362" s="3"/>
      <c r="AT362" s="50"/>
      <c r="AU362" s="50"/>
      <c r="AV362" s="50"/>
      <c r="AW362" s="50"/>
      <c r="AX362" s="50"/>
      <c r="AY362" s="50"/>
      <c r="AZ362" s="17"/>
      <c r="BA362" s="17"/>
      <c r="BB362" s="17"/>
      <c r="BC362" s="17"/>
      <c r="BD362" s="16"/>
      <c r="BE362" s="16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29"/>
      <c r="BW362" s="29"/>
      <c r="BX362" s="29"/>
      <c r="BY362" s="94"/>
      <c r="BZ362" s="94"/>
      <c r="CA362" s="94"/>
      <c r="CB362" s="29"/>
      <c r="CC362" s="29"/>
      <c r="CD362" s="29"/>
      <c r="CE362" s="29"/>
      <c r="CF362" s="3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</row>
    <row r="363" spans="1:114" ht="11.1" customHeight="1" x14ac:dyDescent="0.25">
      <c r="A363" s="3"/>
      <c r="B363" s="3"/>
      <c r="C363" s="3"/>
      <c r="D363" s="3"/>
      <c r="E363" s="3"/>
      <c r="K363" s="14"/>
      <c r="M363" s="14"/>
      <c r="N363" s="14"/>
      <c r="Z363" s="11"/>
      <c r="AA363" s="15"/>
      <c r="AB363" s="15"/>
      <c r="AC363" s="15"/>
      <c r="AD363" s="16"/>
      <c r="AE363" s="64"/>
      <c r="AF363" s="64"/>
      <c r="AG363" s="16"/>
      <c r="AH363" s="16"/>
      <c r="AI363" s="16"/>
      <c r="AJ363" s="15"/>
      <c r="AK363" s="15"/>
      <c r="AL363" s="15"/>
      <c r="AM363" s="15"/>
      <c r="AN363" s="15"/>
      <c r="AO363" s="15"/>
      <c r="AP363" s="3"/>
      <c r="AQ363" s="3"/>
      <c r="AR363" s="3"/>
      <c r="AS363" s="3"/>
      <c r="AT363" s="50"/>
      <c r="AU363" s="50"/>
      <c r="AV363" s="50"/>
      <c r="AW363" s="50"/>
      <c r="AX363" s="50"/>
      <c r="AY363" s="50"/>
      <c r="AZ363" s="17"/>
      <c r="BA363" s="17"/>
      <c r="BB363" s="17"/>
      <c r="BC363" s="17"/>
      <c r="BD363" s="16"/>
      <c r="BE363" s="16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29"/>
      <c r="BW363" s="29"/>
      <c r="BX363" s="29"/>
      <c r="BY363" s="94"/>
      <c r="BZ363" s="94"/>
      <c r="CA363" s="94"/>
      <c r="CB363" s="29"/>
      <c r="CC363" s="29"/>
      <c r="CD363" s="29"/>
      <c r="CE363" s="29"/>
      <c r="CF363" s="3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</row>
    <row r="364" spans="1:114" ht="11.1" customHeight="1" x14ac:dyDescent="0.25">
      <c r="A364" s="3"/>
      <c r="B364" s="3"/>
      <c r="C364" s="3"/>
      <c r="D364" s="3"/>
      <c r="E364" s="3"/>
      <c r="K364" s="14"/>
      <c r="M364" s="14"/>
      <c r="N364" s="14"/>
      <c r="Z364" s="11"/>
      <c r="AA364" s="15"/>
      <c r="AB364" s="15"/>
      <c r="AC364" s="15"/>
      <c r="AD364" s="16"/>
      <c r="AE364" s="64"/>
      <c r="AF364" s="64"/>
      <c r="AG364" s="16"/>
      <c r="AH364" s="16"/>
      <c r="AI364" s="16"/>
      <c r="AJ364" s="15"/>
      <c r="AK364" s="15"/>
      <c r="AL364" s="15"/>
      <c r="AM364" s="15"/>
      <c r="AN364" s="15"/>
      <c r="AO364" s="15"/>
      <c r="AP364" s="3"/>
      <c r="AQ364" s="3"/>
      <c r="AR364" s="3"/>
      <c r="AS364" s="3"/>
      <c r="AT364" s="50"/>
      <c r="AU364" s="50"/>
      <c r="AV364" s="50"/>
      <c r="AW364" s="50"/>
      <c r="AX364" s="50"/>
      <c r="AY364" s="50"/>
      <c r="AZ364" s="17"/>
      <c r="BA364" s="17"/>
      <c r="BB364" s="17"/>
      <c r="BC364" s="17"/>
      <c r="BD364" s="16"/>
      <c r="BE364" s="16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29"/>
      <c r="BW364" s="29"/>
      <c r="BX364" s="29"/>
      <c r="BY364" s="94"/>
      <c r="BZ364" s="94"/>
      <c r="CA364" s="94"/>
      <c r="CB364" s="29"/>
      <c r="CC364" s="29"/>
      <c r="CD364" s="29"/>
      <c r="CE364" s="29"/>
      <c r="CF364" s="3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</row>
    <row r="365" spans="1:114" ht="11.1" customHeight="1" x14ac:dyDescent="0.25">
      <c r="A365" s="3"/>
      <c r="B365" s="3"/>
      <c r="C365" s="3"/>
      <c r="D365" s="3"/>
      <c r="E365" s="3"/>
      <c r="K365" s="14"/>
      <c r="M365" s="14"/>
      <c r="N365" s="14"/>
      <c r="Z365" s="11"/>
      <c r="AA365" s="15"/>
      <c r="AB365" s="15"/>
      <c r="AC365" s="15"/>
      <c r="AD365" s="16"/>
      <c r="AE365" s="64"/>
      <c r="AF365" s="64"/>
      <c r="AG365" s="16"/>
      <c r="AH365" s="16"/>
      <c r="AI365" s="16"/>
      <c r="AJ365" s="15"/>
      <c r="AK365" s="15"/>
      <c r="AL365" s="15"/>
      <c r="AM365" s="15"/>
      <c r="AN365" s="15"/>
      <c r="AO365" s="15"/>
      <c r="AP365" s="3"/>
      <c r="AQ365" s="3"/>
      <c r="AR365" s="3"/>
      <c r="AS365" s="3"/>
      <c r="AT365" s="50"/>
      <c r="AU365" s="50"/>
      <c r="AV365" s="50"/>
      <c r="AW365" s="50"/>
      <c r="AX365" s="50"/>
      <c r="AY365" s="50"/>
      <c r="AZ365" s="17"/>
      <c r="BA365" s="17"/>
      <c r="BB365" s="17"/>
      <c r="BC365" s="17"/>
      <c r="BD365" s="16"/>
      <c r="BE365" s="16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29"/>
      <c r="BW365" s="29"/>
      <c r="BX365" s="29"/>
      <c r="BY365" s="94"/>
      <c r="BZ365" s="94"/>
      <c r="CA365" s="94"/>
      <c r="CB365" s="29"/>
      <c r="CC365" s="29"/>
      <c r="CD365" s="29"/>
      <c r="CE365" s="29"/>
      <c r="CF365" s="3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</row>
    <row r="366" spans="1:114" ht="11.1" customHeight="1" x14ac:dyDescent="0.25">
      <c r="A366" s="3"/>
      <c r="B366" s="3"/>
      <c r="C366" s="3"/>
      <c r="D366" s="3"/>
      <c r="E366" s="3"/>
      <c r="K366" s="14"/>
      <c r="M366" s="14"/>
      <c r="N366" s="14"/>
      <c r="Z366" s="11"/>
      <c r="AA366" s="15"/>
      <c r="AB366" s="15"/>
      <c r="AC366" s="15"/>
      <c r="AD366" s="16"/>
      <c r="AE366" s="64"/>
      <c r="AF366" s="64"/>
      <c r="AG366" s="16"/>
      <c r="AH366" s="16"/>
      <c r="AI366" s="16"/>
      <c r="AJ366" s="15"/>
      <c r="AK366" s="15"/>
      <c r="AL366" s="15"/>
      <c r="AM366" s="15"/>
      <c r="AN366" s="15"/>
      <c r="AO366" s="15"/>
      <c r="AP366" s="3"/>
      <c r="AQ366" s="3"/>
      <c r="AR366" s="3"/>
      <c r="AS366" s="3"/>
      <c r="AT366" s="50"/>
      <c r="AU366" s="50"/>
      <c r="AV366" s="50"/>
      <c r="AW366" s="50"/>
      <c r="AX366" s="50"/>
      <c r="AY366" s="50"/>
      <c r="AZ366" s="17"/>
      <c r="BA366" s="17"/>
      <c r="BB366" s="17"/>
      <c r="BC366" s="17"/>
      <c r="BD366" s="16"/>
      <c r="BE366" s="16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29"/>
      <c r="BW366" s="29"/>
      <c r="BX366" s="29"/>
      <c r="BY366" s="94"/>
      <c r="BZ366" s="94"/>
      <c r="CA366" s="94"/>
      <c r="CB366" s="29"/>
      <c r="CC366" s="29"/>
      <c r="CD366" s="29"/>
      <c r="CE366" s="29"/>
      <c r="CF366" s="3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</row>
    <row r="367" spans="1:114" ht="11.1" customHeight="1" x14ac:dyDescent="0.25">
      <c r="A367" s="3"/>
      <c r="B367" s="3"/>
      <c r="C367" s="3"/>
      <c r="D367" s="3"/>
      <c r="E367" s="3"/>
      <c r="K367" s="14"/>
      <c r="M367" s="14"/>
      <c r="N367" s="14"/>
      <c r="Z367" s="11"/>
      <c r="AA367" s="15"/>
      <c r="AB367" s="15"/>
      <c r="AC367" s="15"/>
      <c r="AD367" s="16"/>
      <c r="AE367" s="64"/>
      <c r="AF367" s="64"/>
      <c r="AG367" s="16"/>
      <c r="AH367" s="16"/>
      <c r="AI367" s="16"/>
      <c r="AJ367" s="15"/>
      <c r="AK367" s="15"/>
      <c r="AL367" s="15"/>
      <c r="AM367" s="15"/>
      <c r="AN367" s="15"/>
      <c r="AO367" s="15"/>
      <c r="AP367" s="3"/>
      <c r="AQ367" s="3"/>
      <c r="AR367" s="3"/>
      <c r="AS367" s="3"/>
      <c r="AT367" s="50"/>
      <c r="AU367" s="50"/>
      <c r="AV367" s="50"/>
      <c r="AW367" s="50"/>
      <c r="AX367" s="50"/>
      <c r="AY367" s="50"/>
      <c r="AZ367" s="17"/>
      <c r="BA367" s="17"/>
      <c r="BB367" s="17"/>
      <c r="BC367" s="17"/>
      <c r="BD367" s="16"/>
      <c r="BE367" s="16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29"/>
      <c r="BW367" s="29"/>
      <c r="BX367" s="29"/>
      <c r="BY367" s="94"/>
      <c r="BZ367" s="94"/>
      <c r="CA367" s="94"/>
      <c r="CB367" s="29"/>
      <c r="CC367" s="29"/>
      <c r="CD367" s="29"/>
      <c r="CE367" s="29"/>
      <c r="CF367" s="3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</row>
    <row r="368" spans="1:114" ht="11.1" customHeight="1" x14ac:dyDescent="0.25">
      <c r="A368" s="3"/>
      <c r="B368" s="3"/>
      <c r="C368" s="3"/>
      <c r="D368" s="3"/>
      <c r="E368" s="3"/>
      <c r="K368" s="14"/>
      <c r="M368" s="14"/>
      <c r="N368" s="14"/>
      <c r="Z368" s="11"/>
      <c r="AA368" s="15"/>
      <c r="AB368" s="15"/>
      <c r="AC368" s="15"/>
      <c r="AD368" s="16"/>
      <c r="AE368" s="64"/>
      <c r="AF368" s="64"/>
      <c r="AG368" s="16"/>
      <c r="AH368" s="16"/>
      <c r="AI368" s="16"/>
      <c r="AJ368" s="15"/>
      <c r="AK368" s="15"/>
      <c r="AL368" s="15"/>
      <c r="AM368" s="15"/>
      <c r="AN368" s="15"/>
      <c r="AO368" s="15"/>
      <c r="AP368" s="3"/>
      <c r="AQ368" s="3"/>
      <c r="AR368" s="3"/>
      <c r="AS368" s="3"/>
      <c r="AT368" s="50"/>
      <c r="AU368" s="50"/>
      <c r="AV368" s="50"/>
      <c r="AW368" s="50"/>
      <c r="AX368" s="50"/>
      <c r="AY368" s="50"/>
      <c r="AZ368" s="17"/>
      <c r="BA368" s="17"/>
      <c r="BB368" s="17"/>
      <c r="BC368" s="17"/>
      <c r="BD368" s="16"/>
      <c r="BE368" s="16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29"/>
      <c r="BW368" s="29"/>
      <c r="BX368" s="29"/>
      <c r="BY368" s="94"/>
      <c r="BZ368" s="94"/>
      <c r="CA368" s="94"/>
      <c r="CB368" s="29"/>
      <c r="CC368" s="29"/>
      <c r="CD368" s="29"/>
      <c r="CE368" s="29"/>
      <c r="CF368" s="3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</row>
    <row r="369" spans="1:114" ht="11.1" customHeight="1" x14ac:dyDescent="0.25">
      <c r="A369" s="3"/>
      <c r="B369" s="3"/>
      <c r="C369" s="3"/>
      <c r="D369" s="3"/>
      <c r="E369" s="3"/>
      <c r="K369" s="14"/>
      <c r="M369" s="14"/>
      <c r="N369" s="14"/>
      <c r="Z369" s="11"/>
      <c r="AA369" s="15"/>
      <c r="AB369" s="15"/>
      <c r="AC369" s="15"/>
      <c r="AD369" s="16"/>
      <c r="AE369" s="64"/>
      <c r="AF369" s="64"/>
      <c r="AG369" s="16"/>
      <c r="AH369" s="16"/>
      <c r="AI369" s="16"/>
      <c r="AJ369" s="15"/>
      <c r="AK369" s="15"/>
      <c r="AL369" s="15"/>
      <c r="AM369" s="15"/>
      <c r="AN369" s="15"/>
      <c r="AO369" s="15"/>
      <c r="AP369" s="3"/>
      <c r="AQ369" s="3"/>
      <c r="AR369" s="3"/>
      <c r="AS369" s="3"/>
      <c r="AT369" s="50"/>
      <c r="AU369" s="50"/>
      <c r="AV369" s="50"/>
      <c r="AW369" s="50"/>
      <c r="AX369" s="50"/>
      <c r="AY369" s="50"/>
      <c r="AZ369" s="17"/>
      <c r="BA369" s="17"/>
      <c r="BB369" s="17"/>
      <c r="BC369" s="17"/>
      <c r="BD369" s="16"/>
      <c r="BE369" s="16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29"/>
      <c r="BW369" s="29"/>
      <c r="BX369" s="29"/>
      <c r="BY369" s="94"/>
      <c r="BZ369" s="94"/>
      <c r="CA369" s="94"/>
      <c r="CB369" s="29"/>
      <c r="CC369" s="29"/>
      <c r="CD369" s="29"/>
      <c r="CE369" s="29"/>
      <c r="CF369" s="3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</row>
    <row r="370" spans="1:114" ht="11.1" customHeight="1" x14ac:dyDescent="0.25">
      <c r="A370" s="3"/>
      <c r="B370" s="3"/>
      <c r="C370" s="3"/>
      <c r="D370" s="3"/>
      <c r="E370" s="3"/>
      <c r="K370" s="14"/>
      <c r="M370" s="14"/>
      <c r="N370" s="14"/>
      <c r="Z370" s="11"/>
      <c r="AA370" s="15"/>
      <c r="AB370" s="15"/>
      <c r="AC370" s="15"/>
      <c r="AD370" s="16"/>
      <c r="AE370" s="64"/>
      <c r="AF370" s="64"/>
      <c r="AG370" s="16"/>
      <c r="AH370" s="16"/>
      <c r="AI370" s="16"/>
      <c r="AJ370" s="15"/>
      <c r="AK370" s="15"/>
      <c r="AL370" s="15"/>
      <c r="AM370" s="15"/>
      <c r="AN370" s="15"/>
      <c r="AO370" s="15"/>
      <c r="AP370" s="3"/>
      <c r="AQ370" s="3"/>
      <c r="AR370" s="3"/>
      <c r="AS370" s="3"/>
      <c r="AT370" s="50"/>
      <c r="AU370" s="50"/>
      <c r="AV370" s="50"/>
      <c r="AW370" s="50"/>
      <c r="AX370" s="50"/>
      <c r="AY370" s="50"/>
      <c r="AZ370" s="17"/>
      <c r="BA370" s="17"/>
      <c r="BB370" s="17"/>
      <c r="BC370" s="17"/>
      <c r="BD370" s="16"/>
      <c r="BE370" s="16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29"/>
      <c r="BW370" s="29"/>
      <c r="BX370" s="29"/>
      <c r="BY370" s="94"/>
      <c r="BZ370" s="94"/>
      <c r="CA370" s="94"/>
      <c r="CB370" s="29"/>
      <c r="CC370" s="29"/>
      <c r="CD370" s="29"/>
      <c r="CE370" s="29"/>
      <c r="CF370" s="3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</row>
    <row r="371" spans="1:114" ht="11.1" customHeight="1" x14ac:dyDescent="0.25">
      <c r="A371" s="3"/>
      <c r="B371" s="3"/>
      <c r="C371" s="3"/>
      <c r="D371" s="3"/>
      <c r="E371" s="3"/>
      <c r="K371" s="14"/>
      <c r="M371" s="14"/>
      <c r="N371" s="14"/>
      <c r="Z371" s="11"/>
      <c r="AA371" s="15"/>
      <c r="AB371" s="15"/>
      <c r="AC371" s="15"/>
      <c r="AD371" s="16"/>
      <c r="AE371" s="64"/>
      <c r="AF371" s="64"/>
      <c r="AG371" s="16"/>
      <c r="AH371" s="16"/>
      <c r="AI371" s="16"/>
      <c r="AJ371" s="15"/>
      <c r="AK371" s="15"/>
      <c r="AL371" s="15"/>
      <c r="AM371" s="15"/>
      <c r="AN371" s="15"/>
      <c r="AO371" s="15"/>
      <c r="AP371" s="3"/>
      <c r="AQ371" s="3"/>
      <c r="AR371" s="3"/>
      <c r="AS371" s="3"/>
      <c r="AT371" s="50"/>
      <c r="AU371" s="50"/>
      <c r="AV371" s="50"/>
      <c r="AW371" s="50"/>
      <c r="AX371" s="50"/>
      <c r="AY371" s="50"/>
      <c r="AZ371" s="17"/>
      <c r="BA371" s="17"/>
      <c r="BB371" s="17"/>
      <c r="BC371" s="17"/>
      <c r="BD371" s="16"/>
      <c r="BE371" s="16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29"/>
      <c r="BW371" s="29"/>
      <c r="BX371" s="29"/>
      <c r="BY371" s="94"/>
      <c r="BZ371" s="94"/>
      <c r="CA371" s="94"/>
      <c r="CB371" s="29"/>
      <c r="CC371" s="29"/>
      <c r="CD371" s="29"/>
      <c r="CE371" s="29"/>
      <c r="CF371" s="3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</row>
    <row r="372" spans="1:114" ht="11.1" customHeight="1" x14ac:dyDescent="0.25">
      <c r="A372" s="3"/>
      <c r="B372" s="3"/>
      <c r="C372" s="3"/>
      <c r="D372" s="3"/>
      <c r="E372" s="3"/>
      <c r="K372" s="14"/>
      <c r="M372" s="14"/>
      <c r="N372" s="14"/>
      <c r="Z372" s="11"/>
      <c r="AA372" s="15"/>
      <c r="AB372" s="15"/>
      <c r="AC372" s="15"/>
      <c r="AD372" s="16"/>
      <c r="AE372" s="64"/>
      <c r="AF372" s="64"/>
      <c r="AG372" s="16"/>
      <c r="AH372" s="16"/>
      <c r="AI372" s="16"/>
      <c r="AJ372" s="15"/>
      <c r="AK372" s="15"/>
      <c r="AL372" s="15"/>
      <c r="AM372" s="15"/>
      <c r="AN372" s="15"/>
      <c r="AO372" s="15"/>
      <c r="AP372" s="3"/>
      <c r="AQ372" s="3"/>
      <c r="AR372" s="3"/>
      <c r="AS372" s="3"/>
      <c r="AT372" s="50"/>
      <c r="AU372" s="50"/>
      <c r="AV372" s="50"/>
      <c r="AW372" s="50"/>
      <c r="AX372" s="50"/>
      <c r="AY372" s="50"/>
      <c r="AZ372" s="17"/>
      <c r="BA372" s="17"/>
      <c r="BB372" s="17"/>
      <c r="BC372" s="17"/>
      <c r="BD372" s="16"/>
      <c r="BE372" s="16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29"/>
      <c r="BW372" s="29"/>
      <c r="BX372" s="29"/>
      <c r="BY372" s="94"/>
      <c r="BZ372" s="94"/>
      <c r="CA372" s="94"/>
      <c r="CB372" s="29"/>
      <c r="CC372" s="29"/>
      <c r="CD372" s="29"/>
      <c r="CE372" s="29"/>
      <c r="CF372" s="3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</row>
    <row r="373" spans="1:114" ht="11.1" customHeight="1" x14ac:dyDescent="0.25">
      <c r="A373" s="3"/>
      <c r="B373" s="3"/>
      <c r="C373" s="3"/>
      <c r="D373" s="3"/>
      <c r="E373" s="3"/>
      <c r="K373" s="14"/>
      <c r="M373" s="14"/>
      <c r="N373" s="14"/>
      <c r="Z373" s="11"/>
      <c r="AA373" s="15"/>
      <c r="AB373" s="15"/>
      <c r="AC373" s="15"/>
      <c r="AD373" s="16"/>
      <c r="AE373" s="64"/>
      <c r="AF373" s="64"/>
      <c r="AG373" s="16"/>
      <c r="AH373" s="16"/>
      <c r="AI373" s="16"/>
      <c r="AJ373" s="15"/>
      <c r="AK373" s="15"/>
      <c r="AL373" s="15"/>
      <c r="AM373" s="15"/>
      <c r="AN373" s="15"/>
      <c r="AO373" s="15"/>
      <c r="AP373" s="3"/>
      <c r="AQ373" s="3"/>
      <c r="AR373" s="3"/>
      <c r="AS373" s="3"/>
      <c r="AT373" s="50"/>
      <c r="AU373" s="50"/>
      <c r="AV373" s="50"/>
      <c r="AW373" s="50"/>
      <c r="AX373" s="50"/>
      <c r="AY373" s="50"/>
      <c r="AZ373" s="17"/>
      <c r="BA373" s="17"/>
      <c r="BB373" s="17"/>
      <c r="BC373" s="17"/>
      <c r="BD373" s="16"/>
      <c r="BE373" s="16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29"/>
      <c r="BW373" s="29"/>
      <c r="BX373" s="29"/>
      <c r="BY373" s="94"/>
      <c r="BZ373" s="94"/>
      <c r="CA373" s="94"/>
      <c r="CB373" s="29"/>
      <c r="CC373" s="29"/>
      <c r="CD373" s="29"/>
      <c r="CE373" s="29"/>
      <c r="CF373" s="3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</row>
    <row r="374" spans="1:114" ht="11.1" customHeight="1" x14ac:dyDescent="0.25">
      <c r="A374" s="3"/>
      <c r="B374" s="3"/>
      <c r="C374" s="3"/>
      <c r="D374" s="3"/>
      <c r="E374" s="3"/>
      <c r="K374" s="14"/>
      <c r="M374" s="14"/>
      <c r="N374" s="14"/>
      <c r="Z374" s="11"/>
      <c r="AA374" s="15"/>
      <c r="AB374" s="15"/>
      <c r="AC374" s="15"/>
      <c r="AD374" s="16"/>
      <c r="AE374" s="64"/>
      <c r="AF374" s="64"/>
      <c r="AG374" s="16"/>
      <c r="AH374" s="16"/>
      <c r="AI374" s="16"/>
      <c r="AJ374" s="15"/>
      <c r="AK374" s="15"/>
      <c r="AL374" s="15"/>
      <c r="AM374" s="15"/>
      <c r="AN374" s="15"/>
      <c r="AO374" s="15"/>
      <c r="AP374" s="3"/>
      <c r="AQ374" s="3"/>
      <c r="AR374" s="3"/>
      <c r="AS374" s="3"/>
      <c r="AT374" s="50"/>
      <c r="AU374" s="50"/>
      <c r="AV374" s="50"/>
      <c r="AW374" s="50"/>
      <c r="AX374" s="50"/>
      <c r="AY374" s="50"/>
      <c r="AZ374" s="17"/>
      <c r="BA374" s="17"/>
      <c r="BB374" s="17"/>
      <c r="BC374" s="17"/>
      <c r="BD374" s="16"/>
      <c r="BE374" s="16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29"/>
      <c r="BW374" s="29"/>
      <c r="BX374" s="29"/>
      <c r="BY374" s="94"/>
      <c r="BZ374" s="94"/>
      <c r="CA374" s="94"/>
      <c r="CB374" s="29"/>
      <c r="CC374" s="29"/>
      <c r="CD374" s="29"/>
      <c r="CE374" s="29"/>
      <c r="CF374" s="3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</row>
    <row r="375" spans="1:114" ht="11.1" customHeight="1" x14ac:dyDescent="0.25">
      <c r="A375" s="3"/>
      <c r="B375" s="3"/>
      <c r="C375" s="3"/>
      <c r="D375" s="3"/>
      <c r="E375" s="3"/>
      <c r="K375" s="14"/>
      <c r="M375" s="14"/>
      <c r="N375" s="14"/>
      <c r="Z375" s="11"/>
      <c r="AA375" s="15"/>
      <c r="AB375" s="15"/>
      <c r="AC375" s="15"/>
      <c r="AD375" s="16"/>
      <c r="AE375" s="64"/>
      <c r="AF375" s="64"/>
      <c r="AG375" s="16"/>
      <c r="AH375" s="16"/>
      <c r="AI375" s="16"/>
      <c r="AJ375" s="15"/>
      <c r="AK375" s="15"/>
      <c r="AL375" s="15"/>
      <c r="AM375" s="15"/>
      <c r="AN375" s="15"/>
      <c r="AO375" s="15"/>
      <c r="AP375" s="3"/>
      <c r="AQ375" s="3"/>
      <c r="AR375" s="3"/>
      <c r="AS375" s="3"/>
      <c r="AT375" s="50"/>
      <c r="AU375" s="50"/>
      <c r="AV375" s="50"/>
      <c r="AW375" s="50"/>
      <c r="AX375" s="50"/>
      <c r="AY375" s="50"/>
      <c r="AZ375" s="17"/>
      <c r="BA375" s="17"/>
      <c r="BB375" s="17"/>
      <c r="BC375" s="17"/>
      <c r="BD375" s="16"/>
      <c r="BE375" s="16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29"/>
      <c r="BW375" s="29"/>
      <c r="BX375" s="29"/>
      <c r="BY375" s="94"/>
      <c r="BZ375" s="94"/>
      <c r="CA375" s="94"/>
      <c r="CB375" s="29"/>
      <c r="CC375" s="29"/>
      <c r="CD375" s="29"/>
      <c r="CE375" s="29"/>
      <c r="CF375" s="3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</row>
    <row r="376" spans="1:114" ht="11.1" customHeight="1" x14ac:dyDescent="0.25">
      <c r="A376" s="3"/>
      <c r="B376" s="3"/>
      <c r="C376" s="3"/>
      <c r="D376" s="3"/>
      <c r="E376" s="3"/>
      <c r="K376" s="14"/>
      <c r="M376" s="14"/>
      <c r="N376" s="14"/>
      <c r="Z376" s="11"/>
      <c r="AA376" s="15"/>
      <c r="AB376" s="15"/>
      <c r="AC376" s="15"/>
      <c r="AD376" s="16"/>
      <c r="AE376" s="64"/>
      <c r="AF376" s="64"/>
      <c r="AG376" s="16"/>
      <c r="AH376" s="16"/>
      <c r="AI376" s="16"/>
      <c r="AJ376" s="15"/>
      <c r="AK376" s="15"/>
      <c r="AL376" s="15"/>
      <c r="AM376" s="15"/>
      <c r="AN376" s="15"/>
      <c r="AO376" s="15"/>
      <c r="AP376" s="3"/>
      <c r="AQ376" s="3"/>
      <c r="AR376" s="3"/>
      <c r="AS376" s="3"/>
      <c r="AT376" s="50"/>
      <c r="AU376" s="50"/>
      <c r="AV376" s="50"/>
      <c r="AW376" s="50"/>
      <c r="AX376" s="50"/>
      <c r="AY376" s="50"/>
      <c r="AZ376" s="17"/>
      <c r="BA376" s="17"/>
      <c r="BB376" s="17"/>
      <c r="BC376" s="17"/>
      <c r="BD376" s="16"/>
      <c r="BE376" s="16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29"/>
      <c r="BW376" s="29"/>
      <c r="BX376" s="29"/>
      <c r="BY376" s="94"/>
      <c r="BZ376" s="94"/>
      <c r="CA376" s="94"/>
      <c r="CB376" s="29"/>
      <c r="CC376" s="29"/>
      <c r="CD376" s="29"/>
      <c r="CE376" s="29"/>
      <c r="CF376" s="3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</row>
    <row r="377" spans="1:114" ht="11.1" customHeight="1" x14ac:dyDescent="0.25">
      <c r="A377" s="3"/>
      <c r="B377" s="3"/>
      <c r="C377" s="3"/>
      <c r="D377" s="3"/>
      <c r="E377" s="3"/>
      <c r="K377" s="14"/>
      <c r="M377" s="14"/>
      <c r="N377" s="14"/>
      <c r="Z377" s="11"/>
      <c r="AA377" s="15"/>
      <c r="AB377" s="15"/>
      <c r="AC377" s="15"/>
      <c r="AD377" s="16"/>
      <c r="AE377" s="64"/>
      <c r="AF377" s="64"/>
      <c r="AG377" s="16"/>
      <c r="AH377" s="16"/>
      <c r="AI377" s="16"/>
      <c r="AJ377" s="15"/>
      <c r="AK377" s="15"/>
      <c r="AL377" s="15"/>
      <c r="AM377" s="15"/>
      <c r="AN377" s="15"/>
      <c r="AO377" s="15"/>
      <c r="AP377" s="3"/>
      <c r="AQ377" s="3"/>
      <c r="AR377" s="3"/>
      <c r="AS377" s="3"/>
      <c r="AT377" s="50"/>
      <c r="AU377" s="50"/>
      <c r="AV377" s="50"/>
      <c r="AW377" s="50"/>
      <c r="AX377" s="50"/>
      <c r="AY377" s="50"/>
      <c r="AZ377" s="17"/>
      <c r="BA377" s="17"/>
      <c r="BB377" s="17"/>
      <c r="BC377" s="17"/>
      <c r="BD377" s="16"/>
      <c r="BE377" s="16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29"/>
      <c r="BW377" s="29"/>
      <c r="BX377" s="29"/>
      <c r="BY377" s="94"/>
      <c r="BZ377" s="94"/>
      <c r="CA377" s="94"/>
      <c r="CB377" s="29"/>
      <c r="CC377" s="29"/>
      <c r="CD377" s="29"/>
      <c r="CE377" s="29"/>
      <c r="CF377" s="3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</row>
    <row r="378" spans="1:114" ht="11.1" customHeight="1" x14ac:dyDescent="0.25">
      <c r="A378" s="3"/>
      <c r="B378" s="3"/>
      <c r="C378" s="3"/>
      <c r="D378" s="3"/>
      <c r="E378" s="3"/>
      <c r="K378" s="14"/>
      <c r="M378" s="14"/>
      <c r="N378" s="14"/>
      <c r="Z378" s="11"/>
      <c r="AA378" s="15"/>
      <c r="AB378" s="15"/>
      <c r="AC378" s="15"/>
      <c r="AD378" s="16"/>
      <c r="AE378" s="64"/>
      <c r="AF378" s="64"/>
      <c r="AG378" s="16"/>
      <c r="AH378" s="16"/>
      <c r="AI378" s="16"/>
      <c r="AJ378" s="15"/>
      <c r="AK378" s="15"/>
      <c r="AL378" s="15"/>
      <c r="AM378" s="15"/>
      <c r="AN378" s="15"/>
      <c r="AO378" s="15"/>
      <c r="AP378" s="3"/>
      <c r="AQ378" s="3"/>
      <c r="AR378" s="3"/>
      <c r="AS378" s="3"/>
      <c r="AT378" s="50"/>
      <c r="AU378" s="50"/>
      <c r="AV378" s="50"/>
      <c r="AW378" s="50"/>
      <c r="AX378" s="50"/>
      <c r="AY378" s="50"/>
      <c r="AZ378" s="17"/>
      <c r="BA378" s="17"/>
      <c r="BB378" s="17"/>
      <c r="BC378" s="17"/>
      <c r="BD378" s="16"/>
      <c r="BE378" s="16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29"/>
      <c r="BW378" s="29"/>
      <c r="BX378" s="29"/>
      <c r="BY378" s="94"/>
      <c r="BZ378" s="94"/>
      <c r="CA378" s="94"/>
      <c r="CB378" s="29"/>
      <c r="CC378" s="29"/>
      <c r="CD378" s="29"/>
      <c r="CE378" s="29"/>
      <c r="CF378" s="3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</row>
    <row r="379" spans="1:114" ht="11.1" customHeight="1" x14ac:dyDescent="0.25">
      <c r="A379" s="3"/>
      <c r="B379" s="3"/>
      <c r="C379" s="3"/>
      <c r="D379" s="3"/>
      <c r="E379" s="3"/>
      <c r="K379" s="14"/>
      <c r="M379" s="14"/>
      <c r="N379" s="14"/>
      <c r="Z379" s="11"/>
      <c r="AA379" s="15"/>
      <c r="AB379" s="15"/>
      <c r="AC379" s="15"/>
      <c r="AD379" s="16"/>
      <c r="AE379" s="64"/>
      <c r="AF379" s="64"/>
      <c r="AG379" s="16"/>
      <c r="AH379" s="16"/>
      <c r="AI379" s="16"/>
      <c r="AJ379" s="15"/>
      <c r="AK379" s="15"/>
      <c r="AL379" s="15"/>
      <c r="AM379" s="15"/>
      <c r="AN379" s="15"/>
      <c r="AO379" s="15"/>
      <c r="AP379" s="3"/>
      <c r="AQ379" s="3"/>
      <c r="AR379" s="3"/>
      <c r="AS379" s="3"/>
      <c r="AT379" s="50"/>
      <c r="AU379" s="50"/>
      <c r="AV379" s="50"/>
      <c r="AW379" s="50"/>
      <c r="AX379" s="50"/>
      <c r="AY379" s="50"/>
      <c r="AZ379" s="17"/>
      <c r="BA379" s="17"/>
      <c r="BB379" s="17"/>
      <c r="BC379" s="17"/>
      <c r="BD379" s="16"/>
      <c r="BE379" s="16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29"/>
      <c r="BW379" s="29"/>
      <c r="BX379" s="29"/>
      <c r="BY379" s="94"/>
      <c r="BZ379" s="94"/>
      <c r="CA379" s="94"/>
      <c r="CB379" s="29"/>
      <c r="CC379" s="29"/>
      <c r="CD379" s="29"/>
      <c r="CE379" s="29"/>
      <c r="CF379" s="3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</row>
    <row r="380" spans="1:114" ht="11.1" customHeight="1" x14ac:dyDescent="0.25">
      <c r="A380" s="3"/>
      <c r="B380" s="3"/>
      <c r="C380" s="3"/>
      <c r="D380" s="3"/>
      <c r="E380" s="3"/>
      <c r="K380" s="14"/>
      <c r="M380" s="14"/>
      <c r="N380" s="14"/>
      <c r="Z380" s="11"/>
      <c r="AA380" s="15"/>
      <c r="AB380" s="15"/>
      <c r="AC380" s="15"/>
      <c r="AD380" s="16"/>
      <c r="AE380" s="64"/>
      <c r="AF380" s="64"/>
      <c r="AG380" s="16"/>
      <c r="AH380" s="16"/>
      <c r="AI380" s="16"/>
      <c r="AJ380" s="15"/>
      <c r="AK380" s="15"/>
      <c r="AL380" s="15"/>
      <c r="AM380" s="15"/>
      <c r="AN380" s="15"/>
      <c r="AO380" s="15"/>
      <c r="AP380" s="3"/>
      <c r="AQ380" s="3"/>
      <c r="AR380" s="3"/>
      <c r="AS380" s="3"/>
      <c r="AT380" s="50"/>
      <c r="AU380" s="50"/>
      <c r="AV380" s="50"/>
      <c r="AW380" s="50"/>
      <c r="AX380" s="50"/>
      <c r="AY380" s="50"/>
      <c r="AZ380" s="17"/>
      <c r="BA380" s="17"/>
      <c r="BB380" s="17"/>
      <c r="BC380" s="17"/>
      <c r="BD380" s="16"/>
      <c r="BE380" s="16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29"/>
      <c r="BW380" s="29"/>
      <c r="BX380" s="29"/>
      <c r="BY380" s="94"/>
      <c r="BZ380" s="94"/>
      <c r="CA380" s="94"/>
      <c r="CB380" s="29"/>
      <c r="CC380" s="29"/>
      <c r="CD380" s="29"/>
      <c r="CE380" s="29"/>
      <c r="CF380" s="3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</row>
    <row r="381" spans="1:114" ht="11.1" customHeight="1" x14ac:dyDescent="0.25">
      <c r="A381" s="3"/>
      <c r="B381" s="3"/>
      <c r="C381" s="3"/>
      <c r="D381" s="3"/>
      <c r="E381" s="3"/>
      <c r="K381" s="14"/>
      <c r="M381" s="14"/>
      <c r="N381" s="14"/>
      <c r="Z381" s="11"/>
      <c r="AA381" s="15"/>
      <c r="AB381" s="15"/>
      <c r="AC381" s="15"/>
      <c r="AD381" s="16"/>
      <c r="AE381" s="64"/>
      <c r="AF381" s="64"/>
      <c r="AG381" s="16"/>
      <c r="AH381" s="16"/>
      <c r="AI381" s="16"/>
      <c r="AJ381" s="15"/>
      <c r="AK381" s="15"/>
      <c r="AL381" s="15"/>
      <c r="AM381" s="15"/>
      <c r="AN381" s="15"/>
      <c r="AO381" s="15"/>
      <c r="AP381" s="3"/>
      <c r="AQ381" s="3"/>
      <c r="AR381" s="3"/>
      <c r="AS381" s="3"/>
      <c r="AT381" s="50"/>
      <c r="AU381" s="50"/>
      <c r="AV381" s="50"/>
      <c r="AW381" s="50"/>
      <c r="AX381" s="50"/>
      <c r="AY381" s="50"/>
      <c r="AZ381" s="17"/>
      <c r="BA381" s="17"/>
      <c r="BB381" s="17"/>
      <c r="BC381" s="17"/>
      <c r="BD381" s="16"/>
      <c r="BE381" s="16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29"/>
      <c r="BW381" s="29"/>
      <c r="BX381" s="29"/>
      <c r="BY381" s="94"/>
      <c r="BZ381" s="94"/>
      <c r="CA381" s="94"/>
      <c r="CB381" s="29"/>
      <c r="CC381" s="29"/>
      <c r="CD381" s="29"/>
      <c r="CE381" s="29"/>
      <c r="CF381" s="3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</row>
    <row r="382" spans="1:114" ht="11.1" customHeight="1" x14ac:dyDescent="0.25">
      <c r="A382" s="3"/>
      <c r="B382" s="3"/>
      <c r="C382" s="3"/>
      <c r="D382" s="3"/>
      <c r="E382" s="3"/>
      <c r="K382" s="14"/>
      <c r="M382" s="14"/>
      <c r="N382" s="14"/>
      <c r="Z382" s="11"/>
      <c r="AA382" s="15"/>
      <c r="AB382" s="15"/>
      <c r="AC382" s="15"/>
      <c r="AD382" s="16"/>
      <c r="AE382" s="64"/>
      <c r="AF382" s="64"/>
      <c r="AG382" s="16"/>
      <c r="AH382" s="16"/>
      <c r="AI382" s="16"/>
      <c r="AJ382" s="15"/>
      <c r="AK382" s="15"/>
      <c r="AL382" s="15"/>
      <c r="AM382" s="15"/>
      <c r="AN382" s="15"/>
      <c r="AO382" s="15"/>
      <c r="AP382" s="3"/>
      <c r="AQ382" s="3"/>
      <c r="AR382" s="3"/>
      <c r="AS382" s="3"/>
      <c r="AT382" s="50"/>
      <c r="AU382" s="50"/>
      <c r="AV382" s="50"/>
      <c r="AW382" s="50"/>
      <c r="AX382" s="50"/>
      <c r="AY382" s="50"/>
      <c r="AZ382" s="17"/>
      <c r="BA382" s="17"/>
      <c r="BB382" s="17"/>
      <c r="BC382" s="17"/>
      <c r="BD382" s="16"/>
      <c r="BE382" s="16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29"/>
      <c r="BW382" s="29"/>
      <c r="BX382" s="29"/>
      <c r="BY382" s="94"/>
      <c r="BZ382" s="94"/>
      <c r="CA382" s="94"/>
      <c r="CB382" s="29"/>
      <c r="CC382" s="29"/>
      <c r="CD382" s="29"/>
      <c r="CE382" s="29"/>
      <c r="CF382" s="3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</row>
    <row r="383" spans="1:114" ht="11.1" customHeight="1" x14ac:dyDescent="0.25">
      <c r="A383" s="3"/>
      <c r="B383" s="3"/>
      <c r="C383" s="3"/>
      <c r="D383" s="3"/>
      <c r="E383" s="3"/>
      <c r="K383" s="14"/>
      <c r="M383" s="14"/>
      <c r="N383" s="14"/>
      <c r="Z383" s="11"/>
      <c r="AA383" s="15"/>
      <c r="AB383" s="15"/>
      <c r="AC383" s="15"/>
      <c r="AD383" s="16"/>
      <c r="AE383" s="64"/>
      <c r="AF383" s="64"/>
      <c r="AG383" s="16"/>
      <c r="AH383" s="16"/>
      <c r="AI383" s="16"/>
      <c r="AJ383" s="15"/>
      <c r="AK383" s="15"/>
      <c r="AL383" s="15"/>
      <c r="AM383" s="15"/>
      <c r="AN383" s="15"/>
      <c r="AO383" s="15"/>
      <c r="AP383" s="3"/>
      <c r="AQ383" s="3"/>
      <c r="AR383" s="3"/>
      <c r="AS383" s="3"/>
      <c r="AT383" s="50"/>
      <c r="AU383" s="50"/>
      <c r="AV383" s="50"/>
      <c r="AW383" s="50"/>
      <c r="AX383" s="50"/>
      <c r="AY383" s="50"/>
      <c r="AZ383" s="17"/>
      <c r="BA383" s="17"/>
      <c r="BB383" s="17"/>
      <c r="BC383" s="17"/>
      <c r="BD383" s="16"/>
      <c r="BE383" s="16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29"/>
      <c r="BW383" s="29"/>
      <c r="BX383" s="29"/>
      <c r="BY383" s="94"/>
      <c r="BZ383" s="94"/>
      <c r="CA383" s="94"/>
      <c r="CB383" s="29"/>
      <c r="CC383" s="29"/>
      <c r="CD383" s="29"/>
      <c r="CE383" s="29"/>
      <c r="CF383" s="3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</row>
    <row r="384" spans="1:114" ht="11.1" customHeight="1" x14ac:dyDescent="0.25">
      <c r="A384" s="3"/>
      <c r="B384" s="3"/>
      <c r="C384" s="3"/>
      <c r="D384" s="3"/>
      <c r="E384" s="3"/>
      <c r="K384" s="14"/>
      <c r="M384" s="14"/>
      <c r="N384" s="14"/>
      <c r="Z384" s="11"/>
      <c r="AA384" s="15"/>
      <c r="AB384" s="15"/>
      <c r="AC384" s="15"/>
      <c r="AD384" s="16"/>
      <c r="AE384" s="64"/>
      <c r="AF384" s="64"/>
      <c r="AG384" s="16"/>
      <c r="AH384" s="16"/>
      <c r="AI384" s="16"/>
      <c r="AJ384" s="15"/>
      <c r="AK384" s="15"/>
      <c r="AL384" s="15"/>
      <c r="AM384" s="15"/>
      <c r="AN384" s="15"/>
      <c r="AO384" s="15"/>
      <c r="AP384" s="3"/>
      <c r="AQ384" s="3"/>
      <c r="AR384" s="3"/>
      <c r="AS384" s="3"/>
      <c r="AT384" s="50"/>
      <c r="AU384" s="50"/>
      <c r="AV384" s="50"/>
      <c r="AW384" s="50"/>
      <c r="AX384" s="50"/>
      <c r="AY384" s="50"/>
      <c r="AZ384" s="17"/>
      <c r="BA384" s="17"/>
      <c r="BB384" s="17"/>
      <c r="BC384" s="17"/>
      <c r="BD384" s="16"/>
      <c r="BE384" s="16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29"/>
      <c r="BW384" s="29"/>
      <c r="BX384" s="29"/>
      <c r="BY384" s="94"/>
      <c r="BZ384" s="94"/>
      <c r="CA384" s="94"/>
      <c r="CB384" s="29"/>
      <c r="CC384" s="29"/>
      <c r="CD384" s="29"/>
      <c r="CE384" s="29"/>
      <c r="CF384" s="3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</row>
    <row r="385" spans="1:114" ht="11.1" customHeight="1" x14ac:dyDescent="0.25">
      <c r="A385" s="3"/>
      <c r="B385" s="3"/>
      <c r="C385" s="3"/>
      <c r="D385" s="3"/>
      <c r="E385" s="3"/>
      <c r="K385" s="14"/>
      <c r="M385" s="14"/>
      <c r="N385" s="14"/>
      <c r="Z385" s="11"/>
      <c r="AA385" s="15"/>
      <c r="AB385" s="15"/>
      <c r="AC385" s="15"/>
      <c r="AD385" s="16"/>
      <c r="AE385" s="64"/>
      <c r="AF385" s="64"/>
      <c r="AG385" s="16"/>
      <c r="AH385" s="16"/>
      <c r="AI385" s="16"/>
      <c r="AJ385" s="15"/>
      <c r="AK385" s="15"/>
      <c r="AL385" s="15"/>
      <c r="AM385" s="15"/>
      <c r="AN385" s="15"/>
      <c r="AO385" s="15"/>
      <c r="AP385" s="3"/>
      <c r="AQ385" s="3"/>
      <c r="AR385" s="3"/>
      <c r="AS385" s="3"/>
      <c r="AT385" s="50"/>
      <c r="AU385" s="50"/>
      <c r="AV385" s="50"/>
      <c r="AW385" s="50"/>
      <c r="AX385" s="50"/>
      <c r="AY385" s="50"/>
      <c r="AZ385" s="17"/>
      <c r="BA385" s="17"/>
      <c r="BB385" s="17"/>
      <c r="BC385" s="17"/>
      <c r="BD385" s="16"/>
      <c r="BE385" s="16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29"/>
      <c r="BW385" s="29"/>
      <c r="BX385" s="29"/>
      <c r="BY385" s="94"/>
      <c r="BZ385" s="94"/>
      <c r="CA385" s="94"/>
      <c r="CB385" s="29"/>
      <c r="CC385" s="29"/>
      <c r="CD385" s="29"/>
      <c r="CE385" s="29"/>
      <c r="CF385" s="3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</row>
    <row r="386" spans="1:114" ht="11.1" customHeight="1" x14ac:dyDescent="0.25">
      <c r="A386" s="3"/>
      <c r="B386" s="3"/>
      <c r="C386" s="3"/>
      <c r="D386" s="3"/>
      <c r="E386" s="3"/>
      <c r="K386" s="14"/>
      <c r="M386" s="14"/>
      <c r="N386" s="14"/>
      <c r="Z386" s="11"/>
      <c r="AA386" s="15"/>
      <c r="AB386" s="15"/>
      <c r="AC386" s="15"/>
      <c r="AD386" s="16"/>
      <c r="AE386" s="64"/>
      <c r="AF386" s="64"/>
      <c r="AG386" s="16"/>
      <c r="AH386" s="16"/>
      <c r="AI386" s="16"/>
      <c r="AJ386" s="15"/>
      <c r="AK386" s="15"/>
      <c r="AL386" s="15"/>
      <c r="AM386" s="15"/>
      <c r="AN386" s="15"/>
      <c r="AO386" s="15"/>
      <c r="AP386" s="3"/>
      <c r="AQ386" s="3"/>
      <c r="AR386" s="3"/>
      <c r="AS386" s="3"/>
      <c r="AT386" s="50"/>
      <c r="AU386" s="50"/>
      <c r="AV386" s="50"/>
      <c r="AW386" s="50"/>
      <c r="AX386" s="50"/>
      <c r="AY386" s="50"/>
      <c r="AZ386" s="17"/>
      <c r="BA386" s="17"/>
      <c r="BB386" s="17"/>
      <c r="BC386" s="17"/>
      <c r="BD386" s="16"/>
      <c r="BE386" s="16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29"/>
      <c r="BW386" s="29"/>
      <c r="BX386" s="29"/>
      <c r="BY386" s="94"/>
      <c r="BZ386" s="94"/>
      <c r="CA386" s="94"/>
      <c r="CB386" s="29"/>
      <c r="CC386" s="29"/>
      <c r="CD386" s="29"/>
      <c r="CE386" s="29"/>
      <c r="CF386" s="3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</row>
    <row r="387" spans="1:114" ht="11.1" customHeight="1" x14ac:dyDescent="0.25">
      <c r="A387" s="3"/>
      <c r="B387" s="3"/>
      <c r="C387" s="3"/>
      <c r="D387" s="3"/>
      <c r="E387" s="3"/>
      <c r="K387" s="14"/>
      <c r="M387" s="14"/>
      <c r="N387" s="14"/>
      <c r="Z387" s="11"/>
      <c r="AA387" s="15"/>
      <c r="AB387" s="15"/>
      <c r="AC387" s="15"/>
      <c r="AD387" s="16"/>
      <c r="AE387" s="64"/>
      <c r="AF387" s="64"/>
      <c r="AG387" s="16"/>
      <c r="AH387" s="16"/>
      <c r="AI387" s="16"/>
      <c r="AJ387" s="15"/>
      <c r="AK387" s="15"/>
      <c r="AL387" s="15"/>
      <c r="AM387" s="15"/>
      <c r="AN387" s="15"/>
      <c r="AO387" s="15"/>
      <c r="AP387" s="3"/>
      <c r="AQ387" s="3"/>
      <c r="AR387" s="3"/>
      <c r="AS387" s="3"/>
      <c r="AT387" s="50"/>
      <c r="AU387" s="50"/>
      <c r="AV387" s="50"/>
      <c r="AW387" s="50"/>
      <c r="AX387" s="50"/>
      <c r="AY387" s="50"/>
      <c r="AZ387" s="17"/>
      <c r="BA387" s="17"/>
      <c r="BB387" s="17"/>
      <c r="BC387" s="17"/>
      <c r="BD387" s="16"/>
      <c r="BE387" s="16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29"/>
      <c r="BW387" s="29"/>
      <c r="BX387" s="29"/>
      <c r="BY387" s="94"/>
      <c r="BZ387" s="94"/>
      <c r="CA387" s="94"/>
      <c r="CB387" s="29"/>
      <c r="CC387" s="29"/>
      <c r="CD387" s="29"/>
      <c r="CE387" s="29"/>
      <c r="CF387" s="3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</row>
    <row r="388" spans="1:114" ht="11.1" customHeight="1" x14ac:dyDescent="0.25">
      <c r="A388" s="3"/>
      <c r="B388" s="3"/>
      <c r="C388" s="3"/>
      <c r="D388" s="3"/>
      <c r="E388" s="3"/>
      <c r="K388" s="14"/>
      <c r="M388" s="14"/>
      <c r="N388" s="14"/>
      <c r="Z388" s="11"/>
      <c r="AA388" s="15"/>
      <c r="AB388" s="15"/>
      <c r="AC388" s="15"/>
      <c r="AD388" s="16"/>
      <c r="AE388" s="64"/>
      <c r="AF388" s="64"/>
      <c r="AG388" s="16"/>
      <c r="AH388" s="16"/>
      <c r="AI388" s="16"/>
      <c r="AJ388" s="15"/>
      <c r="AK388" s="15"/>
      <c r="AL388" s="15"/>
      <c r="AM388" s="15"/>
      <c r="AN388" s="15"/>
      <c r="AO388" s="15"/>
      <c r="AP388" s="3"/>
      <c r="AQ388" s="3"/>
      <c r="AR388" s="3"/>
      <c r="AS388" s="3"/>
      <c r="AT388" s="50"/>
      <c r="AU388" s="50"/>
      <c r="AV388" s="50"/>
      <c r="AW388" s="50"/>
      <c r="AX388" s="50"/>
      <c r="AY388" s="50"/>
      <c r="AZ388" s="17"/>
      <c r="BA388" s="17"/>
      <c r="BB388" s="17"/>
      <c r="BC388" s="17"/>
      <c r="BD388" s="16"/>
      <c r="BE388" s="16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29"/>
      <c r="BW388" s="29"/>
      <c r="BX388" s="29"/>
      <c r="BY388" s="94"/>
      <c r="BZ388" s="94"/>
      <c r="CA388" s="94"/>
      <c r="CB388" s="29"/>
      <c r="CC388" s="29"/>
      <c r="CD388" s="29"/>
      <c r="CE388" s="29"/>
      <c r="CF388" s="3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</row>
    <row r="389" spans="1:114" ht="11.1" customHeight="1" x14ac:dyDescent="0.25">
      <c r="A389" s="3"/>
      <c r="B389" s="3"/>
      <c r="C389" s="3"/>
      <c r="D389" s="3"/>
      <c r="E389" s="3"/>
      <c r="K389" s="14"/>
      <c r="M389" s="14"/>
      <c r="N389" s="14"/>
      <c r="Z389" s="11"/>
      <c r="AA389" s="15"/>
      <c r="AB389" s="15"/>
      <c r="AC389" s="15"/>
      <c r="AD389" s="16"/>
      <c r="AE389" s="64"/>
      <c r="AF389" s="64"/>
      <c r="AG389" s="16"/>
      <c r="AH389" s="16"/>
      <c r="AI389" s="16"/>
      <c r="AJ389" s="15"/>
      <c r="AK389" s="15"/>
      <c r="AL389" s="15"/>
      <c r="AM389" s="15"/>
      <c r="AN389" s="15"/>
      <c r="AO389" s="15"/>
      <c r="AP389" s="3"/>
      <c r="AQ389" s="3"/>
      <c r="AR389" s="3"/>
      <c r="AS389" s="3"/>
      <c r="AT389" s="50"/>
      <c r="AU389" s="50"/>
      <c r="AV389" s="50"/>
      <c r="AW389" s="50"/>
      <c r="AX389" s="50"/>
      <c r="AY389" s="50"/>
      <c r="AZ389" s="17"/>
      <c r="BA389" s="17"/>
      <c r="BB389" s="17"/>
      <c r="BC389" s="17"/>
      <c r="BD389" s="16"/>
      <c r="BE389" s="16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29"/>
      <c r="BW389" s="29"/>
      <c r="BX389" s="29"/>
      <c r="BY389" s="94"/>
      <c r="BZ389" s="94"/>
      <c r="CA389" s="94"/>
      <c r="CB389" s="29"/>
      <c r="CC389" s="29"/>
      <c r="CD389" s="29"/>
      <c r="CE389" s="29"/>
      <c r="CF389" s="3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</row>
    <row r="390" spans="1:114" ht="11.1" customHeight="1" x14ac:dyDescent="0.25">
      <c r="A390" s="3"/>
      <c r="B390" s="3"/>
      <c r="C390" s="3"/>
      <c r="D390" s="3"/>
      <c r="E390" s="3"/>
      <c r="K390" s="14"/>
      <c r="M390" s="14"/>
      <c r="N390" s="14"/>
      <c r="Z390" s="11"/>
      <c r="AA390" s="15"/>
      <c r="AB390" s="15"/>
      <c r="AC390" s="15"/>
      <c r="AD390" s="16"/>
      <c r="AE390" s="64"/>
      <c r="AF390" s="64"/>
      <c r="AG390" s="16"/>
      <c r="AH390" s="16"/>
      <c r="AI390" s="16"/>
      <c r="AJ390" s="15"/>
      <c r="AK390" s="15"/>
      <c r="AL390" s="15"/>
      <c r="AM390" s="15"/>
      <c r="AN390" s="15"/>
      <c r="AO390" s="15"/>
      <c r="AP390" s="3"/>
      <c r="AQ390" s="3"/>
      <c r="AR390" s="3"/>
      <c r="AS390" s="3"/>
      <c r="AT390" s="50"/>
      <c r="AU390" s="50"/>
      <c r="AV390" s="50"/>
      <c r="AW390" s="50"/>
      <c r="AX390" s="50"/>
      <c r="AY390" s="50"/>
      <c r="AZ390" s="17"/>
      <c r="BA390" s="17"/>
      <c r="BB390" s="17"/>
      <c r="BC390" s="17"/>
      <c r="BD390" s="16"/>
      <c r="BE390" s="16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29"/>
      <c r="BW390" s="29"/>
      <c r="BX390" s="29"/>
      <c r="BY390" s="94"/>
      <c r="BZ390" s="94"/>
      <c r="CA390" s="94"/>
      <c r="CB390" s="29"/>
      <c r="CC390" s="29"/>
      <c r="CD390" s="29"/>
      <c r="CE390" s="29"/>
      <c r="CF390" s="3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</row>
    <row r="391" spans="1:114" ht="11.1" customHeight="1" x14ac:dyDescent="0.25">
      <c r="A391" s="3"/>
      <c r="B391" s="3"/>
      <c r="C391" s="3"/>
      <c r="D391" s="3"/>
      <c r="E391" s="3"/>
      <c r="K391" s="14"/>
      <c r="M391" s="14"/>
      <c r="N391" s="14"/>
      <c r="Z391" s="11"/>
      <c r="AA391" s="15"/>
      <c r="AB391" s="15"/>
      <c r="AC391" s="15"/>
      <c r="AD391" s="16"/>
      <c r="AE391" s="64"/>
      <c r="AF391" s="64"/>
      <c r="AG391" s="16"/>
      <c r="AH391" s="16"/>
      <c r="AI391" s="16"/>
      <c r="AJ391" s="15"/>
      <c r="AK391" s="15"/>
      <c r="AL391" s="15"/>
      <c r="AM391" s="15"/>
      <c r="AN391" s="15"/>
      <c r="AO391" s="15"/>
      <c r="AP391" s="3"/>
      <c r="AQ391" s="3"/>
      <c r="AR391" s="3"/>
      <c r="AS391" s="3"/>
      <c r="AT391" s="50"/>
      <c r="AU391" s="50"/>
      <c r="AV391" s="50"/>
      <c r="AW391" s="50"/>
      <c r="AX391" s="50"/>
      <c r="AY391" s="50"/>
      <c r="AZ391" s="17"/>
      <c r="BA391" s="17"/>
      <c r="BB391" s="17"/>
      <c r="BC391" s="17"/>
      <c r="BD391" s="16"/>
      <c r="BE391" s="16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29"/>
      <c r="BW391" s="29"/>
      <c r="BX391" s="29"/>
      <c r="BY391" s="94"/>
      <c r="BZ391" s="94"/>
      <c r="CA391" s="94"/>
      <c r="CB391" s="29"/>
      <c r="CC391" s="29"/>
      <c r="CD391" s="29"/>
      <c r="CE391" s="29"/>
      <c r="CF391" s="3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</row>
    <row r="392" spans="1:114" ht="11.1" customHeight="1" x14ac:dyDescent="0.25">
      <c r="A392" s="3"/>
      <c r="B392" s="3"/>
      <c r="C392" s="3"/>
      <c r="D392" s="3"/>
      <c r="E392" s="3"/>
      <c r="K392" s="14"/>
      <c r="M392" s="14"/>
      <c r="N392" s="14"/>
      <c r="Z392" s="11"/>
      <c r="AA392" s="15"/>
      <c r="AB392" s="15"/>
      <c r="AC392" s="15"/>
      <c r="AD392" s="16"/>
      <c r="AE392" s="64"/>
      <c r="AF392" s="64"/>
      <c r="AG392" s="16"/>
      <c r="AH392" s="16"/>
      <c r="AI392" s="16"/>
      <c r="AJ392" s="15"/>
      <c r="AK392" s="15"/>
      <c r="AL392" s="15"/>
      <c r="AM392" s="15"/>
      <c r="AN392" s="15"/>
      <c r="AO392" s="15"/>
      <c r="AP392" s="3"/>
      <c r="AQ392" s="3"/>
      <c r="AR392" s="3"/>
      <c r="AS392" s="3"/>
      <c r="AT392" s="50"/>
      <c r="AU392" s="50"/>
      <c r="AV392" s="50"/>
      <c r="AW392" s="50"/>
      <c r="AX392" s="50"/>
      <c r="AY392" s="50"/>
      <c r="AZ392" s="17"/>
      <c r="BA392" s="17"/>
      <c r="BB392" s="17"/>
      <c r="BC392" s="17"/>
      <c r="BD392" s="16"/>
      <c r="BE392" s="16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29"/>
      <c r="BW392" s="29"/>
      <c r="BX392" s="29"/>
      <c r="BY392" s="94"/>
      <c r="BZ392" s="94"/>
      <c r="CA392" s="94"/>
      <c r="CB392" s="29"/>
      <c r="CC392" s="29"/>
      <c r="CD392" s="29"/>
      <c r="CE392" s="29"/>
      <c r="CF392" s="3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</row>
    <row r="393" spans="1:114" ht="11.1" customHeight="1" x14ac:dyDescent="0.25">
      <c r="A393" s="3"/>
      <c r="B393" s="3"/>
      <c r="C393" s="3"/>
      <c r="D393" s="3"/>
      <c r="E393" s="3"/>
      <c r="K393" s="14"/>
      <c r="M393" s="14"/>
      <c r="N393" s="14"/>
      <c r="Z393" s="11"/>
      <c r="AA393" s="15"/>
      <c r="AB393" s="15"/>
      <c r="AC393" s="15"/>
      <c r="AD393" s="16"/>
      <c r="AE393" s="64"/>
      <c r="AF393" s="64"/>
      <c r="AG393" s="16"/>
      <c r="AH393" s="16"/>
      <c r="AI393" s="16"/>
      <c r="AJ393" s="15"/>
      <c r="AK393" s="15"/>
      <c r="AL393" s="15"/>
      <c r="AM393" s="15"/>
      <c r="AN393" s="15"/>
      <c r="AO393" s="15"/>
      <c r="AP393" s="3"/>
      <c r="AQ393" s="3"/>
      <c r="AR393" s="3"/>
      <c r="AS393" s="3"/>
      <c r="AT393" s="50"/>
      <c r="AU393" s="50"/>
      <c r="AV393" s="50"/>
      <c r="AW393" s="50"/>
      <c r="AX393" s="50"/>
      <c r="AY393" s="50"/>
      <c r="AZ393" s="17"/>
      <c r="BA393" s="17"/>
      <c r="BB393" s="17"/>
      <c r="BC393" s="17"/>
      <c r="BD393" s="16"/>
      <c r="BE393" s="16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29"/>
      <c r="BW393" s="29"/>
      <c r="BX393" s="29"/>
      <c r="BY393" s="94"/>
      <c r="BZ393" s="94"/>
      <c r="CA393" s="94"/>
      <c r="CB393" s="29"/>
      <c r="CC393" s="29"/>
      <c r="CD393" s="29"/>
      <c r="CE393" s="29"/>
      <c r="CF393" s="3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</row>
    <row r="394" spans="1:114" ht="11.1" customHeight="1" x14ac:dyDescent="0.25">
      <c r="A394" s="3"/>
      <c r="B394" s="3"/>
      <c r="C394" s="3"/>
      <c r="D394" s="3"/>
      <c r="E394" s="3"/>
      <c r="K394" s="14"/>
      <c r="M394" s="14"/>
      <c r="N394" s="14"/>
      <c r="Z394" s="11"/>
      <c r="AA394" s="15"/>
      <c r="AB394" s="15"/>
      <c r="AC394" s="15"/>
      <c r="AD394" s="16"/>
      <c r="AE394" s="64"/>
      <c r="AF394" s="64"/>
      <c r="AG394" s="16"/>
      <c r="AH394" s="16"/>
      <c r="AI394" s="16"/>
      <c r="AJ394" s="15"/>
      <c r="AK394" s="15"/>
      <c r="AL394" s="15"/>
      <c r="AM394" s="15"/>
      <c r="AN394" s="15"/>
      <c r="AO394" s="15"/>
      <c r="AP394" s="3"/>
      <c r="AQ394" s="3"/>
      <c r="AR394" s="3"/>
      <c r="AS394" s="3"/>
      <c r="AT394" s="50"/>
      <c r="AU394" s="50"/>
      <c r="AV394" s="50"/>
      <c r="AW394" s="50"/>
      <c r="AX394" s="50"/>
      <c r="AY394" s="50"/>
      <c r="AZ394" s="17"/>
      <c r="BA394" s="17"/>
      <c r="BB394" s="17"/>
      <c r="BC394" s="17"/>
      <c r="BD394" s="16"/>
      <c r="BE394" s="16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29"/>
      <c r="BW394" s="29"/>
      <c r="BX394" s="29"/>
      <c r="BY394" s="94"/>
      <c r="BZ394" s="94"/>
      <c r="CA394" s="94"/>
      <c r="CB394" s="29"/>
      <c r="CC394" s="29"/>
      <c r="CD394" s="29"/>
      <c r="CE394" s="29"/>
      <c r="CF394" s="3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</row>
    <row r="395" spans="1:114" ht="11.1" customHeight="1" x14ac:dyDescent="0.25">
      <c r="A395" s="3"/>
      <c r="B395" s="3"/>
      <c r="C395" s="3"/>
      <c r="D395" s="3"/>
      <c r="E395" s="3"/>
      <c r="K395" s="14"/>
      <c r="M395" s="14"/>
      <c r="N395" s="14"/>
      <c r="Z395" s="11"/>
      <c r="AA395" s="15"/>
      <c r="AB395" s="15"/>
      <c r="AC395" s="15"/>
      <c r="AD395" s="16"/>
      <c r="AE395" s="64"/>
      <c r="AF395" s="64"/>
      <c r="AG395" s="16"/>
      <c r="AH395" s="16"/>
      <c r="AI395" s="16"/>
      <c r="AJ395" s="15"/>
      <c r="AK395" s="15"/>
      <c r="AL395" s="15"/>
      <c r="AM395" s="15"/>
      <c r="AN395" s="15"/>
      <c r="AO395" s="15"/>
      <c r="AP395" s="3"/>
      <c r="AQ395" s="3"/>
      <c r="AR395" s="3"/>
      <c r="AS395" s="3"/>
      <c r="AT395" s="50"/>
      <c r="AU395" s="50"/>
      <c r="AV395" s="50"/>
      <c r="AW395" s="50"/>
      <c r="AX395" s="50"/>
      <c r="AY395" s="50"/>
      <c r="AZ395" s="17"/>
      <c r="BA395" s="17"/>
      <c r="BB395" s="17"/>
      <c r="BC395" s="17"/>
      <c r="BD395" s="16"/>
      <c r="BE395" s="16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29"/>
      <c r="BW395" s="29"/>
      <c r="BX395" s="29"/>
      <c r="BY395" s="94"/>
      <c r="BZ395" s="94"/>
      <c r="CA395" s="94"/>
      <c r="CB395" s="29"/>
      <c r="CC395" s="29"/>
      <c r="CD395" s="29"/>
      <c r="CE395" s="29"/>
      <c r="CF395" s="3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</row>
    <row r="396" spans="1:114" ht="11.1" customHeight="1" x14ac:dyDescent="0.25">
      <c r="A396" s="3"/>
      <c r="B396" s="3"/>
      <c r="C396" s="3"/>
      <c r="D396" s="3"/>
      <c r="E396" s="3"/>
      <c r="K396" s="14"/>
      <c r="M396" s="14"/>
      <c r="N396" s="14"/>
      <c r="Z396" s="11"/>
      <c r="AA396" s="15"/>
      <c r="AB396" s="15"/>
      <c r="AC396" s="15"/>
      <c r="AD396" s="16"/>
      <c r="AE396" s="64"/>
      <c r="AF396" s="64"/>
      <c r="AG396" s="16"/>
      <c r="AH396" s="16"/>
      <c r="AI396" s="16"/>
      <c r="AJ396" s="15"/>
      <c r="AK396" s="15"/>
      <c r="AL396" s="15"/>
      <c r="AM396" s="15"/>
      <c r="AN396" s="15"/>
      <c r="AO396" s="15"/>
      <c r="AP396" s="3"/>
      <c r="AQ396" s="3"/>
      <c r="AR396" s="3"/>
      <c r="AS396" s="3"/>
      <c r="AT396" s="50"/>
      <c r="AU396" s="50"/>
      <c r="AV396" s="50"/>
      <c r="AW396" s="50"/>
      <c r="AX396" s="50"/>
      <c r="AY396" s="50"/>
      <c r="AZ396" s="17"/>
      <c r="BA396" s="17"/>
      <c r="BB396" s="17"/>
      <c r="BC396" s="17"/>
      <c r="BD396" s="16"/>
      <c r="BE396" s="16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29"/>
      <c r="BW396" s="29"/>
      <c r="BX396" s="29"/>
      <c r="BY396" s="94"/>
      <c r="BZ396" s="94"/>
      <c r="CA396" s="94"/>
      <c r="CB396" s="29"/>
      <c r="CC396" s="29"/>
      <c r="CD396" s="29"/>
      <c r="CE396" s="29"/>
      <c r="CF396" s="3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</row>
    <row r="397" spans="1:114" ht="11.1" customHeight="1" x14ac:dyDescent="0.25">
      <c r="A397" s="3"/>
      <c r="B397" s="3"/>
      <c r="C397" s="3"/>
      <c r="D397" s="3"/>
      <c r="E397" s="3"/>
      <c r="K397" s="14"/>
      <c r="M397" s="14"/>
      <c r="N397" s="14"/>
      <c r="Z397" s="11"/>
      <c r="AA397" s="15"/>
      <c r="AB397" s="15"/>
      <c r="AC397" s="15"/>
      <c r="AD397" s="16"/>
      <c r="AE397" s="64"/>
      <c r="AF397" s="64"/>
      <c r="AG397" s="16"/>
      <c r="AH397" s="16"/>
      <c r="AI397" s="16"/>
      <c r="AJ397" s="15"/>
      <c r="AK397" s="15"/>
      <c r="AL397" s="15"/>
      <c r="AM397" s="15"/>
      <c r="AN397" s="15"/>
      <c r="AO397" s="15"/>
      <c r="AP397" s="3"/>
      <c r="AQ397" s="3"/>
      <c r="AR397" s="3"/>
      <c r="AS397" s="3"/>
      <c r="AT397" s="50"/>
      <c r="AU397" s="50"/>
      <c r="AV397" s="50"/>
      <c r="AW397" s="50"/>
      <c r="AX397" s="50"/>
      <c r="AY397" s="50"/>
      <c r="AZ397" s="17"/>
      <c r="BA397" s="17"/>
      <c r="BB397" s="17"/>
      <c r="BC397" s="17"/>
      <c r="BD397" s="16"/>
      <c r="BE397" s="16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29"/>
      <c r="BW397" s="29"/>
      <c r="BX397" s="29"/>
      <c r="BY397" s="94"/>
      <c r="BZ397" s="94"/>
      <c r="CA397" s="94"/>
      <c r="CB397" s="29"/>
      <c r="CC397" s="29"/>
      <c r="CD397" s="29"/>
      <c r="CE397" s="29"/>
      <c r="CF397" s="3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</row>
    <row r="398" spans="1:114" ht="11.1" customHeight="1" x14ac:dyDescent="0.25">
      <c r="A398" s="3"/>
      <c r="B398" s="3"/>
      <c r="C398" s="3"/>
      <c r="D398" s="3"/>
      <c r="E398" s="3"/>
      <c r="K398" s="14"/>
      <c r="M398" s="14"/>
      <c r="N398" s="14"/>
      <c r="Z398" s="11"/>
      <c r="AA398" s="15"/>
      <c r="AB398" s="15"/>
      <c r="AC398" s="15"/>
      <c r="AD398" s="16"/>
      <c r="AE398" s="64"/>
      <c r="AF398" s="64"/>
      <c r="AG398" s="16"/>
      <c r="AH398" s="16"/>
      <c r="AI398" s="16"/>
      <c r="AJ398" s="15"/>
      <c r="AK398" s="15"/>
      <c r="AL398" s="15"/>
      <c r="AM398" s="15"/>
      <c r="AN398" s="15"/>
      <c r="AO398" s="15"/>
      <c r="AP398" s="3"/>
      <c r="AQ398" s="3"/>
      <c r="AR398" s="3"/>
      <c r="AS398" s="3"/>
      <c r="AT398" s="50"/>
      <c r="AU398" s="50"/>
      <c r="AV398" s="50"/>
      <c r="AW398" s="50"/>
      <c r="AX398" s="50"/>
      <c r="AY398" s="50"/>
      <c r="AZ398" s="17"/>
      <c r="BA398" s="17"/>
      <c r="BB398" s="17"/>
      <c r="BC398" s="17"/>
      <c r="BD398" s="16"/>
      <c r="BE398" s="16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29"/>
      <c r="BW398" s="29"/>
      <c r="BX398" s="29"/>
      <c r="BY398" s="94"/>
      <c r="BZ398" s="94"/>
      <c r="CA398" s="94"/>
      <c r="CB398" s="29"/>
      <c r="CC398" s="29"/>
      <c r="CD398" s="29"/>
      <c r="CE398" s="29"/>
      <c r="CF398" s="3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</row>
    <row r="399" spans="1:114" ht="11.1" customHeight="1" x14ac:dyDescent="0.25">
      <c r="A399" s="3"/>
      <c r="B399" s="3"/>
      <c r="C399" s="3"/>
      <c r="D399" s="3"/>
      <c r="E399" s="3"/>
      <c r="K399" s="14"/>
      <c r="M399" s="14"/>
      <c r="N399" s="14"/>
      <c r="Z399" s="11"/>
      <c r="AA399" s="15"/>
      <c r="AB399" s="15"/>
      <c r="AC399" s="15"/>
      <c r="AD399" s="16"/>
      <c r="AE399" s="64"/>
      <c r="AF399" s="64"/>
      <c r="AG399" s="16"/>
      <c r="AH399" s="16"/>
      <c r="AI399" s="16"/>
      <c r="AJ399" s="15"/>
      <c r="AK399" s="15"/>
      <c r="AL399" s="15"/>
      <c r="AM399" s="15"/>
      <c r="AN399" s="15"/>
      <c r="AO399" s="15"/>
      <c r="AP399" s="3"/>
      <c r="AQ399" s="3"/>
      <c r="AR399" s="3"/>
      <c r="AS399" s="3"/>
      <c r="AT399" s="50"/>
      <c r="AU399" s="50"/>
      <c r="AV399" s="50"/>
      <c r="AW399" s="50"/>
      <c r="AX399" s="50"/>
      <c r="AY399" s="50"/>
      <c r="AZ399" s="17"/>
      <c r="BA399" s="17"/>
      <c r="BB399" s="17"/>
      <c r="BC399" s="17"/>
      <c r="BD399" s="16"/>
      <c r="BE399" s="16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29"/>
      <c r="BW399" s="29"/>
      <c r="BX399" s="29"/>
      <c r="BY399" s="94"/>
      <c r="BZ399" s="94"/>
      <c r="CA399" s="94"/>
      <c r="CB399" s="29"/>
      <c r="CC399" s="29"/>
      <c r="CD399" s="29"/>
      <c r="CE399" s="29"/>
      <c r="CF399" s="3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</row>
    <row r="400" spans="1:114" ht="11.1" customHeight="1" x14ac:dyDescent="0.25">
      <c r="A400" s="3"/>
      <c r="B400" s="3"/>
      <c r="C400" s="3"/>
      <c r="D400" s="3"/>
      <c r="E400" s="3"/>
      <c r="K400" s="14"/>
      <c r="M400" s="14"/>
      <c r="N400" s="14"/>
      <c r="Z400" s="11"/>
      <c r="AA400" s="15"/>
      <c r="AB400" s="15"/>
      <c r="AC400" s="15"/>
      <c r="AD400" s="16"/>
      <c r="AE400" s="64"/>
      <c r="AF400" s="64"/>
      <c r="AG400" s="16"/>
      <c r="AH400" s="16"/>
      <c r="AI400" s="16"/>
      <c r="AJ400" s="15"/>
      <c r="AK400" s="15"/>
      <c r="AL400" s="15"/>
      <c r="AM400" s="15"/>
      <c r="AN400" s="15"/>
      <c r="AO400" s="15"/>
      <c r="AP400" s="3"/>
      <c r="AQ400" s="3"/>
      <c r="AR400" s="3"/>
      <c r="AS400" s="3"/>
      <c r="AT400" s="50"/>
      <c r="AU400" s="50"/>
      <c r="AV400" s="50"/>
      <c r="AW400" s="50"/>
      <c r="AX400" s="50"/>
      <c r="AY400" s="50"/>
      <c r="AZ400" s="17"/>
      <c r="BA400" s="17"/>
      <c r="BB400" s="17"/>
      <c r="BC400" s="17"/>
      <c r="BD400" s="16"/>
      <c r="BE400" s="16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29"/>
      <c r="BW400" s="29"/>
      <c r="BX400" s="29"/>
      <c r="BY400" s="94"/>
      <c r="BZ400" s="94"/>
      <c r="CA400" s="94"/>
      <c r="CB400" s="29"/>
      <c r="CC400" s="29"/>
      <c r="CD400" s="29"/>
      <c r="CE400" s="29"/>
      <c r="CF400" s="3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</row>
    <row r="401" spans="1:114" ht="11.1" customHeight="1" x14ac:dyDescent="0.25">
      <c r="A401" s="3"/>
      <c r="B401" s="3"/>
      <c r="C401" s="3"/>
      <c r="D401" s="3"/>
      <c r="E401" s="3"/>
      <c r="K401" s="14"/>
      <c r="M401" s="14"/>
      <c r="N401" s="14"/>
      <c r="Z401" s="11"/>
      <c r="AA401" s="15"/>
      <c r="AB401" s="15"/>
      <c r="AC401" s="15"/>
      <c r="AD401" s="16"/>
      <c r="AE401" s="64"/>
      <c r="AF401" s="64"/>
      <c r="AG401" s="16"/>
      <c r="AH401" s="16"/>
      <c r="AI401" s="16"/>
      <c r="AJ401" s="15"/>
      <c r="AK401" s="15"/>
      <c r="AL401" s="15"/>
      <c r="AM401" s="15"/>
      <c r="AN401" s="15"/>
      <c r="AO401" s="15"/>
      <c r="AP401" s="3"/>
      <c r="AQ401" s="3"/>
      <c r="AR401" s="3"/>
      <c r="AS401" s="3"/>
      <c r="AT401" s="50"/>
      <c r="AU401" s="50"/>
      <c r="AV401" s="50"/>
      <c r="AW401" s="50"/>
      <c r="AX401" s="50"/>
      <c r="AY401" s="50"/>
      <c r="AZ401" s="17"/>
      <c r="BA401" s="17"/>
      <c r="BB401" s="17"/>
      <c r="BC401" s="17"/>
      <c r="BD401" s="16"/>
      <c r="BE401" s="16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29"/>
      <c r="BW401" s="29"/>
      <c r="BX401" s="29"/>
      <c r="BY401" s="94"/>
      <c r="BZ401" s="94"/>
      <c r="CA401" s="94"/>
      <c r="CB401" s="29"/>
      <c r="CC401" s="29"/>
      <c r="CD401" s="29"/>
      <c r="CE401" s="29"/>
      <c r="CF401" s="3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</row>
    <row r="402" spans="1:114" ht="11.1" customHeight="1" x14ac:dyDescent="0.25">
      <c r="A402" s="3"/>
      <c r="B402" s="3"/>
      <c r="C402" s="3"/>
      <c r="D402" s="3"/>
      <c r="E402" s="3"/>
      <c r="K402" s="14"/>
      <c r="M402" s="14"/>
      <c r="N402" s="14"/>
      <c r="Z402" s="11"/>
      <c r="AA402" s="15"/>
      <c r="AB402" s="15"/>
      <c r="AC402" s="15"/>
      <c r="AD402" s="16"/>
      <c r="AE402" s="64"/>
      <c r="AF402" s="64"/>
      <c r="AG402" s="16"/>
      <c r="AH402" s="16"/>
      <c r="AI402" s="16"/>
      <c r="AJ402" s="15"/>
      <c r="AK402" s="15"/>
      <c r="AL402" s="15"/>
      <c r="AM402" s="15"/>
      <c r="AN402" s="15"/>
      <c r="AO402" s="15"/>
      <c r="AP402" s="3"/>
      <c r="AQ402" s="3"/>
      <c r="AR402" s="3"/>
      <c r="AS402" s="3"/>
      <c r="AT402" s="50"/>
      <c r="AU402" s="50"/>
      <c r="AV402" s="50"/>
      <c r="AW402" s="50"/>
      <c r="AX402" s="50"/>
      <c r="AY402" s="50"/>
      <c r="AZ402" s="17"/>
      <c r="BA402" s="17"/>
      <c r="BB402" s="17"/>
      <c r="BC402" s="17"/>
      <c r="BD402" s="16"/>
      <c r="BE402" s="16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29"/>
      <c r="BW402" s="29"/>
      <c r="BX402" s="29"/>
      <c r="BY402" s="94"/>
      <c r="BZ402" s="94"/>
      <c r="CA402" s="94"/>
      <c r="CB402" s="29"/>
      <c r="CC402" s="29"/>
      <c r="CD402" s="29"/>
      <c r="CE402" s="29"/>
      <c r="CF402" s="3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</row>
    <row r="403" spans="1:114" ht="11.1" customHeight="1" x14ac:dyDescent="0.25">
      <c r="A403" s="3"/>
      <c r="B403" s="3"/>
      <c r="C403" s="3"/>
      <c r="D403" s="3"/>
      <c r="E403" s="3"/>
      <c r="K403" s="14"/>
      <c r="M403" s="14"/>
      <c r="N403" s="14"/>
      <c r="Z403" s="11"/>
      <c r="AA403" s="15"/>
      <c r="AB403" s="15"/>
      <c r="AC403" s="15"/>
      <c r="AD403" s="16"/>
      <c r="AE403" s="64"/>
      <c r="AF403" s="64"/>
      <c r="AG403" s="16"/>
      <c r="AH403" s="16"/>
      <c r="AI403" s="16"/>
      <c r="AJ403" s="15"/>
      <c r="AK403" s="15"/>
      <c r="AL403" s="15"/>
      <c r="AM403" s="15"/>
      <c r="AN403" s="15"/>
      <c r="AO403" s="15"/>
      <c r="AP403" s="3"/>
      <c r="AQ403" s="3"/>
      <c r="AR403" s="3"/>
      <c r="AS403" s="3"/>
      <c r="AT403" s="50"/>
      <c r="AU403" s="50"/>
      <c r="AV403" s="50"/>
      <c r="AW403" s="50"/>
      <c r="AX403" s="50"/>
      <c r="AY403" s="50"/>
      <c r="AZ403" s="17"/>
      <c r="BA403" s="17"/>
      <c r="BB403" s="17"/>
      <c r="BC403" s="17"/>
      <c r="BD403" s="16"/>
      <c r="BE403" s="16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29"/>
      <c r="BW403" s="29"/>
      <c r="BX403" s="29"/>
      <c r="BY403" s="94"/>
      <c r="BZ403" s="94"/>
      <c r="CA403" s="94"/>
      <c r="CB403" s="29"/>
      <c r="CC403" s="29"/>
      <c r="CD403" s="29"/>
      <c r="CE403" s="29"/>
      <c r="CF403" s="3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</row>
    <row r="404" spans="1:114" ht="11.1" customHeight="1" x14ac:dyDescent="0.25">
      <c r="A404" s="3"/>
      <c r="B404" s="3"/>
      <c r="C404" s="3"/>
      <c r="D404" s="3"/>
      <c r="E404" s="3"/>
      <c r="K404" s="14"/>
      <c r="M404" s="14"/>
      <c r="N404" s="14"/>
      <c r="Z404" s="11"/>
      <c r="AA404" s="15"/>
      <c r="AB404" s="15"/>
      <c r="AC404" s="15"/>
      <c r="AD404" s="16"/>
      <c r="AE404" s="64"/>
      <c r="AF404" s="64"/>
      <c r="AG404" s="16"/>
      <c r="AH404" s="16"/>
      <c r="AI404" s="16"/>
      <c r="AJ404" s="15"/>
      <c r="AK404" s="15"/>
      <c r="AL404" s="15"/>
      <c r="AM404" s="15"/>
      <c r="AN404" s="15"/>
      <c r="AO404" s="15"/>
      <c r="AP404" s="3"/>
      <c r="AQ404" s="3"/>
      <c r="AR404" s="3"/>
      <c r="AS404" s="3"/>
      <c r="AT404" s="50"/>
      <c r="AU404" s="50"/>
      <c r="AV404" s="50"/>
      <c r="AW404" s="50"/>
      <c r="AX404" s="50"/>
      <c r="AY404" s="50"/>
      <c r="AZ404" s="17"/>
      <c r="BA404" s="17"/>
      <c r="BB404" s="17"/>
      <c r="BC404" s="17"/>
      <c r="BD404" s="16"/>
      <c r="BE404" s="16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29"/>
      <c r="BW404" s="29"/>
      <c r="BX404" s="29"/>
      <c r="BY404" s="94"/>
      <c r="BZ404" s="94"/>
      <c r="CA404" s="94"/>
      <c r="CB404" s="29"/>
      <c r="CC404" s="29"/>
      <c r="CD404" s="29"/>
      <c r="CE404" s="29"/>
      <c r="CF404" s="3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</row>
    <row r="405" spans="1:114" ht="11.1" customHeight="1" x14ac:dyDescent="0.25">
      <c r="A405" s="3"/>
      <c r="B405" s="3"/>
      <c r="C405" s="3"/>
      <c r="D405" s="3"/>
      <c r="E405" s="3"/>
      <c r="K405" s="14"/>
      <c r="M405" s="14"/>
      <c r="N405" s="14"/>
      <c r="Z405" s="11"/>
      <c r="AA405" s="15"/>
      <c r="AB405" s="15"/>
      <c r="AC405" s="15"/>
      <c r="AD405" s="16"/>
      <c r="AE405" s="64"/>
      <c r="AF405" s="64"/>
      <c r="AG405" s="16"/>
      <c r="AH405" s="16"/>
      <c r="AI405" s="16"/>
      <c r="AJ405" s="15"/>
      <c r="AK405" s="15"/>
      <c r="AL405" s="15"/>
      <c r="AM405" s="15"/>
      <c r="AN405" s="15"/>
      <c r="AO405" s="15"/>
      <c r="AP405" s="3"/>
      <c r="AQ405" s="3"/>
      <c r="AR405" s="3"/>
      <c r="AS405" s="3"/>
      <c r="AT405" s="50"/>
      <c r="AU405" s="50"/>
      <c r="AV405" s="50"/>
      <c r="AW405" s="50"/>
      <c r="AX405" s="50"/>
      <c r="AY405" s="50"/>
      <c r="AZ405" s="17"/>
      <c r="BA405" s="17"/>
      <c r="BB405" s="17"/>
      <c r="BC405" s="17"/>
      <c r="BD405" s="16"/>
      <c r="BE405" s="16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29"/>
      <c r="BW405" s="29"/>
      <c r="BX405" s="29"/>
      <c r="BY405" s="94"/>
      <c r="BZ405" s="94"/>
      <c r="CA405" s="94"/>
      <c r="CB405" s="29"/>
      <c r="CC405" s="29"/>
      <c r="CD405" s="29"/>
      <c r="CE405" s="29"/>
      <c r="CF405" s="3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</row>
    <row r="406" spans="1:114" ht="11.1" customHeight="1" x14ac:dyDescent="0.25">
      <c r="A406" s="3"/>
      <c r="B406" s="3"/>
      <c r="C406" s="3"/>
      <c r="D406" s="3"/>
      <c r="E406" s="3"/>
      <c r="K406" s="14"/>
      <c r="M406" s="14"/>
      <c r="N406" s="14"/>
      <c r="Z406" s="11"/>
      <c r="AA406" s="15"/>
      <c r="AB406" s="15"/>
      <c r="AC406" s="15"/>
      <c r="AD406" s="16"/>
      <c r="AE406" s="64"/>
      <c r="AF406" s="64"/>
      <c r="AG406" s="16"/>
      <c r="AH406" s="16"/>
      <c r="AI406" s="16"/>
      <c r="AJ406" s="15"/>
      <c r="AK406" s="15"/>
      <c r="AL406" s="15"/>
      <c r="AM406" s="15"/>
      <c r="AN406" s="15"/>
      <c r="AO406" s="15"/>
      <c r="AP406" s="3"/>
      <c r="AQ406" s="3"/>
      <c r="AR406" s="3"/>
      <c r="AS406" s="3"/>
      <c r="AT406" s="50"/>
      <c r="AU406" s="50"/>
      <c r="AV406" s="50"/>
      <c r="AW406" s="50"/>
      <c r="AX406" s="50"/>
      <c r="AY406" s="50"/>
      <c r="AZ406" s="17"/>
      <c r="BA406" s="17"/>
      <c r="BB406" s="17"/>
      <c r="BC406" s="17"/>
      <c r="BD406" s="16"/>
      <c r="BE406" s="16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29"/>
      <c r="BW406" s="29"/>
      <c r="BX406" s="29"/>
      <c r="BY406" s="94"/>
      <c r="BZ406" s="94"/>
      <c r="CA406" s="94"/>
      <c r="CB406" s="29"/>
      <c r="CC406" s="29"/>
      <c r="CD406" s="29"/>
      <c r="CE406" s="29"/>
      <c r="CF406" s="3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</row>
    <row r="407" spans="1:114" ht="11.1" customHeight="1" x14ac:dyDescent="0.25">
      <c r="A407" s="3"/>
      <c r="B407" s="3"/>
      <c r="C407" s="3"/>
      <c r="D407" s="3"/>
      <c r="E407" s="3"/>
      <c r="K407" s="14"/>
      <c r="M407" s="14"/>
      <c r="N407" s="14"/>
      <c r="Z407" s="11"/>
      <c r="AA407" s="15"/>
      <c r="AB407" s="15"/>
      <c r="AC407" s="15"/>
      <c r="AD407" s="16"/>
      <c r="AE407" s="64"/>
      <c r="AF407" s="64"/>
      <c r="AG407" s="16"/>
      <c r="AH407" s="16"/>
      <c r="AI407" s="16"/>
      <c r="AJ407" s="15"/>
      <c r="AK407" s="15"/>
      <c r="AL407" s="15"/>
      <c r="AM407" s="15"/>
      <c r="AN407" s="15"/>
      <c r="AO407" s="15"/>
      <c r="AP407" s="3"/>
      <c r="AQ407" s="3"/>
      <c r="AR407" s="3"/>
      <c r="AS407" s="3"/>
      <c r="AT407" s="50"/>
      <c r="AU407" s="50"/>
      <c r="AV407" s="50"/>
      <c r="AW407" s="50"/>
      <c r="AX407" s="50"/>
      <c r="AY407" s="50"/>
      <c r="AZ407" s="17"/>
      <c r="BA407" s="17"/>
      <c r="BB407" s="17"/>
      <c r="BC407" s="17"/>
      <c r="BD407" s="16"/>
      <c r="BE407" s="16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29"/>
      <c r="BW407" s="29"/>
      <c r="BX407" s="29"/>
      <c r="BY407" s="94"/>
      <c r="BZ407" s="94"/>
      <c r="CA407" s="94"/>
      <c r="CB407" s="29"/>
      <c r="CC407" s="29"/>
      <c r="CD407" s="29"/>
      <c r="CE407" s="29"/>
      <c r="CF407" s="3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</row>
    <row r="408" spans="1:114" ht="11.1" customHeight="1" x14ac:dyDescent="0.25">
      <c r="A408" s="3"/>
      <c r="B408" s="3"/>
      <c r="C408" s="3"/>
      <c r="D408" s="3"/>
      <c r="E408" s="3"/>
      <c r="K408" s="14"/>
      <c r="M408" s="14"/>
      <c r="N408" s="14"/>
      <c r="Z408" s="11"/>
      <c r="AA408" s="15"/>
      <c r="AB408" s="15"/>
      <c r="AC408" s="15"/>
      <c r="AD408" s="16"/>
      <c r="AE408" s="64"/>
      <c r="AF408" s="64"/>
      <c r="AG408" s="16"/>
      <c r="AH408" s="16"/>
      <c r="AI408" s="16"/>
      <c r="AJ408" s="15"/>
      <c r="AK408" s="15"/>
      <c r="AL408" s="15"/>
      <c r="AM408" s="15"/>
      <c r="AN408" s="15"/>
      <c r="AO408" s="15"/>
      <c r="AP408" s="3"/>
      <c r="AQ408" s="3"/>
      <c r="AR408" s="3"/>
      <c r="AS408" s="3"/>
      <c r="AT408" s="50"/>
      <c r="AU408" s="50"/>
      <c r="AV408" s="50"/>
      <c r="AW408" s="50"/>
      <c r="AX408" s="50"/>
      <c r="AY408" s="50"/>
      <c r="AZ408" s="17"/>
      <c r="BA408" s="17"/>
      <c r="BB408" s="17"/>
      <c r="BC408" s="17"/>
      <c r="BD408" s="16"/>
      <c r="BE408" s="16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29"/>
      <c r="BW408" s="29"/>
      <c r="BX408" s="29"/>
      <c r="BY408" s="94"/>
      <c r="BZ408" s="94"/>
      <c r="CA408" s="94"/>
      <c r="CB408" s="29"/>
      <c r="CC408" s="29"/>
      <c r="CD408" s="29"/>
      <c r="CE408" s="29"/>
      <c r="CF408" s="3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</row>
    <row r="409" spans="1:114" ht="11.1" customHeight="1" x14ac:dyDescent="0.25">
      <c r="A409" s="3"/>
      <c r="B409" s="3"/>
      <c r="C409" s="3"/>
      <c r="D409" s="3"/>
      <c r="E409" s="3"/>
      <c r="K409" s="14"/>
      <c r="M409" s="14"/>
      <c r="N409" s="14"/>
      <c r="Z409" s="11"/>
      <c r="AA409" s="15"/>
      <c r="AB409" s="15"/>
      <c r="AC409" s="15"/>
      <c r="AD409" s="16"/>
      <c r="AE409" s="64"/>
      <c r="AF409" s="64"/>
      <c r="AG409" s="16"/>
      <c r="AH409" s="16"/>
      <c r="AI409" s="16"/>
      <c r="AJ409" s="15"/>
      <c r="AK409" s="15"/>
      <c r="AL409" s="15"/>
      <c r="AM409" s="15"/>
      <c r="AN409" s="15"/>
      <c r="AO409" s="15"/>
      <c r="AP409" s="3"/>
      <c r="AQ409" s="3"/>
      <c r="AR409" s="3"/>
      <c r="AS409" s="3"/>
      <c r="AT409" s="50"/>
      <c r="AU409" s="50"/>
      <c r="AV409" s="50"/>
      <c r="AW409" s="50"/>
      <c r="AX409" s="50"/>
      <c r="AY409" s="50"/>
      <c r="AZ409" s="17"/>
      <c r="BA409" s="17"/>
      <c r="BB409" s="17"/>
      <c r="BC409" s="17"/>
      <c r="BD409" s="16"/>
      <c r="BE409" s="16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29"/>
      <c r="BW409" s="29"/>
      <c r="BX409" s="29"/>
      <c r="BY409" s="94"/>
      <c r="BZ409" s="94"/>
      <c r="CA409" s="94"/>
      <c r="CB409" s="29"/>
      <c r="CC409" s="29"/>
      <c r="CD409" s="29"/>
      <c r="CE409" s="29"/>
      <c r="CF409" s="3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</row>
    <row r="410" spans="1:114" ht="11.1" customHeight="1" x14ac:dyDescent="0.25">
      <c r="A410" s="3"/>
      <c r="B410" s="3"/>
      <c r="C410" s="3"/>
      <c r="D410" s="3"/>
      <c r="E410" s="3"/>
      <c r="K410" s="14"/>
      <c r="M410" s="14"/>
      <c r="N410" s="14"/>
      <c r="Z410" s="11"/>
      <c r="AA410" s="15"/>
      <c r="AB410" s="15"/>
      <c r="AC410" s="15"/>
      <c r="AD410" s="16"/>
      <c r="AE410" s="64"/>
      <c r="AF410" s="64"/>
      <c r="AG410" s="16"/>
      <c r="AH410" s="16"/>
      <c r="AI410" s="16"/>
      <c r="AJ410" s="15"/>
      <c r="AK410" s="15"/>
      <c r="AL410" s="15"/>
      <c r="AM410" s="15"/>
      <c r="AN410" s="15"/>
      <c r="AO410" s="15"/>
      <c r="AP410" s="3"/>
      <c r="AQ410" s="3"/>
      <c r="AR410" s="3"/>
      <c r="AS410" s="3"/>
      <c r="AT410" s="50"/>
      <c r="AU410" s="50"/>
      <c r="AV410" s="50"/>
      <c r="AW410" s="50"/>
      <c r="AX410" s="50"/>
      <c r="AY410" s="50"/>
      <c r="AZ410" s="17"/>
      <c r="BA410" s="17"/>
      <c r="BB410" s="17"/>
      <c r="BC410" s="17"/>
      <c r="BD410" s="16"/>
      <c r="BE410" s="16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29"/>
      <c r="BW410" s="29"/>
      <c r="BX410" s="29"/>
      <c r="BY410" s="94"/>
      <c r="BZ410" s="94"/>
      <c r="CA410" s="94"/>
      <c r="CB410" s="29"/>
      <c r="CC410" s="29"/>
      <c r="CD410" s="29"/>
      <c r="CE410" s="29"/>
      <c r="CF410" s="3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</row>
    <row r="411" spans="1:114" ht="11.1" customHeight="1" x14ac:dyDescent="0.25">
      <c r="A411" s="3"/>
      <c r="B411" s="3"/>
      <c r="C411" s="3"/>
      <c r="D411" s="3"/>
      <c r="E411" s="3"/>
      <c r="K411" s="14"/>
      <c r="M411" s="14"/>
      <c r="N411" s="14"/>
      <c r="Z411" s="11"/>
      <c r="AA411" s="15"/>
      <c r="AB411" s="15"/>
      <c r="AC411" s="15"/>
      <c r="AD411" s="16"/>
      <c r="AE411" s="64"/>
      <c r="AF411" s="64"/>
      <c r="AG411" s="16"/>
      <c r="AH411" s="16"/>
      <c r="AI411" s="16"/>
      <c r="AJ411" s="15"/>
      <c r="AK411" s="15"/>
      <c r="AL411" s="15"/>
      <c r="AM411" s="15"/>
      <c r="AN411" s="15"/>
      <c r="AO411" s="15"/>
      <c r="AP411" s="3"/>
      <c r="AQ411" s="3"/>
      <c r="AR411" s="3"/>
      <c r="AS411" s="3"/>
      <c r="AT411" s="50"/>
      <c r="AU411" s="50"/>
      <c r="AV411" s="50"/>
      <c r="AW411" s="50"/>
      <c r="AX411" s="50"/>
      <c r="AY411" s="50"/>
      <c r="AZ411" s="17"/>
      <c r="BA411" s="17"/>
      <c r="BB411" s="17"/>
      <c r="BC411" s="17"/>
      <c r="BD411" s="16"/>
      <c r="BE411" s="16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29"/>
      <c r="BW411" s="29"/>
      <c r="BX411" s="29"/>
      <c r="BY411" s="94"/>
      <c r="BZ411" s="94"/>
      <c r="CA411" s="94"/>
      <c r="CB411" s="29"/>
      <c r="CC411" s="29"/>
      <c r="CD411" s="29"/>
      <c r="CE411" s="29"/>
      <c r="CF411" s="3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</row>
    <row r="412" spans="1:114" ht="11.1" customHeight="1" x14ac:dyDescent="0.25">
      <c r="A412" s="3"/>
      <c r="B412" s="3"/>
      <c r="C412" s="3"/>
      <c r="D412" s="3"/>
      <c r="E412" s="3"/>
      <c r="K412" s="14"/>
      <c r="M412" s="14"/>
      <c r="N412" s="14"/>
      <c r="Z412" s="11"/>
      <c r="AA412" s="15"/>
      <c r="AB412" s="15"/>
      <c r="AC412" s="15"/>
      <c r="AD412" s="16"/>
      <c r="AE412" s="64"/>
      <c r="AF412" s="64"/>
      <c r="AG412" s="16"/>
      <c r="AH412" s="16"/>
      <c r="AI412" s="16"/>
      <c r="AJ412" s="15"/>
      <c r="AK412" s="15"/>
      <c r="AL412" s="15"/>
      <c r="AM412" s="15"/>
      <c r="AN412" s="15"/>
      <c r="AO412" s="15"/>
      <c r="AP412" s="3"/>
      <c r="AQ412" s="3"/>
      <c r="AR412" s="3"/>
      <c r="AS412" s="3"/>
      <c r="AT412" s="50"/>
      <c r="AU412" s="50"/>
      <c r="AV412" s="50"/>
      <c r="AW412" s="50"/>
      <c r="AX412" s="50"/>
      <c r="AY412" s="50"/>
      <c r="AZ412" s="17"/>
      <c r="BA412" s="17"/>
      <c r="BB412" s="17"/>
      <c r="BC412" s="17"/>
      <c r="BD412" s="16"/>
      <c r="BE412" s="16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29"/>
      <c r="BW412" s="29"/>
      <c r="BX412" s="29"/>
      <c r="BY412" s="94"/>
      <c r="BZ412" s="94"/>
      <c r="CA412" s="94"/>
      <c r="CB412" s="29"/>
      <c r="CC412" s="29"/>
      <c r="CD412" s="29"/>
      <c r="CE412" s="29"/>
      <c r="CF412" s="3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</row>
    <row r="413" spans="1:114" ht="11.1" customHeight="1" x14ac:dyDescent="0.25">
      <c r="A413" s="3"/>
      <c r="B413" s="3"/>
      <c r="C413" s="3"/>
      <c r="D413" s="3"/>
      <c r="E413" s="3"/>
      <c r="K413" s="14"/>
      <c r="M413" s="14"/>
      <c r="N413" s="14"/>
      <c r="Z413" s="11"/>
      <c r="AA413" s="15"/>
      <c r="AB413" s="15"/>
      <c r="AC413" s="15"/>
      <c r="AD413" s="16"/>
      <c r="AE413" s="64"/>
      <c r="AF413" s="64"/>
      <c r="AG413" s="16"/>
      <c r="AH413" s="16"/>
      <c r="AI413" s="16"/>
      <c r="AJ413" s="15"/>
      <c r="AK413" s="15"/>
      <c r="AL413" s="15"/>
      <c r="AM413" s="15"/>
      <c r="AN413" s="15"/>
      <c r="AO413" s="15"/>
      <c r="AP413" s="3"/>
      <c r="AQ413" s="3"/>
      <c r="AR413" s="3"/>
      <c r="AS413" s="3"/>
      <c r="AT413" s="50"/>
      <c r="AU413" s="50"/>
      <c r="AV413" s="50"/>
      <c r="AW413" s="50"/>
      <c r="AX413" s="50"/>
      <c r="AY413" s="50"/>
      <c r="AZ413" s="17"/>
      <c r="BA413" s="17"/>
      <c r="BB413" s="17"/>
      <c r="BC413" s="17"/>
      <c r="BD413" s="16"/>
      <c r="BE413" s="16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29"/>
      <c r="BW413" s="29"/>
      <c r="BX413" s="29"/>
      <c r="BY413" s="94"/>
      <c r="BZ413" s="94"/>
      <c r="CA413" s="94"/>
      <c r="CB413" s="29"/>
      <c r="CC413" s="29"/>
      <c r="CD413" s="29"/>
      <c r="CE413" s="29"/>
      <c r="CF413" s="3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</row>
    <row r="414" spans="1:114" ht="11.1" customHeight="1" x14ac:dyDescent="0.25">
      <c r="A414" s="3"/>
      <c r="B414" s="3"/>
      <c r="C414" s="3"/>
      <c r="D414" s="3"/>
      <c r="E414" s="3"/>
      <c r="K414" s="14"/>
      <c r="M414" s="14"/>
      <c r="N414" s="14"/>
      <c r="Z414" s="11"/>
      <c r="AA414" s="15"/>
      <c r="AB414" s="15"/>
      <c r="AC414" s="15"/>
      <c r="AD414" s="16"/>
      <c r="AE414" s="64"/>
      <c r="AF414" s="64"/>
      <c r="AG414" s="16"/>
      <c r="AH414" s="16"/>
      <c r="AI414" s="16"/>
      <c r="AJ414" s="15"/>
      <c r="AK414" s="15"/>
      <c r="AL414" s="15"/>
      <c r="AM414" s="15"/>
      <c r="AN414" s="15"/>
      <c r="AO414" s="15"/>
      <c r="AP414" s="3"/>
      <c r="AQ414" s="3"/>
      <c r="AR414" s="3"/>
      <c r="AS414" s="3"/>
      <c r="AT414" s="50"/>
      <c r="AU414" s="50"/>
      <c r="AV414" s="50"/>
      <c r="AW414" s="50"/>
      <c r="AX414" s="50"/>
      <c r="AY414" s="50"/>
      <c r="AZ414" s="17"/>
      <c r="BA414" s="17"/>
      <c r="BB414" s="17"/>
      <c r="BC414" s="17"/>
      <c r="BD414" s="16"/>
      <c r="BE414" s="16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29"/>
      <c r="BW414" s="29"/>
      <c r="BX414" s="29"/>
      <c r="BY414" s="94"/>
      <c r="BZ414" s="94"/>
      <c r="CA414" s="94"/>
      <c r="CB414" s="29"/>
      <c r="CC414" s="29"/>
      <c r="CD414" s="29"/>
      <c r="CE414" s="29"/>
      <c r="CF414" s="3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</row>
    <row r="415" spans="1:114" ht="11.1" customHeight="1" x14ac:dyDescent="0.25">
      <c r="A415" s="3"/>
      <c r="B415" s="3"/>
      <c r="C415" s="3"/>
      <c r="D415" s="3"/>
      <c r="E415" s="3"/>
      <c r="K415" s="14"/>
      <c r="M415" s="14"/>
      <c r="N415" s="14"/>
      <c r="Z415" s="11"/>
      <c r="AA415" s="15"/>
      <c r="AB415" s="15"/>
      <c r="AC415" s="15"/>
      <c r="AD415" s="16"/>
      <c r="AE415" s="64"/>
      <c r="AF415" s="64"/>
      <c r="AG415" s="16"/>
      <c r="AH415" s="16"/>
      <c r="AI415" s="16"/>
      <c r="AJ415" s="15"/>
      <c r="AK415" s="15"/>
      <c r="AL415" s="15"/>
      <c r="AM415" s="15"/>
      <c r="AN415" s="15"/>
      <c r="AO415" s="15"/>
      <c r="AP415" s="3"/>
      <c r="AQ415" s="3"/>
      <c r="AR415" s="3"/>
      <c r="AS415" s="3"/>
      <c r="AT415" s="50"/>
      <c r="AU415" s="50"/>
      <c r="AV415" s="50"/>
      <c r="AW415" s="50"/>
      <c r="AX415" s="50"/>
      <c r="AY415" s="50"/>
      <c r="AZ415" s="17"/>
      <c r="BA415" s="17"/>
      <c r="BB415" s="17"/>
      <c r="BC415" s="17"/>
      <c r="BD415" s="16"/>
      <c r="BE415" s="16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29"/>
      <c r="BW415" s="29"/>
      <c r="BX415" s="29"/>
      <c r="BY415" s="94"/>
      <c r="BZ415" s="94"/>
      <c r="CA415" s="94"/>
      <c r="CB415" s="29"/>
      <c r="CC415" s="29"/>
      <c r="CD415" s="29"/>
      <c r="CE415" s="29"/>
      <c r="CF415" s="3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</row>
    <row r="416" spans="1:114" ht="11.1" customHeight="1" x14ac:dyDescent="0.25">
      <c r="A416" s="3"/>
      <c r="B416" s="3"/>
      <c r="C416" s="3"/>
      <c r="D416" s="3"/>
      <c r="E416" s="3"/>
      <c r="K416" s="14"/>
      <c r="M416" s="14"/>
      <c r="N416" s="14"/>
      <c r="Z416" s="11"/>
      <c r="AA416" s="15"/>
      <c r="AB416" s="15"/>
      <c r="AC416" s="15"/>
      <c r="AD416" s="16"/>
      <c r="AE416" s="64"/>
      <c r="AF416" s="64"/>
      <c r="AG416" s="16"/>
      <c r="AH416" s="16"/>
      <c r="AI416" s="16"/>
      <c r="AJ416" s="15"/>
      <c r="AK416" s="15"/>
      <c r="AL416" s="15"/>
      <c r="AM416" s="15"/>
      <c r="AN416" s="15"/>
      <c r="AO416" s="15"/>
      <c r="AP416" s="3"/>
      <c r="AQ416" s="3"/>
      <c r="AR416" s="3"/>
      <c r="AS416" s="3"/>
      <c r="AT416" s="50"/>
      <c r="AU416" s="50"/>
      <c r="AV416" s="50"/>
      <c r="AW416" s="50"/>
      <c r="AX416" s="50"/>
      <c r="AY416" s="50"/>
      <c r="AZ416" s="17"/>
      <c r="BA416" s="17"/>
      <c r="BB416" s="17"/>
      <c r="BC416" s="17"/>
      <c r="BD416" s="16"/>
      <c r="BE416" s="16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29"/>
      <c r="BW416" s="29"/>
      <c r="BX416" s="29"/>
      <c r="BY416" s="94"/>
      <c r="BZ416" s="94"/>
      <c r="CA416" s="94"/>
      <c r="CB416" s="29"/>
      <c r="CC416" s="29"/>
      <c r="CD416" s="29"/>
      <c r="CE416" s="29"/>
      <c r="CF416" s="3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</row>
    <row r="417" spans="1:114" ht="11.1" customHeight="1" x14ac:dyDescent="0.25">
      <c r="A417" s="3"/>
      <c r="B417" s="3"/>
      <c r="C417" s="3"/>
      <c r="D417" s="3"/>
      <c r="E417" s="3"/>
      <c r="K417" s="14"/>
      <c r="M417" s="14"/>
      <c r="N417" s="14"/>
      <c r="Z417" s="11"/>
      <c r="AA417" s="15"/>
      <c r="AB417" s="15"/>
      <c r="AC417" s="15"/>
      <c r="AD417" s="16"/>
      <c r="AE417" s="64"/>
      <c r="AF417" s="64"/>
      <c r="AG417" s="16"/>
      <c r="AH417" s="16"/>
      <c r="AI417" s="16"/>
      <c r="AJ417" s="15"/>
      <c r="AK417" s="15"/>
      <c r="AL417" s="15"/>
      <c r="AM417" s="15"/>
      <c r="AN417" s="15"/>
      <c r="AO417" s="15"/>
      <c r="AP417" s="3"/>
      <c r="AQ417" s="3"/>
      <c r="AR417" s="3"/>
      <c r="AS417" s="3"/>
      <c r="AT417" s="50"/>
      <c r="AU417" s="50"/>
      <c r="AV417" s="50"/>
      <c r="AW417" s="50"/>
      <c r="AX417" s="50"/>
      <c r="AY417" s="50"/>
      <c r="AZ417" s="17"/>
      <c r="BA417" s="17"/>
      <c r="BB417" s="17"/>
      <c r="BC417" s="17"/>
      <c r="BD417" s="16"/>
      <c r="BE417" s="16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29"/>
      <c r="BW417" s="29"/>
      <c r="BX417" s="29"/>
      <c r="BY417" s="94"/>
      <c r="BZ417" s="94"/>
      <c r="CA417" s="94"/>
      <c r="CB417" s="29"/>
      <c r="CC417" s="29"/>
      <c r="CD417" s="29"/>
      <c r="CE417" s="29"/>
      <c r="CF417" s="3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</row>
    <row r="418" spans="1:114" ht="11.1" customHeight="1" x14ac:dyDescent="0.25">
      <c r="A418" s="3"/>
      <c r="B418" s="3"/>
      <c r="C418" s="3"/>
      <c r="D418" s="3"/>
      <c r="E418" s="3"/>
      <c r="K418" s="14"/>
      <c r="M418" s="14"/>
      <c r="N418" s="14"/>
      <c r="Z418" s="11"/>
      <c r="AA418" s="15"/>
      <c r="AB418" s="15"/>
      <c r="AC418" s="15"/>
      <c r="AD418" s="16"/>
      <c r="AE418" s="64"/>
      <c r="AF418" s="64"/>
      <c r="AG418" s="16"/>
      <c r="AH418" s="16"/>
      <c r="AI418" s="16"/>
      <c r="AJ418" s="15"/>
      <c r="AK418" s="15"/>
      <c r="AL418" s="15"/>
      <c r="AM418" s="15"/>
      <c r="AN418" s="15"/>
      <c r="AO418" s="15"/>
      <c r="AP418" s="3"/>
      <c r="AQ418" s="3"/>
      <c r="AR418" s="3"/>
      <c r="AS418" s="3"/>
      <c r="AT418" s="50"/>
      <c r="AU418" s="50"/>
      <c r="AV418" s="50"/>
      <c r="AW418" s="50"/>
      <c r="AX418" s="50"/>
      <c r="AY418" s="50"/>
      <c r="AZ418" s="17"/>
      <c r="BA418" s="17"/>
      <c r="BB418" s="17"/>
      <c r="BC418" s="17"/>
      <c r="BD418" s="16"/>
      <c r="BE418" s="16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29"/>
      <c r="BW418" s="29"/>
      <c r="BX418" s="29"/>
      <c r="BY418" s="94"/>
      <c r="BZ418" s="94"/>
      <c r="CA418" s="94"/>
      <c r="CB418" s="29"/>
      <c r="CC418" s="29"/>
      <c r="CD418" s="29"/>
      <c r="CE418" s="29"/>
      <c r="CF418" s="3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</row>
    <row r="419" spans="1:114" ht="11.1" customHeight="1" x14ac:dyDescent="0.25">
      <c r="A419" s="3"/>
      <c r="B419" s="3"/>
      <c r="C419" s="3"/>
      <c r="D419" s="3"/>
      <c r="E419" s="3"/>
      <c r="K419" s="14"/>
      <c r="M419" s="14"/>
      <c r="N419" s="14"/>
      <c r="Z419" s="11"/>
      <c r="AA419" s="15"/>
      <c r="AB419" s="15"/>
      <c r="AC419" s="15"/>
      <c r="AD419" s="16"/>
      <c r="AE419" s="64"/>
      <c r="AF419" s="64"/>
      <c r="AG419" s="16"/>
      <c r="AH419" s="16"/>
      <c r="AI419" s="16"/>
      <c r="AJ419" s="15"/>
      <c r="AK419" s="15"/>
      <c r="AL419" s="15"/>
      <c r="AM419" s="15"/>
      <c r="AN419" s="15"/>
      <c r="AO419" s="15"/>
      <c r="AP419" s="3"/>
      <c r="AQ419" s="3"/>
      <c r="AR419" s="3"/>
      <c r="AS419" s="3"/>
      <c r="AT419" s="50"/>
      <c r="AU419" s="50"/>
      <c r="AV419" s="50"/>
      <c r="AW419" s="50"/>
      <c r="AX419" s="50"/>
      <c r="AY419" s="50"/>
      <c r="AZ419" s="17"/>
      <c r="BA419" s="17"/>
      <c r="BB419" s="17"/>
      <c r="BC419" s="17"/>
      <c r="BD419" s="16"/>
      <c r="BE419" s="16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29"/>
      <c r="BW419" s="29"/>
      <c r="BX419" s="29"/>
      <c r="BY419" s="94"/>
      <c r="BZ419" s="94"/>
      <c r="CA419" s="94"/>
      <c r="CB419" s="29"/>
      <c r="CC419" s="29"/>
      <c r="CD419" s="29"/>
      <c r="CE419" s="29"/>
      <c r="CF419" s="3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</row>
    <row r="420" spans="1:114" ht="11.1" customHeight="1" x14ac:dyDescent="0.25">
      <c r="A420" s="3"/>
      <c r="B420" s="3"/>
      <c r="C420" s="3"/>
      <c r="D420" s="3"/>
      <c r="E420" s="3"/>
      <c r="K420" s="14"/>
      <c r="M420" s="14"/>
      <c r="N420" s="14"/>
      <c r="Z420" s="11"/>
      <c r="AA420" s="15"/>
      <c r="AB420" s="15"/>
      <c r="AC420" s="15"/>
      <c r="AD420" s="16"/>
      <c r="AE420" s="64"/>
      <c r="AF420" s="64"/>
      <c r="AG420" s="16"/>
      <c r="AH420" s="16"/>
      <c r="AI420" s="16"/>
      <c r="AJ420" s="15"/>
      <c r="AK420" s="15"/>
      <c r="AL420" s="15"/>
      <c r="AM420" s="15"/>
      <c r="AN420" s="15"/>
      <c r="AO420" s="15"/>
      <c r="AP420" s="3"/>
      <c r="AQ420" s="3"/>
      <c r="AR420" s="3"/>
      <c r="AS420" s="3"/>
      <c r="AT420" s="50"/>
      <c r="AU420" s="50"/>
      <c r="AV420" s="50"/>
      <c r="AW420" s="50"/>
      <c r="AX420" s="50"/>
      <c r="AY420" s="50"/>
      <c r="AZ420" s="17"/>
      <c r="BA420" s="17"/>
      <c r="BB420" s="17"/>
      <c r="BC420" s="17"/>
      <c r="BD420" s="16"/>
      <c r="BE420" s="16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29"/>
      <c r="BW420" s="29"/>
      <c r="BX420" s="29"/>
      <c r="BY420" s="94"/>
      <c r="BZ420" s="94"/>
      <c r="CA420" s="94"/>
      <c r="CB420" s="29"/>
      <c r="CC420" s="29"/>
      <c r="CD420" s="29"/>
      <c r="CE420" s="29"/>
      <c r="CF420" s="3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</row>
    <row r="421" spans="1:114" ht="11.1" customHeight="1" x14ac:dyDescent="0.25">
      <c r="A421" s="3"/>
      <c r="B421" s="3"/>
      <c r="C421" s="3"/>
      <c r="D421" s="3"/>
      <c r="E421" s="3"/>
      <c r="K421" s="14"/>
      <c r="M421" s="14"/>
      <c r="N421" s="14"/>
      <c r="Z421" s="11"/>
      <c r="AA421" s="15"/>
      <c r="AB421" s="15"/>
      <c r="AC421" s="15"/>
      <c r="AD421" s="16"/>
      <c r="AE421" s="64"/>
      <c r="AF421" s="64"/>
      <c r="AG421" s="16"/>
      <c r="AH421" s="16"/>
      <c r="AI421" s="16"/>
      <c r="AJ421" s="15"/>
      <c r="AK421" s="15"/>
      <c r="AL421" s="15"/>
      <c r="AM421" s="15"/>
      <c r="AN421" s="15"/>
      <c r="AO421" s="15"/>
      <c r="AP421" s="3"/>
      <c r="AQ421" s="3"/>
      <c r="AR421" s="3"/>
      <c r="AS421" s="3"/>
      <c r="AT421" s="50"/>
      <c r="AU421" s="50"/>
      <c r="AV421" s="50"/>
      <c r="AW421" s="50"/>
      <c r="AX421" s="50"/>
      <c r="AY421" s="50"/>
      <c r="AZ421" s="17"/>
      <c r="BA421" s="17"/>
      <c r="BB421" s="17"/>
      <c r="BC421" s="17"/>
      <c r="BD421" s="16"/>
      <c r="BE421" s="16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29"/>
      <c r="BW421" s="29"/>
      <c r="BX421" s="29"/>
      <c r="BY421" s="94"/>
      <c r="BZ421" s="94"/>
      <c r="CA421" s="94"/>
      <c r="CB421" s="29"/>
      <c r="CC421" s="29"/>
      <c r="CD421" s="29"/>
      <c r="CE421" s="29"/>
      <c r="CF421" s="3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</row>
    <row r="422" spans="1:114" ht="11.1" customHeight="1" x14ac:dyDescent="0.25">
      <c r="A422" s="3"/>
      <c r="B422" s="3"/>
      <c r="C422" s="3"/>
      <c r="D422" s="3"/>
      <c r="E422" s="3"/>
      <c r="K422" s="14"/>
      <c r="M422" s="14"/>
      <c r="N422" s="14"/>
      <c r="Z422" s="11"/>
      <c r="AA422" s="15"/>
      <c r="AB422" s="15"/>
      <c r="AC422" s="15"/>
      <c r="AD422" s="16"/>
      <c r="AE422" s="64"/>
      <c r="AF422" s="64"/>
      <c r="AG422" s="16"/>
      <c r="AH422" s="16"/>
      <c r="AI422" s="16"/>
      <c r="AJ422" s="15"/>
      <c r="AK422" s="15"/>
      <c r="AL422" s="15"/>
      <c r="AM422" s="15"/>
      <c r="AN422" s="15"/>
      <c r="AO422" s="15"/>
      <c r="AP422" s="3"/>
      <c r="AQ422" s="3"/>
      <c r="AR422" s="3"/>
      <c r="AS422" s="3"/>
      <c r="AT422" s="50"/>
      <c r="AU422" s="50"/>
      <c r="AV422" s="50"/>
      <c r="AW422" s="50"/>
      <c r="AX422" s="50"/>
      <c r="AY422" s="50"/>
      <c r="AZ422" s="17"/>
      <c r="BA422" s="17"/>
      <c r="BB422" s="17"/>
      <c r="BC422" s="17"/>
      <c r="BD422" s="16"/>
      <c r="BE422" s="16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29"/>
      <c r="BW422" s="29"/>
      <c r="BX422" s="29"/>
      <c r="BY422" s="94"/>
      <c r="BZ422" s="94"/>
      <c r="CA422" s="94"/>
      <c r="CB422" s="29"/>
      <c r="CC422" s="29"/>
      <c r="CD422" s="29"/>
      <c r="CE422" s="29"/>
      <c r="CF422" s="3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</row>
    <row r="423" spans="1:114" ht="11.1" customHeight="1" x14ac:dyDescent="0.25">
      <c r="A423" s="3"/>
      <c r="B423" s="3"/>
      <c r="C423" s="3"/>
      <c r="D423" s="3"/>
      <c r="E423" s="3"/>
      <c r="K423" s="14"/>
      <c r="M423" s="14"/>
      <c r="N423" s="14"/>
      <c r="Z423" s="11"/>
      <c r="AA423" s="15"/>
      <c r="AB423" s="15"/>
      <c r="AC423" s="15"/>
      <c r="AD423" s="16"/>
      <c r="AE423" s="64"/>
      <c r="AF423" s="64"/>
      <c r="AG423" s="16"/>
      <c r="AH423" s="16"/>
      <c r="AI423" s="16"/>
      <c r="AJ423" s="15"/>
      <c r="AK423" s="15"/>
      <c r="AL423" s="15"/>
      <c r="AM423" s="15"/>
      <c r="AN423" s="15"/>
      <c r="AO423" s="15"/>
      <c r="AP423" s="3"/>
      <c r="AQ423" s="3"/>
      <c r="AR423" s="3"/>
      <c r="AS423" s="3"/>
      <c r="AT423" s="50"/>
      <c r="AU423" s="50"/>
      <c r="AV423" s="50"/>
      <c r="AW423" s="50"/>
      <c r="AX423" s="50"/>
      <c r="AY423" s="50"/>
      <c r="AZ423" s="17"/>
      <c r="BA423" s="17"/>
      <c r="BB423" s="17"/>
      <c r="BC423" s="17"/>
      <c r="BD423" s="16"/>
      <c r="BE423" s="16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29"/>
      <c r="BW423" s="29"/>
      <c r="BX423" s="29"/>
      <c r="BY423" s="94"/>
      <c r="BZ423" s="94"/>
      <c r="CA423" s="94"/>
      <c r="CB423" s="29"/>
      <c r="CC423" s="29"/>
      <c r="CD423" s="29"/>
      <c r="CE423" s="29"/>
      <c r="CF423" s="3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</row>
    <row r="424" spans="1:114" ht="11.1" customHeight="1" x14ac:dyDescent="0.25">
      <c r="A424" s="3"/>
      <c r="B424" s="3"/>
      <c r="C424" s="3"/>
      <c r="D424" s="3"/>
      <c r="E424" s="3"/>
      <c r="K424" s="14"/>
      <c r="M424" s="14"/>
      <c r="N424" s="14"/>
      <c r="Z424" s="11"/>
      <c r="AA424" s="15"/>
      <c r="AB424" s="15"/>
      <c r="AC424" s="15"/>
      <c r="AD424" s="16"/>
      <c r="AE424" s="64"/>
      <c r="AF424" s="64"/>
      <c r="AG424" s="16"/>
      <c r="AH424" s="16"/>
      <c r="AI424" s="16"/>
      <c r="AJ424" s="15"/>
      <c r="AK424" s="15"/>
      <c r="AL424" s="15"/>
      <c r="AM424" s="15"/>
      <c r="AN424" s="15"/>
      <c r="AO424" s="15"/>
      <c r="AP424" s="3"/>
      <c r="AQ424" s="3"/>
      <c r="AR424" s="3"/>
      <c r="AS424" s="3"/>
      <c r="AT424" s="50"/>
      <c r="AU424" s="50"/>
      <c r="AV424" s="50"/>
      <c r="AW424" s="50"/>
      <c r="AX424" s="50"/>
      <c r="AY424" s="50"/>
      <c r="AZ424" s="17"/>
      <c r="BA424" s="17"/>
      <c r="BB424" s="17"/>
      <c r="BC424" s="17"/>
      <c r="BD424" s="16"/>
      <c r="BE424" s="16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29"/>
      <c r="BW424" s="29"/>
      <c r="BX424" s="29"/>
      <c r="BY424" s="94"/>
      <c r="BZ424" s="94"/>
      <c r="CA424" s="94"/>
      <c r="CB424" s="29"/>
      <c r="CC424" s="29"/>
      <c r="CD424" s="29"/>
      <c r="CE424" s="29"/>
      <c r="CF424" s="3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</row>
    <row r="425" spans="1:114" ht="11.1" customHeight="1" x14ac:dyDescent="0.25">
      <c r="A425" s="3"/>
      <c r="B425" s="3"/>
      <c r="C425" s="3"/>
      <c r="D425" s="3"/>
      <c r="E425" s="3"/>
      <c r="K425" s="14"/>
      <c r="M425" s="14"/>
      <c r="N425" s="14"/>
      <c r="Z425" s="11"/>
      <c r="AA425" s="15"/>
      <c r="AB425" s="15"/>
      <c r="AC425" s="15"/>
      <c r="AD425" s="16"/>
      <c r="AE425" s="64"/>
      <c r="AF425" s="64"/>
      <c r="AG425" s="16"/>
      <c r="AH425" s="16"/>
      <c r="AI425" s="16"/>
      <c r="AJ425" s="15"/>
      <c r="AK425" s="15"/>
      <c r="AL425" s="15"/>
      <c r="AM425" s="15"/>
      <c r="AN425" s="15"/>
      <c r="AO425" s="15"/>
      <c r="AP425" s="3"/>
      <c r="AQ425" s="3"/>
      <c r="AR425" s="3"/>
      <c r="AS425" s="3"/>
      <c r="AT425" s="50"/>
      <c r="AU425" s="50"/>
      <c r="AV425" s="50"/>
      <c r="AW425" s="50"/>
      <c r="AX425" s="50"/>
      <c r="AY425" s="50"/>
      <c r="AZ425" s="17"/>
      <c r="BA425" s="17"/>
      <c r="BB425" s="17"/>
      <c r="BC425" s="17"/>
      <c r="BD425" s="16"/>
      <c r="BE425" s="16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29"/>
      <c r="BW425" s="29"/>
      <c r="BX425" s="29"/>
      <c r="BY425" s="94"/>
      <c r="BZ425" s="94"/>
      <c r="CA425" s="94"/>
      <c r="CB425" s="29"/>
      <c r="CC425" s="29"/>
      <c r="CD425" s="29"/>
      <c r="CE425" s="29"/>
      <c r="CF425" s="3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</row>
    <row r="426" spans="1:114" ht="11.1" customHeight="1" x14ac:dyDescent="0.25">
      <c r="A426" s="3"/>
      <c r="B426" s="3"/>
      <c r="C426" s="3"/>
      <c r="D426" s="3"/>
      <c r="E426" s="3"/>
      <c r="K426" s="14"/>
      <c r="M426" s="14"/>
      <c r="N426" s="14"/>
      <c r="Z426" s="11"/>
      <c r="AA426" s="15"/>
      <c r="AB426" s="15"/>
      <c r="AC426" s="15"/>
      <c r="AD426" s="16"/>
      <c r="AE426" s="64"/>
      <c r="AF426" s="64"/>
      <c r="AG426" s="16"/>
      <c r="AH426" s="16"/>
      <c r="AI426" s="16"/>
      <c r="AJ426" s="15"/>
      <c r="AK426" s="15"/>
      <c r="AL426" s="15"/>
      <c r="AM426" s="15"/>
      <c r="AN426" s="15"/>
      <c r="AO426" s="15"/>
      <c r="AP426" s="3"/>
      <c r="AQ426" s="3"/>
      <c r="AR426" s="3"/>
      <c r="AS426" s="3"/>
      <c r="AT426" s="50"/>
      <c r="AU426" s="50"/>
      <c r="AV426" s="50"/>
      <c r="AW426" s="50"/>
      <c r="AX426" s="50"/>
      <c r="AY426" s="50"/>
      <c r="AZ426" s="17"/>
      <c r="BA426" s="17"/>
      <c r="BB426" s="17"/>
      <c r="BC426" s="17"/>
      <c r="BD426" s="16"/>
      <c r="BE426" s="16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29"/>
      <c r="BW426" s="29"/>
      <c r="BX426" s="29"/>
      <c r="BY426" s="94"/>
      <c r="BZ426" s="94"/>
      <c r="CA426" s="94"/>
      <c r="CB426" s="29"/>
      <c r="CC426" s="29"/>
      <c r="CD426" s="29"/>
      <c r="CE426" s="29"/>
      <c r="CF426" s="3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</row>
    <row r="427" spans="1:114" ht="11.1" customHeight="1" x14ac:dyDescent="0.25">
      <c r="A427" s="3"/>
      <c r="B427" s="3"/>
      <c r="C427" s="3"/>
      <c r="D427" s="3"/>
      <c r="E427" s="3"/>
      <c r="K427" s="14"/>
      <c r="M427" s="14"/>
      <c r="N427" s="14"/>
      <c r="Z427" s="11"/>
      <c r="AA427" s="15"/>
      <c r="AB427" s="15"/>
      <c r="AC427" s="15"/>
      <c r="AD427" s="16"/>
      <c r="AE427" s="64"/>
      <c r="AF427" s="64"/>
      <c r="AG427" s="16"/>
      <c r="AH427" s="16"/>
      <c r="AI427" s="16"/>
      <c r="AJ427" s="15"/>
      <c r="AK427" s="15"/>
      <c r="AL427" s="15"/>
      <c r="AM427" s="15"/>
      <c r="AN427" s="15"/>
      <c r="AO427" s="15"/>
      <c r="AP427" s="3"/>
      <c r="AQ427" s="3"/>
      <c r="AR427" s="3"/>
      <c r="AS427" s="3"/>
      <c r="AT427" s="50"/>
      <c r="AU427" s="50"/>
      <c r="AV427" s="50"/>
      <c r="AW427" s="50"/>
      <c r="AX427" s="50"/>
      <c r="AY427" s="50"/>
      <c r="AZ427" s="17"/>
      <c r="BA427" s="17"/>
      <c r="BB427" s="17"/>
      <c r="BC427" s="17"/>
      <c r="BD427" s="16"/>
      <c r="BE427" s="16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29"/>
      <c r="BW427" s="29"/>
      <c r="BX427" s="29"/>
      <c r="BY427" s="94"/>
      <c r="BZ427" s="94"/>
      <c r="CA427" s="94"/>
      <c r="CB427" s="29"/>
      <c r="CC427" s="29"/>
      <c r="CD427" s="29"/>
      <c r="CE427" s="29"/>
      <c r="CF427" s="3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</row>
    <row r="428" spans="1:114" ht="11.1" customHeight="1" x14ac:dyDescent="0.25">
      <c r="A428" s="3"/>
      <c r="B428" s="3"/>
      <c r="C428" s="3"/>
      <c r="D428" s="3"/>
      <c r="E428" s="3"/>
      <c r="K428" s="14"/>
      <c r="M428" s="14"/>
      <c r="N428" s="14"/>
      <c r="Z428" s="11"/>
      <c r="AA428" s="15"/>
      <c r="AB428" s="15"/>
      <c r="AC428" s="15"/>
      <c r="AD428" s="16"/>
      <c r="AE428" s="64"/>
      <c r="AF428" s="64"/>
      <c r="AG428" s="16"/>
      <c r="AH428" s="16"/>
      <c r="AI428" s="16"/>
      <c r="AJ428" s="15"/>
      <c r="AK428" s="15"/>
      <c r="AL428" s="15"/>
      <c r="AM428" s="15"/>
      <c r="AN428" s="15"/>
      <c r="AO428" s="15"/>
      <c r="AP428" s="3"/>
      <c r="AQ428" s="3"/>
      <c r="AR428" s="3"/>
      <c r="AS428" s="3"/>
      <c r="AT428" s="50"/>
      <c r="AU428" s="50"/>
      <c r="AV428" s="50"/>
      <c r="AW428" s="50"/>
      <c r="AX428" s="50"/>
      <c r="AY428" s="50"/>
      <c r="AZ428" s="17"/>
      <c r="BA428" s="17"/>
      <c r="BB428" s="17"/>
      <c r="BC428" s="17"/>
      <c r="BD428" s="16"/>
      <c r="BE428" s="16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29"/>
      <c r="BW428" s="29"/>
      <c r="BX428" s="29"/>
      <c r="BY428" s="94"/>
      <c r="BZ428" s="94"/>
      <c r="CA428" s="94"/>
      <c r="CB428" s="29"/>
      <c r="CC428" s="29"/>
      <c r="CD428" s="29"/>
      <c r="CE428" s="29"/>
      <c r="CF428" s="3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</row>
    <row r="429" spans="1:114" ht="11.1" customHeight="1" x14ac:dyDescent="0.25">
      <c r="A429" s="3"/>
      <c r="B429" s="3"/>
      <c r="C429" s="3"/>
      <c r="D429" s="3"/>
      <c r="E429" s="3"/>
      <c r="K429" s="14"/>
      <c r="M429" s="14"/>
      <c r="N429" s="14"/>
      <c r="Z429" s="11"/>
      <c r="AA429" s="15"/>
      <c r="AB429" s="15"/>
      <c r="AC429" s="15"/>
      <c r="AD429" s="16"/>
      <c r="AE429" s="64"/>
      <c r="AF429" s="64"/>
      <c r="AG429" s="16"/>
      <c r="AH429" s="16"/>
      <c r="AI429" s="16"/>
      <c r="AJ429" s="15"/>
      <c r="AK429" s="15"/>
      <c r="AL429" s="15"/>
      <c r="AM429" s="15"/>
      <c r="AN429" s="15"/>
      <c r="AO429" s="15"/>
      <c r="AP429" s="3"/>
      <c r="AQ429" s="3"/>
      <c r="AR429" s="3"/>
      <c r="AS429" s="3"/>
      <c r="AT429" s="50"/>
      <c r="AU429" s="50"/>
      <c r="AV429" s="50"/>
      <c r="AW429" s="50"/>
      <c r="AX429" s="50"/>
      <c r="AY429" s="50"/>
      <c r="AZ429" s="17"/>
      <c r="BA429" s="17"/>
      <c r="BB429" s="17"/>
      <c r="BC429" s="17"/>
      <c r="BD429" s="16"/>
      <c r="BE429" s="16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29"/>
      <c r="BW429" s="29"/>
      <c r="BX429" s="29"/>
      <c r="BY429" s="94"/>
      <c r="BZ429" s="94"/>
      <c r="CA429" s="94"/>
      <c r="CB429" s="29"/>
      <c r="CC429" s="29"/>
      <c r="CD429" s="29"/>
      <c r="CE429" s="29"/>
      <c r="CF429" s="3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</row>
    <row r="430" spans="1:114" ht="11.1" customHeight="1" x14ac:dyDescent="0.25">
      <c r="A430" s="3"/>
      <c r="B430" s="3"/>
      <c r="C430" s="3"/>
      <c r="D430" s="3"/>
      <c r="E430" s="3"/>
      <c r="K430" s="14"/>
      <c r="M430" s="14"/>
      <c r="N430" s="14"/>
      <c r="Z430" s="11"/>
      <c r="AA430" s="15"/>
      <c r="AB430" s="15"/>
      <c r="AC430" s="15"/>
      <c r="AD430" s="16"/>
      <c r="AE430" s="64"/>
      <c r="AF430" s="64"/>
      <c r="AG430" s="16"/>
      <c r="AH430" s="16"/>
      <c r="AI430" s="16"/>
      <c r="AJ430" s="15"/>
      <c r="AK430" s="15"/>
      <c r="AL430" s="15"/>
      <c r="AM430" s="15"/>
      <c r="AN430" s="15"/>
      <c r="AO430" s="15"/>
      <c r="AP430" s="3"/>
      <c r="AQ430" s="3"/>
      <c r="AR430" s="3"/>
      <c r="AS430" s="3"/>
      <c r="AT430" s="50"/>
      <c r="AU430" s="50"/>
      <c r="AV430" s="50"/>
      <c r="AW430" s="50"/>
      <c r="AX430" s="50"/>
      <c r="AY430" s="50"/>
      <c r="AZ430" s="17"/>
      <c r="BA430" s="17"/>
      <c r="BB430" s="17"/>
      <c r="BC430" s="17"/>
      <c r="BD430" s="16"/>
      <c r="BE430" s="16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29"/>
      <c r="BW430" s="29"/>
      <c r="BX430" s="29"/>
      <c r="BY430" s="94"/>
      <c r="BZ430" s="94"/>
      <c r="CA430" s="94"/>
      <c r="CB430" s="29"/>
      <c r="CC430" s="29"/>
      <c r="CD430" s="29"/>
      <c r="CE430" s="29"/>
      <c r="CF430" s="3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</row>
    <row r="431" spans="1:114" ht="11.1" customHeight="1" x14ac:dyDescent="0.25">
      <c r="A431" s="3"/>
      <c r="B431" s="3"/>
      <c r="C431" s="3"/>
      <c r="D431" s="3"/>
      <c r="E431" s="3"/>
      <c r="K431" s="14"/>
      <c r="M431" s="14"/>
      <c r="N431" s="14"/>
      <c r="Z431" s="11"/>
      <c r="AA431" s="15"/>
      <c r="AB431" s="15"/>
      <c r="AC431" s="15"/>
      <c r="AD431" s="16"/>
      <c r="AE431" s="64"/>
      <c r="AF431" s="64"/>
      <c r="AG431" s="16"/>
      <c r="AH431" s="16"/>
      <c r="AI431" s="16"/>
      <c r="AJ431" s="15"/>
      <c r="AK431" s="15"/>
      <c r="AL431" s="15"/>
      <c r="AM431" s="15"/>
      <c r="AN431" s="15"/>
      <c r="AO431" s="15"/>
      <c r="AP431" s="3"/>
      <c r="AQ431" s="3"/>
      <c r="AR431" s="3"/>
      <c r="AS431" s="3"/>
      <c r="AT431" s="50"/>
      <c r="AU431" s="50"/>
      <c r="AV431" s="50"/>
      <c r="AW431" s="50"/>
      <c r="AX431" s="50"/>
      <c r="AY431" s="50"/>
      <c r="AZ431" s="17"/>
      <c r="BA431" s="17"/>
      <c r="BB431" s="17"/>
      <c r="BC431" s="17"/>
      <c r="BD431" s="16"/>
      <c r="BE431" s="16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29"/>
      <c r="BW431" s="29"/>
      <c r="BX431" s="29"/>
      <c r="BY431" s="94"/>
      <c r="BZ431" s="94"/>
      <c r="CA431" s="94"/>
      <c r="CB431" s="29"/>
      <c r="CC431" s="29"/>
      <c r="CD431" s="29"/>
      <c r="CE431" s="29"/>
      <c r="CF431" s="3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</row>
    <row r="432" spans="1:114" ht="11.1" customHeight="1" x14ac:dyDescent="0.25">
      <c r="A432" s="3"/>
      <c r="B432" s="3"/>
      <c r="C432" s="3"/>
      <c r="D432" s="3"/>
      <c r="E432" s="3"/>
      <c r="K432" s="14"/>
      <c r="M432" s="14"/>
      <c r="N432" s="14"/>
      <c r="Z432" s="11"/>
      <c r="AA432" s="15"/>
      <c r="AB432" s="15"/>
      <c r="AC432" s="15"/>
      <c r="AD432" s="16"/>
      <c r="AE432" s="64"/>
      <c r="AF432" s="64"/>
      <c r="AG432" s="16"/>
      <c r="AH432" s="16"/>
      <c r="AI432" s="16"/>
      <c r="AJ432" s="15"/>
      <c r="AK432" s="15"/>
      <c r="AL432" s="15"/>
      <c r="AM432" s="15"/>
      <c r="AN432" s="15"/>
      <c r="AO432" s="15"/>
      <c r="AP432" s="3"/>
      <c r="AQ432" s="3"/>
      <c r="AR432" s="3"/>
      <c r="AS432" s="3"/>
      <c r="AT432" s="50"/>
      <c r="AU432" s="50"/>
      <c r="AV432" s="50"/>
      <c r="AW432" s="50"/>
      <c r="AX432" s="50"/>
      <c r="AY432" s="50"/>
      <c r="AZ432" s="17"/>
      <c r="BA432" s="17"/>
      <c r="BB432" s="17"/>
      <c r="BC432" s="17"/>
      <c r="BD432" s="16"/>
      <c r="BE432" s="16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29"/>
      <c r="BW432" s="29"/>
      <c r="BX432" s="29"/>
      <c r="BY432" s="94"/>
      <c r="BZ432" s="94"/>
      <c r="CA432" s="94"/>
      <c r="CB432" s="29"/>
      <c r="CC432" s="29"/>
      <c r="CD432" s="29"/>
      <c r="CE432" s="29"/>
      <c r="CF432" s="3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</row>
    <row r="433" spans="1:114" ht="11.1" customHeight="1" x14ac:dyDescent="0.25">
      <c r="A433" s="3"/>
      <c r="B433" s="3"/>
      <c r="C433" s="3"/>
      <c r="D433" s="3"/>
      <c r="E433" s="3"/>
      <c r="K433" s="14"/>
      <c r="M433" s="14"/>
      <c r="N433" s="14"/>
      <c r="Z433" s="11"/>
      <c r="AA433" s="15"/>
      <c r="AB433" s="15"/>
      <c r="AC433" s="15"/>
      <c r="AD433" s="16"/>
      <c r="AE433" s="64"/>
      <c r="AF433" s="64"/>
      <c r="AG433" s="16"/>
      <c r="AH433" s="16"/>
      <c r="AI433" s="16"/>
      <c r="AJ433" s="15"/>
      <c r="AK433" s="15"/>
      <c r="AL433" s="15"/>
      <c r="AM433" s="15"/>
      <c r="AN433" s="15"/>
      <c r="AO433" s="15"/>
      <c r="AP433" s="3"/>
      <c r="AQ433" s="3"/>
      <c r="AR433" s="3"/>
      <c r="AS433" s="3"/>
      <c r="AT433" s="50"/>
      <c r="AU433" s="50"/>
      <c r="AV433" s="50"/>
      <c r="AW433" s="50"/>
      <c r="AX433" s="50"/>
      <c r="AY433" s="50"/>
      <c r="AZ433" s="17"/>
      <c r="BA433" s="17"/>
      <c r="BB433" s="17"/>
      <c r="BC433" s="17"/>
      <c r="BD433" s="16"/>
      <c r="BE433" s="16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29"/>
      <c r="BW433" s="29"/>
      <c r="BX433" s="29"/>
      <c r="BY433" s="94"/>
      <c r="BZ433" s="94"/>
      <c r="CA433" s="94"/>
      <c r="CB433" s="29"/>
      <c r="CC433" s="29"/>
      <c r="CD433" s="29"/>
      <c r="CE433" s="29"/>
      <c r="CF433" s="3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</row>
    <row r="434" spans="1:114" ht="11.1" customHeight="1" x14ac:dyDescent="0.25">
      <c r="A434" s="3"/>
      <c r="B434" s="3"/>
      <c r="C434" s="3"/>
      <c r="D434" s="3"/>
      <c r="E434" s="3"/>
      <c r="K434" s="14"/>
      <c r="M434" s="14"/>
      <c r="N434" s="14"/>
      <c r="Z434" s="11"/>
      <c r="AA434" s="15"/>
      <c r="AB434" s="15"/>
      <c r="AC434" s="15"/>
      <c r="AD434" s="16"/>
      <c r="AE434" s="64"/>
      <c r="AF434" s="64"/>
      <c r="AG434" s="16"/>
      <c r="AH434" s="16"/>
      <c r="AI434" s="16"/>
      <c r="AJ434" s="15"/>
      <c r="AK434" s="15"/>
      <c r="AL434" s="15"/>
      <c r="AM434" s="15"/>
      <c r="AN434" s="15"/>
      <c r="AO434" s="15"/>
      <c r="AP434" s="3"/>
      <c r="AQ434" s="3"/>
      <c r="AR434" s="3"/>
      <c r="AS434" s="3"/>
      <c r="AT434" s="50"/>
      <c r="AU434" s="50"/>
      <c r="AV434" s="50"/>
      <c r="AW434" s="50"/>
      <c r="AX434" s="50"/>
      <c r="AY434" s="50"/>
      <c r="AZ434" s="17"/>
      <c r="BA434" s="17"/>
      <c r="BB434" s="17"/>
      <c r="BC434" s="17"/>
      <c r="BD434" s="16"/>
      <c r="BE434" s="16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29"/>
      <c r="BW434" s="29"/>
      <c r="BX434" s="29"/>
      <c r="BY434" s="94"/>
      <c r="BZ434" s="94"/>
      <c r="CA434" s="94"/>
      <c r="CB434" s="29"/>
      <c r="CC434" s="29"/>
      <c r="CD434" s="29"/>
      <c r="CE434" s="29"/>
      <c r="CF434" s="3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</row>
    <row r="435" spans="1:114" ht="11.1" customHeight="1" x14ac:dyDescent="0.25">
      <c r="A435" s="3"/>
      <c r="B435" s="3"/>
      <c r="C435" s="3"/>
      <c r="D435" s="3"/>
      <c r="E435" s="3"/>
      <c r="K435" s="14"/>
      <c r="M435" s="14"/>
      <c r="N435" s="14"/>
      <c r="Z435" s="11"/>
      <c r="AA435" s="15"/>
      <c r="AB435" s="15"/>
      <c r="AC435" s="15"/>
      <c r="AD435" s="16"/>
      <c r="AE435" s="64"/>
      <c r="AF435" s="64"/>
      <c r="AG435" s="16"/>
      <c r="AH435" s="16"/>
      <c r="AI435" s="16"/>
      <c r="AJ435" s="15"/>
      <c r="AK435" s="15"/>
      <c r="AL435" s="15"/>
      <c r="AM435" s="15"/>
      <c r="AN435" s="15"/>
      <c r="AO435" s="15"/>
      <c r="AP435" s="3"/>
      <c r="AQ435" s="3"/>
      <c r="AR435" s="3"/>
      <c r="AS435" s="3"/>
      <c r="AT435" s="50"/>
      <c r="AU435" s="50"/>
      <c r="AV435" s="50"/>
      <c r="AW435" s="50"/>
      <c r="AX435" s="50"/>
      <c r="AY435" s="50"/>
      <c r="AZ435" s="17"/>
      <c r="BA435" s="17"/>
      <c r="BB435" s="17"/>
      <c r="BC435" s="17"/>
      <c r="BD435" s="16"/>
      <c r="BE435" s="16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29"/>
      <c r="BW435" s="29"/>
      <c r="BX435" s="29"/>
      <c r="BY435" s="94"/>
      <c r="BZ435" s="94"/>
      <c r="CA435" s="94"/>
      <c r="CB435" s="29"/>
      <c r="CC435" s="29"/>
      <c r="CD435" s="29"/>
      <c r="CE435" s="29"/>
      <c r="CF435" s="3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</row>
    <row r="436" spans="1:114" ht="11.1" customHeight="1" x14ac:dyDescent="0.25">
      <c r="A436" s="3"/>
      <c r="B436" s="3"/>
      <c r="C436" s="3"/>
      <c r="D436" s="3"/>
      <c r="E436" s="3"/>
      <c r="K436" s="14"/>
      <c r="M436" s="14"/>
      <c r="N436" s="14"/>
      <c r="Z436" s="11"/>
      <c r="AA436" s="15"/>
      <c r="AB436" s="15"/>
      <c r="AC436" s="15"/>
      <c r="AD436" s="16"/>
      <c r="AE436" s="64"/>
      <c r="AF436" s="64"/>
      <c r="AG436" s="16"/>
      <c r="AH436" s="16"/>
      <c r="AI436" s="16"/>
      <c r="AJ436" s="15"/>
      <c r="AK436" s="15"/>
      <c r="AL436" s="15"/>
      <c r="AM436" s="15"/>
      <c r="AN436" s="15"/>
      <c r="AO436" s="15"/>
      <c r="AP436" s="3"/>
      <c r="AQ436" s="3"/>
      <c r="AR436" s="3"/>
      <c r="AS436" s="3"/>
      <c r="AT436" s="50"/>
      <c r="AU436" s="50"/>
      <c r="AV436" s="50"/>
      <c r="AW436" s="50"/>
      <c r="AX436" s="50"/>
      <c r="AY436" s="50"/>
      <c r="AZ436" s="17"/>
      <c r="BA436" s="17"/>
      <c r="BB436" s="17"/>
      <c r="BC436" s="17"/>
      <c r="BD436" s="16"/>
      <c r="BE436" s="16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29"/>
      <c r="BW436" s="29"/>
      <c r="BX436" s="29"/>
      <c r="BY436" s="94"/>
      <c r="BZ436" s="94"/>
      <c r="CA436" s="94"/>
      <c r="CB436" s="29"/>
      <c r="CC436" s="29"/>
      <c r="CD436" s="29"/>
      <c r="CE436" s="29"/>
      <c r="CF436" s="3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</row>
    <row r="437" spans="1:114" ht="11.1" customHeight="1" x14ac:dyDescent="0.25">
      <c r="A437" s="3"/>
      <c r="B437" s="3"/>
      <c r="C437" s="3"/>
      <c r="D437" s="3"/>
      <c r="E437" s="3"/>
      <c r="K437" s="14"/>
      <c r="M437" s="14"/>
      <c r="N437" s="14"/>
      <c r="Z437" s="11"/>
      <c r="AA437" s="15"/>
      <c r="AB437" s="15"/>
      <c r="AC437" s="15"/>
      <c r="AD437" s="16"/>
      <c r="AE437" s="64"/>
      <c r="AF437" s="64"/>
      <c r="AG437" s="16"/>
      <c r="AH437" s="16"/>
      <c r="AI437" s="16"/>
      <c r="AJ437" s="15"/>
      <c r="AK437" s="15"/>
      <c r="AL437" s="15"/>
      <c r="AM437" s="15"/>
      <c r="AN437" s="15"/>
      <c r="AO437" s="15"/>
      <c r="AP437" s="3"/>
      <c r="AQ437" s="3"/>
      <c r="AR437" s="3"/>
      <c r="AS437" s="3"/>
      <c r="AT437" s="50"/>
      <c r="AU437" s="50"/>
      <c r="AV437" s="50"/>
      <c r="AW437" s="50"/>
      <c r="AX437" s="50"/>
      <c r="AY437" s="50"/>
      <c r="AZ437" s="17"/>
      <c r="BA437" s="17"/>
      <c r="BB437" s="17"/>
      <c r="BC437" s="17"/>
      <c r="BD437" s="16"/>
      <c r="BE437" s="16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29"/>
      <c r="BW437" s="29"/>
      <c r="BX437" s="29"/>
      <c r="BY437" s="94"/>
      <c r="BZ437" s="94"/>
      <c r="CA437" s="94"/>
      <c r="CB437" s="29"/>
      <c r="CC437" s="29"/>
      <c r="CD437" s="29"/>
      <c r="CE437" s="29"/>
      <c r="CF437" s="3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</row>
    <row r="438" spans="1:114" ht="11.1" customHeight="1" x14ac:dyDescent="0.25">
      <c r="A438" s="3"/>
      <c r="B438" s="3"/>
      <c r="C438" s="3"/>
      <c r="D438" s="3"/>
      <c r="E438" s="3"/>
      <c r="K438" s="14"/>
      <c r="M438" s="14"/>
      <c r="N438" s="14"/>
      <c r="Z438" s="11"/>
      <c r="AA438" s="15"/>
      <c r="AB438" s="15"/>
      <c r="AC438" s="15"/>
      <c r="AD438" s="16"/>
      <c r="AE438" s="64"/>
      <c r="AF438" s="64"/>
      <c r="AG438" s="16"/>
      <c r="AH438" s="16"/>
      <c r="AI438" s="16"/>
      <c r="AJ438" s="15"/>
      <c r="AK438" s="15"/>
      <c r="AL438" s="15"/>
      <c r="AM438" s="15"/>
      <c r="AN438" s="15"/>
      <c r="AO438" s="15"/>
      <c r="AP438" s="3"/>
      <c r="AQ438" s="3"/>
      <c r="AR438" s="3"/>
      <c r="AS438" s="3"/>
      <c r="AT438" s="50"/>
      <c r="AU438" s="50"/>
      <c r="AV438" s="50"/>
      <c r="AW438" s="50"/>
      <c r="AX438" s="50"/>
      <c r="AY438" s="50"/>
      <c r="AZ438" s="17"/>
      <c r="BA438" s="17"/>
      <c r="BB438" s="17"/>
      <c r="BC438" s="17"/>
      <c r="BD438" s="16"/>
      <c r="BE438" s="16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29"/>
      <c r="BW438" s="29"/>
      <c r="BX438" s="29"/>
      <c r="BY438" s="94"/>
      <c r="BZ438" s="94"/>
      <c r="CA438" s="94"/>
      <c r="CB438" s="29"/>
      <c r="CC438" s="29"/>
      <c r="CD438" s="29"/>
      <c r="CE438" s="29"/>
      <c r="CF438" s="3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</row>
    <row r="439" spans="1:114" ht="11.1" customHeight="1" x14ac:dyDescent="0.25">
      <c r="A439" s="3"/>
      <c r="B439" s="3"/>
      <c r="C439" s="3"/>
      <c r="D439" s="3"/>
      <c r="E439" s="3"/>
      <c r="K439" s="14"/>
      <c r="M439" s="14"/>
      <c r="N439" s="14"/>
      <c r="Z439" s="11"/>
      <c r="AA439" s="15"/>
      <c r="AB439" s="15"/>
      <c r="AC439" s="15"/>
      <c r="AD439" s="16"/>
      <c r="AE439" s="64"/>
      <c r="AF439" s="64"/>
      <c r="AG439" s="16"/>
      <c r="AH439" s="16"/>
      <c r="AI439" s="16"/>
      <c r="AJ439" s="15"/>
      <c r="AK439" s="15"/>
      <c r="AL439" s="15"/>
      <c r="AM439" s="15"/>
      <c r="AN439" s="15"/>
      <c r="AO439" s="15"/>
      <c r="AP439" s="3"/>
      <c r="AQ439" s="3"/>
      <c r="AR439" s="3"/>
      <c r="AS439" s="3"/>
      <c r="AT439" s="50"/>
      <c r="AU439" s="50"/>
      <c r="AV439" s="50"/>
      <c r="AW439" s="50"/>
      <c r="AX439" s="50"/>
      <c r="AY439" s="50"/>
      <c r="AZ439" s="17"/>
      <c r="BA439" s="17"/>
      <c r="BB439" s="17"/>
      <c r="BC439" s="17"/>
      <c r="BD439" s="16"/>
      <c r="BE439" s="16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29"/>
      <c r="BW439" s="29"/>
      <c r="BX439" s="29"/>
      <c r="BY439" s="94"/>
      <c r="BZ439" s="94"/>
      <c r="CA439" s="94"/>
      <c r="CB439" s="29"/>
      <c r="CC439" s="29"/>
      <c r="CD439" s="29"/>
      <c r="CE439" s="29"/>
      <c r="CF439" s="3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</row>
    <row r="440" spans="1:114" ht="11.1" customHeight="1" x14ac:dyDescent="0.25">
      <c r="A440" s="3"/>
      <c r="B440" s="3"/>
      <c r="C440" s="3"/>
      <c r="D440" s="3"/>
      <c r="E440" s="3"/>
      <c r="K440" s="14"/>
      <c r="M440" s="14"/>
      <c r="N440" s="14"/>
      <c r="Z440" s="11"/>
      <c r="AA440" s="15"/>
      <c r="AB440" s="15"/>
      <c r="AC440" s="15"/>
      <c r="AD440" s="16"/>
      <c r="AE440" s="64"/>
      <c r="AF440" s="64"/>
      <c r="AG440" s="16"/>
      <c r="AH440" s="16"/>
      <c r="AI440" s="16"/>
      <c r="AJ440" s="15"/>
      <c r="AK440" s="15"/>
      <c r="AL440" s="15"/>
      <c r="AM440" s="15"/>
      <c r="AN440" s="15"/>
      <c r="AO440" s="15"/>
      <c r="AP440" s="3"/>
      <c r="AQ440" s="3"/>
      <c r="AR440" s="3"/>
      <c r="AS440" s="3"/>
      <c r="AT440" s="50"/>
      <c r="AU440" s="50"/>
      <c r="AV440" s="50"/>
      <c r="AW440" s="50"/>
      <c r="AX440" s="50"/>
      <c r="AY440" s="50"/>
      <c r="AZ440" s="17"/>
      <c r="BA440" s="17"/>
      <c r="BB440" s="17"/>
      <c r="BC440" s="17"/>
      <c r="BD440" s="16"/>
      <c r="BE440" s="16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29"/>
      <c r="BW440" s="29"/>
      <c r="BX440" s="29"/>
      <c r="BY440" s="94"/>
      <c r="BZ440" s="94"/>
      <c r="CA440" s="94"/>
      <c r="CB440" s="29"/>
      <c r="CC440" s="29"/>
      <c r="CD440" s="29"/>
      <c r="CE440" s="29"/>
      <c r="CF440" s="3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</row>
    <row r="441" spans="1:114" ht="11.1" customHeight="1" x14ac:dyDescent="0.25">
      <c r="A441" s="3"/>
      <c r="B441" s="3"/>
      <c r="C441" s="3"/>
      <c r="D441" s="3"/>
      <c r="E441" s="3"/>
      <c r="K441" s="14"/>
      <c r="M441" s="14"/>
      <c r="N441" s="14"/>
      <c r="Z441" s="11"/>
      <c r="AA441" s="15"/>
      <c r="AB441" s="15"/>
      <c r="AC441" s="15"/>
      <c r="AD441" s="16"/>
      <c r="AE441" s="64"/>
      <c r="AF441" s="64"/>
      <c r="AG441" s="16"/>
      <c r="AH441" s="16"/>
      <c r="AI441" s="16"/>
      <c r="AJ441" s="15"/>
      <c r="AK441" s="15"/>
      <c r="AL441" s="15"/>
      <c r="AM441" s="15"/>
      <c r="AN441" s="15"/>
      <c r="AO441" s="15"/>
      <c r="AP441" s="3"/>
      <c r="AQ441" s="3"/>
      <c r="AR441" s="3"/>
      <c r="AS441" s="3"/>
      <c r="AT441" s="50"/>
      <c r="AU441" s="50"/>
      <c r="AV441" s="50"/>
      <c r="AW441" s="50"/>
      <c r="AX441" s="50"/>
      <c r="AY441" s="50"/>
      <c r="AZ441" s="17"/>
      <c r="BA441" s="17"/>
      <c r="BB441" s="17"/>
      <c r="BC441" s="17"/>
      <c r="BD441" s="16"/>
      <c r="BE441" s="16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29"/>
      <c r="BW441" s="29"/>
      <c r="BX441" s="29"/>
      <c r="BY441" s="94"/>
      <c r="BZ441" s="94"/>
      <c r="CA441" s="94"/>
      <c r="CB441" s="29"/>
      <c r="CC441" s="29"/>
      <c r="CD441" s="29"/>
      <c r="CE441" s="29"/>
      <c r="CF441" s="3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</row>
    <row r="442" spans="1:114" ht="11.1" customHeight="1" x14ac:dyDescent="0.25">
      <c r="A442" s="3"/>
      <c r="B442" s="3"/>
      <c r="C442" s="3"/>
      <c r="D442" s="3"/>
      <c r="E442" s="3"/>
      <c r="K442" s="14"/>
      <c r="M442" s="14"/>
      <c r="N442" s="14"/>
      <c r="Z442" s="11"/>
      <c r="AA442" s="15"/>
      <c r="AB442" s="15"/>
      <c r="AC442" s="15"/>
      <c r="AD442" s="16"/>
      <c r="AE442" s="64"/>
      <c r="AF442" s="64"/>
      <c r="AG442" s="16"/>
      <c r="AH442" s="16"/>
      <c r="AI442" s="16"/>
      <c r="AJ442" s="15"/>
      <c r="AK442" s="15"/>
      <c r="AL442" s="15"/>
      <c r="AM442" s="15"/>
      <c r="AN442" s="15"/>
      <c r="AO442" s="15"/>
      <c r="AP442" s="3"/>
      <c r="AQ442" s="3"/>
      <c r="AR442" s="3"/>
      <c r="AS442" s="3"/>
      <c r="AT442" s="50"/>
      <c r="AU442" s="50"/>
      <c r="AV442" s="50"/>
      <c r="AW442" s="50"/>
      <c r="AX442" s="50"/>
      <c r="AY442" s="50"/>
      <c r="AZ442" s="17"/>
      <c r="BA442" s="17"/>
      <c r="BB442" s="17"/>
      <c r="BC442" s="17"/>
      <c r="BD442" s="16"/>
      <c r="BE442" s="16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29"/>
      <c r="BW442" s="29"/>
      <c r="BX442" s="29"/>
      <c r="BY442" s="94"/>
      <c r="BZ442" s="94"/>
      <c r="CA442" s="94"/>
      <c r="CB442" s="29"/>
      <c r="CC442" s="29"/>
      <c r="CD442" s="29"/>
      <c r="CE442" s="29"/>
      <c r="CF442" s="3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</row>
    <row r="443" spans="1:114" ht="11.1" customHeight="1" x14ac:dyDescent="0.25">
      <c r="A443" s="3"/>
      <c r="B443" s="3"/>
      <c r="C443" s="3"/>
      <c r="D443" s="3"/>
      <c r="E443" s="3"/>
      <c r="K443" s="14"/>
      <c r="M443" s="14"/>
      <c r="N443" s="14"/>
      <c r="Z443" s="11"/>
      <c r="AA443" s="15"/>
      <c r="AB443" s="15"/>
      <c r="AC443" s="15"/>
      <c r="AD443" s="16"/>
      <c r="AE443" s="64"/>
      <c r="AF443" s="64"/>
      <c r="AG443" s="16"/>
      <c r="AH443" s="16"/>
      <c r="AI443" s="16"/>
      <c r="AJ443" s="15"/>
      <c r="AK443" s="15"/>
      <c r="AL443" s="15"/>
      <c r="AM443" s="15"/>
      <c r="AN443" s="15"/>
      <c r="AO443" s="15"/>
      <c r="AP443" s="3"/>
      <c r="AQ443" s="3"/>
      <c r="AR443" s="3"/>
      <c r="AS443" s="3"/>
      <c r="AT443" s="50"/>
      <c r="AU443" s="50"/>
      <c r="AV443" s="50"/>
      <c r="AW443" s="50"/>
      <c r="AX443" s="50"/>
      <c r="AY443" s="50"/>
      <c r="AZ443" s="17"/>
      <c r="BA443" s="17"/>
      <c r="BB443" s="17"/>
      <c r="BC443" s="17"/>
      <c r="BD443" s="16"/>
      <c r="BE443" s="16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29"/>
      <c r="BW443" s="29"/>
      <c r="BX443" s="29"/>
      <c r="BY443" s="94"/>
      <c r="BZ443" s="94"/>
      <c r="CA443" s="94"/>
      <c r="CB443" s="29"/>
      <c r="CC443" s="29"/>
      <c r="CD443" s="29"/>
      <c r="CE443" s="29"/>
      <c r="CF443" s="3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</row>
    <row r="444" spans="1:114" ht="11.1" customHeight="1" x14ac:dyDescent="0.25">
      <c r="A444" s="3"/>
      <c r="B444" s="3"/>
      <c r="C444" s="3"/>
      <c r="D444" s="3"/>
      <c r="E444" s="3"/>
      <c r="K444" s="14"/>
      <c r="M444" s="14"/>
      <c r="N444" s="14"/>
      <c r="Z444" s="11"/>
      <c r="AA444" s="15"/>
      <c r="AB444" s="15"/>
      <c r="AC444" s="15"/>
      <c r="AD444" s="16"/>
      <c r="AE444" s="64"/>
      <c r="AF444" s="64"/>
      <c r="AG444" s="16"/>
      <c r="AH444" s="16"/>
      <c r="AI444" s="16"/>
      <c r="AJ444" s="15"/>
      <c r="AK444" s="15"/>
      <c r="AL444" s="15"/>
      <c r="AM444" s="15"/>
      <c r="AN444" s="15"/>
      <c r="AO444" s="15"/>
      <c r="AP444" s="3"/>
      <c r="AQ444" s="3"/>
      <c r="AR444" s="3"/>
      <c r="AS444" s="3"/>
      <c r="AT444" s="50"/>
      <c r="AU444" s="50"/>
      <c r="AV444" s="50"/>
      <c r="AW444" s="50"/>
      <c r="AX444" s="50"/>
      <c r="AY444" s="50"/>
      <c r="AZ444" s="17"/>
      <c r="BA444" s="17"/>
      <c r="BB444" s="17"/>
      <c r="BC444" s="17"/>
      <c r="BD444" s="16"/>
      <c r="BE444" s="16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29"/>
      <c r="BW444" s="29"/>
      <c r="BX444" s="29"/>
      <c r="BY444" s="94"/>
      <c r="BZ444" s="94"/>
      <c r="CA444" s="94"/>
      <c r="CB444" s="29"/>
      <c r="CC444" s="29"/>
      <c r="CD444" s="29"/>
      <c r="CE444" s="29"/>
      <c r="CF444" s="3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</row>
    <row r="445" spans="1:114" ht="11.1" customHeight="1" x14ac:dyDescent="0.25">
      <c r="A445" s="3"/>
      <c r="B445" s="3"/>
      <c r="C445" s="3"/>
      <c r="D445" s="3"/>
      <c r="E445" s="3"/>
      <c r="K445" s="14"/>
      <c r="M445" s="14"/>
      <c r="N445" s="14"/>
      <c r="Z445" s="11"/>
      <c r="AA445" s="15"/>
      <c r="AB445" s="15"/>
      <c r="AC445" s="15"/>
      <c r="AD445" s="16"/>
      <c r="AE445" s="64"/>
      <c r="AF445" s="64"/>
      <c r="AG445" s="16"/>
      <c r="AH445" s="16"/>
      <c r="AI445" s="16"/>
      <c r="AJ445" s="15"/>
      <c r="AK445" s="15"/>
      <c r="AL445" s="15"/>
      <c r="AM445" s="15"/>
      <c r="AN445" s="15"/>
      <c r="AO445" s="15"/>
      <c r="AP445" s="3"/>
      <c r="AQ445" s="3"/>
      <c r="AR445" s="3"/>
      <c r="AS445" s="3"/>
      <c r="AT445" s="50"/>
      <c r="AU445" s="50"/>
      <c r="AV445" s="50"/>
      <c r="AW445" s="50"/>
      <c r="AX445" s="50"/>
      <c r="AY445" s="50"/>
      <c r="AZ445" s="17"/>
      <c r="BA445" s="17"/>
      <c r="BB445" s="17"/>
      <c r="BC445" s="17"/>
      <c r="BD445" s="16"/>
      <c r="BE445" s="16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29"/>
      <c r="BW445" s="29"/>
      <c r="BX445" s="29"/>
      <c r="BY445" s="94"/>
      <c r="BZ445" s="94"/>
      <c r="CA445" s="94"/>
      <c r="CB445" s="29"/>
      <c r="CC445" s="29"/>
      <c r="CD445" s="29"/>
      <c r="CE445" s="29"/>
      <c r="CF445" s="3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</row>
    <row r="446" spans="1:114" ht="11.1" customHeight="1" x14ac:dyDescent="0.25">
      <c r="A446" s="3"/>
      <c r="B446" s="3"/>
      <c r="C446" s="3"/>
      <c r="D446" s="3"/>
      <c r="E446" s="3"/>
      <c r="K446" s="14"/>
      <c r="M446" s="14"/>
      <c r="N446" s="14"/>
      <c r="Z446" s="11"/>
      <c r="AA446" s="15"/>
      <c r="AB446" s="15"/>
      <c r="AC446" s="15"/>
      <c r="AD446" s="16"/>
      <c r="AE446" s="64"/>
      <c r="AF446" s="64"/>
      <c r="AG446" s="16"/>
      <c r="AH446" s="16"/>
      <c r="AI446" s="16"/>
      <c r="AJ446" s="15"/>
      <c r="AK446" s="15"/>
      <c r="AL446" s="15"/>
      <c r="AM446" s="15"/>
      <c r="AN446" s="15"/>
      <c r="AO446" s="15"/>
      <c r="AP446" s="3"/>
      <c r="AQ446" s="3"/>
      <c r="AR446" s="3"/>
      <c r="AS446" s="3"/>
      <c r="AT446" s="50"/>
      <c r="AU446" s="50"/>
      <c r="AV446" s="50"/>
      <c r="AW446" s="50"/>
      <c r="AX446" s="50"/>
      <c r="AY446" s="50"/>
      <c r="AZ446" s="17"/>
      <c r="BA446" s="17"/>
      <c r="BB446" s="17"/>
      <c r="BC446" s="17"/>
      <c r="BD446" s="16"/>
      <c r="BE446" s="16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29"/>
      <c r="BW446" s="29"/>
      <c r="BX446" s="29"/>
      <c r="BY446" s="94"/>
      <c r="BZ446" s="94"/>
      <c r="CA446" s="94"/>
      <c r="CB446" s="29"/>
      <c r="CC446" s="29"/>
      <c r="CD446" s="29"/>
      <c r="CE446" s="29"/>
      <c r="CF446" s="3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</row>
    <row r="447" spans="1:114" ht="11.1" customHeight="1" x14ac:dyDescent="0.25">
      <c r="A447" s="3"/>
      <c r="B447" s="3"/>
      <c r="C447" s="3"/>
      <c r="D447" s="3"/>
      <c r="E447" s="3"/>
      <c r="K447" s="14"/>
      <c r="M447" s="14"/>
      <c r="N447" s="14"/>
      <c r="Z447" s="11"/>
      <c r="AA447" s="15"/>
      <c r="AB447" s="15"/>
      <c r="AC447" s="15"/>
      <c r="AD447" s="16"/>
      <c r="AE447" s="64"/>
      <c r="AF447" s="64"/>
      <c r="AG447" s="16"/>
      <c r="AH447" s="16"/>
      <c r="AI447" s="16"/>
      <c r="AJ447" s="15"/>
      <c r="AK447" s="15"/>
      <c r="AL447" s="15"/>
      <c r="AM447" s="15"/>
      <c r="AN447" s="15"/>
      <c r="AO447" s="15"/>
      <c r="AP447" s="3"/>
      <c r="AQ447" s="3"/>
      <c r="AR447" s="3"/>
      <c r="AS447" s="3"/>
      <c r="AT447" s="50"/>
      <c r="AU447" s="50"/>
      <c r="AV447" s="50"/>
      <c r="AW447" s="50"/>
      <c r="AX447" s="50"/>
      <c r="AY447" s="50"/>
      <c r="AZ447" s="17"/>
      <c r="BA447" s="17"/>
      <c r="BB447" s="17"/>
      <c r="BC447" s="17"/>
      <c r="BD447" s="16"/>
      <c r="BE447" s="16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29"/>
      <c r="BW447" s="29"/>
      <c r="BX447" s="29"/>
      <c r="BY447" s="94"/>
      <c r="BZ447" s="94"/>
      <c r="CA447" s="94"/>
      <c r="CB447" s="29"/>
      <c r="CC447" s="29"/>
      <c r="CD447" s="29"/>
      <c r="CE447" s="29"/>
      <c r="CF447" s="3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</row>
    <row r="448" spans="1:114" ht="11.1" customHeight="1" x14ac:dyDescent="0.25">
      <c r="A448" s="3"/>
      <c r="B448" s="3"/>
      <c r="C448" s="3"/>
      <c r="D448" s="3"/>
      <c r="E448" s="3"/>
      <c r="K448" s="14"/>
      <c r="M448" s="14"/>
      <c r="N448" s="14"/>
      <c r="Z448" s="11"/>
      <c r="AA448" s="15"/>
      <c r="AB448" s="15"/>
      <c r="AC448" s="15"/>
      <c r="AD448" s="16"/>
      <c r="AE448" s="64"/>
      <c r="AF448" s="64"/>
      <c r="AG448" s="16"/>
      <c r="AH448" s="16"/>
      <c r="AI448" s="16"/>
      <c r="AJ448" s="15"/>
      <c r="AK448" s="15"/>
      <c r="AL448" s="15"/>
      <c r="AM448" s="15"/>
      <c r="AN448" s="15"/>
      <c r="AO448" s="15"/>
      <c r="AP448" s="3"/>
      <c r="AQ448" s="3"/>
      <c r="AR448" s="3"/>
      <c r="AS448" s="3"/>
      <c r="AT448" s="50"/>
      <c r="AU448" s="50"/>
      <c r="AV448" s="50"/>
      <c r="AW448" s="50"/>
      <c r="AX448" s="50"/>
      <c r="AY448" s="50"/>
      <c r="AZ448" s="17"/>
      <c r="BA448" s="17"/>
      <c r="BB448" s="17"/>
      <c r="BC448" s="17"/>
      <c r="BD448" s="16"/>
      <c r="BE448" s="16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29"/>
      <c r="BW448" s="29"/>
      <c r="BX448" s="29"/>
      <c r="BY448" s="94"/>
      <c r="BZ448" s="94"/>
      <c r="CA448" s="94"/>
      <c r="CB448" s="29"/>
      <c r="CC448" s="29"/>
      <c r="CD448" s="29"/>
      <c r="CE448" s="29"/>
      <c r="CF448" s="3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</row>
    <row r="449" spans="1:114" ht="11.1" customHeight="1" x14ac:dyDescent="0.25">
      <c r="A449" s="3"/>
      <c r="B449" s="3"/>
      <c r="C449" s="3"/>
      <c r="D449" s="3"/>
      <c r="E449" s="3"/>
      <c r="K449" s="14"/>
      <c r="M449" s="14"/>
      <c r="N449" s="14"/>
      <c r="Z449" s="11"/>
      <c r="AA449" s="15"/>
      <c r="AB449" s="15"/>
      <c r="AC449" s="15"/>
      <c r="AD449" s="16"/>
      <c r="AE449" s="64"/>
      <c r="AF449" s="64"/>
      <c r="AG449" s="16"/>
      <c r="AH449" s="16"/>
      <c r="AI449" s="16"/>
      <c r="AJ449" s="15"/>
      <c r="AK449" s="15"/>
      <c r="AL449" s="15"/>
      <c r="AM449" s="15"/>
      <c r="AN449" s="15"/>
      <c r="AO449" s="15"/>
      <c r="AP449" s="3"/>
      <c r="AQ449" s="3"/>
      <c r="AR449" s="3"/>
      <c r="AS449" s="3"/>
      <c r="AT449" s="50"/>
      <c r="AU449" s="50"/>
      <c r="AV449" s="50"/>
      <c r="AW449" s="50"/>
      <c r="AX449" s="50"/>
      <c r="AY449" s="50"/>
      <c r="AZ449" s="17"/>
      <c r="BA449" s="17"/>
      <c r="BB449" s="17"/>
      <c r="BC449" s="17"/>
      <c r="BD449" s="16"/>
      <c r="BE449" s="16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29"/>
      <c r="BW449" s="29"/>
      <c r="BX449" s="29"/>
      <c r="BY449" s="94"/>
      <c r="BZ449" s="94"/>
      <c r="CA449" s="94"/>
      <c r="CB449" s="29"/>
      <c r="CC449" s="29"/>
      <c r="CD449" s="29"/>
      <c r="CE449" s="29"/>
      <c r="CF449" s="3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</row>
    <row r="450" spans="1:114" ht="11.1" customHeight="1" x14ac:dyDescent="0.25">
      <c r="A450" s="3"/>
      <c r="B450" s="3"/>
      <c r="C450" s="3"/>
      <c r="D450" s="3"/>
      <c r="E450" s="3"/>
      <c r="K450" s="14"/>
      <c r="M450" s="14"/>
      <c r="N450" s="14"/>
      <c r="Z450" s="11"/>
      <c r="AA450" s="15"/>
      <c r="AB450" s="15"/>
      <c r="AC450" s="15"/>
      <c r="AD450" s="16"/>
      <c r="AE450" s="64"/>
      <c r="AF450" s="64"/>
      <c r="AG450" s="16"/>
      <c r="AH450" s="16"/>
      <c r="AI450" s="16"/>
      <c r="AJ450" s="15"/>
      <c r="AK450" s="15"/>
      <c r="AL450" s="15"/>
      <c r="AM450" s="15"/>
      <c r="AN450" s="15"/>
      <c r="AO450" s="15"/>
      <c r="AP450" s="3"/>
      <c r="AQ450" s="3"/>
      <c r="AR450" s="3"/>
      <c r="AS450" s="3"/>
      <c r="AT450" s="50"/>
      <c r="AU450" s="50"/>
      <c r="AV450" s="50"/>
      <c r="AW450" s="50"/>
      <c r="AX450" s="50"/>
      <c r="AY450" s="50"/>
      <c r="AZ450" s="17"/>
      <c r="BA450" s="17"/>
      <c r="BB450" s="17"/>
      <c r="BC450" s="17"/>
      <c r="BD450" s="16"/>
      <c r="BE450" s="16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29"/>
      <c r="BW450" s="29"/>
      <c r="BX450" s="29"/>
      <c r="BY450" s="94"/>
      <c r="BZ450" s="94"/>
      <c r="CA450" s="94"/>
      <c r="CB450" s="29"/>
      <c r="CC450" s="29"/>
      <c r="CD450" s="29"/>
      <c r="CE450" s="29"/>
      <c r="CF450" s="3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</row>
    <row r="451" spans="1:114" ht="11.1" customHeight="1" x14ac:dyDescent="0.25">
      <c r="A451" s="3"/>
      <c r="B451" s="3"/>
      <c r="C451" s="3"/>
      <c r="D451" s="3"/>
      <c r="E451" s="3"/>
      <c r="K451" s="14"/>
      <c r="M451" s="14"/>
      <c r="N451" s="14"/>
      <c r="Z451" s="11"/>
      <c r="AA451" s="15"/>
      <c r="AB451" s="15"/>
      <c r="AC451" s="15"/>
      <c r="AD451" s="16"/>
      <c r="AE451" s="64"/>
      <c r="AF451" s="64"/>
      <c r="AG451" s="16"/>
      <c r="AH451" s="16"/>
      <c r="AI451" s="16"/>
      <c r="AJ451" s="15"/>
      <c r="AK451" s="15"/>
      <c r="AL451" s="15"/>
      <c r="AM451" s="15"/>
      <c r="AN451" s="15"/>
      <c r="AO451" s="15"/>
      <c r="AP451" s="3"/>
      <c r="AQ451" s="3"/>
      <c r="AR451" s="3"/>
      <c r="AS451" s="3"/>
      <c r="AT451" s="50"/>
      <c r="AU451" s="50"/>
      <c r="AV451" s="50"/>
      <c r="AW451" s="50"/>
      <c r="AX451" s="50"/>
      <c r="AY451" s="50"/>
      <c r="AZ451" s="17"/>
      <c r="BA451" s="17"/>
      <c r="BB451" s="17"/>
      <c r="BC451" s="17"/>
      <c r="BD451" s="16"/>
      <c r="BE451" s="16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29"/>
      <c r="BW451" s="29"/>
      <c r="BX451" s="29"/>
      <c r="BY451" s="94"/>
      <c r="BZ451" s="94"/>
      <c r="CA451" s="94"/>
      <c r="CB451" s="29"/>
      <c r="CC451" s="29"/>
      <c r="CD451" s="29"/>
      <c r="CE451" s="29"/>
      <c r="CF451" s="3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</row>
    <row r="452" spans="1:114" ht="11.1" customHeight="1" x14ac:dyDescent="0.25">
      <c r="A452" s="3"/>
      <c r="B452" s="3"/>
      <c r="C452" s="3"/>
      <c r="D452" s="3"/>
      <c r="E452" s="3"/>
      <c r="K452" s="14"/>
      <c r="M452" s="14"/>
      <c r="N452" s="14"/>
      <c r="Z452" s="11"/>
      <c r="AA452" s="15"/>
      <c r="AB452" s="15"/>
      <c r="AC452" s="15"/>
      <c r="AD452" s="16"/>
      <c r="AE452" s="64"/>
      <c r="AF452" s="64"/>
      <c r="AG452" s="16"/>
      <c r="AH452" s="16"/>
      <c r="AI452" s="16"/>
      <c r="AJ452" s="15"/>
      <c r="AK452" s="15"/>
      <c r="AL452" s="15"/>
      <c r="AM452" s="15"/>
      <c r="AN452" s="15"/>
      <c r="AO452" s="15"/>
      <c r="AP452" s="3"/>
      <c r="AQ452" s="3"/>
      <c r="AR452" s="3"/>
      <c r="AS452" s="3"/>
      <c r="AT452" s="50"/>
      <c r="AU452" s="50"/>
      <c r="AV452" s="50"/>
      <c r="AW452" s="50"/>
      <c r="AX452" s="50"/>
      <c r="AY452" s="50"/>
      <c r="AZ452" s="17"/>
      <c r="BA452" s="17"/>
      <c r="BB452" s="17"/>
      <c r="BC452" s="17"/>
      <c r="BD452" s="16"/>
      <c r="BE452" s="16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29"/>
      <c r="BW452" s="29"/>
      <c r="BX452" s="29"/>
      <c r="BY452" s="94"/>
      <c r="BZ452" s="94"/>
      <c r="CA452" s="94"/>
      <c r="CB452" s="29"/>
      <c r="CC452" s="29"/>
      <c r="CD452" s="29"/>
      <c r="CE452" s="29"/>
      <c r="CF452" s="3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</row>
    <row r="453" spans="1:114" ht="11.1" customHeight="1" x14ac:dyDescent="0.25">
      <c r="A453" s="3"/>
      <c r="B453" s="3"/>
      <c r="C453" s="3"/>
      <c r="D453" s="3"/>
      <c r="E453" s="3"/>
      <c r="K453" s="14"/>
      <c r="M453" s="14"/>
      <c r="N453" s="14"/>
      <c r="Z453" s="11"/>
      <c r="AA453" s="15"/>
      <c r="AB453" s="15"/>
      <c r="AC453" s="15"/>
      <c r="AD453" s="16"/>
      <c r="AE453" s="64"/>
      <c r="AF453" s="64"/>
      <c r="AG453" s="16"/>
      <c r="AH453" s="16"/>
      <c r="AI453" s="16"/>
      <c r="AJ453" s="15"/>
      <c r="AK453" s="15"/>
      <c r="AL453" s="15"/>
      <c r="AM453" s="15"/>
      <c r="AN453" s="15"/>
      <c r="AO453" s="15"/>
      <c r="AP453" s="3"/>
      <c r="AQ453" s="3"/>
      <c r="AR453" s="3"/>
      <c r="AS453" s="3"/>
      <c r="AT453" s="50"/>
      <c r="AU453" s="50"/>
      <c r="AV453" s="50"/>
      <c r="AW453" s="50"/>
      <c r="AX453" s="50"/>
      <c r="AY453" s="50"/>
      <c r="AZ453" s="17"/>
      <c r="BA453" s="17"/>
      <c r="BB453" s="17"/>
      <c r="BC453" s="17"/>
      <c r="BD453" s="16"/>
      <c r="BE453" s="16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29"/>
      <c r="BW453" s="29"/>
      <c r="BX453" s="29"/>
      <c r="BY453" s="94"/>
      <c r="BZ453" s="94"/>
      <c r="CA453" s="94"/>
      <c r="CB453" s="29"/>
      <c r="CC453" s="29"/>
      <c r="CD453" s="29"/>
      <c r="CE453" s="29"/>
      <c r="CF453" s="3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</row>
    <row r="454" spans="1:114" ht="11.1" customHeight="1" x14ac:dyDescent="0.25">
      <c r="A454" s="3"/>
      <c r="B454" s="3"/>
      <c r="C454" s="3"/>
      <c r="D454" s="3"/>
      <c r="E454" s="3"/>
      <c r="K454" s="14"/>
      <c r="M454" s="14"/>
      <c r="N454" s="14"/>
      <c r="Z454" s="11"/>
      <c r="AA454" s="15"/>
      <c r="AB454" s="15"/>
      <c r="AC454" s="15"/>
      <c r="AD454" s="16"/>
      <c r="AE454" s="64"/>
      <c r="AF454" s="64"/>
      <c r="AG454" s="16"/>
      <c r="AH454" s="16"/>
      <c r="AI454" s="16"/>
      <c r="AJ454" s="15"/>
      <c r="AK454" s="15"/>
      <c r="AL454" s="15"/>
      <c r="AM454" s="15"/>
      <c r="AN454" s="15"/>
      <c r="AO454" s="15"/>
      <c r="AP454" s="3"/>
      <c r="AQ454" s="3"/>
      <c r="AR454" s="3"/>
      <c r="AS454" s="3"/>
      <c r="AT454" s="50"/>
      <c r="AU454" s="50"/>
      <c r="AV454" s="50"/>
      <c r="AW454" s="50"/>
      <c r="AX454" s="50"/>
      <c r="AY454" s="50"/>
      <c r="AZ454" s="17"/>
      <c r="BA454" s="17"/>
      <c r="BB454" s="17"/>
      <c r="BC454" s="17"/>
      <c r="BD454" s="16"/>
      <c r="BE454" s="16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29"/>
      <c r="BW454" s="29"/>
      <c r="BX454" s="29"/>
      <c r="BY454" s="94"/>
      <c r="BZ454" s="94"/>
      <c r="CA454" s="94"/>
      <c r="CB454" s="29"/>
      <c r="CC454" s="29"/>
      <c r="CD454" s="29"/>
      <c r="CE454" s="29"/>
      <c r="CF454" s="3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</row>
    <row r="455" spans="1:114" ht="11.1" customHeight="1" x14ac:dyDescent="0.25">
      <c r="A455" s="3"/>
      <c r="B455" s="3"/>
      <c r="C455" s="3"/>
      <c r="D455" s="3"/>
      <c r="E455" s="3"/>
      <c r="K455" s="14"/>
      <c r="M455" s="14"/>
      <c r="N455" s="14"/>
      <c r="Z455" s="11"/>
      <c r="AA455" s="15"/>
      <c r="AB455" s="15"/>
      <c r="AC455" s="15"/>
      <c r="AD455" s="16"/>
      <c r="AE455" s="64"/>
      <c r="AF455" s="64"/>
      <c r="AG455" s="16"/>
      <c r="AH455" s="16"/>
      <c r="AI455" s="16"/>
      <c r="AJ455" s="15"/>
      <c r="AK455" s="15"/>
      <c r="AL455" s="15"/>
      <c r="AM455" s="15"/>
      <c r="AN455" s="15"/>
      <c r="AO455" s="15"/>
      <c r="AP455" s="3"/>
      <c r="AQ455" s="3"/>
      <c r="AR455" s="3"/>
      <c r="AS455" s="3"/>
      <c r="AT455" s="50"/>
      <c r="AU455" s="50"/>
      <c r="AV455" s="50"/>
      <c r="AW455" s="50"/>
      <c r="AX455" s="50"/>
      <c r="AY455" s="50"/>
      <c r="AZ455" s="17"/>
      <c r="BA455" s="17"/>
      <c r="BB455" s="17"/>
      <c r="BC455" s="17"/>
      <c r="BD455" s="16"/>
      <c r="BE455" s="16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29"/>
      <c r="BW455" s="29"/>
      <c r="BX455" s="29"/>
      <c r="BY455" s="94"/>
      <c r="BZ455" s="94"/>
      <c r="CA455" s="94"/>
      <c r="CB455" s="29"/>
      <c r="CC455" s="29"/>
      <c r="CD455" s="29"/>
      <c r="CE455" s="29"/>
      <c r="CF455" s="3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</row>
    <row r="456" spans="1:114" ht="11.1" customHeight="1" x14ac:dyDescent="0.25">
      <c r="A456" s="3"/>
      <c r="B456" s="3"/>
      <c r="C456" s="3"/>
      <c r="D456" s="3"/>
      <c r="E456" s="3"/>
      <c r="K456" s="14"/>
      <c r="M456" s="14"/>
      <c r="N456" s="14"/>
      <c r="Z456" s="11"/>
      <c r="AA456" s="15"/>
      <c r="AB456" s="15"/>
      <c r="AC456" s="15"/>
      <c r="AD456" s="16"/>
      <c r="AE456" s="64"/>
      <c r="AF456" s="64"/>
      <c r="AG456" s="16"/>
      <c r="AH456" s="16"/>
      <c r="AI456" s="16"/>
      <c r="AJ456" s="15"/>
      <c r="AK456" s="15"/>
      <c r="AL456" s="15"/>
      <c r="AM456" s="15"/>
      <c r="AN456" s="15"/>
      <c r="AO456" s="15"/>
      <c r="AP456" s="3"/>
      <c r="AQ456" s="3"/>
      <c r="AR456" s="3"/>
      <c r="AS456" s="3"/>
      <c r="AT456" s="50"/>
      <c r="AU456" s="50"/>
      <c r="AV456" s="50"/>
      <c r="AW456" s="50"/>
      <c r="AX456" s="50"/>
      <c r="AY456" s="50"/>
      <c r="AZ456" s="17"/>
      <c r="BA456" s="17"/>
      <c r="BB456" s="17"/>
      <c r="BC456" s="17"/>
      <c r="BD456" s="16"/>
      <c r="BE456" s="16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29"/>
      <c r="BW456" s="29"/>
      <c r="BX456" s="29"/>
      <c r="BY456" s="94"/>
      <c r="BZ456" s="94"/>
      <c r="CA456" s="94"/>
      <c r="CB456" s="29"/>
      <c r="CC456" s="29"/>
      <c r="CD456" s="29"/>
      <c r="CE456" s="29"/>
      <c r="CF456" s="3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</row>
    <row r="457" spans="1:114" ht="11.1" customHeight="1" x14ac:dyDescent="0.25">
      <c r="A457" s="3"/>
      <c r="B457" s="3"/>
      <c r="C457" s="3"/>
      <c r="D457" s="3"/>
      <c r="E457" s="3"/>
      <c r="K457" s="14"/>
      <c r="M457" s="14"/>
      <c r="N457" s="14"/>
      <c r="Z457" s="11"/>
      <c r="AA457" s="15"/>
      <c r="AB457" s="15"/>
      <c r="AC457" s="15"/>
      <c r="AD457" s="16"/>
      <c r="AE457" s="64"/>
      <c r="AF457" s="64"/>
      <c r="AG457" s="16"/>
      <c r="AH457" s="16"/>
      <c r="AI457" s="16"/>
      <c r="AJ457" s="15"/>
      <c r="AK457" s="15"/>
      <c r="AL457" s="15"/>
      <c r="AM457" s="15"/>
      <c r="AN457" s="15"/>
      <c r="AO457" s="15"/>
      <c r="AP457" s="3"/>
      <c r="AQ457" s="3"/>
      <c r="AR457" s="3"/>
      <c r="AS457" s="3"/>
      <c r="AT457" s="50"/>
      <c r="AU457" s="50"/>
      <c r="AV457" s="50"/>
      <c r="AW457" s="50"/>
      <c r="AX457" s="50"/>
      <c r="AY457" s="50"/>
      <c r="AZ457" s="17"/>
      <c r="BA457" s="17"/>
      <c r="BB457" s="17"/>
      <c r="BC457" s="17"/>
      <c r="BD457" s="16"/>
      <c r="BE457" s="16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29"/>
      <c r="BW457" s="29"/>
      <c r="BX457" s="29"/>
      <c r="BY457" s="94"/>
      <c r="BZ457" s="94"/>
      <c r="CA457" s="94"/>
      <c r="CB457" s="29"/>
      <c r="CC457" s="29"/>
      <c r="CD457" s="29"/>
      <c r="CE457" s="29"/>
      <c r="CF457" s="3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</row>
    <row r="458" spans="1:114" ht="11.1" customHeight="1" x14ac:dyDescent="0.25">
      <c r="A458" s="3"/>
      <c r="B458" s="3"/>
      <c r="C458" s="3"/>
      <c r="D458" s="3"/>
      <c r="E458" s="3"/>
      <c r="K458" s="14"/>
      <c r="M458" s="14"/>
      <c r="N458" s="14"/>
      <c r="Z458" s="11"/>
      <c r="AA458" s="15"/>
      <c r="AB458" s="15"/>
      <c r="AC458" s="15"/>
      <c r="AD458" s="16"/>
      <c r="AE458" s="64"/>
      <c r="AF458" s="64"/>
      <c r="AG458" s="16"/>
      <c r="AH458" s="16"/>
      <c r="AI458" s="16"/>
      <c r="AJ458" s="15"/>
      <c r="AK458" s="15"/>
      <c r="AL458" s="15"/>
      <c r="AM458" s="15"/>
      <c r="AN458" s="15"/>
      <c r="AO458" s="15"/>
      <c r="AP458" s="3"/>
      <c r="AQ458" s="3"/>
      <c r="AR458" s="3"/>
      <c r="AS458" s="3"/>
      <c r="AT458" s="50"/>
      <c r="AU458" s="50"/>
      <c r="AV458" s="50"/>
      <c r="AW458" s="50"/>
      <c r="AX458" s="50"/>
      <c r="AY458" s="50"/>
      <c r="AZ458" s="17"/>
      <c r="BA458" s="17"/>
      <c r="BB458" s="17"/>
      <c r="BC458" s="17"/>
      <c r="BD458" s="16"/>
      <c r="BE458" s="16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29"/>
      <c r="BW458" s="29"/>
      <c r="BX458" s="29"/>
      <c r="BY458" s="94"/>
      <c r="BZ458" s="94"/>
      <c r="CA458" s="94"/>
      <c r="CB458" s="29"/>
      <c r="CC458" s="29"/>
      <c r="CD458" s="29"/>
      <c r="CE458" s="29"/>
      <c r="CF458" s="3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</row>
    <row r="459" spans="1:114" ht="11.1" customHeight="1" x14ac:dyDescent="0.25">
      <c r="A459" s="3"/>
      <c r="B459" s="3"/>
      <c r="C459" s="3"/>
      <c r="D459" s="3"/>
      <c r="E459" s="3"/>
      <c r="K459" s="14"/>
      <c r="M459" s="14"/>
      <c r="N459" s="14"/>
      <c r="Z459" s="11"/>
      <c r="AA459" s="15"/>
      <c r="AB459" s="15"/>
      <c r="AC459" s="15"/>
      <c r="AD459" s="16"/>
      <c r="AE459" s="64"/>
      <c r="AF459" s="64"/>
      <c r="AG459" s="16"/>
      <c r="AH459" s="16"/>
      <c r="AI459" s="16"/>
      <c r="AJ459" s="15"/>
      <c r="AK459" s="15"/>
      <c r="AL459" s="15"/>
      <c r="AM459" s="15"/>
      <c r="AN459" s="15"/>
      <c r="AO459" s="15"/>
      <c r="AP459" s="3"/>
      <c r="AQ459" s="3"/>
      <c r="AR459" s="3"/>
      <c r="AS459" s="3"/>
      <c r="AT459" s="50"/>
      <c r="AU459" s="50"/>
      <c r="AV459" s="50"/>
      <c r="AW459" s="50"/>
      <c r="AX459" s="50"/>
      <c r="AY459" s="50"/>
      <c r="AZ459" s="17"/>
      <c r="BA459" s="17"/>
      <c r="BB459" s="17"/>
      <c r="BC459" s="17"/>
      <c r="BD459" s="16"/>
      <c r="BE459" s="16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29"/>
      <c r="BW459" s="29"/>
      <c r="BX459" s="29"/>
      <c r="BY459" s="94"/>
      <c r="BZ459" s="94"/>
      <c r="CA459" s="94"/>
      <c r="CB459" s="29"/>
      <c r="CC459" s="29"/>
      <c r="CD459" s="29"/>
      <c r="CE459" s="29"/>
      <c r="CF459" s="3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</row>
    <row r="460" spans="1:114" ht="11.1" customHeight="1" x14ac:dyDescent="0.25">
      <c r="A460" s="3"/>
      <c r="B460" s="3"/>
      <c r="C460" s="3"/>
      <c r="D460" s="3"/>
      <c r="E460" s="3"/>
      <c r="K460" s="14"/>
      <c r="M460" s="14"/>
      <c r="N460" s="14"/>
      <c r="Z460" s="11"/>
      <c r="AA460" s="15"/>
      <c r="AB460" s="15"/>
      <c r="AC460" s="15"/>
      <c r="AD460" s="16"/>
      <c r="AE460" s="64"/>
      <c r="AF460" s="64"/>
      <c r="AG460" s="16"/>
      <c r="AH460" s="16"/>
      <c r="AI460" s="16"/>
      <c r="AJ460" s="15"/>
      <c r="AK460" s="15"/>
      <c r="AL460" s="15"/>
      <c r="AM460" s="15"/>
      <c r="AN460" s="15"/>
      <c r="AO460" s="15"/>
      <c r="AP460" s="3"/>
      <c r="AQ460" s="3"/>
      <c r="AR460" s="3"/>
      <c r="AS460" s="3"/>
      <c r="AT460" s="50"/>
      <c r="AU460" s="50"/>
      <c r="AV460" s="50"/>
      <c r="AW460" s="50"/>
      <c r="AX460" s="50"/>
      <c r="AY460" s="50"/>
      <c r="AZ460" s="17"/>
      <c r="BA460" s="17"/>
      <c r="BB460" s="17"/>
      <c r="BC460" s="17"/>
      <c r="BD460" s="16"/>
      <c r="BE460" s="16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29"/>
      <c r="BW460" s="29"/>
      <c r="BX460" s="29"/>
      <c r="BY460" s="94"/>
      <c r="BZ460" s="94"/>
      <c r="CA460" s="94"/>
      <c r="CB460" s="29"/>
      <c r="CC460" s="29"/>
      <c r="CD460" s="29"/>
      <c r="CE460" s="29"/>
      <c r="CF460" s="3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</row>
    <row r="461" spans="1:114" ht="11.1" customHeight="1" x14ac:dyDescent="0.25">
      <c r="A461" s="3"/>
      <c r="B461" s="3"/>
      <c r="C461" s="3"/>
      <c r="D461" s="3"/>
      <c r="E461" s="3"/>
      <c r="K461" s="14"/>
      <c r="M461" s="14"/>
      <c r="N461" s="14"/>
      <c r="Z461" s="11"/>
      <c r="AA461" s="15"/>
      <c r="AB461" s="15"/>
      <c r="AC461" s="15"/>
      <c r="AD461" s="16"/>
      <c r="AE461" s="64"/>
      <c r="AF461" s="64"/>
      <c r="AG461" s="16"/>
      <c r="AH461" s="16"/>
      <c r="AI461" s="16"/>
      <c r="AJ461" s="15"/>
      <c r="AK461" s="15"/>
      <c r="AL461" s="15"/>
      <c r="AM461" s="15"/>
      <c r="AN461" s="15"/>
      <c r="AO461" s="15"/>
      <c r="AP461" s="3"/>
      <c r="AQ461" s="3"/>
      <c r="AR461" s="3"/>
      <c r="AS461" s="3"/>
      <c r="AT461" s="50"/>
      <c r="AU461" s="50"/>
      <c r="AV461" s="50"/>
      <c r="AW461" s="50"/>
      <c r="AX461" s="50"/>
      <c r="AY461" s="50"/>
      <c r="AZ461" s="17"/>
      <c r="BA461" s="17"/>
      <c r="BB461" s="17"/>
      <c r="BC461" s="17"/>
      <c r="BD461" s="16"/>
      <c r="BE461" s="16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29"/>
      <c r="BW461" s="29"/>
      <c r="BX461" s="29"/>
      <c r="BY461" s="94"/>
      <c r="BZ461" s="94"/>
      <c r="CA461" s="94"/>
      <c r="CB461" s="29"/>
      <c r="CC461" s="29"/>
      <c r="CD461" s="29"/>
      <c r="CE461" s="29"/>
      <c r="CF461" s="3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</row>
    <row r="462" spans="1:114" ht="11.1" customHeight="1" x14ac:dyDescent="0.25">
      <c r="A462" s="3"/>
      <c r="B462" s="3"/>
      <c r="C462" s="3"/>
      <c r="D462" s="3"/>
      <c r="E462" s="3"/>
      <c r="K462" s="14"/>
      <c r="M462" s="14"/>
      <c r="N462" s="14"/>
      <c r="Z462" s="11"/>
      <c r="AA462" s="15"/>
      <c r="AB462" s="15"/>
      <c r="AC462" s="15"/>
      <c r="AD462" s="16"/>
      <c r="AE462" s="64"/>
      <c r="AF462" s="64"/>
      <c r="AG462" s="16"/>
      <c r="AH462" s="16"/>
      <c r="AI462" s="16"/>
      <c r="AJ462" s="15"/>
      <c r="AK462" s="15"/>
      <c r="AL462" s="15"/>
      <c r="AM462" s="15"/>
      <c r="AN462" s="15"/>
      <c r="AO462" s="15"/>
      <c r="AP462" s="3"/>
      <c r="AQ462" s="3"/>
      <c r="AR462" s="3"/>
      <c r="AS462" s="3"/>
      <c r="AT462" s="50"/>
      <c r="AU462" s="50"/>
      <c r="AV462" s="50"/>
      <c r="AW462" s="50"/>
      <c r="AX462" s="50"/>
      <c r="AY462" s="50"/>
      <c r="AZ462" s="17"/>
      <c r="BA462" s="17"/>
      <c r="BB462" s="17"/>
      <c r="BC462" s="17"/>
      <c r="BD462" s="16"/>
      <c r="BE462" s="16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29"/>
      <c r="BW462" s="29"/>
      <c r="BX462" s="29"/>
      <c r="BY462" s="94"/>
      <c r="BZ462" s="94"/>
      <c r="CA462" s="94"/>
      <c r="CB462" s="29"/>
      <c r="CC462" s="29"/>
      <c r="CD462" s="29"/>
      <c r="CE462" s="29"/>
      <c r="CF462" s="3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</row>
    <row r="463" spans="1:114" ht="11.1" customHeight="1" x14ac:dyDescent="0.25">
      <c r="A463" s="3"/>
      <c r="B463" s="3"/>
      <c r="C463" s="3"/>
      <c r="D463" s="3"/>
      <c r="E463" s="3"/>
      <c r="K463" s="14"/>
      <c r="M463" s="14"/>
      <c r="N463" s="14"/>
      <c r="Z463" s="11"/>
      <c r="AA463" s="15"/>
      <c r="AB463" s="15"/>
      <c r="AC463" s="15"/>
      <c r="AD463" s="16"/>
      <c r="AE463" s="64"/>
      <c r="AF463" s="64"/>
      <c r="AG463" s="16"/>
      <c r="AH463" s="16"/>
      <c r="AI463" s="16"/>
      <c r="AJ463" s="15"/>
      <c r="AK463" s="15"/>
      <c r="AL463" s="15"/>
      <c r="AM463" s="15"/>
      <c r="AN463" s="15"/>
      <c r="AO463" s="15"/>
      <c r="AP463" s="3"/>
      <c r="AQ463" s="3"/>
      <c r="AR463" s="3"/>
      <c r="AS463" s="3"/>
      <c r="AT463" s="50"/>
      <c r="AU463" s="50"/>
      <c r="AV463" s="50"/>
      <c r="AW463" s="50"/>
      <c r="AX463" s="50"/>
      <c r="AY463" s="50"/>
      <c r="AZ463" s="17"/>
      <c r="BA463" s="17"/>
      <c r="BB463" s="17"/>
      <c r="BC463" s="17"/>
      <c r="BD463" s="16"/>
      <c r="BE463" s="16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29"/>
      <c r="BW463" s="29"/>
      <c r="BX463" s="29"/>
      <c r="BY463" s="94"/>
      <c r="BZ463" s="94"/>
      <c r="CA463" s="94"/>
      <c r="CB463" s="29"/>
      <c r="CC463" s="29"/>
      <c r="CD463" s="29"/>
      <c r="CE463" s="29"/>
      <c r="CF463" s="3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</row>
    <row r="464" spans="1:114" ht="11.1" customHeight="1" x14ac:dyDescent="0.25">
      <c r="A464" s="3"/>
      <c r="B464" s="3"/>
      <c r="C464" s="3"/>
      <c r="D464" s="3"/>
      <c r="E464" s="3"/>
      <c r="K464" s="14"/>
      <c r="M464" s="14"/>
      <c r="N464" s="14"/>
      <c r="Z464" s="11"/>
      <c r="AA464" s="15"/>
      <c r="AB464" s="15"/>
      <c r="AC464" s="15"/>
      <c r="AD464" s="16"/>
      <c r="AE464" s="64"/>
      <c r="AF464" s="64"/>
      <c r="AG464" s="16"/>
      <c r="AH464" s="16"/>
      <c r="AI464" s="16"/>
      <c r="AJ464" s="15"/>
      <c r="AK464" s="15"/>
      <c r="AL464" s="15"/>
      <c r="AM464" s="15"/>
      <c r="AN464" s="15"/>
      <c r="AO464" s="15"/>
      <c r="AP464" s="3"/>
      <c r="AQ464" s="3"/>
      <c r="AR464" s="3"/>
      <c r="AS464" s="3"/>
      <c r="AT464" s="50"/>
      <c r="AU464" s="50"/>
      <c r="AV464" s="50"/>
      <c r="AW464" s="50"/>
      <c r="AX464" s="50"/>
      <c r="AY464" s="50"/>
      <c r="AZ464" s="17"/>
      <c r="BA464" s="17"/>
      <c r="BB464" s="17"/>
      <c r="BC464" s="17"/>
      <c r="BD464" s="16"/>
      <c r="BE464" s="16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29"/>
      <c r="BW464" s="29"/>
      <c r="BX464" s="29"/>
      <c r="BY464" s="94"/>
      <c r="BZ464" s="94"/>
      <c r="CA464" s="94"/>
      <c r="CB464" s="29"/>
      <c r="CC464" s="29"/>
      <c r="CD464" s="29"/>
      <c r="CE464" s="29"/>
      <c r="CF464" s="3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</row>
    <row r="465" spans="1:114" ht="11.1" customHeight="1" x14ac:dyDescent="0.25">
      <c r="A465" s="3"/>
      <c r="B465" s="3"/>
      <c r="C465" s="3"/>
      <c r="D465" s="3"/>
      <c r="E465" s="3"/>
      <c r="K465" s="14"/>
      <c r="M465" s="14"/>
      <c r="N465" s="14"/>
      <c r="Z465" s="11"/>
      <c r="AA465" s="15"/>
      <c r="AB465" s="15"/>
      <c r="AC465" s="15"/>
      <c r="AD465" s="16"/>
      <c r="AE465" s="64"/>
      <c r="AF465" s="64"/>
      <c r="AG465" s="16"/>
      <c r="AH465" s="16"/>
      <c r="AI465" s="16"/>
      <c r="AJ465" s="15"/>
      <c r="AK465" s="15"/>
      <c r="AL465" s="15"/>
      <c r="AM465" s="15"/>
      <c r="AN465" s="15"/>
      <c r="AO465" s="15"/>
      <c r="AP465" s="3"/>
      <c r="AQ465" s="3"/>
      <c r="AR465" s="3"/>
      <c r="AS465" s="3"/>
      <c r="AT465" s="50"/>
      <c r="AU465" s="50"/>
      <c r="AV465" s="50"/>
      <c r="AW465" s="50"/>
      <c r="AX465" s="50"/>
      <c r="AY465" s="50"/>
      <c r="AZ465" s="17"/>
      <c r="BA465" s="17"/>
      <c r="BB465" s="17"/>
      <c r="BC465" s="17"/>
      <c r="BD465" s="16"/>
      <c r="BE465" s="16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29"/>
      <c r="BW465" s="29"/>
      <c r="BX465" s="29"/>
      <c r="BY465" s="94"/>
      <c r="BZ465" s="94"/>
      <c r="CA465" s="94"/>
      <c r="CB465" s="29"/>
      <c r="CC465" s="29"/>
      <c r="CD465" s="29"/>
      <c r="CE465" s="29"/>
      <c r="CF465" s="3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</row>
    <row r="466" spans="1:114" ht="11.1" customHeight="1" x14ac:dyDescent="0.25">
      <c r="A466" s="3"/>
      <c r="B466" s="3"/>
      <c r="C466" s="3"/>
      <c r="D466" s="3"/>
      <c r="E466" s="3"/>
      <c r="K466" s="14"/>
      <c r="M466" s="14"/>
      <c r="N466" s="14"/>
      <c r="Z466" s="11"/>
      <c r="AA466" s="15"/>
      <c r="AB466" s="15"/>
      <c r="AC466" s="15"/>
      <c r="AD466" s="16"/>
      <c r="AE466" s="64"/>
      <c r="AF466" s="64"/>
      <c r="AG466" s="16"/>
      <c r="AH466" s="16"/>
      <c r="AI466" s="16"/>
      <c r="AJ466" s="15"/>
      <c r="AK466" s="15"/>
      <c r="AL466" s="15"/>
      <c r="AM466" s="15"/>
      <c r="AN466" s="15"/>
      <c r="AO466" s="15"/>
      <c r="AP466" s="3"/>
      <c r="AQ466" s="3"/>
      <c r="AR466" s="3"/>
      <c r="AS466" s="3"/>
      <c r="AT466" s="50"/>
      <c r="AU466" s="50"/>
      <c r="AV466" s="50"/>
      <c r="AW466" s="50"/>
      <c r="AX466" s="50"/>
      <c r="AY466" s="50"/>
      <c r="AZ466" s="17"/>
      <c r="BA466" s="17"/>
      <c r="BB466" s="17"/>
      <c r="BC466" s="17"/>
      <c r="BD466" s="16"/>
      <c r="BE466" s="16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29"/>
      <c r="BW466" s="29"/>
      <c r="BX466" s="29"/>
      <c r="BY466" s="94"/>
      <c r="BZ466" s="94"/>
      <c r="CA466" s="94"/>
      <c r="CB466" s="29"/>
      <c r="CC466" s="29"/>
      <c r="CD466" s="29"/>
      <c r="CE466" s="29"/>
      <c r="CF466" s="3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</row>
    <row r="467" spans="1:114" ht="11.1" customHeight="1" x14ac:dyDescent="0.25">
      <c r="A467" s="3"/>
      <c r="B467" s="3"/>
      <c r="C467" s="3"/>
      <c r="D467" s="3"/>
      <c r="E467" s="3"/>
      <c r="K467" s="14"/>
      <c r="M467" s="14"/>
      <c r="N467" s="14"/>
      <c r="Z467" s="11"/>
      <c r="AA467" s="15"/>
      <c r="AB467" s="15"/>
      <c r="AC467" s="15"/>
      <c r="AD467" s="16"/>
      <c r="AE467" s="64"/>
      <c r="AF467" s="64"/>
      <c r="AG467" s="16"/>
      <c r="AH467" s="16"/>
      <c r="AI467" s="16"/>
      <c r="AJ467" s="15"/>
      <c r="AK467" s="15"/>
      <c r="AL467" s="15"/>
      <c r="AM467" s="15"/>
      <c r="AN467" s="15"/>
      <c r="AO467" s="15"/>
      <c r="AP467" s="3"/>
      <c r="AQ467" s="3"/>
      <c r="AR467" s="3"/>
      <c r="AS467" s="3"/>
      <c r="AT467" s="50"/>
      <c r="AU467" s="50"/>
      <c r="AV467" s="50"/>
      <c r="AW467" s="50"/>
      <c r="AX467" s="50"/>
      <c r="AY467" s="50"/>
      <c r="AZ467" s="17"/>
      <c r="BA467" s="17"/>
      <c r="BB467" s="17"/>
      <c r="BC467" s="17"/>
      <c r="BD467" s="16"/>
      <c r="BE467" s="16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29"/>
      <c r="BW467" s="29"/>
      <c r="BX467" s="29"/>
      <c r="BY467" s="94"/>
      <c r="BZ467" s="94"/>
      <c r="CA467" s="94"/>
      <c r="CB467" s="29"/>
      <c r="CC467" s="29"/>
      <c r="CD467" s="29"/>
      <c r="CE467" s="29"/>
      <c r="CF467" s="3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</row>
    <row r="468" spans="1:114" ht="11.1" customHeight="1" x14ac:dyDescent="0.25">
      <c r="A468" s="3"/>
      <c r="B468" s="3"/>
      <c r="C468" s="3"/>
      <c r="D468" s="3"/>
      <c r="E468" s="3"/>
      <c r="K468" s="14"/>
      <c r="M468" s="14"/>
      <c r="N468" s="14"/>
      <c r="Z468" s="11"/>
      <c r="AA468" s="15"/>
      <c r="AB468" s="15"/>
      <c r="AC468" s="15"/>
      <c r="AD468" s="16"/>
      <c r="AE468" s="64"/>
      <c r="AF468" s="64"/>
      <c r="AG468" s="16"/>
      <c r="AH468" s="16"/>
      <c r="AI468" s="16"/>
      <c r="AJ468" s="15"/>
      <c r="AK468" s="15"/>
      <c r="AL468" s="15"/>
      <c r="AM468" s="15"/>
      <c r="AN468" s="15"/>
      <c r="AO468" s="15"/>
      <c r="AP468" s="3"/>
      <c r="AQ468" s="3"/>
      <c r="AR468" s="3"/>
      <c r="AS468" s="3"/>
      <c r="AT468" s="50"/>
      <c r="AU468" s="50"/>
      <c r="AV468" s="50"/>
      <c r="AW468" s="50"/>
      <c r="AX468" s="50"/>
      <c r="AY468" s="50"/>
      <c r="AZ468" s="17"/>
      <c r="BA468" s="17"/>
      <c r="BB468" s="17"/>
      <c r="BC468" s="17"/>
      <c r="BD468" s="16"/>
      <c r="BE468" s="16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29"/>
      <c r="BW468" s="29"/>
      <c r="BX468" s="29"/>
      <c r="BY468" s="94"/>
      <c r="BZ468" s="94"/>
      <c r="CA468" s="94"/>
      <c r="CB468" s="29"/>
      <c r="CC468" s="29"/>
      <c r="CD468" s="29"/>
      <c r="CE468" s="29"/>
      <c r="CF468" s="3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</row>
    <row r="469" spans="1:114" ht="11.1" customHeight="1" x14ac:dyDescent="0.25">
      <c r="A469" s="3"/>
      <c r="B469" s="3"/>
      <c r="C469" s="3"/>
      <c r="D469" s="3"/>
      <c r="E469" s="3"/>
      <c r="K469" s="14"/>
      <c r="M469" s="14"/>
      <c r="N469" s="14"/>
      <c r="Z469" s="11"/>
      <c r="AA469" s="15"/>
      <c r="AB469" s="15"/>
      <c r="AC469" s="15"/>
      <c r="AD469" s="16"/>
      <c r="AE469" s="64"/>
      <c r="AF469" s="64"/>
      <c r="AG469" s="16"/>
      <c r="AH469" s="16"/>
      <c r="AI469" s="16"/>
      <c r="AJ469" s="15"/>
      <c r="AK469" s="15"/>
      <c r="AL469" s="15"/>
      <c r="AM469" s="15"/>
      <c r="AN469" s="15"/>
      <c r="AO469" s="15"/>
      <c r="AP469" s="3"/>
      <c r="AQ469" s="3"/>
      <c r="AR469" s="3"/>
      <c r="AS469" s="3"/>
      <c r="AT469" s="50"/>
      <c r="AU469" s="50"/>
      <c r="AV469" s="50"/>
      <c r="AW469" s="50"/>
      <c r="AX469" s="50"/>
      <c r="AY469" s="50"/>
      <c r="AZ469" s="17"/>
      <c r="BA469" s="17"/>
      <c r="BB469" s="17"/>
      <c r="BC469" s="17"/>
      <c r="BD469" s="16"/>
      <c r="BE469" s="16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29"/>
      <c r="BW469" s="29"/>
      <c r="BX469" s="29"/>
      <c r="BY469" s="94"/>
      <c r="BZ469" s="94"/>
      <c r="CA469" s="94"/>
      <c r="CB469" s="29"/>
      <c r="CC469" s="29"/>
      <c r="CD469" s="29"/>
      <c r="CE469" s="29"/>
      <c r="CF469" s="3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</row>
    <row r="470" spans="1:114" ht="11.1" customHeight="1" x14ac:dyDescent="0.25">
      <c r="A470" s="3"/>
      <c r="B470" s="3"/>
      <c r="C470" s="3"/>
      <c r="D470" s="3"/>
      <c r="E470" s="3"/>
      <c r="K470" s="14"/>
      <c r="M470" s="14"/>
      <c r="N470" s="14"/>
      <c r="Z470" s="11"/>
      <c r="AA470" s="15"/>
      <c r="AB470" s="15"/>
      <c r="AC470" s="15"/>
      <c r="AD470" s="16"/>
      <c r="AE470" s="64"/>
      <c r="AF470" s="64"/>
      <c r="AG470" s="16"/>
      <c r="AH470" s="16"/>
      <c r="AI470" s="16"/>
      <c r="AJ470" s="15"/>
      <c r="AK470" s="15"/>
      <c r="AL470" s="15"/>
      <c r="AM470" s="15"/>
      <c r="AN470" s="15"/>
      <c r="AO470" s="15"/>
      <c r="AP470" s="3"/>
      <c r="AQ470" s="3"/>
      <c r="AR470" s="3"/>
      <c r="AS470" s="3"/>
      <c r="AT470" s="50"/>
      <c r="AU470" s="50"/>
      <c r="AV470" s="50"/>
      <c r="AW470" s="50"/>
      <c r="AX470" s="50"/>
      <c r="AY470" s="50"/>
      <c r="AZ470" s="17"/>
      <c r="BA470" s="17"/>
      <c r="BB470" s="17"/>
      <c r="BC470" s="17"/>
      <c r="BD470" s="16"/>
      <c r="BE470" s="16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29"/>
      <c r="BW470" s="29"/>
      <c r="BX470" s="29"/>
      <c r="BY470" s="94"/>
      <c r="BZ470" s="94"/>
      <c r="CA470" s="94"/>
      <c r="CB470" s="29"/>
      <c r="CC470" s="29"/>
      <c r="CD470" s="29"/>
      <c r="CE470" s="29"/>
      <c r="CF470" s="3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</row>
    <row r="471" spans="1:114" ht="11.1" customHeight="1" x14ac:dyDescent="0.25">
      <c r="A471" s="3"/>
      <c r="B471" s="3"/>
      <c r="C471" s="3"/>
      <c r="D471" s="3"/>
      <c r="E471" s="3"/>
      <c r="K471" s="14"/>
      <c r="M471" s="14"/>
      <c r="N471" s="14"/>
      <c r="Z471" s="11"/>
      <c r="AA471" s="15"/>
      <c r="AB471" s="15"/>
      <c r="AC471" s="15"/>
      <c r="AD471" s="16"/>
      <c r="AE471" s="64"/>
      <c r="AF471" s="64"/>
      <c r="AG471" s="16"/>
      <c r="AH471" s="16"/>
      <c r="AI471" s="16"/>
      <c r="AJ471" s="15"/>
      <c r="AK471" s="15"/>
      <c r="AL471" s="15"/>
      <c r="AM471" s="15"/>
      <c r="AN471" s="15"/>
      <c r="AO471" s="15"/>
      <c r="AP471" s="3"/>
      <c r="AQ471" s="3"/>
      <c r="AR471" s="3"/>
      <c r="AS471" s="3"/>
      <c r="AT471" s="50"/>
      <c r="AU471" s="50"/>
      <c r="AV471" s="50"/>
      <c r="AW471" s="50"/>
      <c r="AX471" s="50"/>
      <c r="AY471" s="50"/>
      <c r="AZ471" s="17"/>
      <c r="BA471" s="17"/>
      <c r="BB471" s="17"/>
      <c r="BC471" s="17"/>
      <c r="BD471" s="16"/>
      <c r="BE471" s="16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29"/>
      <c r="BW471" s="29"/>
      <c r="BX471" s="29"/>
      <c r="BY471" s="94"/>
      <c r="BZ471" s="94"/>
      <c r="CA471" s="94"/>
      <c r="CB471" s="29"/>
      <c r="CC471" s="29"/>
      <c r="CD471" s="29"/>
      <c r="CE471" s="29"/>
      <c r="CF471" s="3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</row>
    <row r="472" spans="1:114" ht="11.1" customHeight="1" x14ac:dyDescent="0.25">
      <c r="A472" s="3"/>
      <c r="B472" s="3"/>
      <c r="C472" s="3"/>
      <c r="D472" s="3"/>
      <c r="E472" s="3"/>
      <c r="K472" s="14"/>
      <c r="M472" s="14"/>
      <c r="N472" s="14"/>
      <c r="Z472" s="11"/>
      <c r="AA472" s="15"/>
      <c r="AB472" s="15"/>
      <c r="AC472" s="15"/>
      <c r="AD472" s="16"/>
      <c r="AE472" s="64"/>
      <c r="AF472" s="64"/>
      <c r="AG472" s="16"/>
      <c r="AH472" s="16"/>
      <c r="AI472" s="16"/>
      <c r="AJ472" s="15"/>
      <c r="AK472" s="15"/>
      <c r="AL472" s="15"/>
      <c r="AM472" s="15"/>
      <c r="AN472" s="15"/>
      <c r="AO472" s="15"/>
      <c r="AP472" s="3"/>
      <c r="AQ472" s="3"/>
      <c r="AR472" s="3"/>
      <c r="AS472" s="3"/>
      <c r="AT472" s="50"/>
      <c r="AV472" s="50"/>
      <c r="AW472" s="50"/>
      <c r="AX472" s="50"/>
      <c r="AY472" s="50"/>
      <c r="AZ472" s="17"/>
      <c r="BA472" s="17"/>
      <c r="BB472" s="17"/>
      <c r="BC472" s="17"/>
      <c r="BD472" s="16"/>
      <c r="BE472" s="16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29"/>
      <c r="BW472" s="29"/>
      <c r="BX472" s="29"/>
      <c r="BY472" s="94"/>
      <c r="BZ472" s="94"/>
      <c r="CA472" s="94"/>
      <c r="CB472" s="29"/>
      <c r="CC472" s="29"/>
      <c r="CD472" s="29"/>
      <c r="CE472" s="29"/>
      <c r="CF472" s="3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</row>
    <row r="473" spans="1:114" ht="11.1" customHeight="1" x14ac:dyDescent="0.25">
      <c r="A473" s="3"/>
      <c r="B473" s="3"/>
      <c r="C473" s="3"/>
      <c r="D473" s="3"/>
      <c r="E473" s="3"/>
      <c r="K473" s="14"/>
      <c r="M473" s="14"/>
      <c r="N473" s="14"/>
      <c r="Z473" s="11"/>
      <c r="AA473" s="15"/>
      <c r="AB473" s="15"/>
      <c r="AC473" s="15"/>
      <c r="AD473" s="16"/>
      <c r="AE473" s="64"/>
      <c r="AF473" s="64"/>
      <c r="AG473" s="16"/>
      <c r="AH473" s="16"/>
      <c r="AI473" s="16"/>
      <c r="AJ473" s="15"/>
      <c r="AK473" s="15"/>
      <c r="AL473" s="15"/>
      <c r="AM473" s="15"/>
      <c r="AN473" s="15"/>
      <c r="AO473" s="15"/>
      <c r="AP473" s="3"/>
      <c r="AQ473" s="3"/>
      <c r="AR473" s="3"/>
      <c r="AS473" s="3"/>
      <c r="AT473" s="50"/>
      <c r="AV473" s="50"/>
      <c r="AW473" s="50"/>
      <c r="AX473" s="50"/>
      <c r="AY473" s="50"/>
      <c r="AZ473" s="17"/>
      <c r="BA473" s="17"/>
      <c r="BB473" s="17"/>
      <c r="BC473" s="17"/>
      <c r="BD473" s="16"/>
      <c r="BE473" s="16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29"/>
      <c r="BW473" s="29"/>
      <c r="BX473" s="29"/>
      <c r="BY473" s="94"/>
      <c r="BZ473" s="94"/>
      <c r="CA473" s="94"/>
      <c r="CB473" s="29"/>
      <c r="CC473" s="29"/>
      <c r="CD473" s="29"/>
      <c r="CE473" s="29"/>
      <c r="CF473" s="3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</row>
    <row r="474" spans="1:114" ht="11.1" customHeight="1" x14ac:dyDescent="0.25">
      <c r="A474" s="3"/>
      <c r="B474" s="3"/>
      <c r="C474" s="3"/>
      <c r="D474" s="3"/>
      <c r="E474" s="3"/>
      <c r="K474" s="14"/>
      <c r="M474" s="14"/>
      <c r="N474" s="14"/>
      <c r="Z474" s="11"/>
      <c r="AA474" s="15"/>
      <c r="AB474" s="15"/>
      <c r="AC474" s="15"/>
      <c r="AD474" s="16"/>
      <c r="AE474" s="64"/>
      <c r="AF474" s="64"/>
      <c r="AG474" s="16"/>
      <c r="AH474" s="16"/>
      <c r="AI474" s="16"/>
      <c r="AJ474" s="15"/>
      <c r="AK474" s="15"/>
      <c r="AL474" s="15"/>
      <c r="AM474" s="15"/>
      <c r="AN474" s="15"/>
      <c r="AO474" s="15"/>
      <c r="AP474" s="3"/>
      <c r="AQ474" s="3"/>
      <c r="AR474" s="3"/>
      <c r="AS474" s="3"/>
      <c r="AT474" s="50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29"/>
      <c r="BW474" s="29"/>
      <c r="BX474" s="29"/>
      <c r="BY474" s="94"/>
      <c r="BZ474" s="94"/>
      <c r="CA474" s="94"/>
      <c r="CB474" s="29"/>
      <c r="CC474" s="29"/>
      <c r="CD474" s="29"/>
      <c r="CE474" s="29"/>
      <c r="CF474" s="3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</row>
    <row r="475" spans="1:114" ht="11.1" customHeight="1" x14ac:dyDescent="0.25">
      <c r="A475" s="3"/>
      <c r="B475" s="3"/>
      <c r="C475" s="3"/>
      <c r="D475" s="3"/>
      <c r="E475" s="3"/>
      <c r="K475" s="14"/>
      <c r="M475" s="14"/>
      <c r="N475" s="14"/>
      <c r="Z475" s="11"/>
      <c r="AA475" s="15"/>
      <c r="AB475" s="15"/>
      <c r="AC475" s="15"/>
      <c r="AD475" s="16"/>
      <c r="AE475" s="64"/>
      <c r="AF475" s="64"/>
      <c r="AG475" s="16"/>
      <c r="AH475" s="16"/>
      <c r="AI475" s="16"/>
      <c r="AJ475" s="15"/>
      <c r="AK475" s="15"/>
      <c r="AL475" s="15"/>
      <c r="AM475" s="15"/>
      <c r="AN475" s="15"/>
      <c r="AO475" s="15"/>
      <c r="AP475" s="3"/>
      <c r="AQ475" s="3"/>
      <c r="AR475" s="3"/>
      <c r="AS475" s="3"/>
      <c r="AT475" s="50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29"/>
      <c r="BW475" s="29"/>
      <c r="BX475" s="29"/>
      <c r="BY475" s="94"/>
      <c r="BZ475" s="94"/>
      <c r="CA475" s="94"/>
      <c r="CB475" s="29"/>
      <c r="CC475" s="29"/>
      <c r="CD475" s="29"/>
      <c r="CE475" s="29"/>
      <c r="CF475" s="3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</row>
    <row r="476" spans="1:114" ht="11.1" customHeight="1" x14ac:dyDescent="0.25">
      <c r="A476" s="3"/>
      <c r="B476" s="3"/>
      <c r="C476" s="3"/>
      <c r="D476" s="3"/>
      <c r="E476" s="3"/>
      <c r="K476" s="14"/>
      <c r="M476" s="14"/>
      <c r="N476" s="14"/>
      <c r="Z476" s="11"/>
      <c r="AA476" s="15"/>
      <c r="AB476" s="15"/>
      <c r="AC476" s="15"/>
      <c r="AD476" s="16"/>
      <c r="AE476" s="64"/>
      <c r="AF476" s="64"/>
      <c r="AG476" s="16"/>
      <c r="AH476" s="16"/>
      <c r="AI476" s="16"/>
      <c r="AJ476" s="15"/>
      <c r="AK476" s="15"/>
      <c r="AL476" s="15"/>
      <c r="AM476" s="15"/>
      <c r="AN476" s="15"/>
      <c r="AO476" s="15"/>
      <c r="AP476" s="3"/>
      <c r="AQ476" s="3"/>
      <c r="AR476" s="3"/>
      <c r="AS476" s="3"/>
      <c r="AT476" s="50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29"/>
      <c r="BW476" s="29"/>
      <c r="BX476" s="29"/>
      <c r="BY476" s="94"/>
      <c r="BZ476" s="94"/>
      <c r="CA476" s="94"/>
      <c r="CB476" s="29"/>
      <c r="CC476" s="29"/>
      <c r="CD476" s="29"/>
      <c r="CE476" s="29"/>
      <c r="CF476" s="3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</row>
    <row r="477" spans="1:114" ht="11.1" customHeight="1" x14ac:dyDescent="0.25">
      <c r="A477" s="3"/>
      <c r="B477" s="3"/>
      <c r="C477" s="3"/>
      <c r="D477" s="3"/>
      <c r="E477" s="3"/>
      <c r="K477" s="14"/>
      <c r="M477" s="14"/>
      <c r="N477" s="14"/>
      <c r="Z477" s="11"/>
      <c r="AA477" s="15"/>
      <c r="AB477" s="15"/>
      <c r="AC477" s="15"/>
      <c r="AD477" s="16"/>
      <c r="AE477" s="64"/>
      <c r="AF477" s="64"/>
      <c r="AG477" s="16"/>
      <c r="AH477" s="16"/>
      <c r="AI477" s="16"/>
      <c r="AJ477" s="15"/>
      <c r="AK477" s="15"/>
      <c r="AL477" s="15"/>
      <c r="AM477" s="15"/>
      <c r="AN477" s="15"/>
      <c r="AO477" s="15"/>
      <c r="AP477" s="3"/>
      <c r="AQ477" s="3"/>
      <c r="AR477" s="3"/>
      <c r="AS477" s="3"/>
      <c r="AT477" s="50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29"/>
      <c r="BW477" s="29"/>
      <c r="BX477" s="29"/>
      <c r="BY477" s="94"/>
      <c r="BZ477" s="94"/>
      <c r="CA477" s="94"/>
      <c r="CB477" s="29"/>
      <c r="CC477" s="29"/>
      <c r="CD477" s="29"/>
      <c r="CE477" s="29"/>
      <c r="CF477" s="3"/>
      <c r="CG477" s="19"/>
      <c r="CH477" s="19"/>
      <c r="CI477" s="19"/>
      <c r="CJ477" s="19"/>
      <c r="CK477" s="19"/>
      <c r="CL477" s="19"/>
      <c r="CM477" s="19"/>
      <c r="CO477" s="19"/>
      <c r="CP477" s="19"/>
      <c r="CQ477" s="19"/>
      <c r="CR477" s="19"/>
      <c r="CS477" s="19"/>
      <c r="CT477" s="19"/>
      <c r="CU477" s="19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</row>
    <row r="478" spans="1:114" ht="11.1" customHeight="1" x14ac:dyDescent="0.25">
      <c r="A478" s="3"/>
      <c r="B478" s="3"/>
      <c r="C478" s="3"/>
      <c r="D478" s="3"/>
      <c r="E478" s="3"/>
      <c r="K478" s="14"/>
      <c r="M478" s="14"/>
      <c r="N478" s="14"/>
      <c r="Z478" s="11"/>
      <c r="AA478" s="15"/>
      <c r="AB478" s="15"/>
      <c r="AC478" s="15"/>
      <c r="AD478" s="16"/>
      <c r="AE478" s="64"/>
      <c r="AF478" s="64"/>
      <c r="AG478" s="16"/>
      <c r="AH478" s="16"/>
      <c r="AI478" s="16"/>
      <c r="AJ478" s="15"/>
      <c r="AK478" s="15"/>
      <c r="AL478" s="15"/>
      <c r="AM478" s="15"/>
      <c r="AN478" s="15"/>
      <c r="AO478" s="15"/>
      <c r="AP478" s="3"/>
      <c r="AQ478" s="3"/>
      <c r="AR478" s="3"/>
      <c r="AS478" s="3"/>
      <c r="AT478" s="50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29"/>
      <c r="BW478" s="29"/>
      <c r="BX478" s="29"/>
      <c r="BY478" s="94"/>
      <c r="BZ478" s="94"/>
      <c r="CA478" s="94"/>
      <c r="CB478" s="29"/>
      <c r="CC478" s="29"/>
      <c r="CD478" s="29"/>
      <c r="CE478" s="29"/>
      <c r="CF478" s="3"/>
      <c r="CG478" s="19"/>
      <c r="CH478" s="19"/>
      <c r="CI478" s="19"/>
      <c r="CJ478" s="19"/>
      <c r="CK478" s="19"/>
      <c r="CL478" s="19"/>
      <c r="CM478" s="19"/>
      <c r="CO478" s="19"/>
      <c r="CP478" s="19"/>
      <c r="CQ478" s="19"/>
      <c r="CR478" s="19"/>
      <c r="CS478" s="19"/>
      <c r="CT478" s="19"/>
      <c r="CU478" s="19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</row>
    <row r="479" spans="1:114" ht="11.1" customHeight="1" x14ac:dyDescent="0.25">
      <c r="A479" s="3"/>
      <c r="B479" s="3"/>
      <c r="C479" s="3"/>
      <c r="D479" s="3"/>
      <c r="E479" s="3"/>
      <c r="K479" s="14"/>
      <c r="M479" s="14"/>
      <c r="N479" s="14"/>
      <c r="Z479" s="11"/>
      <c r="AA479" s="15"/>
      <c r="AB479" s="15"/>
      <c r="AC479" s="15"/>
      <c r="AD479" s="16"/>
      <c r="AE479" s="64"/>
      <c r="AF479" s="64"/>
      <c r="AG479" s="16"/>
      <c r="AH479" s="16"/>
      <c r="AI479" s="16"/>
      <c r="AJ479" s="15"/>
      <c r="AK479" s="15"/>
      <c r="AL479" s="15"/>
      <c r="AM479" s="15"/>
      <c r="AN479" s="15"/>
      <c r="AO479" s="15"/>
      <c r="AP479" s="3"/>
      <c r="AQ479" s="3"/>
      <c r="AR479" s="3"/>
      <c r="AS479" s="3"/>
      <c r="AT479" s="50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29"/>
      <c r="BW479" s="29"/>
      <c r="BX479" s="29"/>
      <c r="BY479" s="94"/>
      <c r="BZ479" s="94"/>
      <c r="CA479" s="94"/>
      <c r="CB479" s="29"/>
      <c r="CC479" s="29"/>
      <c r="CD479" s="29"/>
      <c r="CE479" s="29"/>
      <c r="CF479" s="3"/>
      <c r="CG479" s="19"/>
      <c r="CH479" s="19"/>
      <c r="CI479" s="19"/>
      <c r="CJ479" s="19"/>
      <c r="CK479" s="19"/>
      <c r="CL479" s="19"/>
      <c r="CM479" s="19"/>
      <c r="CO479" s="19"/>
      <c r="CP479" s="19"/>
      <c r="CQ479" s="19"/>
      <c r="CR479" s="19"/>
      <c r="CS479" s="19"/>
      <c r="CT479" s="19"/>
      <c r="CU479" s="19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</row>
    <row r="480" spans="1:114" ht="11.1" customHeight="1" x14ac:dyDescent="0.25">
      <c r="K480" s="14"/>
      <c r="M480" s="14"/>
      <c r="N480" s="14"/>
      <c r="Z480" s="11"/>
      <c r="AA480" s="15"/>
      <c r="AB480" s="15"/>
      <c r="AC480" s="15"/>
      <c r="AI480" s="16"/>
      <c r="AJ480" s="15"/>
      <c r="AK480" s="15"/>
      <c r="AL480" s="15"/>
      <c r="AM480" s="15"/>
      <c r="AN480" s="15"/>
      <c r="AO480" s="15"/>
      <c r="AP480" s="3"/>
      <c r="AQ480" s="3"/>
      <c r="AR480" s="3"/>
      <c r="AS480" s="3"/>
      <c r="AT480" s="50"/>
      <c r="CG480" s="19"/>
      <c r="CH480" s="19"/>
      <c r="CI480" s="19"/>
      <c r="CJ480" s="19"/>
      <c r="CK480" s="19"/>
      <c r="CL480" s="19"/>
      <c r="CM480" s="19"/>
      <c r="CO480" s="19"/>
      <c r="CP480" s="19"/>
      <c r="CQ480" s="19"/>
      <c r="CR480" s="19"/>
      <c r="CS480" s="19"/>
      <c r="CT480" s="19"/>
      <c r="CU480" s="19"/>
    </row>
    <row r="481" spans="6:99" s="36" customFormat="1" ht="11.1" customHeight="1" x14ac:dyDescent="0.25">
      <c r="F481" s="33"/>
      <c r="G481" s="33"/>
      <c r="H481" s="33"/>
      <c r="I481" s="34"/>
      <c r="J481" s="34"/>
      <c r="K481" s="14"/>
      <c r="L481" s="32"/>
      <c r="M481" s="14"/>
      <c r="N481" s="14"/>
      <c r="O481" s="2"/>
      <c r="P481"/>
      <c r="Q481" s="2"/>
      <c r="R481"/>
      <c r="S481"/>
      <c r="T481"/>
      <c r="U481" s="2"/>
      <c r="V481" s="2"/>
      <c r="W481" s="2"/>
      <c r="X481" s="2"/>
      <c r="Y481" s="2"/>
      <c r="Z481" s="11"/>
      <c r="AA481" s="15"/>
      <c r="AB481" s="15"/>
      <c r="AC481" s="15"/>
      <c r="AD481" s="35"/>
      <c r="AE481" s="99"/>
      <c r="AF481" s="99"/>
      <c r="AG481" s="35"/>
      <c r="AH481" s="35"/>
      <c r="AI481" s="16"/>
      <c r="AJ481" s="15"/>
      <c r="AK481" s="15"/>
      <c r="AL481" s="15"/>
      <c r="AM481" s="15"/>
      <c r="AN481" s="15"/>
      <c r="AO481" s="15"/>
      <c r="AP481" s="3"/>
      <c r="AQ481" s="3"/>
      <c r="AR481" s="3"/>
      <c r="AS481" s="3"/>
      <c r="AT481" s="50"/>
      <c r="AU481" s="97"/>
      <c r="AV481" s="97"/>
      <c r="AW481" s="97"/>
      <c r="AX481" s="97"/>
      <c r="AY481" s="97"/>
      <c r="BD481" s="35"/>
      <c r="BE481" s="35"/>
      <c r="BV481" s="98"/>
      <c r="BW481" s="98"/>
      <c r="BX481" s="98"/>
      <c r="BY481" s="112"/>
      <c r="BZ481" s="112"/>
      <c r="CA481" s="112"/>
      <c r="CB481" s="98"/>
      <c r="CC481" s="98"/>
      <c r="CD481" s="98"/>
      <c r="CE481" s="98"/>
      <c r="CG481" s="19"/>
      <c r="CH481" s="19"/>
      <c r="CI481" s="19"/>
      <c r="CJ481" s="19"/>
      <c r="CK481" s="19"/>
      <c r="CL481" s="19"/>
      <c r="CM481" s="19"/>
      <c r="CN481" s="100"/>
      <c r="CO481" s="19"/>
      <c r="CP481" s="19"/>
      <c r="CQ481" s="19"/>
      <c r="CR481" s="19"/>
      <c r="CS481" s="19"/>
      <c r="CT481" s="19"/>
      <c r="CU481" s="19"/>
    </row>
    <row r="482" spans="6:99" s="36" customFormat="1" ht="11.1" customHeight="1" x14ac:dyDescent="0.25">
      <c r="F482" s="33"/>
      <c r="G482" s="33"/>
      <c r="H482" s="33"/>
      <c r="I482" s="34"/>
      <c r="J482" s="34"/>
      <c r="K482" s="14"/>
      <c r="L482" s="32"/>
      <c r="M482" s="14"/>
      <c r="N482" s="14"/>
      <c r="O482" s="2"/>
      <c r="P482"/>
      <c r="Q482" s="2"/>
      <c r="R482"/>
      <c r="S482"/>
      <c r="T482"/>
      <c r="U482" s="2"/>
      <c r="V482" s="2"/>
      <c r="W482" s="2"/>
      <c r="X482" s="2"/>
      <c r="Y482" s="2"/>
      <c r="Z482" s="11"/>
      <c r="AA482" s="15"/>
      <c r="AB482" s="15"/>
      <c r="AC482" s="15"/>
      <c r="AD482" s="35"/>
      <c r="AE482" s="99"/>
      <c r="AF482" s="99"/>
      <c r="AG482" s="35"/>
      <c r="AH482" s="35"/>
      <c r="AI482" s="16"/>
      <c r="AJ482" s="15"/>
      <c r="AK482" s="15"/>
      <c r="AL482" s="15"/>
      <c r="AM482" s="15"/>
      <c r="AN482" s="15"/>
      <c r="AO482" s="15"/>
      <c r="AP482" s="3"/>
      <c r="AQ482" s="3"/>
      <c r="AR482" s="3"/>
      <c r="AS482" s="3"/>
      <c r="AT482" s="50"/>
      <c r="AU482" s="97"/>
      <c r="AV482" s="97"/>
      <c r="AW482" s="97"/>
      <c r="AX482" s="97"/>
      <c r="AY482" s="97"/>
      <c r="BD482" s="35"/>
      <c r="BE482" s="35"/>
      <c r="BV482" s="98"/>
      <c r="BW482" s="98"/>
      <c r="BX482" s="98"/>
      <c r="BY482" s="112"/>
      <c r="BZ482" s="112"/>
      <c r="CA482" s="112"/>
      <c r="CB482" s="98"/>
      <c r="CC482" s="98"/>
      <c r="CD482" s="98"/>
      <c r="CE482" s="98"/>
      <c r="CG482" s="19"/>
      <c r="CH482" s="19"/>
      <c r="CI482" s="19"/>
      <c r="CJ482" s="19"/>
      <c r="CK482" s="19"/>
      <c r="CL482" s="19"/>
      <c r="CM482" s="19"/>
      <c r="CN482" s="100"/>
      <c r="CO482" s="19"/>
      <c r="CP482" s="19"/>
      <c r="CQ482" s="19"/>
      <c r="CR482" s="19"/>
      <c r="CS482" s="19"/>
      <c r="CT482" s="19"/>
      <c r="CU482" s="19"/>
    </row>
    <row r="483" spans="6:99" s="36" customFormat="1" ht="11.1" customHeight="1" x14ac:dyDescent="0.25">
      <c r="F483" s="33"/>
      <c r="G483" s="33"/>
      <c r="H483" s="33"/>
      <c r="I483" s="34"/>
      <c r="J483" s="34"/>
      <c r="K483" s="14"/>
      <c r="L483" s="32"/>
      <c r="M483" s="14"/>
      <c r="N483" s="14"/>
      <c r="O483" s="2"/>
      <c r="P483"/>
      <c r="Q483" s="2"/>
      <c r="R483"/>
      <c r="S483"/>
      <c r="T483"/>
      <c r="U483" s="2"/>
      <c r="V483" s="2"/>
      <c r="W483" s="2"/>
      <c r="X483" s="2"/>
      <c r="Y483" s="2"/>
      <c r="Z483" s="11"/>
      <c r="AA483" s="15"/>
      <c r="AB483" s="15"/>
      <c r="AC483" s="15"/>
      <c r="AD483" s="35"/>
      <c r="AE483" s="99"/>
      <c r="AF483" s="99"/>
      <c r="AG483" s="35"/>
      <c r="AH483" s="35"/>
      <c r="AI483" s="16"/>
      <c r="AJ483" s="15"/>
      <c r="AK483" s="15"/>
      <c r="AL483" s="15"/>
      <c r="AM483" s="15"/>
      <c r="AN483" s="15"/>
      <c r="AO483" s="15"/>
      <c r="AP483" s="3"/>
      <c r="AQ483" s="3"/>
      <c r="AR483" s="3"/>
      <c r="AS483" s="3"/>
      <c r="AT483" s="50"/>
      <c r="AU483" s="97"/>
      <c r="AV483" s="97"/>
      <c r="AW483" s="97"/>
      <c r="AX483" s="97"/>
      <c r="AY483" s="97"/>
      <c r="BD483" s="35"/>
      <c r="BE483" s="35"/>
      <c r="BV483" s="98"/>
      <c r="BW483" s="98"/>
      <c r="BX483" s="98"/>
      <c r="BY483" s="112"/>
      <c r="BZ483" s="112"/>
      <c r="CA483" s="112"/>
      <c r="CB483" s="98"/>
      <c r="CC483" s="98"/>
      <c r="CD483" s="98"/>
      <c r="CE483" s="98"/>
      <c r="CG483" s="19"/>
      <c r="CH483" s="19"/>
      <c r="CI483" s="19"/>
      <c r="CJ483" s="19"/>
      <c r="CK483" s="19"/>
      <c r="CL483" s="19"/>
      <c r="CM483" s="19"/>
      <c r="CN483" s="100"/>
      <c r="CO483" s="19"/>
      <c r="CP483" s="19"/>
      <c r="CQ483" s="19"/>
      <c r="CR483" s="19"/>
      <c r="CS483" s="19"/>
      <c r="CT483" s="19"/>
      <c r="CU483" s="19"/>
    </row>
    <row r="484" spans="6:99" s="36" customFormat="1" ht="11.1" customHeight="1" x14ac:dyDescent="0.25">
      <c r="F484" s="33"/>
      <c r="G484" s="33"/>
      <c r="H484" s="33"/>
      <c r="I484" s="34"/>
      <c r="J484" s="34"/>
      <c r="K484" s="14"/>
      <c r="L484" s="32"/>
      <c r="M484" s="14"/>
      <c r="N484" s="14"/>
      <c r="O484" s="2"/>
      <c r="P484"/>
      <c r="Q484" s="2"/>
      <c r="R484"/>
      <c r="S484"/>
      <c r="T484"/>
      <c r="U484" s="2"/>
      <c r="V484" s="2"/>
      <c r="W484" s="2"/>
      <c r="X484" s="2"/>
      <c r="Y484" s="2"/>
      <c r="Z484" s="11"/>
      <c r="AA484" s="15"/>
      <c r="AB484" s="15"/>
      <c r="AC484" s="15"/>
      <c r="AD484" s="35"/>
      <c r="AE484" s="99"/>
      <c r="AF484" s="99"/>
      <c r="AG484" s="35"/>
      <c r="AH484" s="35"/>
      <c r="AI484" s="16"/>
      <c r="AJ484" s="15"/>
      <c r="AK484" s="15"/>
      <c r="AL484" s="15"/>
      <c r="AM484" s="15"/>
      <c r="AN484" s="15"/>
      <c r="AO484" s="15"/>
      <c r="AP484" s="3"/>
      <c r="AQ484" s="3"/>
      <c r="AR484" s="3"/>
      <c r="AS484" s="3"/>
      <c r="AT484" s="50"/>
      <c r="AU484" s="97"/>
      <c r="AV484" s="97"/>
      <c r="AW484" s="97"/>
      <c r="AX484" s="97"/>
      <c r="AY484" s="97"/>
      <c r="BD484" s="35"/>
      <c r="BE484" s="35"/>
      <c r="BV484" s="98"/>
      <c r="BW484" s="98"/>
      <c r="BX484" s="98"/>
      <c r="BY484" s="112"/>
      <c r="BZ484" s="112"/>
      <c r="CA484" s="112"/>
      <c r="CB484" s="98"/>
      <c r="CC484" s="98"/>
      <c r="CD484" s="98"/>
      <c r="CE484" s="98"/>
      <c r="CG484" s="100"/>
      <c r="CH484" s="100"/>
      <c r="CI484" s="19"/>
      <c r="CJ484" s="19"/>
      <c r="CK484" s="19"/>
      <c r="CL484" s="19"/>
      <c r="CM484" s="19"/>
      <c r="CN484" s="100"/>
      <c r="CO484" s="100"/>
      <c r="CP484" s="100"/>
      <c r="CQ484" s="100"/>
      <c r="CR484" s="100"/>
      <c r="CS484" s="100"/>
      <c r="CT484" s="100"/>
      <c r="CU484" s="100"/>
    </row>
    <row r="485" spans="6:99" s="36" customFormat="1" ht="11.1" customHeight="1" x14ac:dyDescent="0.25">
      <c r="F485" s="33"/>
      <c r="G485" s="33"/>
      <c r="H485" s="33"/>
      <c r="I485" s="34"/>
      <c r="J485" s="34"/>
      <c r="K485" s="14"/>
      <c r="L485" s="32"/>
      <c r="M485" s="14"/>
      <c r="N485" s="14"/>
      <c r="O485" s="2"/>
      <c r="P485"/>
      <c r="Q485" s="2"/>
      <c r="R485"/>
      <c r="S485"/>
      <c r="T485"/>
      <c r="U485" s="2"/>
      <c r="V485" s="2"/>
      <c r="W485" s="2"/>
      <c r="X485" s="2"/>
      <c r="Y485" s="2"/>
      <c r="Z485" s="11"/>
      <c r="AA485" s="15"/>
      <c r="AB485" s="15"/>
      <c r="AC485" s="15"/>
      <c r="AD485" s="35"/>
      <c r="AE485" s="99"/>
      <c r="AF485" s="99"/>
      <c r="AG485" s="35"/>
      <c r="AH485" s="35"/>
      <c r="AI485" s="16"/>
      <c r="AJ485" s="15"/>
      <c r="AK485" s="15"/>
      <c r="AL485" s="15"/>
      <c r="AM485" s="15"/>
      <c r="AN485" s="15"/>
      <c r="AO485" s="15"/>
      <c r="AP485" s="3"/>
      <c r="AQ485" s="3"/>
      <c r="AR485" s="3"/>
      <c r="AS485" s="3"/>
      <c r="AT485" s="50"/>
      <c r="AU485" s="97"/>
      <c r="AV485" s="97"/>
      <c r="AW485" s="97"/>
      <c r="AX485" s="97"/>
      <c r="AY485" s="97"/>
      <c r="BD485" s="35"/>
      <c r="BE485" s="35"/>
      <c r="BV485" s="98"/>
      <c r="BW485" s="98"/>
      <c r="BX485" s="98"/>
      <c r="BY485" s="112"/>
      <c r="BZ485" s="112"/>
      <c r="CA485" s="112"/>
      <c r="CB485" s="98"/>
      <c r="CC485" s="98"/>
      <c r="CD485" s="98"/>
      <c r="CE485" s="98"/>
      <c r="CG485" s="100"/>
      <c r="CH485" s="100"/>
      <c r="CI485" s="19"/>
      <c r="CJ485" s="19"/>
      <c r="CK485" s="19"/>
      <c r="CL485" s="19"/>
      <c r="CM485" s="19"/>
      <c r="CN485" s="100"/>
      <c r="CO485" s="100"/>
      <c r="CP485" s="100"/>
      <c r="CQ485" s="100"/>
      <c r="CR485" s="100"/>
      <c r="CS485" s="100"/>
      <c r="CT485" s="100"/>
      <c r="CU485" s="100"/>
    </row>
    <row r="486" spans="6:99" s="36" customFormat="1" ht="11.1" customHeight="1" x14ac:dyDescent="0.25">
      <c r="F486" s="33"/>
      <c r="G486" s="33"/>
      <c r="H486" s="33"/>
      <c r="I486" s="34"/>
      <c r="J486" s="34"/>
      <c r="K486" s="14"/>
      <c r="L486" s="32"/>
      <c r="M486" s="14"/>
      <c r="N486" s="14"/>
      <c r="O486" s="2"/>
      <c r="P486"/>
      <c r="Q486" s="2"/>
      <c r="R486"/>
      <c r="S486"/>
      <c r="T486"/>
      <c r="U486" s="2"/>
      <c r="V486" s="2"/>
      <c r="W486" s="2"/>
      <c r="X486" s="2"/>
      <c r="Y486" s="2"/>
      <c r="Z486" s="11"/>
      <c r="AA486" s="15"/>
      <c r="AB486" s="15"/>
      <c r="AC486" s="15"/>
      <c r="AD486" s="35"/>
      <c r="AE486" s="99"/>
      <c r="AF486" s="99"/>
      <c r="AG486" s="35"/>
      <c r="AH486" s="35"/>
      <c r="AI486" s="16"/>
      <c r="AJ486" s="15"/>
      <c r="AK486" s="15"/>
      <c r="AL486" s="15"/>
      <c r="AM486" s="15"/>
      <c r="AN486" s="15"/>
      <c r="AO486" s="15"/>
      <c r="AP486" s="3"/>
      <c r="AQ486" s="3"/>
      <c r="AR486" s="3"/>
      <c r="AS486" s="3"/>
      <c r="AT486" s="50"/>
      <c r="AU486" s="97"/>
      <c r="AV486" s="97"/>
      <c r="AW486" s="97"/>
      <c r="AX486" s="97"/>
      <c r="AY486" s="97"/>
      <c r="BD486" s="35"/>
      <c r="BE486" s="35"/>
      <c r="BV486" s="98"/>
      <c r="BW486" s="98"/>
      <c r="BX486" s="98"/>
      <c r="BY486" s="112"/>
      <c r="BZ486" s="112"/>
      <c r="CA486" s="112"/>
      <c r="CB486" s="98"/>
      <c r="CC486" s="98"/>
      <c r="CD486" s="98"/>
      <c r="CE486" s="98"/>
      <c r="CG486" s="100"/>
      <c r="CH486" s="100"/>
      <c r="CI486" s="100"/>
      <c r="CJ486" s="100"/>
      <c r="CK486" s="100"/>
      <c r="CL486" s="100"/>
      <c r="CM486" s="100"/>
      <c r="CN486" s="100"/>
      <c r="CO486" s="100"/>
      <c r="CP486" s="100"/>
      <c r="CQ486" s="100"/>
      <c r="CR486" s="100"/>
      <c r="CS486" s="100"/>
      <c r="CT486" s="100"/>
      <c r="CU486" s="100"/>
    </row>
    <row r="487" spans="6:99" s="36" customFormat="1" ht="11.1" customHeight="1" x14ac:dyDescent="0.25">
      <c r="F487" s="33"/>
      <c r="G487" s="33"/>
      <c r="H487" s="33"/>
      <c r="I487" s="34"/>
      <c r="J487" s="34"/>
      <c r="K487" s="14"/>
      <c r="L487" s="32"/>
      <c r="M487" s="14"/>
      <c r="N487" s="14"/>
      <c r="O487" s="2"/>
      <c r="P487"/>
      <c r="Q487" s="2"/>
      <c r="R487"/>
      <c r="S487"/>
      <c r="T487"/>
      <c r="U487" s="2"/>
      <c r="V487" s="2"/>
      <c r="W487" s="2"/>
      <c r="X487" s="2"/>
      <c r="Y487" s="2"/>
      <c r="Z487" s="11"/>
      <c r="AA487" s="15"/>
      <c r="AB487" s="15"/>
      <c r="AC487" s="15"/>
      <c r="AD487" s="35"/>
      <c r="AE487" s="99"/>
      <c r="AF487" s="99"/>
      <c r="AG487" s="35"/>
      <c r="AH487" s="35"/>
      <c r="AI487" s="35"/>
      <c r="AJ487" s="15"/>
      <c r="AK487" s="15"/>
      <c r="AL487" s="15"/>
      <c r="AM487" s="15"/>
      <c r="AN487" s="15"/>
      <c r="AO487" s="15"/>
      <c r="AP487" s="3"/>
      <c r="AQ487" s="3"/>
      <c r="AR487" s="3"/>
      <c r="AS487" s="3"/>
      <c r="AT487" s="50"/>
      <c r="AU487" s="97"/>
      <c r="AV487" s="97"/>
      <c r="AW487" s="97"/>
      <c r="AX487" s="97"/>
      <c r="AY487" s="97"/>
      <c r="BD487" s="35"/>
      <c r="BE487" s="35"/>
      <c r="BV487" s="98"/>
      <c r="BW487" s="98"/>
      <c r="BX487" s="98"/>
      <c r="BY487" s="112"/>
      <c r="BZ487" s="112"/>
      <c r="CA487" s="112"/>
      <c r="CB487" s="98"/>
      <c r="CC487" s="98"/>
      <c r="CD487" s="98"/>
      <c r="CE487" s="98"/>
      <c r="CG487" s="100"/>
      <c r="CH487" s="100"/>
      <c r="CI487" s="100"/>
      <c r="CJ487" s="100"/>
      <c r="CK487" s="100"/>
      <c r="CL487" s="100"/>
      <c r="CM487" s="100"/>
      <c r="CN487" s="100"/>
      <c r="CO487" s="100"/>
      <c r="CP487" s="100"/>
      <c r="CQ487" s="100"/>
      <c r="CR487" s="100"/>
      <c r="CS487" s="100"/>
      <c r="CT487" s="100"/>
      <c r="CU487" s="100"/>
    </row>
    <row r="488" spans="6:99" s="36" customFormat="1" ht="11.1" customHeight="1" x14ac:dyDescent="0.25">
      <c r="F488" s="33"/>
      <c r="G488" s="33"/>
      <c r="H488" s="33"/>
      <c r="I488" s="34"/>
      <c r="J488" s="34"/>
      <c r="K488" s="14"/>
      <c r="L488" s="32"/>
      <c r="M488" s="14"/>
      <c r="N488" s="14"/>
      <c r="O488" s="2"/>
      <c r="P488"/>
      <c r="Q488" s="2"/>
      <c r="R488"/>
      <c r="S488"/>
      <c r="T488"/>
      <c r="U488" s="2"/>
      <c r="V488" s="2"/>
      <c r="W488" s="2"/>
      <c r="X488" s="2"/>
      <c r="Y488" s="2"/>
      <c r="Z488" s="11"/>
      <c r="AA488" s="15"/>
      <c r="AB488" s="15"/>
      <c r="AC488" s="15"/>
      <c r="AD488" s="35"/>
      <c r="AE488" s="99"/>
      <c r="AF488" s="99"/>
      <c r="AG488" s="35"/>
      <c r="AH488" s="35"/>
      <c r="AI488" s="35"/>
      <c r="AJ488" s="15"/>
      <c r="AK488" s="15"/>
      <c r="AL488" s="15"/>
      <c r="AM488" s="15"/>
      <c r="AN488" s="15"/>
      <c r="AO488" s="15"/>
      <c r="AP488" s="3"/>
      <c r="AQ488" s="3"/>
      <c r="AR488" s="3"/>
      <c r="AS488" s="3"/>
      <c r="AT488" s="50"/>
      <c r="AU488" s="97"/>
      <c r="AV488" s="97"/>
      <c r="AW488" s="97"/>
      <c r="AX488" s="97"/>
      <c r="AY488" s="97"/>
      <c r="BD488" s="35"/>
      <c r="BE488" s="35"/>
      <c r="BV488" s="98"/>
      <c r="BW488" s="98"/>
      <c r="BX488" s="98"/>
      <c r="BY488" s="112"/>
      <c r="BZ488" s="112"/>
      <c r="CA488" s="112"/>
      <c r="CB488" s="98"/>
      <c r="CC488" s="98"/>
      <c r="CD488" s="98"/>
      <c r="CE488" s="98"/>
      <c r="CG488" s="100"/>
      <c r="CH488" s="100"/>
      <c r="CI488" s="100"/>
      <c r="CJ488" s="100"/>
      <c r="CK488" s="100"/>
      <c r="CL488" s="100"/>
      <c r="CM488" s="100"/>
      <c r="CN488" s="100"/>
      <c r="CO488" s="100"/>
      <c r="CP488" s="100"/>
      <c r="CQ488" s="100"/>
      <c r="CR488" s="100"/>
      <c r="CS488" s="100"/>
      <c r="CT488" s="100"/>
      <c r="CU488" s="100"/>
    </row>
    <row r="489" spans="6:99" s="36" customFormat="1" ht="11.1" customHeight="1" x14ac:dyDescent="0.25">
      <c r="F489" s="33"/>
      <c r="G489" s="33"/>
      <c r="H489" s="33"/>
      <c r="I489" s="34"/>
      <c r="J489" s="34"/>
      <c r="K489" s="14"/>
      <c r="L489" s="32"/>
      <c r="M489" s="14"/>
      <c r="N489" s="14"/>
      <c r="O489" s="2"/>
      <c r="P489"/>
      <c r="Q489" s="2"/>
      <c r="R489"/>
      <c r="S489"/>
      <c r="T489"/>
      <c r="U489" s="2"/>
      <c r="V489" s="2"/>
      <c r="W489" s="2"/>
      <c r="X489" s="2"/>
      <c r="Y489" s="2"/>
      <c r="Z489" s="11"/>
      <c r="AA489" s="15"/>
      <c r="AB489" s="15"/>
      <c r="AC489" s="15"/>
      <c r="AD489" s="35"/>
      <c r="AE489" s="99"/>
      <c r="AF489" s="99"/>
      <c r="AG489" s="35"/>
      <c r="AH489" s="35"/>
      <c r="AI489" s="35"/>
      <c r="AJ489" s="15"/>
      <c r="AK489" s="15"/>
      <c r="AL489" s="15"/>
      <c r="AM489" s="15"/>
      <c r="AN489" s="15"/>
      <c r="AO489" s="15"/>
      <c r="AP489" s="3"/>
      <c r="AQ489" s="3"/>
      <c r="AR489" s="3"/>
      <c r="AS489" s="3"/>
      <c r="AT489" s="50"/>
      <c r="AU489" s="97"/>
      <c r="AV489" s="97"/>
      <c r="AW489" s="97"/>
      <c r="AX489" s="97"/>
      <c r="AY489" s="97"/>
      <c r="BD489" s="35"/>
      <c r="BE489" s="35"/>
      <c r="BV489" s="98"/>
      <c r="BW489" s="98"/>
      <c r="BX489" s="98"/>
      <c r="BY489" s="112"/>
      <c r="BZ489" s="112"/>
      <c r="CA489" s="112"/>
      <c r="CB489" s="98"/>
      <c r="CC489" s="98"/>
      <c r="CD489" s="98"/>
      <c r="CE489" s="98"/>
      <c r="CG489" s="100"/>
      <c r="CH489" s="100"/>
      <c r="CI489" s="100"/>
      <c r="CJ489" s="100"/>
      <c r="CK489" s="100"/>
      <c r="CL489" s="100"/>
      <c r="CM489" s="100"/>
      <c r="CN489" s="100"/>
      <c r="CO489" s="100"/>
      <c r="CP489" s="100"/>
      <c r="CQ489" s="100"/>
      <c r="CR489" s="100"/>
      <c r="CS489" s="100"/>
      <c r="CT489" s="100"/>
      <c r="CU489" s="100"/>
    </row>
    <row r="490" spans="6:99" s="36" customFormat="1" ht="11.1" customHeight="1" x14ac:dyDescent="0.25">
      <c r="F490" s="33"/>
      <c r="G490" s="33"/>
      <c r="H490" s="33"/>
      <c r="I490" s="34"/>
      <c r="J490" s="34"/>
      <c r="K490" s="14"/>
      <c r="L490" s="32"/>
      <c r="M490" s="14"/>
      <c r="N490" s="14"/>
      <c r="O490" s="2"/>
      <c r="P490"/>
      <c r="Q490" s="2"/>
      <c r="R490"/>
      <c r="S490"/>
      <c r="T490"/>
      <c r="U490" s="2"/>
      <c r="V490" s="2"/>
      <c r="W490" s="2"/>
      <c r="X490" s="2"/>
      <c r="Y490" s="2"/>
      <c r="Z490" s="11"/>
      <c r="AA490" s="15"/>
      <c r="AB490" s="15"/>
      <c r="AC490" s="15"/>
      <c r="AD490" s="35"/>
      <c r="AE490" s="99"/>
      <c r="AF490" s="99"/>
      <c r="AG490" s="35"/>
      <c r="AH490" s="35"/>
      <c r="AI490" s="35"/>
      <c r="AJ490" s="15"/>
      <c r="AK490" s="15"/>
      <c r="AL490" s="15"/>
      <c r="AM490" s="15"/>
      <c r="AN490" s="15"/>
      <c r="AO490" s="15"/>
      <c r="AP490" s="3"/>
      <c r="AQ490" s="3"/>
      <c r="AR490" s="3"/>
      <c r="AS490" s="3"/>
      <c r="AT490" s="50"/>
      <c r="AU490" s="97"/>
      <c r="AV490" s="97"/>
      <c r="AW490" s="97"/>
      <c r="AX490" s="97"/>
      <c r="AY490" s="97"/>
      <c r="BD490" s="35"/>
      <c r="BE490" s="35"/>
      <c r="BV490" s="98"/>
      <c r="BW490" s="98"/>
      <c r="BX490" s="98"/>
      <c r="BY490" s="112"/>
      <c r="BZ490" s="112"/>
      <c r="CA490" s="112"/>
      <c r="CB490" s="98"/>
      <c r="CC490" s="98"/>
      <c r="CD490" s="98"/>
      <c r="CE490" s="98"/>
      <c r="CG490" s="100"/>
      <c r="CH490" s="100"/>
      <c r="CI490" s="100"/>
      <c r="CJ490" s="100"/>
      <c r="CK490" s="100"/>
      <c r="CL490" s="100"/>
      <c r="CM490" s="100"/>
      <c r="CN490" s="100"/>
      <c r="CO490" s="100"/>
      <c r="CP490" s="100"/>
      <c r="CQ490" s="100"/>
      <c r="CR490" s="100"/>
      <c r="CS490" s="100"/>
      <c r="CT490" s="100"/>
      <c r="CU490" s="100"/>
    </row>
    <row r="491" spans="6:99" s="36" customFormat="1" ht="11.1" customHeight="1" x14ac:dyDescent="0.25">
      <c r="F491" s="33"/>
      <c r="G491" s="33"/>
      <c r="H491" s="33"/>
      <c r="I491" s="34"/>
      <c r="J491" s="34"/>
      <c r="K491" s="14"/>
      <c r="L491" s="32"/>
      <c r="M491" s="14"/>
      <c r="N491" s="14"/>
      <c r="O491" s="2"/>
      <c r="P491"/>
      <c r="Q491" s="2"/>
      <c r="R491"/>
      <c r="S491"/>
      <c r="T491"/>
      <c r="U491" s="2"/>
      <c r="V491" s="2"/>
      <c r="W491" s="2"/>
      <c r="X491" s="2"/>
      <c r="Y491" s="2"/>
      <c r="Z491" s="11"/>
      <c r="AA491" s="15"/>
      <c r="AB491" s="15"/>
      <c r="AC491" s="15"/>
      <c r="AD491" s="35"/>
      <c r="AE491" s="99"/>
      <c r="AF491" s="99"/>
      <c r="AG491" s="35"/>
      <c r="AH491" s="35"/>
      <c r="AI491" s="35"/>
      <c r="AJ491" s="15"/>
      <c r="AK491" s="15"/>
      <c r="AL491" s="15"/>
      <c r="AM491" s="15"/>
      <c r="AN491" s="15"/>
      <c r="AO491" s="15"/>
      <c r="AP491" s="3"/>
      <c r="AQ491" s="3"/>
      <c r="AR491" s="3"/>
      <c r="AS491" s="3"/>
      <c r="AT491" s="50"/>
      <c r="AU491" s="97"/>
      <c r="AV491" s="97"/>
      <c r="AW491" s="97"/>
      <c r="AX491" s="97"/>
      <c r="AY491" s="97"/>
      <c r="BD491" s="35"/>
      <c r="BE491" s="35"/>
      <c r="BV491" s="98"/>
      <c r="BW491" s="98"/>
      <c r="BX491" s="98"/>
      <c r="BY491" s="112"/>
      <c r="BZ491" s="112"/>
      <c r="CA491" s="112"/>
      <c r="CB491" s="98"/>
      <c r="CC491" s="98"/>
      <c r="CD491" s="98"/>
      <c r="CE491" s="98"/>
      <c r="CG491" s="100"/>
      <c r="CH491" s="100"/>
      <c r="CI491" s="100"/>
      <c r="CJ491" s="100"/>
      <c r="CK491" s="100"/>
      <c r="CL491" s="100"/>
      <c r="CM491" s="100"/>
      <c r="CN491" s="100"/>
      <c r="CO491" s="100"/>
      <c r="CP491" s="100"/>
      <c r="CQ491" s="100"/>
      <c r="CR491" s="100"/>
      <c r="CS491" s="100"/>
      <c r="CT491" s="100"/>
      <c r="CU491" s="100"/>
    </row>
    <row r="492" spans="6:99" s="36" customFormat="1" ht="11.1" customHeight="1" x14ac:dyDescent="0.25">
      <c r="F492" s="33"/>
      <c r="G492" s="33"/>
      <c r="H492" s="33"/>
      <c r="I492" s="34"/>
      <c r="J492" s="34"/>
      <c r="K492" s="14"/>
      <c r="L492" s="32"/>
      <c r="M492" s="14"/>
      <c r="N492" s="14"/>
      <c r="O492" s="2"/>
      <c r="P492"/>
      <c r="Q492" s="2"/>
      <c r="R492"/>
      <c r="S492"/>
      <c r="T492"/>
      <c r="U492" s="2"/>
      <c r="V492" s="2"/>
      <c r="W492" s="2"/>
      <c r="X492" s="2"/>
      <c r="Y492" s="2"/>
      <c r="Z492" s="11"/>
      <c r="AA492" s="15"/>
      <c r="AB492" s="15"/>
      <c r="AC492" s="15"/>
      <c r="AD492" s="35"/>
      <c r="AE492" s="99"/>
      <c r="AF492" s="99"/>
      <c r="AG492" s="35"/>
      <c r="AH492" s="35"/>
      <c r="AI492" s="35"/>
      <c r="AJ492" s="15"/>
      <c r="AK492" s="15"/>
      <c r="AL492" s="15"/>
      <c r="AM492" s="15"/>
      <c r="AN492" s="15"/>
      <c r="AO492" s="15"/>
      <c r="AP492" s="3"/>
      <c r="AQ492" s="3"/>
      <c r="AR492" s="3"/>
      <c r="AS492" s="3"/>
      <c r="AT492" s="50"/>
      <c r="AU492" s="97"/>
      <c r="AV492" s="97"/>
      <c r="AW492" s="97"/>
      <c r="AX492" s="97"/>
      <c r="AY492" s="97"/>
      <c r="BD492" s="35"/>
      <c r="BE492" s="35"/>
      <c r="BV492" s="98"/>
      <c r="BW492" s="98"/>
      <c r="BX492" s="98"/>
      <c r="BY492" s="112"/>
      <c r="BZ492" s="112"/>
      <c r="CA492" s="112"/>
      <c r="CB492" s="98"/>
      <c r="CC492" s="98"/>
      <c r="CD492" s="98"/>
      <c r="CE492" s="98"/>
      <c r="CG492" s="100"/>
      <c r="CH492" s="100"/>
      <c r="CI492" s="100"/>
      <c r="CJ492" s="100"/>
      <c r="CK492" s="100"/>
      <c r="CL492" s="100"/>
      <c r="CM492" s="100"/>
      <c r="CN492" s="100"/>
      <c r="CO492" s="100"/>
      <c r="CP492" s="100"/>
      <c r="CQ492" s="100"/>
      <c r="CR492" s="100"/>
      <c r="CS492" s="100"/>
      <c r="CT492" s="100"/>
      <c r="CU492" s="100"/>
    </row>
    <row r="493" spans="6:99" s="36" customFormat="1" ht="11.1" customHeight="1" x14ac:dyDescent="0.25">
      <c r="F493" s="33"/>
      <c r="G493" s="33"/>
      <c r="H493" s="33"/>
      <c r="I493" s="34"/>
      <c r="J493" s="34"/>
      <c r="K493" s="14"/>
      <c r="L493" s="32"/>
      <c r="M493" s="14"/>
      <c r="N493" s="14"/>
      <c r="O493" s="2"/>
      <c r="P493"/>
      <c r="Q493" s="2"/>
      <c r="R493"/>
      <c r="S493"/>
      <c r="T493"/>
      <c r="U493" s="2"/>
      <c r="V493" s="2"/>
      <c r="W493" s="2"/>
      <c r="X493" s="2"/>
      <c r="Y493" s="2"/>
      <c r="Z493" s="11"/>
      <c r="AA493" s="15"/>
      <c r="AB493" s="15"/>
      <c r="AC493" s="15"/>
      <c r="AD493" s="35"/>
      <c r="AE493" s="99"/>
      <c r="AF493" s="99"/>
      <c r="AG493" s="35"/>
      <c r="AH493" s="35"/>
      <c r="AI493" s="35"/>
      <c r="AJ493" s="15"/>
      <c r="AK493" s="15"/>
      <c r="AL493" s="15"/>
      <c r="AM493" s="15"/>
      <c r="AN493" s="15"/>
      <c r="AO493" s="15"/>
      <c r="AP493" s="3"/>
      <c r="AQ493" s="3"/>
      <c r="AR493" s="3"/>
      <c r="AS493" s="3"/>
      <c r="AT493" s="50"/>
      <c r="AU493" s="97"/>
      <c r="AV493" s="97"/>
      <c r="AW493" s="97"/>
      <c r="AX493" s="97"/>
      <c r="AY493" s="97"/>
      <c r="BD493" s="35"/>
      <c r="BE493" s="35"/>
      <c r="BV493" s="98"/>
      <c r="BW493" s="98"/>
      <c r="BX493" s="98"/>
      <c r="BY493" s="112"/>
      <c r="BZ493" s="112"/>
      <c r="CA493" s="112"/>
      <c r="CB493" s="98"/>
      <c r="CC493" s="98"/>
      <c r="CD493" s="98"/>
      <c r="CE493" s="98"/>
      <c r="CG493" s="100"/>
      <c r="CH493" s="100"/>
      <c r="CI493" s="100"/>
      <c r="CJ493" s="100"/>
      <c r="CK493" s="100"/>
      <c r="CL493" s="100"/>
      <c r="CM493" s="100"/>
      <c r="CN493" s="100"/>
      <c r="CO493" s="100"/>
      <c r="CP493" s="100"/>
      <c r="CQ493" s="100"/>
      <c r="CR493" s="100"/>
      <c r="CS493" s="100"/>
      <c r="CT493" s="100"/>
      <c r="CU493" s="100"/>
    </row>
    <row r="494" spans="6:99" s="36" customFormat="1" ht="11.1" customHeight="1" x14ac:dyDescent="0.25">
      <c r="F494" s="33"/>
      <c r="G494" s="33"/>
      <c r="H494" s="33"/>
      <c r="I494" s="34"/>
      <c r="J494" s="34"/>
      <c r="K494" s="14"/>
      <c r="L494" s="32"/>
      <c r="M494" s="14"/>
      <c r="N494" s="14"/>
      <c r="O494" s="2"/>
      <c r="P494"/>
      <c r="Q494" s="2"/>
      <c r="R494"/>
      <c r="S494"/>
      <c r="T494"/>
      <c r="U494" s="2"/>
      <c r="V494" s="2"/>
      <c r="W494" s="2"/>
      <c r="X494" s="2"/>
      <c r="Y494" s="2"/>
      <c r="Z494" s="11"/>
      <c r="AA494" s="15"/>
      <c r="AB494" s="15"/>
      <c r="AC494" s="15"/>
      <c r="AD494" s="35"/>
      <c r="AE494" s="99"/>
      <c r="AF494" s="99"/>
      <c r="AG494" s="35"/>
      <c r="AH494" s="35"/>
      <c r="AI494" s="35"/>
      <c r="AJ494" s="15"/>
      <c r="AK494" s="15"/>
      <c r="AL494" s="15"/>
      <c r="AM494" s="15"/>
      <c r="AN494" s="15"/>
      <c r="AO494" s="15"/>
      <c r="AP494" s="3"/>
      <c r="AQ494" s="3"/>
      <c r="AR494" s="3"/>
      <c r="AS494" s="3"/>
      <c r="AT494" s="50"/>
      <c r="AU494" s="97"/>
      <c r="AV494" s="97"/>
      <c r="AW494" s="97"/>
      <c r="AX494" s="97"/>
      <c r="AY494" s="97"/>
      <c r="BD494" s="35"/>
      <c r="BE494" s="35"/>
      <c r="BV494" s="98"/>
      <c r="BW494" s="98"/>
      <c r="BX494" s="98"/>
      <c r="BY494" s="112"/>
      <c r="BZ494" s="112"/>
      <c r="CA494" s="112"/>
      <c r="CB494" s="98"/>
      <c r="CC494" s="98"/>
      <c r="CD494" s="98"/>
      <c r="CE494" s="98"/>
      <c r="CG494" s="100"/>
      <c r="CH494" s="100"/>
      <c r="CI494" s="100"/>
      <c r="CJ494" s="100"/>
      <c r="CK494" s="100"/>
      <c r="CL494" s="100"/>
      <c r="CM494" s="100"/>
      <c r="CN494" s="100"/>
      <c r="CO494" s="100"/>
      <c r="CP494" s="100"/>
      <c r="CQ494" s="100"/>
      <c r="CR494" s="100"/>
      <c r="CS494" s="100"/>
      <c r="CT494" s="100"/>
      <c r="CU494" s="100"/>
    </row>
    <row r="495" spans="6:99" s="36" customFormat="1" ht="11.1" customHeight="1" x14ac:dyDescent="0.25">
      <c r="F495" s="33"/>
      <c r="G495" s="33"/>
      <c r="H495" s="33"/>
      <c r="I495" s="34"/>
      <c r="J495" s="34"/>
      <c r="K495" s="14"/>
      <c r="L495" s="32"/>
      <c r="M495" s="14"/>
      <c r="N495" s="14"/>
      <c r="O495" s="2"/>
      <c r="P495"/>
      <c r="Q495" s="2"/>
      <c r="R495"/>
      <c r="S495"/>
      <c r="T495"/>
      <c r="U495" s="2"/>
      <c r="V495" s="2"/>
      <c r="W495" s="2"/>
      <c r="X495" s="2"/>
      <c r="Y495" s="2"/>
      <c r="Z495" s="11"/>
      <c r="AA495" s="15"/>
      <c r="AB495" s="15"/>
      <c r="AC495" s="15"/>
      <c r="AD495" s="35"/>
      <c r="AE495" s="99"/>
      <c r="AF495" s="99"/>
      <c r="AG495" s="35"/>
      <c r="AH495" s="35"/>
      <c r="AI495" s="35"/>
      <c r="AJ495" s="15"/>
      <c r="AK495" s="15"/>
      <c r="AL495" s="15"/>
      <c r="AM495" s="15"/>
      <c r="AN495" s="15"/>
      <c r="AO495" s="15"/>
      <c r="AP495" s="3"/>
      <c r="AQ495" s="3"/>
      <c r="AR495" s="3"/>
      <c r="AS495" s="3"/>
      <c r="AT495" s="50"/>
      <c r="AU495" s="97"/>
      <c r="AV495" s="97"/>
      <c r="AW495" s="97"/>
      <c r="AX495" s="97"/>
      <c r="AY495" s="97"/>
      <c r="BD495" s="35"/>
      <c r="BE495" s="35"/>
      <c r="BV495" s="98"/>
      <c r="BW495" s="98"/>
      <c r="BX495" s="98"/>
      <c r="BY495" s="112"/>
      <c r="BZ495" s="112"/>
      <c r="CA495" s="112"/>
      <c r="CB495" s="98"/>
      <c r="CC495" s="98"/>
      <c r="CD495" s="98"/>
      <c r="CE495" s="98"/>
      <c r="CG495" s="100"/>
      <c r="CH495" s="100"/>
      <c r="CI495" s="100"/>
      <c r="CJ495" s="100"/>
      <c r="CK495" s="100"/>
      <c r="CL495" s="100"/>
      <c r="CM495" s="100"/>
      <c r="CN495" s="100"/>
      <c r="CO495" s="100"/>
      <c r="CP495" s="100"/>
      <c r="CQ495" s="100"/>
      <c r="CR495" s="100"/>
      <c r="CS495" s="100"/>
      <c r="CT495" s="100"/>
      <c r="CU495" s="100"/>
    </row>
    <row r="496" spans="6:99" s="36" customFormat="1" ht="11.1" customHeight="1" x14ac:dyDescent="0.25">
      <c r="F496" s="33"/>
      <c r="G496" s="33"/>
      <c r="H496" s="33"/>
      <c r="I496" s="34"/>
      <c r="J496" s="34"/>
      <c r="K496" s="14"/>
      <c r="L496" s="32"/>
      <c r="M496" s="14"/>
      <c r="N496" s="14"/>
      <c r="O496" s="2"/>
      <c r="P496"/>
      <c r="Q496" s="2"/>
      <c r="R496"/>
      <c r="S496"/>
      <c r="T496"/>
      <c r="U496" s="2"/>
      <c r="V496" s="2"/>
      <c r="W496" s="2"/>
      <c r="X496" s="2"/>
      <c r="Y496" s="2"/>
      <c r="Z496" s="11"/>
      <c r="AA496" s="15"/>
      <c r="AB496" s="15"/>
      <c r="AC496" s="15"/>
      <c r="AD496" s="35"/>
      <c r="AE496" s="99"/>
      <c r="AF496" s="99"/>
      <c r="AG496" s="35"/>
      <c r="AH496" s="35"/>
      <c r="AI496" s="35"/>
      <c r="AJ496" s="15"/>
      <c r="AK496" s="15"/>
      <c r="AL496" s="15"/>
      <c r="AM496" s="15"/>
      <c r="AN496" s="15"/>
      <c r="AO496" s="15"/>
      <c r="AP496" s="3"/>
      <c r="AQ496" s="3"/>
      <c r="AR496" s="3"/>
      <c r="AS496" s="3"/>
      <c r="AT496" s="50"/>
      <c r="AU496" s="97"/>
      <c r="AV496" s="97"/>
      <c r="AW496" s="97"/>
      <c r="AX496" s="97"/>
      <c r="AY496" s="97"/>
      <c r="BD496" s="35"/>
      <c r="BE496" s="35"/>
      <c r="BV496" s="98"/>
      <c r="BW496" s="98"/>
      <c r="BX496" s="98"/>
      <c r="BY496" s="112"/>
      <c r="BZ496" s="112"/>
      <c r="CA496" s="112"/>
      <c r="CB496" s="98"/>
      <c r="CC496" s="98"/>
      <c r="CD496" s="98"/>
      <c r="CE496" s="98"/>
      <c r="CG496" s="100"/>
      <c r="CH496" s="100"/>
      <c r="CI496" s="100"/>
      <c r="CJ496" s="100"/>
      <c r="CK496" s="100"/>
      <c r="CL496" s="100"/>
      <c r="CM496" s="100"/>
      <c r="CN496" s="100"/>
      <c r="CO496" s="100"/>
      <c r="CP496" s="100"/>
      <c r="CQ496" s="100"/>
      <c r="CR496" s="100"/>
      <c r="CS496" s="100"/>
      <c r="CT496" s="100"/>
      <c r="CU496" s="100"/>
    </row>
    <row r="497" spans="6:99" s="36" customFormat="1" ht="11.1" customHeight="1" x14ac:dyDescent="0.25">
      <c r="F497" s="33"/>
      <c r="G497" s="33"/>
      <c r="H497" s="33"/>
      <c r="I497" s="34"/>
      <c r="J497" s="34"/>
      <c r="K497" s="14"/>
      <c r="L497" s="32"/>
      <c r="M497" s="14"/>
      <c r="N497" s="14"/>
      <c r="O497" s="2"/>
      <c r="P497"/>
      <c r="Q497" s="2"/>
      <c r="R497"/>
      <c r="S497"/>
      <c r="T497"/>
      <c r="U497" s="2"/>
      <c r="V497" s="2"/>
      <c r="W497" s="2"/>
      <c r="X497" s="2"/>
      <c r="Y497" s="2"/>
      <c r="Z497" s="11"/>
      <c r="AA497" s="15"/>
      <c r="AB497" s="15"/>
      <c r="AC497" s="15"/>
      <c r="AD497" s="35"/>
      <c r="AE497" s="99"/>
      <c r="AF497" s="99"/>
      <c r="AG497" s="35"/>
      <c r="AH497" s="35"/>
      <c r="AI497" s="35"/>
      <c r="AJ497" s="15"/>
      <c r="AK497" s="15"/>
      <c r="AL497" s="15"/>
      <c r="AM497" s="15"/>
      <c r="AN497" s="15"/>
      <c r="AO497" s="15"/>
      <c r="AP497" s="3"/>
      <c r="AQ497" s="3"/>
      <c r="AR497" s="3"/>
      <c r="AS497" s="3"/>
      <c r="AT497" s="50"/>
      <c r="AU497" s="97"/>
      <c r="AV497" s="97"/>
      <c r="AW497" s="97"/>
      <c r="AX497" s="97"/>
      <c r="AY497" s="97"/>
      <c r="BD497" s="35"/>
      <c r="BE497" s="35"/>
      <c r="BV497" s="98"/>
      <c r="BW497" s="98"/>
      <c r="BX497" s="98"/>
      <c r="BY497" s="112"/>
      <c r="BZ497" s="112"/>
      <c r="CA497" s="112"/>
      <c r="CB497" s="98"/>
      <c r="CC497" s="98"/>
      <c r="CD497" s="98"/>
      <c r="CE497" s="98"/>
      <c r="CG497" s="100"/>
      <c r="CH497" s="100"/>
      <c r="CI497" s="100"/>
      <c r="CJ497" s="100"/>
      <c r="CK497" s="100"/>
      <c r="CL497" s="100"/>
      <c r="CM497" s="100"/>
      <c r="CN497" s="100"/>
      <c r="CO497" s="100"/>
      <c r="CP497" s="100"/>
      <c r="CQ497" s="100"/>
      <c r="CR497" s="100"/>
      <c r="CS497" s="100"/>
      <c r="CT497" s="100"/>
      <c r="CU497" s="100"/>
    </row>
    <row r="498" spans="6:99" s="36" customFormat="1" ht="11.1" customHeight="1" x14ac:dyDescent="0.25">
      <c r="F498" s="33"/>
      <c r="G498" s="33"/>
      <c r="H498" s="33"/>
      <c r="I498" s="34"/>
      <c r="J498" s="34"/>
      <c r="K498" s="14"/>
      <c r="L498" s="32"/>
      <c r="M498" s="14"/>
      <c r="N498" s="14"/>
      <c r="O498" s="2"/>
      <c r="P498"/>
      <c r="Q498" s="2"/>
      <c r="R498"/>
      <c r="S498"/>
      <c r="T498"/>
      <c r="U498" s="2"/>
      <c r="V498" s="2"/>
      <c r="W498" s="2"/>
      <c r="X498" s="2"/>
      <c r="Y498" s="2"/>
      <c r="Z498" s="11"/>
      <c r="AA498" s="15"/>
      <c r="AB498" s="15"/>
      <c r="AC498" s="15"/>
      <c r="AD498" s="35"/>
      <c r="AE498" s="99"/>
      <c r="AF498" s="99"/>
      <c r="AG498" s="35"/>
      <c r="AH498" s="35"/>
      <c r="AI498" s="35"/>
      <c r="AJ498" s="15"/>
      <c r="AK498" s="15"/>
      <c r="AL498" s="15"/>
      <c r="AM498" s="15"/>
      <c r="AN498" s="15"/>
      <c r="AO498" s="15"/>
      <c r="AP498" s="3"/>
      <c r="AQ498" s="3"/>
      <c r="AR498" s="3"/>
      <c r="AS498" s="3"/>
      <c r="AT498" s="50"/>
      <c r="AU498" s="97"/>
      <c r="AV498" s="97"/>
      <c r="AW498" s="97"/>
      <c r="AX498" s="97"/>
      <c r="AY498" s="97"/>
      <c r="BD498" s="35"/>
      <c r="BE498" s="35"/>
      <c r="BV498" s="98"/>
      <c r="BW498" s="98"/>
      <c r="BX498" s="98"/>
      <c r="BY498" s="112"/>
      <c r="BZ498" s="112"/>
      <c r="CA498" s="112"/>
      <c r="CB498" s="98"/>
      <c r="CC498" s="98"/>
      <c r="CD498" s="98"/>
      <c r="CE498" s="98"/>
      <c r="CG498" s="100"/>
      <c r="CH498" s="100"/>
      <c r="CI498" s="100"/>
      <c r="CJ498" s="100"/>
      <c r="CK498" s="100"/>
      <c r="CL498" s="100"/>
      <c r="CM498" s="100"/>
      <c r="CN498" s="100"/>
      <c r="CO498" s="100"/>
      <c r="CP498" s="100"/>
      <c r="CQ498" s="100"/>
      <c r="CR498" s="100"/>
      <c r="CS498" s="100"/>
      <c r="CT498" s="100"/>
      <c r="CU498" s="100"/>
    </row>
    <row r="499" spans="6:99" s="36" customFormat="1" ht="11.1" customHeight="1" x14ac:dyDescent="0.25">
      <c r="F499" s="33"/>
      <c r="G499" s="33"/>
      <c r="H499" s="33"/>
      <c r="I499" s="34"/>
      <c r="J499" s="34"/>
      <c r="K499" s="14"/>
      <c r="L499" s="32"/>
      <c r="M499" s="14"/>
      <c r="N499" s="14"/>
      <c r="O499" s="2"/>
      <c r="P499"/>
      <c r="Q499" s="2"/>
      <c r="R499"/>
      <c r="S499"/>
      <c r="T499"/>
      <c r="U499" s="2"/>
      <c r="V499" s="2"/>
      <c r="W499" s="2"/>
      <c r="X499" s="2"/>
      <c r="Y499" s="2"/>
      <c r="Z499" s="11"/>
      <c r="AA499" s="15"/>
      <c r="AB499" s="15"/>
      <c r="AC499" s="15"/>
      <c r="AD499" s="35"/>
      <c r="AE499" s="99"/>
      <c r="AF499" s="99"/>
      <c r="AG499" s="35"/>
      <c r="AH499" s="35"/>
      <c r="AI499" s="35"/>
      <c r="AJ499" s="15"/>
      <c r="AK499" s="15"/>
      <c r="AL499" s="15"/>
      <c r="AM499" s="15"/>
      <c r="AN499" s="15"/>
      <c r="AO499" s="15"/>
      <c r="AP499" s="3"/>
      <c r="AQ499" s="3"/>
      <c r="AR499" s="3"/>
      <c r="AS499" s="3"/>
      <c r="AT499" s="50"/>
      <c r="AU499" s="97"/>
      <c r="AV499" s="97"/>
      <c r="AW499" s="97"/>
      <c r="AX499" s="97"/>
      <c r="AY499" s="97"/>
      <c r="BD499" s="35"/>
      <c r="BE499" s="35"/>
      <c r="BV499" s="98"/>
      <c r="BW499" s="98"/>
      <c r="BX499" s="98"/>
      <c r="BY499" s="112"/>
      <c r="BZ499" s="112"/>
      <c r="CA499" s="112"/>
      <c r="CB499" s="98"/>
      <c r="CC499" s="98"/>
      <c r="CD499" s="98"/>
      <c r="CE499" s="98"/>
      <c r="CG499" s="100"/>
      <c r="CH499" s="100"/>
      <c r="CI499" s="100"/>
      <c r="CJ499" s="100"/>
      <c r="CK499" s="100"/>
      <c r="CL499" s="100"/>
      <c r="CM499" s="100"/>
      <c r="CN499" s="100"/>
      <c r="CO499" s="100"/>
      <c r="CP499" s="100"/>
      <c r="CQ499" s="100"/>
      <c r="CR499" s="100"/>
      <c r="CS499" s="100"/>
      <c r="CT499" s="100"/>
      <c r="CU499" s="100"/>
    </row>
    <row r="500" spans="6:99" s="36" customFormat="1" ht="11.1" customHeight="1" x14ac:dyDescent="0.25">
      <c r="F500" s="33"/>
      <c r="G500" s="33"/>
      <c r="H500" s="33"/>
      <c r="I500" s="34"/>
      <c r="J500" s="34"/>
      <c r="K500" s="14"/>
      <c r="L500" s="32"/>
      <c r="M500" s="14"/>
      <c r="N500" s="14"/>
      <c r="O500" s="2"/>
      <c r="P500"/>
      <c r="Q500" s="2"/>
      <c r="R500"/>
      <c r="S500"/>
      <c r="T500"/>
      <c r="U500" s="2"/>
      <c r="V500" s="2"/>
      <c r="W500" s="2"/>
      <c r="X500" s="2"/>
      <c r="Y500" s="2"/>
      <c r="Z500" s="11"/>
      <c r="AA500" s="15"/>
      <c r="AB500" s="15"/>
      <c r="AC500" s="15"/>
      <c r="AD500" s="35"/>
      <c r="AE500" s="99"/>
      <c r="AF500" s="99"/>
      <c r="AG500" s="35"/>
      <c r="AH500" s="35"/>
      <c r="AI500" s="35"/>
      <c r="AJ500" s="15"/>
      <c r="AK500" s="15"/>
      <c r="AL500" s="15"/>
      <c r="AM500" s="15"/>
      <c r="AN500" s="15"/>
      <c r="AO500" s="15"/>
      <c r="AP500" s="3"/>
      <c r="AQ500" s="3"/>
      <c r="AR500" s="3"/>
      <c r="AS500" s="3"/>
      <c r="AT500" s="50"/>
      <c r="AU500" s="97"/>
      <c r="AV500" s="97"/>
      <c r="AW500" s="97"/>
      <c r="AX500" s="97"/>
      <c r="AY500" s="97"/>
      <c r="BD500" s="35"/>
      <c r="BE500" s="35"/>
      <c r="BV500" s="98"/>
      <c r="BW500" s="98"/>
      <c r="BX500" s="98"/>
      <c r="BY500" s="112"/>
      <c r="BZ500" s="112"/>
      <c r="CA500" s="112"/>
      <c r="CB500" s="98"/>
      <c r="CC500" s="98"/>
      <c r="CD500" s="98"/>
      <c r="CE500" s="98"/>
      <c r="CG500" s="100"/>
      <c r="CH500" s="100"/>
      <c r="CI500" s="100"/>
      <c r="CJ500" s="100"/>
      <c r="CK500" s="100"/>
      <c r="CL500" s="100"/>
      <c r="CM500" s="100"/>
      <c r="CN500" s="100"/>
      <c r="CO500" s="100"/>
      <c r="CP500" s="100"/>
      <c r="CQ500" s="100"/>
      <c r="CR500" s="100"/>
      <c r="CS500" s="100"/>
      <c r="CT500" s="100"/>
      <c r="CU500" s="100"/>
    </row>
    <row r="501" spans="6:99" s="36" customFormat="1" ht="11.1" customHeight="1" x14ac:dyDescent="0.25">
      <c r="F501" s="33"/>
      <c r="G501" s="33"/>
      <c r="H501" s="33"/>
      <c r="I501" s="34"/>
      <c r="J501" s="34"/>
      <c r="K501" s="14"/>
      <c r="L501" s="32"/>
      <c r="M501" s="14"/>
      <c r="N501" s="14"/>
      <c r="O501" s="2"/>
      <c r="P501"/>
      <c r="Q501" s="2"/>
      <c r="R501"/>
      <c r="S501"/>
      <c r="T501"/>
      <c r="U501" s="2"/>
      <c r="V501" s="2"/>
      <c r="W501" s="2"/>
      <c r="X501" s="2"/>
      <c r="Y501" s="2"/>
      <c r="Z501" s="11"/>
      <c r="AA501" s="15"/>
      <c r="AB501" s="15"/>
      <c r="AC501" s="15"/>
      <c r="AD501" s="35"/>
      <c r="AE501" s="99"/>
      <c r="AF501" s="99"/>
      <c r="AG501" s="35"/>
      <c r="AH501" s="35"/>
      <c r="AI501" s="35"/>
      <c r="AJ501" s="15"/>
      <c r="AK501" s="15"/>
      <c r="AL501" s="15"/>
      <c r="AM501" s="15"/>
      <c r="AN501" s="15"/>
      <c r="AO501" s="15"/>
      <c r="AP501" s="3"/>
      <c r="AQ501" s="3"/>
      <c r="AR501" s="3"/>
      <c r="AS501" s="3"/>
      <c r="AT501" s="50"/>
      <c r="AU501" s="97"/>
      <c r="AV501" s="97"/>
      <c r="AW501" s="97"/>
      <c r="AX501" s="97"/>
      <c r="AY501" s="97"/>
      <c r="BD501" s="35"/>
      <c r="BE501" s="35"/>
      <c r="BV501" s="98"/>
      <c r="BW501" s="98"/>
      <c r="BX501" s="98"/>
      <c r="BY501" s="112"/>
      <c r="BZ501" s="112"/>
      <c r="CA501" s="112"/>
      <c r="CB501" s="98"/>
      <c r="CC501" s="98"/>
      <c r="CD501" s="98"/>
      <c r="CE501" s="98"/>
      <c r="CG501" s="100"/>
      <c r="CH501" s="100"/>
      <c r="CI501" s="100"/>
      <c r="CJ501" s="100"/>
      <c r="CK501" s="100"/>
      <c r="CL501" s="100"/>
      <c r="CM501" s="100"/>
      <c r="CN501" s="100"/>
      <c r="CO501" s="100"/>
      <c r="CP501" s="100"/>
      <c r="CQ501" s="100"/>
      <c r="CR501" s="100"/>
      <c r="CS501" s="100"/>
      <c r="CT501" s="100"/>
      <c r="CU501" s="100"/>
    </row>
    <row r="502" spans="6:99" s="36" customFormat="1" ht="11.1" customHeight="1" x14ac:dyDescent="0.25">
      <c r="F502" s="33"/>
      <c r="G502" s="33"/>
      <c r="H502" s="33"/>
      <c r="I502" s="34"/>
      <c r="J502" s="34"/>
      <c r="K502" s="14"/>
      <c r="L502" s="32"/>
      <c r="M502" s="14"/>
      <c r="N502" s="14"/>
      <c r="O502" s="2"/>
      <c r="P502"/>
      <c r="Q502" s="2"/>
      <c r="R502"/>
      <c r="S502"/>
      <c r="T502"/>
      <c r="U502" s="2"/>
      <c r="V502" s="2"/>
      <c r="W502" s="2"/>
      <c r="X502" s="2"/>
      <c r="Y502" s="2"/>
      <c r="Z502" s="11"/>
      <c r="AA502" s="15"/>
      <c r="AB502" s="15"/>
      <c r="AC502" s="15"/>
      <c r="AD502" s="35"/>
      <c r="AE502" s="99"/>
      <c r="AF502" s="99"/>
      <c r="AG502" s="35"/>
      <c r="AH502" s="35"/>
      <c r="AI502" s="35"/>
      <c r="AJ502" s="15"/>
      <c r="AK502" s="15"/>
      <c r="AL502" s="15"/>
      <c r="AM502" s="15"/>
      <c r="AN502" s="15"/>
      <c r="AO502" s="15"/>
      <c r="AP502" s="3"/>
      <c r="AQ502" s="3"/>
      <c r="AR502" s="3"/>
      <c r="AS502" s="3"/>
      <c r="AT502" s="50"/>
      <c r="AU502" s="97"/>
      <c r="AV502" s="97"/>
      <c r="AW502" s="97"/>
      <c r="AX502" s="97"/>
      <c r="AY502" s="97"/>
      <c r="BD502" s="35"/>
      <c r="BE502" s="35"/>
      <c r="BV502" s="98"/>
      <c r="BW502" s="98"/>
      <c r="BX502" s="98"/>
      <c r="BY502" s="112"/>
      <c r="BZ502" s="112"/>
      <c r="CA502" s="112"/>
      <c r="CB502" s="98"/>
      <c r="CC502" s="98"/>
      <c r="CD502" s="98"/>
      <c r="CE502" s="98"/>
      <c r="CG502" s="100"/>
      <c r="CH502" s="100"/>
      <c r="CI502" s="100"/>
      <c r="CJ502" s="100"/>
      <c r="CK502" s="100"/>
      <c r="CL502" s="100"/>
      <c r="CM502" s="100"/>
      <c r="CN502" s="100"/>
      <c r="CO502" s="100"/>
      <c r="CP502" s="100"/>
      <c r="CQ502" s="100"/>
      <c r="CR502" s="100"/>
      <c r="CS502" s="100"/>
      <c r="CT502" s="100"/>
      <c r="CU502" s="100"/>
    </row>
    <row r="503" spans="6:99" s="36" customFormat="1" ht="11.1" customHeight="1" x14ac:dyDescent="0.25">
      <c r="F503" s="33"/>
      <c r="G503" s="33"/>
      <c r="H503" s="33"/>
      <c r="I503" s="34"/>
      <c r="J503" s="34"/>
      <c r="K503" s="14"/>
      <c r="L503" s="32"/>
      <c r="M503" s="14"/>
      <c r="N503" s="14"/>
      <c r="O503" s="2"/>
      <c r="P503"/>
      <c r="Q503" s="2"/>
      <c r="R503"/>
      <c r="S503"/>
      <c r="T503"/>
      <c r="U503" s="2"/>
      <c r="V503" s="2"/>
      <c r="W503" s="2"/>
      <c r="X503" s="2"/>
      <c r="Y503" s="2"/>
      <c r="Z503" s="11"/>
      <c r="AA503" s="15"/>
      <c r="AB503" s="15"/>
      <c r="AC503" s="15"/>
      <c r="AD503" s="35"/>
      <c r="AE503" s="99"/>
      <c r="AF503" s="99"/>
      <c r="AG503" s="35"/>
      <c r="AH503" s="35"/>
      <c r="AI503" s="35"/>
      <c r="AJ503" s="15"/>
      <c r="AK503" s="15"/>
      <c r="AL503" s="15"/>
      <c r="AM503" s="15"/>
      <c r="AN503" s="15"/>
      <c r="AO503" s="15"/>
      <c r="AP503" s="3"/>
      <c r="AQ503" s="3"/>
      <c r="AR503" s="3"/>
      <c r="AS503" s="3"/>
      <c r="AT503" s="50"/>
      <c r="AU503" s="97"/>
      <c r="AV503" s="97"/>
      <c r="AW503" s="97"/>
      <c r="AX503" s="97"/>
      <c r="AY503" s="97"/>
      <c r="BD503" s="35"/>
      <c r="BE503" s="35"/>
      <c r="BV503" s="98"/>
      <c r="BW503" s="98"/>
      <c r="BX503" s="98"/>
      <c r="BY503" s="112"/>
      <c r="BZ503" s="112"/>
      <c r="CA503" s="112"/>
      <c r="CB503" s="98"/>
      <c r="CC503" s="98"/>
      <c r="CD503" s="98"/>
      <c r="CE503" s="98"/>
      <c r="CG503" s="100"/>
      <c r="CH503" s="100"/>
      <c r="CI503" s="100"/>
      <c r="CJ503" s="100"/>
      <c r="CK503" s="100"/>
      <c r="CL503" s="100"/>
      <c r="CM503" s="100"/>
      <c r="CN503" s="100"/>
      <c r="CO503" s="100"/>
      <c r="CP503" s="100"/>
      <c r="CQ503" s="100"/>
      <c r="CR503" s="100"/>
      <c r="CS503" s="100"/>
      <c r="CT503" s="100"/>
      <c r="CU503" s="100"/>
    </row>
    <row r="504" spans="6:99" s="36" customFormat="1" ht="11.1" customHeight="1" x14ac:dyDescent="0.25">
      <c r="F504" s="33"/>
      <c r="G504" s="33"/>
      <c r="H504" s="33"/>
      <c r="I504" s="34"/>
      <c r="J504" s="34"/>
      <c r="K504" s="14"/>
      <c r="L504" s="32"/>
      <c r="M504" s="14"/>
      <c r="N504" s="14"/>
      <c r="O504" s="2"/>
      <c r="P504"/>
      <c r="Q504" s="2"/>
      <c r="R504"/>
      <c r="S504"/>
      <c r="T504"/>
      <c r="U504" s="2"/>
      <c r="V504" s="2"/>
      <c r="W504" s="2"/>
      <c r="X504" s="2"/>
      <c r="Y504" s="2"/>
      <c r="Z504" s="11"/>
      <c r="AA504" s="15"/>
      <c r="AB504" s="15"/>
      <c r="AC504" s="15"/>
      <c r="AD504" s="35"/>
      <c r="AE504" s="99"/>
      <c r="AF504" s="99"/>
      <c r="AG504" s="35"/>
      <c r="AH504" s="35"/>
      <c r="AI504" s="35"/>
      <c r="AJ504" s="15"/>
      <c r="AK504" s="15"/>
      <c r="AL504" s="15"/>
      <c r="AM504" s="15"/>
      <c r="AN504" s="15"/>
      <c r="AO504" s="15"/>
      <c r="AP504" s="3"/>
      <c r="AQ504" s="3"/>
      <c r="AR504" s="3"/>
      <c r="AS504" s="3"/>
      <c r="AT504" s="50"/>
      <c r="AU504" s="97"/>
      <c r="AV504" s="97"/>
      <c r="AW504" s="97"/>
      <c r="AX504" s="97"/>
      <c r="AY504" s="97"/>
      <c r="BD504" s="35"/>
      <c r="BE504" s="35"/>
      <c r="BV504" s="98"/>
      <c r="BW504" s="98"/>
      <c r="BX504" s="98"/>
      <c r="BY504" s="112"/>
      <c r="BZ504" s="112"/>
      <c r="CA504" s="112"/>
      <c r="CB504" s="98"/>
      <c r="CC504" s="98"/>
      <c r="CD504" s="98"/>
      <c r="CE504" s="98"/>
      <c r="CG504" s="100"/>
      <c r="CH504" s="100"/>
      <c r="CI504" s="100"/>
      <c r="CJ504" s="100"/>
      <c r="CK504" s="100"/>
      <c r="CL504" s="100"/>
      <c r="CM504" s="100"/>
      <c r="CN504" s="100"/>
      <c r="CO504" s="100"/>
      <c r="CP504" s="100"/>
      <c r="CQ504" s="100"/>
      <c r="CR504" s="100"/>
      <c r="CS504" s="100"/>
      <c r="CT504" s="100"/>
      <c r="CU504" s="100"/>
    </row>
    <row r="505" spans="6:99" s="36" customFormat="1" ht="11.1" customHeight="1" x14ac:dyDescent="0.25">
      <c r="F505" s="33"/>
      <c r="G505" s="33"/>
      <c r="H505" s="33"/>
      <c r="I505" s="34"/>
      <c r="J505" s="34"/>
      <c r="K505" s="14"/>
      <c r="L505" s="32"/>
      <c r="M505" s="14"/>
      <c r="N505" s="14"/>
      <c r="O505" s="2"/>
      <c r="P505"/>
      <c r="Q505" s="2"/>
      <c r="R505"/>
      <c r="S505"/>
      <c r="T505"/>
      <c r="U505" s="2"/>
      <c r="V505" s="2"/>
      <c r="W505" s="2"/>
      <c r="X505" s="2"/>
      <c r="Y505" s="2"/>
      <c r="Z505" s="11"/>
      <c r="AA505" s="15"/>
      <c r="AB505" s="15"/>
      <c r="AC505" s="15"/>
      <c r="AD505" s="35"/>
      <c r="AE505" s="99"/>
      <c r="AF505" s="99"/>
      <c r="AG505" s="35"/>
      <c r="AH505" s="35"/>
      <c r="AI505" s="35"/>
      <c r="AJ505" s="15"/>
      <c r="AK505" s="15"/>
      <c r="AL505" s="15"/>
      <c r="AM505" s="15"/>
      <c r="AN505" s="15"/>
      <c r="AO505" s="15"/>
      <c r="AP505" s="3"/>
      <c r="AQ505" s="3"/>
      <c r="AR505" s="3"/>
      <c r="AS505" s="3"/>
      <c r="AT505" s="50"/>
      <c r="AU505" s="97"/>
      <c r="AV505" s="97"/>
      <c r="AW505" s="97"/>
      <c r="AX505" s="97"/>
      <c r="AY505" s="97"/>
      <c r="BD505" s="35"/>
      <c r="BE505" s="35"/>
      <c r="BV505" s="98"/>
      <c r="BW505" s="98"/>
      <c r="BX505" s="98"/>
      <c r="BY505" s="112"/>
      <c r="BZ505" s="112"/>
      <c r="CA505" s="112"/>
      <c r="CB505" s="98"/>
      <c r="CC505" s="98"/>
      <c r="CD505" s="98"/>
      <c r="CE505" s="98"/>
      <c r="CG505" s="100"/>
      <c r="CH505" s="100"/>
      <c r="CI505" s="100"/>
      <c r="CJ505" s="100"/>
      <c r="CK505" s="100"/>
      <c r="CL505" s="100"/>
      <c r="CM505" s="100"/>
      <c r="CN505" s="100"/>
      <c r="CO505" s="100"/>
      <c r="CP505" s="100"/>
      <c r="CQ505" s="100"/>
      <c r="CR505" s="100"/>
      <c r="CS505" s="100"/>
      <c r="CT505" s="100"/>
      <c r="CU505" s="100"/>
    </row>
    <row r="506" spans="6:99" s="36" customFormat="1" ht="11.1" customHeight="1" x14ac:dyDescent="0.25">
      <c r="F506" s="33"/>
      <c r="G506" s="33"/>
      <c r="H506" s="33"/>
      <c r="I506" s="34"/>
      <c r="J506" s="34"/>
      <c r="K506" s="14"/>
      <c r="L506" s="32"/>
      <c r="M506" s="14"/>
      <c r="N506" s="14"/>
      <c r="O506" s="2"/>
      <c r="P506"/>
      <c r="Q506" s="2"/>
      <c r="R506"/>
      <c r="S506"/>
      <c r="T506"/>
      <c r="U506" s="2"/>
      <c r="V506" s="2"/>
      <c r="W506" s="2"/>
      <c r="X506" s="2"/>
      <c r="Y506" s="2"/>
      <c r="Z506" s="11"/>
      <c r="AA506" s="15"/>
      <c r="AB506" s="15"/>
      <c r="AC506" s="15"/>
      <c r="AD506" s="35"/>
      <c r="AE506" s="99"/>
      <c r="AF506" s="99"/>
      <c r="AG506" s="35"/>
      <c r="AH506" s="35"/>
      <c r="AI506" s="35"/>
      <c r="AJ506" s="15"/>
      <c r="AK506" s="15"/>
      <c r="AL506" s="15"/>
      <c r="AM506" s="15"/>
      <c r="AN506" s="15"/>
      <c r="AO506" s="15"/>
      <c r="AP506" s="3"/>
      <c r="AQ506" s="3"/>
      <c r="AR506" s="3"/>
      <c r="AS506" s="3"/>
      <c r="AT506" s="50"/>
      <c r="AU506" s="97"/>
      <c r="AV506" s="97"/>
      <c r="AW506" s="97"/>
      <c r="AX506" s="97"/>
      <c r="AY506" s="97"/>
      <c r="BD506" s="35"/>
      <c r="BE506" s="35"/>
      <c r="BV506" s="98"/>
      <c r="BW506" s="98"/>
      <c r="BX506" s="98"/>
      <c r="BY506" s="112"/>
      <c r="BZ506" s="112"/>
      <c r="CA506" s="112"/>
      <c r="CB506" s="98"/>
      <c r="CC506" s="98"/>
      <c r="CD506" s="98"/>
      <c r="CE506" s="98"/>
      <c r="CG506" s="100"/>
      <c r="CH506" s="100"/>
      <c r="CI506" s="100"/>
      <c r="CJ506" s="100"/>
      <c r="CK506" s="100"/>
      <c r="CL506" s="100"/>
      <c r="CM506" s="100"/>
      <c r="CN506" s="100"/>
      <c r="CO506" s="100"/>
      <c r="CP506" s="100"/>
      <c r="CQ506" s="100"/>
      <c r="CR506" s="100"/>
      <c r="CS506" s="100"/>
      <c r="CT506" s="100"/>
      <c r="CU506" s="100"/>
    </row>
    <row r="507" spans="6:99" s="36" customFormat="1" ht="11.1" customHeight="1" x14ac:dyDescent="0.25">
      <c r="F507" s="33"/>
      <c r="G507" s="33"/>
      <c r="H507" s="33"/>
      <c r="I507" s="34"/>
      <c r="J507" s="34"/>
      <c r="K507" s="14"/>
      <c r="L507" s="32"/>
      <c r="M507" s="14"/>
      <c r="N507" s="14"/>
      <c r="O507" s="2"/>
      <c r="P507"/>
      <c r="Q507" s="2"/>
      <c r="R507"/>
      <c r="S507"/>
      <c r="T507"/>
      <c r="U507" s="2"/>
      <c r="V507" s="2"/>
      <c r="W507" s="2"/>
      <c r="X507" s="2"/>
      <c r="Y507" s="2"/>
      <c r="Z507" s="11"/>
      <c r="AA507" s="15"/>
      <c r="AB507" s="15"/>
      <c r="AC507" s="15"/>
      <c r="AD507" s="35"/>
      <c r="AE507" s="99"/>
      <c r="AF507" s="99"/>
      <c r="AG507" s="35"/>
      <c r="AH507" s="35"/>
      <c r="AI507" s="35"/>
      <c r="AJ507" s="15"/>
      <c r="AK507" s="15"/>
      <c r="AL507" s="15"/>
      <c r="AM507" s="15"/>
      <c r="AN507" s="15"/>
      <c r="AO507" s="15"/>
      <c r="AP507" s="3"/>
      <c r="AQ507" s="3"/>
      <c r="AR507" s="3"/>
      <c r="AS507" s="3"/>
      <c r="AT507" s="50"/>
      <c r="AU507" s="97"/>
      <c r="AV507" s="97"/>
      <c r="AW507" s="97"/>
      <c r="AX507" s="97"/>
      <c r="AY507" s="97"/>
      <c r="BD507" s="35"/>
      <c r="BE507" s="35"/>
      <c r="BV507" s="98"/>
      <c r="BW507" s="98"/>
      <c r="BX507" s="98"/>
      <c r="BY507" s="112"/>
      <c r="BZ507" s="112"/>
      <c r="CA507" s="112"/>
      <c r="CB507" s="98"/>
      <c r="CC507" s="98"/>
      <c r="CD507" s="98"/>
      <c r="CE507" s="98"/>
      <c r="CG507" s="100"/>
      <c r="CH507" s="100"/>
      <c r="CI507" s="100"/>
      <c r="CJ507" s="100"/>
      <c r="CK507" s="100"/>
      <c r="CL507" s="100"/>
      <c r="CM507" s="100"/>
      <c r="CN507" s="100"/>
      <c r="CO507" s="100"/>
      <c r="CP507" s="100"/>
      <c r="CQ507" s="100"/>
      <c r="CR507" s="100"/>
      <c r="CS507" s="100"/>
      <c r="CT507" s="100"/>
      <c r="CU507" s="100"/>
    </row>
    <row r="508" spans="6:99" s="36" customFormat="1" ht="11.1" customHeight="1" x14ac:dyDescent="0.25">
      <c r="F508" s="33"/>
      <c r="G508" s="33"/>
      <c r="H508" s="33"/>
      <c r="I508" s="34"/>
      <c r="J508" s="34"/>
      <c r="K508" s="14"/>
      <c r="L508" s="32"/>
      <c r="M508" s="14"/>
      <c r="N508" s="14"/>
      <c r="O508" s="2"/>
      <c r="P508"/>
      <c r="Q508" s="2"/>
      <c r="R508"/>
      <c r="S508"/>
      <c r="T508"/>
      <c r="U508" s="2"/>
      <c r="V508" s="2"/>
      <c r="W508" s="2"/>
      <c r="X508" s="2"/>
      <c r="Y508" s="2"/>
      <c r="Z508" s="11"/>
      <c r="AA508" s="15"/>
      <c r="AB508" s="15"/>
      <c r="AC508" s="15"/>
      <c r="AD508" s="35"/>
      <c r="AE508" s="99"/>
      <c r="AF508" s="99"/>
      <c r="AG508" s="35"/>
      <c r="AH508" s="35"/>
      <c r="AI508" s="35"/>
      <c r="AJ508" s="15"/>
      <c r="AK508" s="15"/>
      <c r="AL508" s="15"/>
      <c r="AM508" s="15"/>
      <c r="AN508" s="15"/>
      <c r="AO508" s="15"/>
      <c r="AP508" s="3"/>
      <c r="AQ508" s="3"/>
      <c r="AR508" s="3"/>
      <c r="AS508" s="3"/>
      <c r="AT508" s="50"/>
      <c r="AU508" s="97"/>
      <c r="AV508" s="97"/>
      <c r="AW508" s="97"/>
      <c r="AX508" s="97"/>
      <c r="AY508" s="97"/>
      <c r="BD508" s="35"/>
      <c r="BE508" s="35"/>
      <c r="BV508" s="98"/>
      <c r="BW508" s="98"/>
      <c r="BX508" s="98"/>
      <c r="BY508" s="112"/>
      <c r="BZ508" s="112"/>
      <c r="CA508" s="112"/>
      <c r="CB508" s="98"/>
      <c r="CC508" s="98"/>
      <c r="CD508" s="98"/>
      <c r="CE508" s="98"/>
      <c r="CG508" s="100"/>
      <c r="CH508" s="100"/>
      <c r="CI508" s="100"/>
      <c r="CJ508" s="100"/>
      <c r="CK508" s="100"/>
      <c r="CL508" s="100"/>
      <c r="CM508" s="100"/>
      <c r="CN508" s="100"/>
      <c r="CO508" s="100"/>
      <c r="CP508" s="100"/>
      <c r="CQ508" s="100"/>
      <c r="CR508" s="100"/>
      <c r="CS508" s="100"/>
      <c r="CT508" s="100"/>
      <c r="CU508" s="100"/>
    </row>
    <row r="509" spans="6:99" s="36" customFormat="1" ht="11.1" customHeight="1" x14ac:dyDescent="0.25">
      <c r="F509" s="33"/>
      <c r="G509" s="33"/>
      <c r="H509" s="33"/>
      <c r="I509" s="34"/>
      <c r="J509" s="34"/>
      <c r="K509" s="14"/>
      <c r="L509" s="32"/>
      <c r="M509" s="14"/>
      <c r="N509" s="14"/>
      <c r="O509" s="2"/>
      <c r="P509"/>
      <c r="Q509" s="2"/>
      <c r="R509"/>
      <c r="S509"/>
      <c r="T509"/>
      <c r="U509" s="2"/>
      <c r="V509" s="2"/>
      <c r="W509" s="2"/>
      <c r="X509" s="2"/>
      <c r="Y509" s="2"/>
      <c r="Z509" s="11"/>
      <c r="AA509" s="15"/>
      <c r="AB509" s="15"/>
      <c r="AC509" s="15"/>
      <c r="AD509" s="35"/>
      <c r="AE509" s="99"/>
      <c r="AF509" s="99"/>
      <c r="AG509" s="35"/>
      <c r="AH509" s="35"/>
      <c r="AI509" s="35"/>
      <c r="AJ509" s="15"/>
      <c r="AK509" s="15"/>
      <c r="AL509" s="15"/>
      <c r="AM509" s="15"/>
      <c r="AN509" s="15"/>
      <c r="AO509" s="15"/>
      <c r="AP509" s="3"/>
      <c r="AQ509" s="3"/>
      <c r="AR509" s="3"/>
      <c r="AS509" s="3"/>
      <c r="AT509" s="50"/>
      <c r="AU509" s="97"/>
      <c r="AV509" s="97"/>
      <c r="AW509" s="97"/>
      <c r="AX509" s="97"/>
      <c r="AY509" s="97"/>
      <c r="BD509" s="35"/>
      <c r="BE509" s="35"/>
      <c r="BV509" s="98"/>
      <c r="BW509" s="98"/>
      <c r="BX509" s="98"/>
      <c r="BY509" s="112"/>
      <c r="BZ509" s="112"/>
      <c r="CA509" s="112"/>
      <c r="CB509" s="98"/>
      <c r="CC509" s="98"/>
      <c r="CD509" s="98"/>
      <c r="CE509" s="98"/>
      <c r="CG509" s="100"/>
      <c r="CH509" s="100"/>
      <c r="CI509" s="100"/>
      <c r="CJ509" s="100"/>
      <c r="CK509" s="100"/>
      <c r="CL509" s="100"/>
      <c r="CM509" s="100"/>
      <c r="CN509" s="100"/>
      <c r="CO509" s="100"/>
      <c r="CP509" s="100"/>
      <c r="CQ509" s="100"/>
      <c r="CR509" s="100"/>
      <c r="CS509" s="100"/>
      <c r="CT509" s="100"/>
      <c r="CU509" s="100"/>
    </row>
    <row r="510" spans="6:99" s="36" customFormat="1" ht="11.1" customHeight="1" x14ac:dyDescent="0.25">
      <c r="F510" s="33"/>
      <c r="G510" s="33"/>
      <c r="H510" s="33"/>
      <c r="I510" s="34"/>
      <c r="J510" s="34"/>
      <c r="K510" s="14"/>
      <c r="L510" s="32"/>
      <c r="M510" s="14"/>
      <c r="N510" s="14"/>
      <c r="O510" s="2"/>
      <c r="P510"/>
      <c r="Q510" s="2"/>
      <c r="R510"/>
      <c r="S510"/>
      <c r="T510"/>
      <c r="U510" s="2"/>
      <c r="V510" s="2"/>
      <c r="W510" s="2"/>
      <c r="X510" s="2"/>
      <c r="Y510" s="2"/>
      <c r="Z510" s="11"/>
      <c r="AA510" s="15"/>
      <c r="AB510" s="15"/>
      <c r="AC510" s="15"/>
      <c r="AD510" s="35"/>
      <c r="AE510" s="99"/>
      <c r="AF510" s="99"/>
      <c r="AG510" s="35"/>
      <c r="AH510" s="35"/>
      <c r="AI510" s="35"/>
      <c r="AJ510" s="15"/>
      <c r="AK510" s="15"/>
      <c r="AL510" s="15"/>
      <c r="AM510" s="15"/>
      <c r="AN510" s="15"/>
      <c r="AO510" s="15"/>
      <c r="AP510" s="3"/>
      <c r="AQ510" s="3"/>
      <c r="AR510" s="3"/>
      <c r="AS510" s="3"/>
      <c r="AT510" s="50"/>
      <c r="AU510" s="97"/>
      <c r="AV510" s="97"/>
      <c r="AW510" s="97"/>
      <c r="AX510" s="97"/>
      <c r="AY510" s="97"/>
      <c r="BD510" s="35"/>
      <c r="BE510" s="35"/>
      <c r="BV510" s="98"/>
      <c r="BW510" s="98"/>
      <c r="BX510" s="98"/>
      <c r="BY510" s="112"/>
      <c r="BZ510" s="112"/>
      <c r="CA510" s="112"/>
      <c r="CB510" s="98"/>
      <c r="CC510" s="98"/>
      <c r="CD510" s="98"/>
      <c r="CE510" s="98"/>
      <c r="CG510" s="100"/>
      <c r="CH510" s="100"/>
      <c r="CI510" s="100"/>
      <c r="CJ510" s="100"/>
      <c r="CK510" s="100"/>
      <c r="CL510" s="100"/>
      <c r="CM510" s="100"/>
      <c r="CN510" s="100"/>
      <c r="CO510" s="100"/>
      <c r="CP510" s="100"/>
      <c r="CQ510" s="100"/>
      <c r="CR510" s="100"/>
      <c r="CS510" s="100"/>
      <c r="CT510" s="100"/>
      <c r="CU510" s="100"/>
    </row>
    <row r="511" spans="6:99" s="36" customFormat="1" ht="11.1" customHeight="1" x14ac:dyDescent="0.25">
      <c r="F511" s="33"/>
      <c r="G511" s="33"/>
      <c r="H511" s="33"/>
      <c r="I511" s="34"/>
      <c r="J511" s="34"/>
      <c r="K511" s="14"/>
      <c r="L511" s="32"/>
      <c r="M511" s="14"/>
      <c r="N511" s="14"/>
      <c r="O511" s="2"/>
      <c r="P511"/>
      <c r="Q511" s="2"/>
      <c r="R511"/>
      <c r="S511"/>
      <c r="T511"/>
      <c r="U511" s="2"/>
      <c r="V511" s="2"/>
      <c r="W511" s="2"/>
      <c r="X511" s="2"/>
      <c r="Y511" s="2"/>
      <c r="Z511" s="11"/>
      <c r="AA511" s="15"/>
      <c r="AB511" s="15"/>
      <c r="AC511" s="15"/>
      <c r="AD511" s="35"/>
      <c r="AE511" s="99"/>
      <c r="AF511" s="99"/>
      <c r="AG511" s="35"/>
      <c r="AH511" s="35"/>
      <c r="AI511" s="35"/>
      <c r="AJ511" s="15"/>
      <c r="AK511" s="15"/>
      <c r="AL511" s="15"/>
      <c r="AM511" s="15"/>
      <c r="AN511" s="15"/>
      <c r="AO511" s="15"/>
      <c r="AP511" s="3"/>
      <c r="AQ511" s="3"/>
      <c r="AR511" s="3"/>
      <c r="AS511" s="3"/>
      <c r="AT511" s="50"/>
      <c r="AU511" s="97"/>
      <c r="AV511" s="97"/>
      <c r="AW511" s="97"/>
      <c r="AX511" s="97"/>
      <c r="AY511" s="97"/>
      <c r="BD511" s="35"/>
      <c r="BE511" s="35"/>
      <c r="BV511" s="98"/>
      <c r="BW511" s="98"/>
      <c r="BX511" s="98"/>
      <c r="BY511" s="112"/>
      <c r="BZ511" s="112"/>
      <c r="CA511" s="112"/>
      <c r="CB511" s="98"/>
      <c r="CC511" s="98"/>
      <c r="CD511" s="98"/>
      <c r="CE511" s="98"/>
      <c r="CG511" s="100"/>
      <c r="CH511" s="100"/>
      <c r="CI511" s="100"/>
      <c r="CJ511" s="100"/>
      <c r="CK511" s="100"/>
      <c r="CL511" s="100"/>
      <c r="CM511" s="100"/>
      <c r="CN511" s="100"/>
      <c r="CO511" s="100"/>
      <c r="CP511" s="100"/>
      <c r="CQ511" s="100"/>
      <c r="CR511" s="100"/>
      <c r="CS511" s="100"/>
      <c r="CT511" s="100"/>
      <c r="CU511" s="100"/>
    </row>
    <row r="512" spans="6:99" s="36" customFormat="1" ht="11.1" customHeight="1" x14ac:dyDescent="0.25">
      <c r="F512" s="33"/>
      <c r="G512" s="33"/>
      <c r="H512" s="33"/>
      <c r="I512" s="34"/>
      <c r="J512" s="34"/>
      <c r="K512" s="14"/>
      <c r="L512" s="32"/>
      <c r="M512" s="14"/>
      <c r="N512" s="14"/>
      <c r="O512" s="2"/>
      <c r="P512"/>
      <c r="Q512" s="2"/>
      <c r="R512"/>
      <c r="S512"/>
      <c r="T512"/>
      <c r="U512" s="2"/>
      <c r="V512" s="2"/>
      <c r="W512" s="2"/>
      <c r="X512" s="2"/>
      <c r="Y512" s="2"/>
      <c r="Z512" s="11"/>
      <c r="AA512" s="15"/>
      <c r="AB512" s="15"/>
      <c r="AC512" s="15"/>
      <c r="AD512" s="35"/>
      <c r="AE512" s="99"/>
      <c r="AF512" s="99"/>
      <c r="AG512" s="35"/>
      <c r="AH512" s="35"/>
      <c r="AI512" s="35"/>
      <c r="AJ512" s="15"/>
      <c r="AK512" s="15"/>
      <c r="AL512" s="15"/>
      <c r="AM512" s="15"/>
      <c r="AN512" s="15"/>
      <c r="AO512" s="15"/>
      <c r="AP512" s="3"/>
      <c r="AQ512" s="3"/>
      <c r="AR512" s="3"/>
      <c r="AS512" s="3"/>
      <c r="AT512" s="50"/>
      <c r="AU512" s="97"/>
      <c r="AV512" s="97"/>
      <c r="AW512" s="97"/>
      <c r="AX512" s="97"/>
      <c r="AY512" s="97"/>
      <c r="BD512" s="35"/>
      <c r="BE512" s="35"/>
      <c r="BV512" s="98"/>
      <c r="BW512" s="98"/>
      <c r="BX512" s="98"/>
      <c r="BY512" s="112"/>
      <c r="BZ512" s="112"/>
      <c r="CA512" s="112"/>
      <c r="CB512" s="98"/>
      <c r="CC512" s="98"/>
      <c r="CD512" s="98"/>
      <c r="CE512" s="98"/>
      <c r="CG512" s="100"/>
      <c r="CH512" s="100"/>
      <c r="CI512" s="100"/>
      <c r="CJ512" s="100"/>
      <c r="CK512" s="100"/>
      <c r="CL512" s="100"/>
      <c r="CM512" s="100"/>
      <c r="CN512" s="100"/>
      <c r="CO512" s="100"/>
      <c r="CP512" s="100"/>
      <c r="CQ512" s="100"/>
      <c r="CR512" s="100"/>
      <c r="CS512" s="100"/>
      <c r="CT512" s="100"/>
      <c r="CU512" s="100"/>
    </row>
    <row r="513" spans="6:99" s="36" customFormat="1" ht="11.1" customHeight="1" x14ac:dyDescent="0.25">
      <c r="F513" s="33"/>
      <c r="G513" s="33"/>
      <c r="H513" s="33"/>
      <c r="I513" s="34"/>
      <c r="J513" s="34"/>
      <c r="K513" s="14"/>
      <c r="L513" s="32"/>
      <c r="M513" s="14"/>
      <c r="N513" s="14"/>
      <c r="O513" s="2"/>
      <c r="P513"/>
      <c r="Q513" s="2"/>
      <c r="R513"/>
      <c r="S513"/>
      <c r="T513"/>
      <c r="U513" s="2"/>
      <c r="V513" s="2"/>
      <c r="W513" s="2"/>
      <c r="X513" s="2"/>
      <c r="Y513" s="2"/>
      <c r="Z513" s="11"/>
      <c r="AA513" s="15"/>
      <c r="AB513" s="15"/>
      <c r="AC513" s="15"/>
      <c r="AD513" s="35"/>
      <c r="AE513" s="99"/>
      <c r="AF513" s="99"/>
      <c r="AG513" s="35"/>
      <c r="AH513" s="35"/>
      <c r="AI513" s="35"/>
      <c r="AJ513" s="15"/>
      <c r="AK513" s="15"/>
      <c r="AL513" s="15"/>
      <c r="AM513" s="15"/>
      <c r="AN513" s="15"/>
      <c r="AO513" s="15"/>
      <c r="AP513" s="3"/>
      <c r="AQ513" s="3"/>
      <c r="AR513" s="3"/>
      <c r="AS513" s="3"/>
      <c r="AT513" s="50"/>
      <c r="AU513" s="97"/>
      <c r="AV513" s="97"/>
      <c r="AW513" s="97"/>
      <c r="AX513" s="97"/>
      <c r="AY513" s="97"/>
      <c r="BD513" s="35"/>
      <c r="BE513" s="35"/>
      <c r="BV513" s="98"/>
      <c r="BW513" s="98"/>
      <c r="BX513" s="98"/>
      <c r="BY513" s="112"/>
      <c r="BZ513" s="112"/>
      <c r="CA513" s="112"/>
      <c r="CB513" s="98"/>
      <c r="CC513" s="98"/>
      <c r="CD513" s="98"/>
      <c r="CE513" s="98"/>
      <c r="CG513" s="100"/>
      <c r="CH513" s="100"/>
      <c r="CI513" s="100"/>
      <c r="CJ513" s="100"/>
      <c r="CK513" s="100"/>
      <c r="CL513" s="100"/>
      <c r="CM513" s="100"/>
      <c r="CN513" s="100"/>
      <c r="CO513" s="100"/>
      <c r="CP513" s="100"/>
      <c r="CQ513" s="100"/>
      <c r="CR513" s="100"/>
      <c r="CS513" s="100"/>
      <c r="CT513" s="100"/>
      <c r="CU513" s="100"/>
    </row>
    <row r="514" spans="6:99" s="36" customFormat="1" ht="11.1" customHeight="1" x14ac:dyDescent="0.25">
      <c r="F514" s="33"/>
      <c r="G514" s="33"/>
      <c r="H514" s="33"/>
      <c r="I514" s="34"/>
      <c r="J514" s="34"/>
      <c r="K514" s="14"/>
      <c r="L514" s="32"/>
      <c r="M514" s="14"/>
      <c r="N514" s="14"/>
      <c r="O514" s="2"/>
      <c r="P514"/>
      <c r="Q514" s="2"/>
      <c r="R514"/>
      <c r="S514"/>
      <c r="T514"/>
      <c r="U514" s="2"/>
      <c r="V514" s="2"/>
      <c r="W514" s="2"/>
      <c r="X514" s="2"/>
      <c r="Y514" s="2"/>
      <c r="Z514" s="11"/>
      <c r="AA514" s="15"/>
      <c r="AB514" s="15"/>
      <c r="AC514" s="15"/>
      <c r="AD514" s="35"/>
      <c r="AE514" s="99"/>
      <c r="AF514" s="99"/>
      <c r="AG514" s="35"/>
      <c r="AH514" s="35"/>
      <c r="AI514" s="35"/>
      <c r="AJ514" s="15"/>
      <c r="AK514" s="15"/>
      <c r="AL514" s="15"/>
      <c r="AM514" s="15"/>
      <c r="AN514" s="15"/>
      <c r="AO514" s="15"/>
      <c r="AP514" s="3"/>
      <c r="AQ514" s="3"/>
      <c r="AR514" s="3"/>
      <c r="AS514" s="3"/>
      <c r="AT514" s="50"/>
      <c r="AU514" s="97"/>
      <c r="AV514" s="97"/>
      <c r="AW514" s="97"/>
      <c r="AX514" s="97"/>
      <c r="AY514" s="97"/>
      <c r="BD514" s="35"/>
      <c r="BE514" s="35"/>
      <c r="BV514" s="98"/>
      <c r="BW514" s="98"/>
      <c r="BX514" s="98"/>
      <c r="BY514" s="112"/>
      <c r="BZ514" s="112"/>
      <c r="CA514" s="112"/>
      <c r="CB514" s="98"/>
      <c r="CC514" s="98"/>
      <c r="CD514" s="98"/>
      <c r="CE514" s="98"/>
      <c r="CG514" s="100"/>
      <c r="CH514" s="100"/>
      <c r="CI514" s="100"/>
      <c r="CJ514" s="100"/>
      <c r="CK514" s="100"/>
      <c r="CL514" s="100"/>
      <c r="CM514" s="100"/>
      <c r="CN514" s="100"/>
      <c r="CO514" s="100"/>
      <c r="CP514" s="100"/>
      <c r="CQ514" s="100"/>
      <c r="CR514" s="100"/>
      <c r="CS514" s="100"/>
      <c r="CT514" s="100"/>
      <c r="CU514" s="100"/>
    </row>
    <row r="515" spans="6:99" s="36" customFormat="1" ht="11.1" customHeight="1" x14ac:dyDescent="0.25">
      <c r="F515" s="33"/>
      <c r="G515" s="33"/>
      <c r="H515" s="33"/>
      <c r="I515" s="34"/>
      <c r="J515" s="34"/>
      <c r="K515" s="14"/>
      <c r="L515" s="32"/>
      <c r="M515" s="14"/>
      <c r="N515" s="14"/>
      <c r="O515" s="2"/>
      <c r="P515"/>
      <c r="Q515" s="2"/>
      <c r="R515"/>
      <c r="S515"/>
      <c r="T515"/>
      <c r="U515" s="2"/>
      <c r="V515" s="2"/>
      <c r="W515" s="2"/>
      <c r="X515" s="2"/>
      <c r="Y515" s="2"/>
      <c r="Z515" s="11"/>
      <c r="AA515" s="15"/>
      <c r="AB515" s="15"/>
      <c r="AC515" s="15"/>
      <c r="AD515" s="35"/>
      <c r="AE515" s="99"/>
      <c r="AF515" s="99"/>
      <c r="AG515" s="35"/>
      <c r="AH515" s="35"/>
      <c r="AI515" s="35"/>
      <c r="AJ515" s="15"/>
      <c r="AK515" s="15"/>
      <c r="AL515" s="15"/>
      <c r="AM515" s="15"/>
      <c r="AN515" s="15"/>
      <c r="AO515" s="15"/>
      <c r="AP515" s="3"/>
      <c r="AQ515" s="3"/>
      <c r="AR515" s="3"/>
      <c r="AS515" s="3"/>
      <c r="AT515" s="50"/>
      <c r="AU515" s="97"/>
      <c r="AV515" s="97"/>
      <c r="AW515" s="97"/>
      <c r="AX515" s="97"/>
      <c r="AY515" s="97"/>
      <c r="BD515" s="35"/>
      <c r="BE515" s="35"/>
      <c r="BV515" s="98"/>
      <c r="BW515" s="98"/>
      <c r="BX515" s="98"/>
      <c r="BY515" s="112"/>
      <c r="BZ515" s="112"/>
      <c r="CA515" s="112"/>
      <c r="CB515" s="98"/>
      <c r="CC515" s="98"/>
      <c r="CD515" s="98"/>
      <c r="CE515" s="98"/>
      <c r="CG515" s="100"/>
      <c r="CH515" s="100"/>
      <c r="CI515" s="100"/>
      <c r="CJ515" s="100"/>
      <c r="CK515" s="100"/>
      <c r="CL515" s="100"/>
      <c r="CM515" s="100"/>
      <c r="CN515" s="100"/>
      <c r="CO515" s="100"/>
      <c r="CP515" s="100"/>
      <c r="CQ515" s="100"/>
      <c r="CR515" s="100"/>
      <c r="CS515" s="100"/>
      <c r="CT515" s="100"/>
      <c r="CU515" s="100"/>
    </row>
    <row r="516" spans="6:99" s="36" customFormat="1" ht="11.1" customHeight="1" x14ac:dyDescent="0.25">
      <c r="F516" s="33"/>
      <c r="G516" s="33"/>
      <c r="H516" s="33"/>
      <c r="I516" s="34"/>
      <c r="J516" s="34"/>
      <c r="K516" s="14"/>
      <c r="L516" s="32"/>
      <c r="M516" s="14"/>
      <c r="N516" s="14"/>
      <c r="O516" s="2"/>
      <c r="P516"/>
      <c r="Q516" s="2"/>
      <c r="R516"/>
      <c r="S516"/>
      <c r="T516"/>
      <c r="U516" s="2"/>
      <c r="V516" s="2"/>
      <c r="W516" s="2"/>
      <c r="X516" s="2"/>
      <c r="Y516" s="2"/>
      <c r="Z516" s="11"/>
      <c r="AA516" s="15"/>
      <c r="AB516" s="15"/>
      <c r="AC516" s="15"/>
      <c r="AD516" s="35"/>
      <c r="AE516" s="99"/>
      <c r="AF516" s="99"/>
      <c r="AG516" s="35"/>
      <c r="AH516" s="35"/>
      <c r="AI516" s="35"/>
      <c r="AJ516" s="15"/>
      <c r="AK516" s="15"/>
      <c r="AL516" s="15"/>
      <c r="AM516" s="15"/>
      <c r="AN516" s="15"/>
      <c r="AO516" s="15"/>
      <c r="AP516" s="3"/>
      <c r="AQ516" s="3"/>
      <c r="AR516" s="3"/>
      <c r="AS516" s="3"/>
      <c r="AT516" s="50"/>
      <c r="AU516" s="97"/>
      <c r="AV516" s="97"/>
      <c r="AW516" s="97"/>
      <c r="AX516" s="97"/>
      <c r="AY516" s="97"/>
      <c r="BD516" s="35"/>
      <c r="BE516" s="35"/>
      <c r="BV516" s="98"/>
      <c r="BW516" s="98"/>
      <c r="BX516" s="98"/>
      <c r="BY516" s="112"/>
      <c r="BZ516" s="112"/>
      <c r="CA516" s="112"/>
      <c r="CB516" s="98"/>
      <c r="CC516" s="98"/>
      <c r="CD516" s="98"/>
      <c r="CE516" s="98"/>
      <c r="CG516" s="100"/>
      <c r="CH516" s="100"/>
      <c r="CI516" s="100"/>
      <c r="CJ516" s="100"/>
      <c r="CK516" s="100"/>
      <c r="CL516" s="100"/>
      <c r="CM516" s="100"/>
      <c r="CN516" s="100"/>
      <c r="CO516" s="100"/>
      <c r="CP516" s="100"/>
      <c r="CQ516" s="100"/>
      <c r="CR516" s="100"/>
      <c r="CS516" s="100"/>
      <c r="CT516" s="100"/>
      <c r="CU516" s="100"/>
    </row>
    <row r="517" spans="6:99" s="36" customFormat="1" ht="11.1" customHeight="1" x14ac:dyDescent="0.25">
      <c r="F517" s="33"/>
      <c r="G517" s="33"/>
      <c r="H517" s="33"/>
      <c r="I517" s="34"/>
      <c r="J517" s="34"/>
      <c r="K517" s="14"/>
      <c r="L517" s="32"/>
      <c r="M517" s="14"/>
      <c r="N517" s="14"/>
      <c r="O517" s="2"/>
      <c r="P517"/>
      <c r="Q517" s="2"/>
      <c r="R517"/>
      <c r="S517"/>
      <c r="T517"/>
      <c r="U517" s="2"/>
      <c r="V517" s="2"/>
      <c r="W517" s="2"/>
      <c r="X517" s="2"/>
      <c r="Y517" s="2"/>
      <c r="Z517" s="11"/>
      <c r="AA517" s="15"/>
      <c r="AB517" s="15"/>
      <c r="AC517" s="15"/>
      <c r="AD517" s="35"/>
      <c r="AE517" s="99"/>
      <c r="AF517" s="99"/>
      <c r="AG517" s="35"/>
      <c r="AH517" s="35"/>
      <c r="AI517" s="35"/>
      <c r="AJ517" s="15"/>
      <c r="AK517" s="15"/>
      <c r="AL517" s="15"/>
      <c r="AM517" s="15"/>
      <c r="AN517" s="15"/>
      <c r="AO517" s="15"/>
      <c r="AP517" s="3"/>
      <c r="AQ517" s="3"/>
      <c r="AR517" s="3"/>
      <c r="AS517" s="3"/>
      <c r="AT517" s="50"/>
      <c r="AU517" s="97"/>
      <c r="AV517" s="97"/>
      <c r="AW517" s="97"/>
      <c r="AX517" s="97"/>
      <c r="AY517" s="97"/>
      <c r="BD517" s="35"/>
      <c r="BE517" s="35"/>
      <c r="BV517" s="98"/>
      <c r="BW517" s="98"/>
      <c r="BX517" s="98"/>
      <c r="BY517" s="112"/>
      <c r="BZ517" s="112"/>
      <c r="CA517" s="112"/>
      <c r="CB517" s="98"/>
      <c r="CC517" s="98"/>
      <c r="CD517" s="98"/>
      <c r="CE517" s="98"/>
      <c r="CG517" s="100"/>
      <c r="CH517" s="100"/>
      <c r="CI517" s="100"/>
      <c r="CJ517" s="100"/>
      <c r="CK517" s="100"/>
      <c r="CL517" s="100"/>
      <c r="CM517" s="100"/>
      <c r="CN517" s="100"/>
      <c r="CO517" s="100"/>
      <c r="CP517" s="100"/>
      <c r="CQ517" s="100"/>
      <c r="CR517" s="100"/>
      <c r="CS517" s="100"/>
      <c r="CT517" s="100"/>
      <c r="CU517" s="100"/>
    </row>
    <row r="518" spans="6:99" s="36" customFormat="1" ht="11.1" customHeight="1" x14ac:dyDescent="0.25">
      <c r="F518" s="33"/>
      <c r="G518" s="33"/>
      <c r="H518" s="33"/>
      <c r="I518" s="34"/>
      <c r="J518" s="34"/>
      <c r="K518" s="14"/>
      <c r="L518" s="32"/>
      <c r="M518" s="14"/>
      <c r="N518" s="14"/>
      <c r="O518" s="2"/>
      <c r="P518"/>
      <c r="Q518" s="2"/>
      <c r="R518"/>
      <c r="S518"/>
      <c r="T518"/>
      <c r="U518" s="2"/>
      <c r="V518" s="2"/>
      <c r="W518" s="2"/>
      <c r="X518" s="2"/>
      <c r="Y518" s="2"/>
      <c r="Z518" s="11"/>
      <c r="AA518" s="15"/>
      <c r="AB518" s="15"/>
      <c r="AC518" s="15"/>
      <c r="AD518" s="35"/>
      <c r="AE518" s="99"/>
      <c r="AF518" s="99"/>
      <c r="AG518" s="35"/>
      <c r="AH518" s="35"/>
      <c r="AI518" s="35"/>
      <c r="AJ518" s="15"/>
      <c r="AK518" s="15"/>
      <c r="AL518" s="15"/>
      <c r="AM518" s="15"/>
      <c r="AN518" s="15"/>
      <c r="AO518" s="15"/>
      <c r="AP518" s="3"/>
      <c r="AQ518" s="3"/>
      <c r="AR518" s="3"/>
      <c r="AS518" s="3"/>
      <c r="AT518" s="50"/>
      <c r="AU518" s="97"/>
      <c r="AV518" s="97"/>
      <c r="AW518" s="97"/>
      <c r="AX518" s="97"/>
      <c r="AY518" s="97"/>
      <c r="BD518" s="35"/>
      <c r="BE518" s="35"/>
      <c r="BV518" s="98"/>
      <c r="BW518" s="98"/>
      <c r="BX518" s="98"/>
      <c r="BY518" s="112"/>
      <c r="BZ518" s="112"/>
      <c r="CA518" s="112"/>
      <c r="CB518" s="98"/>
      <c r="CC518" s="98"/>
      <c r="CD518" s="98"/>
      <c r="CE518" s="98"/>
      <c r="CG518" s="100"/>
      <c r="CH518" s="100"/>
      <c r="CI518" s="100"/>
      <c r="CJ518" s="100"/>
      <c r="CK518" s="100"/>
      <c r="CL518" s="100"/>
      <c r="CM518" s="100"/>
      <c r="CN518" s="100"/>
      <c r="CO518" s="100"/>
      <c r="CP518" s="100"/>
      <c r="CQ518" s="100"/>
      <c r="CR518" s="100"/>
      <c r="CS518" s="100"/>
      <c r="CT518" s="100"/>
      <c r="CU518" s="100"/>
    </row>
    <row r="519" spans="6:99" s="36" customFormat="1" ht="11.1" customHeight="1" x14ac:dyDescent="0.25">
      <c r="F519" s="33"/>
      <c r="G519" s="33"/>
      <c r="H519" s="33"/>
      <c r="I519" s="34"/>
      <c r="J519" s="34"/>
      <c r="K519" s="14"/>
      <c r="L519" s="32"/>
      <c r="M519" s="14"/>
      <c r="N519" s="14"/>
      <c r="O519" s="2"/>
      <c r="P519"/>
      <c r="Q519" s="2"/>
      <c r="R519"/>
      <c r="S519"/>
      <c r="T519"/>
      <c r="U519" s="2"/>
      <c r="V519" s="2"/>
      <c r="W519" s="2"/>
      <c r="X519" s="2"/>
      <c r="Y519" s="2"/>
      <c r="Z519" s="11"/>
      <c r="AA519" s="15"/>
      <c r="AB519" s="15"/>
      <c r="AC519" s="15"/>
      <c r="AD519" s="35"/>
      <c r="AE519" s="99"/>
      <c r="AF519" s="99"/>
      <c r="AG519" s="35"/>
      <c r="AH519" s="35"/>
      <c r="AI519" s="35"/>
      <c r="AJ519" s="15"/>
      <c r="AK519" s="15"/>
      <c r="AL519" s="15"/>
      <c r="AM519" s="15"/>
      <c r="AN519" s="15"/>
      <c r="AO519" s="15"/>
      <c r="AP519" s="3"/>
      <c r="AQ519" s="3"/>
      <c r="AR519" s="3"/>
      <c r="AS519" s="3"/>
      <c r="AT519" s="50"/>
      <c r="AU519" s="97"/>
      <c r="AV519" s="97"/>
      <c r="AW519" s="97"/>
      <c r="AX519" s="97"/>
      <c r="AY519" s="97"/>
      <c r="BD519" s="35"/>
      <c r="BE519" s="35"/>
      <c r="BV519" s="98"/>
      <c r="BW519" s="98"/>
      <c r="BX519" s="98"/>
      <c r="BY519" s="112"/>
      <c r="BZ519" s="112"/>
      <c r="CA519" s="112"/>
      <c r="CB519" s="98"/>
      <c r="CC519" s="98"/>
      <c r="CD519" s="98"/>
      <c r="CE519" s="98"/>
      <c r="CG519" s="100"/>
      <c r="CH519" s="100"/>
      <c r="CI519" s="100"/>
      <c r="CJ519" s="100"/>
      <c r="CK519" s="100"/>
      <c r="CL519" s="100"/>
      <c r="CM519" s="100"/>
      <c r="CN519" s="100"/>
      <c r="CO519" s="100"/>
      <c r="CP519" s="100"/>
      <c r="CQ519" s="100"/>
      <c r="CR519" s="100"/>
      <c r="CS519" s="100"/>
      <c r="CT519" s="100"/>
      <c r="CU519" s="100"/>
    </row>
    <row r="520" spans="6:99" s="36" customFormat="1" ht="11.1" customHeight="1" x14ac:dyDescent="0.25">
      <c r="F520" s="33"/>
      <c r="G520" s="33"/>
      <c r="H520" s="33"/>
      <c r="I520" s="34"/>
      <c r="J520" s="34"/>
      <c r="K520" s="14"/>
      <c r="L520" s="32"/>
      <c r="M520" s="14"/>
      <c r="N520" s="14"/>
      <c r="O520" s="2"/>
      <c r="P520"/>
      <c r="Q520" s="2"/>
      <c r="R520"/>
      <c r="S520"/>
      <c r="T520"/>
      <c r="U520" s="2"/>
      <c r="V520" s="2"/>
      <c r="W520" s="2"/>
      <c r="X520" s="2"/>
      <c r="Y520" s="2"/>
      <c r="Z520" s="11"/>
      <c r="AA520" s="15"/>
      <c r="AB520" s="15"/>
      <c r="AC520" s="15"/>
      <c r="AD520" s="35"/>
      <c r="AE520" s="99"/>
      <c r="AF520" s="99"/>
      <c r="AG520" s="35"/>
      <c r="AH520" s="35"/>
      <c r="AI520" s="35"/>
      <c r="AJ520" s="15"/>
      <c r="AK520" s="15"/>
      <c r="AL520" s="15"/>
      <c r="AM520" s="15"/>
      <c r="AN520" s="15"/>
      <c r="AO520" s="15"/>
      <c r="AP520" s="3"/>
      <c r="AQ520" s="3"/>
      <c r="AR520" s="3"/>
      <c r="AS520" s="3"/>
      <c r="AT520" s="50"/>
      <c r="AU520" s="97"/>
      <c r="AV520" s="97"/>
      <c r="AW520" s="97"/>
      <c r="AX520" s="97"/>
      <c r="AY520" s="97"/>
      <c r="BD520" s="35"/>
      <c r="BE520" s="35"/>
      <c r="BV520" s="98"/>
      <c r="BW520" s="98"/>
      <c r="BX520" s="98"/>
      <c r="BY520" s="112"/>
      <c r="BZ520" s="112"/>
      <c r="CA520" s="112"/>
      <c r="CB520" s="98"/>
      <c r="CC520" s="98"/>
      <c r="CD520" s="98"/>
      <c r="CE520" s="98"/>
      <c r="CG520" s="100"/>
      <c r="CH520" s="100"/>
      <c r="CI520" s="100"/>
      <c r="CJ520" s="100"/>
      <c r="CK520" s="100"/>
      <c r="CL520" s="100"/>
      <c r="CM520" s="100"/>
      <c r="CN520" s="100"/>
      <c r="CO520" s="100"/>
      <c r="CP520" s="100"/>
      <c r="CQ520" s="100"/>
      <c r="CR520" s="100"/>
      <c r="CS520" s="100"/>
      <c r="CT520" s="100"/>
      <c r="CU520" s="100"/>
    </row>
    <row r="521" spans="6:99" s="36" customFormat="1" ht="11.1" customHeight="1" x14ac:dyDescent="0.25">
      <c r="F521" s="33"/>
      <c r="G521" s="33"/>
      <c r="H521" s="33"/>
      <c r="I521" s="34"/>
      <c r="J521" s="34"/>
      <c r="K521" s="14"/>
      <c r="L521" s="32"/>
      <c r="M521" s="14"/>
      <c r="N521" s="14"/>
      <c r="O521" s="2"/>
      <c r="P521"/>
      <c r="Q521" s="2"/>
      <c r="R521"/>
      <c r="S521"/>
      <c r="T521"/>
      <c r="U521" s="2"/>
      <c r="V521" s="2"/>
      <c r="W521" s="2"/>
      <c r="X521" s="2"/>
      <c r="Y521" s="2"/>
      <c r="Z521" s="11"/>
      <c r="AA521" s="15"/>
      <c r="AB521" s="15"/>
      <c r="AC521" s="15"/>
      <c r="AD521" s="35"/>
      <c r="AE521" s="99"/>
      <c r="AF521" s="99"/>
      <c r="AG521" s="35"/>
      <c r="AH521" s="35"/>
      <c r="AI521" s="35"/>
      <c r="AJ521" s="1"/>
      <c r="AK521" s="1"/>
      <c r="AL521" s="1"/>
      <c r="AM521" s="1"/>
      <c r="AN521" s="1"/>
      <c r="AO521" s="1"/>
      <c r="AP521"/>
      <c r="AQ521"/>
      <c r="AR521"/>
      <c r="AS521"/>
      <c r="AT521" s="50"/>
      <c r="AU521" s="97"/>
      <c r="AV521" s="97"/>
      <c r="AW521" s="97"/>
      <c r="AX521" s="97"/>
      <c r="AY521" s="97"/>
      <c r="BD521" s="35"/>
      <c r="BE521" s="35"/>
      <c r="BV521" s="98"/>
      <c r="BW521" s="98"/>
      <c r="BX521" s="98"/>
      <c r="BY521" s="112"/>
      <c r="BZ521" s="112"/>
      <c r="CA521" s="112"/>
      <c r="CB521" s="98"/>
      <c r="CC521" s="98"/>
      <c r="CD521" s="98"/>
      <c r="CE521" s="98"/>
      <c r="CG521" s="100"/>
      <c r="CH521" s="100"/>
      <c r="CI521" s="100"/>
      <c r="CJ521" s="100"/>
      <c r="CK521" s="100"/>
      <c r="CL521" s="100"/>
      <c r="CM521" s="100"/>
      <c r="CN521" s="100"/>
      <c r="CO521" s="100"/>
      <c r="CP521" s="100"/>
      <c r="CQ521" s="100"/>
      <c r="CR521" s="100"/>
      <c r="CS521" s="100"/>
      <c r="CT521" s="100"/>
      <c r="CU521" s="100"/>
    </row>
    <row r="522" spans="6:99" s="36" customFormat="1" ht="11.1" customHeight="1" x14ac:dyDescent="0.25">
      <c r="F522" s="33"/>
      <c r="G522" s="33"/>
      <c r="H522" s="33"/>
      <c r="I522" s="34"/>
      <c r="J522" s="34"/>
      <c r="K522" s="14"/>
      <c r="L522" s="32"/>
      <c r="M522" s="14"/>
      <c r="N522" s="14"/>
      <c r="O522" s="2"/>
      <c r="P522"/>
      <c r="Q522" s="2"/>
      <c r="R522"/>
      <c r="S522"/>
      <c r="T522"/>
      <c r="U522" s="2"/>
      <c r="V522" s="2"/>
      <c r="W522" s="2"/>
      <c r="X522" s="2"/>
      <c r="Y522" s="2"/>
      <c r="Z522" s="11"/>
      <c r="AA522" s="15"/>
      <c r="AB522" s="15"/>
      <c r="AC522" s="15"/>
      <c r="AD522" s="35"/>
      <c r="AE522" s="99"/>
      <c r="AF522" s="99"/>
      <c r="AG522" s="35"/>
      <c r="AH522" s="35"/>
      <c r="AI522" s="35"/>
      <c r="AJ522" s="1"/>
      <c r="AK522" s="1"/>
      <c r="AL522" s="1"/>
      <c r="AM522" s="1"/>
      <c r="AN522" s="1"/>
      <c r="AO522" s="1"/>
      <c r="AP522"/>
      <c r="AQ522"/>
      <c r="AR522"/>
      <c r="AS522"/>
      <c r="AT522" s="50"/>
      <c r="AU522" s="97"/>
      <c r="AV522" s="97"/>
      <c r="AW522" s="97"/>
      <c r="AX522" s="97"/>
      <c r="AY522" s="97"/>
      <c r="BD522" s="35"/>
      <c r="BE522" s="35"/>
      <c r="BV522" s="98"/>
      <c r="BW522" s="98"/>
      <c r="BX522" s="98"/>
      <c r="BY522" s="112"/>
      <c r="BZ522" s="112"/>
      <c r="CA522" s="112"/>
      <c r="CB522" s="98"/>
      <c r="CC522" s="98"/>
      <c r="CD522" s="98"/>
      <c r="CE522" s="98"/>
      <c r="CG522" s="100"/>
      <c r="CH522" s="100"/>
      <c r="CI522" s="100"/>
      <c r="CJ522" s="100"/>
      <c r="CK522" s="100"/>
      <c r="CL522" s="100"/>
      <c r="CM522" s="100"/>
      <c r="CN522" s="100"/>
      <c r="CO522" s="100"/>
      <c r="CP522" s="100"/>
      <c r="CQ522" s="100"/>
      <c r="CR522" s="100"/>
      <c r="CS522" s="100"/>
      <c r="CT522" s="100"/>
      <c r="CU522" s="100"/>
    </row>
    <row r="523" spans="6:99" s="36" customFormat="1" ht="11.1" customHeight="1" x14ac:dyDescent="0.25">
      <c r="F523" s="33"/>
      <c r="G523" s="33"/>
      <c r="H523" s="33"/>
      <c r="I523" s="34"/>
      <c r="J523" s="34"/>
      <c r="K523" s="14"/>
      <c r="L523" s="32"/>
      <c r="M523" s="14"/>
      <c r="N523" s="14"/>
      <c r="O523" s="2"/>
      <c r="P523"/>
      <c r="Q523" s="2"/>
      <c r="R523"/>
      <c r="S523"/>
      <c r="T523"/>
      <c r="U523" s="2"/>
      <c r="V523" s="2"/>
      <c r="W523" s="2"/>
      <c r="X523" s="2"/>
      <c r="Y523" s="2"/>
      <c r="Z523" s="11"/>
      <c r="AA523" s="15"/>
      <c r="AB523" s="15"/>
      <c r="AC523" s="15"/>
      <c r="AD523" s="35"/>
      <c r="AE523" s="99"/>
      <c r="AF523" s="99"/>
      <c r="AG523" s="35"/>
      <c r="AH523" s="35"/>
      <c r="AI523" s="35"/>
      <c r="AJ523" s="1"/>
      <c r="AK523" s="1"/>
      <c r="AL523" s="1"/>
      <c r="AM523" s="1"/>
      <c r="AN523" s="1"/>
      <c r="AO523" s="1"/>
      <c r="AP523"/>
      <c r="AQ523"/>
      <c r="AR523"/>
      <c r="AS523"/>
      <c r="AT523" s="50"/>
      <c r="AU523" s="97"/>
      <c r="AV523" s="97"/>
      <c r="AW523" s="97"/>
      <c r="AX523" s="97"/>
      <c r="AY523" s="97"/>
      <c r="BD523" s="35"/>
      <c r="BE523" s="35"/>
      <c r="BV523" s="98"/>
      <c r="BW523" s="98"/>
      <c r="BX523" s="98"/>
      <c r="BY523" s="112"/>
      <c r="BZ523" s="112"/>
      <c r="CA523" s="112"/>
      <c r="CB523" s="98"/>
      <c r="CC523" s="98"/>
      <c r="CD523" s="98"/>
      <c r="CE523" s="98"/>
      <c r="CG523" s="100"/>
      <c r="CH523" s="100"/>
      <c r="CI523" s="100"/>
      <c r="CJ523" s="100"/>
      <c r="CK523" s="100"/>
      <c r="CL523" s="100"/>
      <c r="CM523" s="100"/>
      <c r="CN523" s="100"/>
      <c r="CO523" s="100"/>
      <c r="CP523" s="100"/>
      <c r="CQ523" s="100"/>
      <c r="CR523" s="100"/>
      <c r="CS523" s="100"/>
      <c r="CT523" s="100"/>
      <c r="CU523" s="100"/>
    </row>
    <row r="524" spans="6:99" s="36" customFormat="1" ht="11.1" customHeight="1" x14ac:dyDescent="0.25">
      <c r="F524" s="33"/>
      <c r="G524" s="33"/>
      <c r="H524" s="33"/>
      <c r="I524" s="34"/>
      <c r="J524" s="34"/>
      <c r="K524" s="14"/>
      <c r="L524" s="32"/>
      <c r="M524" s="14"/>
      <c r="N524" s="14"/>
      <c r="O524" s="2"/>
      <c r="P524"/>
      <c r="Q524" s="2"/>
      <c r="R524"/>
      <c r="S524"/>
      <c r="T524"/>
      <c r="U524" s="2"/>
      <c r="V524" s="2"/>
      <c r="W524" s="2"/>
      <c r="X524" s="2"/>
      <c r="Y524" s="2"/>
      <c r="Z524" s="11"/>
      <c r="AA524" s="15"/>
      <c r="AB524" s="15"/>
      <c r="AC524" s="15"/>
      <c r="AD524" s="35"/>
      <c r="AE524" s="99"/>
      <c r="AF524" s="99"/>
      <c r="AG524" s="35"/>
      <c r="AH524" s="35"/>
      <c r="AI524" s="35"/>
      <c r="AJ524" s="1"/>
      <c r="AK524" s="1"/>
      <c r="AL524" s="1"/>
      <c r="AM524" s="1"/>
      <c r="AN524" s="1"/>
      <c r="AO524" s="1"/>
      <c r="AP524"/>
      <c r="AQ524"/>
      <c r="AR524"/>
      <c r="AS524"/>
      <c r="AT524" s="50"/>
      <c r="AU524" s="97"/>
      <c r="AV524" s="97"/>
      <c r="AW524" s="97"/>
      <c r="AX524" s="97"/>
      <c r="AY524" s="97"/>
      <c r="BD524" s="35"/>
      <c r="BE524" s="35"/>
      <c r="BV524" s="98"/>
      <c r="BW524" s="98"/>
      <c r="BX524" s="98"/>
      <c r="BY524" s="112"/>
      <c r="BZ524" s="112"/>
      <c r="CA524" s="112"/>
      <c r="CB524" s="98"/>
      <c r="CC524" s="98"/>
      <c r="CD524" s="98"/>
      <c r="CE524" s="98"/>
      <c r="CG524" s="100"/>
      <c r="CH524" s="100"/>
      <c r="CI524" s="100"/>
      <c r="CJ524" s="100"/>
      <c r="CK524" s="100"/>
      <c r="CL524" s="100"/>
      <c r="CM524" s="100"/>
      <c r="CN524" s="100"/>
      <c r="CO524" s="100"/>
      <c r="CP524" s="100"/>
      <c r="CQ524" s="100"/>
      <c r="CR524" s="100"/>
      <c r="CS524" s="100"/>
      <c r="CT524" s="100"/>
      <c r="CU524" s="100"/>
    </row>
    <row r="525" spans="6:99" s="36" customFormat="1" ht="11.1" customHeight="1" x14ac:dyDescent="0.25">
      <c r="F525" s="33"/>
      <c r="G525" s="33"/>
      <c r="H525" s="33"/>
      <c r="I525" s="34"/>
      <c r="J525" s="34"/>
      <c r="K525" s="14"/>
      <c r="L525" s="32"/>
      <c r="M525" s="14"/>
      <c r="N525" s="14"/>
      <c r="O525" s="2"/>
      <c r="P525"/>
      <c r="Q525" s="2"/>
      <c r="R525"/>
      <c r="S525"/>
      <c r="T525"/>
      <c r="U525" s="2"/>
      <c r="V525" s="2"/>
      <c r="W525" s="2"/>
      <c r="X525" s="2"/>
      <c r="Y525" s="2"/>
      <c r="Z525" s="11"/>
      <c r="AA525" s="15"/>
      <c r="AB525" s="15"/>
      <c r="AC525" s="15"/>
      <c r="AD525" s="35"/>
      <c r="AE525" s="99"/>
      <c r="AF525" s="99"/>
      <c r="AG525" s="35"/>
      <c r="AH525" s="35"/>
      <c r="AI525" s="35"/>
      <c r="AJ525" s="1"/>
      <c r="AK525" s="1"/>
      <c r="AL525" s="1"/>
      <c r="AM525" s="1"/>
      <c r="AN525" s="1"/>
      <c r="AO525" s="1"/>
      <c r="AP525"/>
      <c r="AQ525"/>
      <c r="AR525"/>
      <c r="AS525"/>
      <c r="AT525" s="50"/>
      <c r="AU525" s="97"/>
      <c r="AV525" s="97"/>
      <c r="AW525" s="97"/>
      <c r="AX525" s="97"/>
      <c r="AY525" s="97"/>
      <c r="BD525" s="35"/>
      <c r="BE525" s="35"/>
      <c r="BV525" s="98"/>
      <c r="BW525" s="98"/>
      <c r="BX525" s="98"/>
      <c r="BY525" s="112"/>
      <c r="BZ525" s="112"/>
      <c r="CA525" s="112"/>
      <c r="CB525" s="98"/>
      <c r="CC525" s="98"/>
      <c r="CD525" s="98"/>
      <c r="CE525" s="98"/>
      <c r="CG525" s="100"/>
      <c r="CH525" s="100"/>
      <c r="CI525" s="100"/>
      <c r="CJ525" s="100"/>
      <c r="CK525" s="100"/>
      <c r="CL525" s="100"/>
      <c r="CM525" s="100"/>
      <c r="CN525" s="100"/>
      <c r="CO525" s="100"/>
      <c r="CP525" s="100"/>
      <c r="CQ525" s="100"/>
      <c r="CR525" s="100"/>
      <c r="CS525" s="100"/>
      <c r="CT525" s="100"/>
      <c r="CU525" s="100"/>
    </row>
    <row r="526" spans="6:99" s="36" customFormat="1" ht="11.1" customHeight="1" x14ac:dyDescent="0.25">
      <c r="F526" s="33"/>
      <c r="G526" s="33"/>
      <c r="H526" s="33"/>
      <c r="I526" s="34"/>
      <c r="J526" s="34"/>
      <c r="K526" s="14"/>
      <c r="L526" s="32"/>
      <c r="M526" s="14"/>
      <c r="N526" s="14"/>
      <c r="O526" s="2"/>
      <c r="P526"/>
      <c r="Q526" s="2"/>
      <c r="R526"/>
      <c r="S526"/>
      <c r="T526"/>
      <c r="U526" s="2"/>
      <c r="V526" s="2"/>
      <c r="W526" s="2"/>
      <c r="X526" s="2"/>
      <c r="Y526" s="2"/>
      <c r="Z526" s="11"/>
      <c r="AA526" s="15"/>
      <c r="AB526" s="15"/>
      <c r="AC526" s="15"/>
      <c r="AD526" s="35"/>
      <c r="AE526" s="99"/>
      <c r="AF526" s="99"/>
      <c r="AG526" s="35"/>
      <c r="AH526" s="35"/>
      <c r="AI526" s="35"/>
      <c r="AJ526" s="1"/>
      <c r="AK526" s="1"/>
      <c r="AL526" s="1"/>
      <c r="AM526" s="1"/>
      <c r="AN526" s="1"/>
      <c r="AO526" s="1"/>
      <c r="AP526"/>
      <c r="AQ526"/>
      <c r="AR526"/>
      <c r="AS526"/>
      <c r="AT526" s="50"/>
      <c r="AU526" s="97"/>
      <c r="AV526" s="97"/>
      <c r="AW526" s="97"/>
      <c r="AX526" s="97"/>
      <c r="AY526" s="97"/>
      <c r="BD526" s="35"/>
      <c r="BE526" s="35"/>
      <c r="BV526" s="98"/>
      <c r="BW526" s="98"/>
      <c r="BX526" s="98"/>
      <c r="BY526" s="112"/>
      <c r="BZ526" s="112"/>
      <c r="CA526" s="112"/>
      <c r="CB526" s="98"/>
      <c r="CC526" s="98"/>
      <c r="CD526" s="98"/>
      <c r="CE526" s="98"/>
      <c r="CG526" s="100"/>
      <c r="CH526" s="100"/>
      <c r="CI526" s="100"/>
      <c r="CJ526" s="100"/>
      <c r="CK526" s="100"/>
      <c r="CL526" s="100"/>
      <c r="CM526" s="100"/>
      <c r="CN526" s="100"/>
      <c r="CO526" s="100"/>
      <c r="CP526" s="100"/>
      <c r="CQ526" s="100"/>
      <c r="CR526" s="100"/>
      <c r="CS526" s="100"/>
      <c r="CT526" s="100"/>
      <c r="CU526" s="100"/>
    </row>
    <row r="527" spans="6:99" s="36" customFormat="1" ht="11.1" customHeight="1" x14ac:dyDescent="0.25">
      <c r="F527" s="33"/>
      <c r="G527" s="33"/>
      <c r="H527" s="33"/>
      <c r="I527" s="34"/>
      <c r="J527" s="34"/>
      <c r="K527" s="14"/>
      <c r="L527" s="32"/>
      <c r="M527" s="14"/>
      <c r="N527" s="14"/>
      <c r="O527" s="2"/>
      <c r="P527"/>
      <c r="Q527" s="2"/>
      <c r="R527"/>
      <c r="S527"/>
      <c r="T527"/>
      <c r="U527" s="2"/>
      <c r="V527" s="2"/>
      <c r="W527" s="2"/>
      <c r="X527" s="2"/>
      <c r="Y527" s="2"/>
      <c r="Z527" s="11"/>
      <c r="AA527" s="15"/>
      <c r="AB527" s="15"/>
      <c r="AC527" s="15"/>
      <c r="AD527" s="35"/>
      <c r="AE527" s="99"/>
      <c r="AF527" s="99"/>
      <c r="AG527" s="35"/>
      <c r="AH527" s="35"/>
      <c r="AI527" s="35"/>
      <c r="AJ527" s="1"/>
      <c r="AK527" s="1"/>
      <c r="AL527" s="1"/>
      <c r="AM527" s="1"/>
      <c r="AN527" s="1"/>
      <c r="AO527" s="1"/>
      <c r="AP527"/>
      <c r="AQ527"/>
      <c r="AR527"/>
      <c r="AS527"/>
      <c r="AT527" s="50"/>
      <c r="AU527" s="97"/>
      <c r="AV527" s="97"/>
      <c r="AW527" s="97"/>
      <c r="AX527" s="97"/>
      <c r="AY527" s="97"/>
      <c r="BD527" s="35"/>
      <c r="BE527" s="35"/>
      <c r="BV527" s="98"/>
      <c r="BW527" s="98"/>
      <c r="BX527" s="98"/>
      <c r="BY527" s="112"/>
      <c r="BZ527" s="112"/>
      <c r="CA527" s="112"/>
      <c r="CB527" s="98"/>
      <c r="CC527" s="98"/>
      <c r="CD527" s="98"/>
      <c r="CE527" s="98"/>
      <c r="CG527" s="100"/>
      <c r="CH527" s="100"/>
      <c r="CI527" s="100"/>
      <c r="CJ527" s="100"/>
      <c r="CK527" s="100"/>
      <c r="CL527" s="100"/>
      <c r="CM527" s="100"/>
      <c r="CN527" s="100"/>
      <c r="CO527" s="100"/>
      <c r="CP527" s="100"/>
      <c r="CQ527" s="100"/>
      <c r="CR527" s="100"/>
      <c r="CS527" s="100"/>
      <c r="CT527" s="100"/>
      <c r="CU527" s="100"/>
    </row>
    <row r="528" spans="6:99" s="36" customFormat="1" ht="11.1" customHeight="1" x14ac:dyDescent="0.25">
      <c r="F528" s="33"/>
      <c r="G528" s="33"/>
      <c r="H528" s="33"/>
      <c r="I528" s="34"/>
      <c r="J528" s="34"/>
      <c r="K528" s="14"/>
      <c r="L528" s="32"/>
      <c r="M528" s="14"/>
      <c r="N528" s="14"/>
      <c r="O528" s="2"/>
      <c r="P528"/>
      <c r="Q528" s="2"/>
      <c r="R528"/>
      <c r="S528"/>
      <c r="T528"/>
      <c r="U528" s="2"/>
      <c r="V528" s="2"/>
      <c r="W528" s="2"/>
      <c r="X528" s="2"/>
      <c r="Y528" s="2"/>
      <c r="Z528" s="11"/>
      <c r="AA528" s="15"/>
      <c r="AB528" s="15"/>
      <c r="AC528" s="15"/>
      <c r="AD528" s="35"/>
      <c r="AE528" s="99"/>
      <c r="AF528" s="99"/>
      <c r="AG528" s="35"/>
      <c r="AH528" s="35"/>
      <c r="AI528" s="35"/>
      <c r="AJ528" s="1"/>
      <c r="AK528" s="1"/>
      <c r="AL528" s="1"/>
      <c r="AM528" s="1"/>
      <c r="AN528" s="1"/>
      <c r="AO528" s="1"/>
      <c r="AP528"/>
      <c r="AQ528"/>
      <c r="AR528"/>
      <c r="AS528"/>
      <c r="AT528" s="50"/>
      <c r="AU528" s="97"/>
      <c r="AV528" s="97"/>
      <c r="AW528" s="97"/>
      <c r="AX528" s="97"/>
      <c r="AY528" s="97"/>
      <c r="BD528" s="35"/>
      <c r="BE528" s="35"/>
      <c r="BV528" s="98"/>
      <c r="BW528" s="98"/>
      <c r="BX528" s="98"/>
      <c r="BY528" s="112"/>
      <c r="BZ528" s="112"/>
      <c r="CA528" s="112"/>
      <c r="CB528" s="98"/>
      <c r="CC528" s="98"/>
      <c r="CD528" s="98"/>
      <c r="CE528" s="98"/>
      <c r="CG528" s="100"/>
      <c r="CH528" s="100"/>
      <c r="CI528" s="100"/>
      <c r="CJ528" s="100"/>
      <c r="CK528" s="100"/>
      <c r="CL528" s="100"/>
      <c r="CM528" s="100"/>
      <c r="CN528" s="100"/>
      <c r="CO528" s="100"/>
      <c r="CP528" s="100"/>
      <c r="CQ528" s="100"/>
      <c r="CR528" s="100"/>
      <c r="CS528" s="100"/>
      <c r="CT528" s="100"/>
      <c r="CU528" s="100"/>
    </row>
    <row r="529" spans="6:99" s="36" customFormat="1" ht="11.1" customHeight="1" x14ac:dyDescent="0.25">
      <c r="F529" s="33"/>
      <c r="G529" s="33"/>
      <c r="H529" s="33"/>
      <c r="I529" s="34"/>
      <c r="J529" s="34"/>
      <c r="K529" s="14"/>
      <c r="L529" s="32"/>
      <c r="M529" s="14"/>
      <c r="N529" s="14"/>
      <c r="O529" s="2"/>
      <c r="P529"/>
      <c r="Q529" s="2"/>
      <c r="R529"/>
      <c r="S529"/>
      <c r="T529"/>
      <c r="U529" s="2"/>
      <c r="V529" s="2"/>
      <c r="W529" s="2"/>
      <c r="X529" s="2"/>
      <c r="Y529" s="2"/>
      <c r="Z529" s="11"/>
      <c r="AA529" s="15"/>
      <c r="AB529" s="15"/>
      <c r="AC529" s="15"/>
      <c r="AD529" s="35"/>
      <c r="AE529" s="99"/>
      <c r="AF529" s="99"/>
      <c r="AG529" s="35"/>
      <c r="AH529" s="35"/>
      <c r="AI529" s="35"/>
      <c r="AJ529" s="1"/>
      <c r="AK529" s="1"/>
      <c r="AL529" s="1"/>
      <c r="AM529" s="1"/>
      <c r="AN529" s="1"/>
      <c r="AO529" s="1"/>
      <c r="AP529"/>
      <c r="AQ529"/>
      <c r="AR529"/>
      <c r="AS529"/>
      <c r="AT529" s="50"/>
      <c r="AU529" s="97"/>
      <c r="AV529" s="97"/>
      <c r="AW529" s="97"/>
      <c r="AX529" s="97"/>
      <c r="AY529" s="97"/>
      <c r="BD529" s="35"/>
      <c r="BE529" s="35"/>
      <c r="BV529" s="98"/>
      <c r="BW529" s="98"/>
      <c r="BX529" s="98"/>
      <c r="BY529" s="112"/>
      <c r="BZ529" s="112"/>
      <c r="CA529" s="112"/>
      <c r="CB529" s="98"/>
      <c r="CC529" s="98"/>
      <c r="CD529" s="98"/>
      <c r="CE529" s="98"/>
      <c r="CG529" s="100"/>
      <c r="CH529" s="100"/>
      <c r="CI529" s="100"/>
      <c r="CJ529" s="100"/>
      <c r="CK529" s="100"/>
      <c r="CL529" s="100"/>
      <c r="CM529" s="100"/>
      <c r="CN529" s="100"/>
      <c r="CO529" s="100"/>
      <c r="CP529" s="100"/>
      <c r="CQ529" s="100"/>
      <c r="CR529" s="100"/>
      <c r="CS529" s="100"/>
      <c r="CT529" s="100"/>
      <c r="CU529" s="100"/>
    </row>
    <row r="530" spans="6:99" s="36" customFormat="1" ht="11.1" customHeight="1" x14ac:dyDescent="0.25">
      <c r="F530" s="33"/>
      <c r="G530" s="33"/>
      <c r="H530" s="33"/>
      <c r="I530" s="34"/>
      <c r="J530" s="34"/>
      <c r="K530" s="14"/>
      <c r="L530" s="32"/>
      <c r="M530" s="14"/>
      <c r="N530" s="14"/>
      <c r="O530" s="2"/>
      <c r="P530"/>
      <c r="Q530" s="2"/>
      <c r="R530"/>
      <c r="S530"/>
      <c r="T530"/>
      <c r="U530" s="2"/>
      <c r="V530" s="2"/>
      <c r="W530" s="2"/>
      <c r="X530" s="2"/>
      <c r="Y530" s="2"/>
      <c r="Z530" s="11"/>
      <c r="AA530" s="15"/>
      <c r="AB530" s="15"/>
      <c r="AC530" s="15"/>
      <c r="AD530" s="35"/>
      <c r="AE530" s="99"/>
      <c r="AF530" s="99"/>
      <c r="AG530" s="35"/>
      <c r="AH530" s="35"/>
      <c r="AI530" s="35"/>
      <c r="AJ530" s="1"/>
      <c r="AK530" s="1"/>
      <c r="AL530" s="1"/>
      <c r="AM530" s="1"/>
      <c r="AN530" s="1"/>
      <c r="AO530" s="1"/>
      <c r="AP530"/>
      <c r="AQ530"/>
      <c r="AR530"/>
      <c r="AS530"/>
      <c r="AT530" s="50"/>
      <c r="AU530" s="97"/>
      <c r="AV530" s="97"/>
      <c r="AW530" s="97"/>
      <c r="AX530" s="97"/>
      <c r="AY530" s="97"/>
      <c r="BD530" s="35"/>
      <c r="BE530" s="35"/>
      <c r="BV530" s="98"/>
      <c r="BW530" s="98"/>
      <c r="BX530" s="98"/>
      <c r="BY530" s="112"/>
      <c r="BZ530" s="112"/>
      <c r="CA530" s="112"/>
      <c r="CB530" s="98"/>
      <c r="CC530" s="98"/>
      <c r="CD530" s="98"/>
      <c r="CE530" s="98"/>
      <c r="CG530" s="100"/>
      <c r="CH530" s="100"/>
      <c r="CI530" s="100"/>
      <c r="CJ530" s="100"/>
      <c r="CK530" s="100"/>
      <c r="CL530" s="100"/>
      <c r="CM530" s="100"/>
      <c r="CN530" s="100"/>
      <c r="CO530" s="100"/>
      <c r="CP530" s="100"/>
      <c r="CQ530" s="100"/>
      <c r="CR530" s="100"/>
      <c r="CS530" s="100"/>
      <c r="CT530" s="100"/>
      <c r="CU530" s="100"/>
    </row>
    <row r="531" spans="6:99" s="36" customFormat="1" ht="11.1" customHeight="1" x14ac:dyDescent="0.25">
      <c r="F531" s="33"/>
      <c r="G531" s="33"/>
      <c r="H531" s="33"/>
      <c r="I531" s="34"/>
      <c r="J531" s="34"/>
      <c r="K531" s="14"/>
      <c r="L531" s="32"/>
      <c r="M531" s="14"/>
      <c r="N531" s="14"/>
      <c r="O531" s="2"/>
      <c r="P531"/>
      <c r="Q531" s="2"/>
      <c r="R531"/>
      <c r="S531"/>
      <c r="T531"/>
      <c r="U531" s="2"/>
      <c r="V531" s="2"/>
      <c r="W531" s="2"/>
      <c r="X531" s="2"/>
      <c r="Y531" s="2"/>
      <c r="Z531" s="11"/>
      <c r="AA531" s="15"/>
      <c r="AB531" s="15"/>
      <c r="AC531" s="15"/>
      <c r="AD531" s="35"/>
      <c r="AE531" s="99"/>
      <c r="AF531" s="99"/>
      <c r="AG531" s="35"/>
      <c r="AH531" s="35"/>
      <c r="AI531" s="35"/>
      <c r="AJ531" s="1"/>
      <c r="AK531" s="1"/>
      <c r="AL531" s="1"/>
      <c r="AM531" s="1"/>
      <c r="AN531" s="1"/>
      <c r="AO531" s="1"/>
      <c r="AP531"/>
      <c r="AQ531"/>
      <c r="AR531"/>
      <c r="AS531"/>
      <c r="AT531" s="50"/>
      <c r="AU531" s="97"/>
      <c r="AV531" s="97"/>
      <c r="AW531" s="97"/>
      <c r="AX531" s="97"/>
      <c r="AY531" s="97"/>
      <c r="BD531" s="35"/>
      <c r="BE531" s="35"/>
      <c r="BV531" s="98"/>
      <c r="BW531" s="98"/>
      <c r="BX531" s="98"/>
      <c r="BY531" s="112"/>
      <c r="BZ531" s="112"/>
      <c r="CA531" s="112"/>
      <c r="CB531" s="98"/>
      <c r="CC531" s="98"/>
      <c r="CD531" s="98"/>
      <c r="CE531" s="98"/>
      <c r="CG531" s="100"/>
      <c r="CH531" s="100"/>
      <c r="CI531" s="100"/>
      <c r="CJ531" s="100"/>
      <c r="CK531" s="100"/>
      <c r="CL531" s="100"/>
      <c r="CM531" s="100"/>
      <c r="CN531" s="100"/>
      <c r="CO531" s="100"/>
      <c r="CP531" s="100"/>
      <c r="CQ531" s="100"/>
      <c r="CR531" s="100"/>
      <c r="CS531" s="100"/>
      <c r="CT531" s="100"/>
      <c r="CU531" s="100"/>
    </row>
    <row r="532" spans="6:99" s="36" customFormat="1" ht="11.1" customHeight="1" x14ac:dyDescent="0.25">
      <c r="F532" s="33"/>
      <c r="G532" s="33"/>
      <c r="H532" s="33"/>
      <c r="I532" s="34"/>
      <c r="J532" s="34"/>
      <c r="K532" s="14"/>
      <c r="L532" s="32"/>
      <c r="M532" s="14"/>
      <c r="N532" s="14"/>
      <c r="O532" s="2"/>
      <c r="P532"/>
      <c r="Q532" s="2"/>
      <c r="R532"/>
      <c r="S532"/>
      <c r="T532"/>
      <c r="U532" s="2"/>
      <c r="V532" s="2"/>
      <c r="W532" s="2"/>
      <c r="X532" s="2"/>
      <c r="Y532" s="2"/>
      <c r="Z532" s="11"/>
      <c r="AA532" s="15"/>
      <c r="AB532" s="15"/>
      <c r="AC532" s="15"/>
      <c r="AD532" s="35"/>
      <c r="AE532" s="99"/>
      <c r="AF532" s="99"/>
      <c r="AG532" s="35"/>
      <c r="AH532" s="35"/>
      <c r="AI532" s="35"/>
      <c r="AJ532" s="1"/>
      <c r="AK532" s="1"/>
      <c r="AL532" s="1"/>
      <c r="AM532" s="1"/>
      <c r="AN532" s="1"/>
      <c r="AO532" s="1"/>
      <c r="AP532"/>
      <c r="AQ532"/>
      <c r="AR532"/>
      <c r="AS532"/>
      <c r="AT532" s="50"/>
      <c r="AU532" s="97"/>
      <c r="AV532" s="97"/>
      <c r="AW532" s="97"/>
      <c r="AX532" s="97"/>
      <c r="AY532" s="97"/>
      <c r="BD532" s="35"/>
      <c r="BE532" s="35"/>
      <c r="BV532" s="98"/>
      <c r="BW532" s="98"/>
      <c r="BX532" s="98"/>
      <c r="BY532" s="112"/>
      <c r="BZ532" s="112"/>
      <c r="CA532" s="112"/>
      <c r="CB532" s="98"/>
      <c r="CC532" s="98"/>
      <c r="CD532" s="98"/>
      <c r="CE532" s="98"/>
      <c r="CG532" s="100"/>
      <c r="CH532" s="100"/>
      <c r="CI532" s="100"/>
      <c r="CJ532" s="100"/>
      <c r="CK532" s="100"/>
      <c r="CL532" s="100"/>
      <c r="CM532" s="100"/>
      <c r="CN532" s="100"/>
      <c r="CO532" s="100"/>
      <c r="CP532" s="100"/>
      <c r="CQ532" s="100"/>
      <c r="CR532" s="100"/>
      <c r="CS532" s="100"/>
      <c r="CT532" s="100"/>
      <c r="CU532" s="100"/>
    </row>
    <row r="533" spans="6:99" s="36" customFormat="1" ht="11.1" customHeight="1" x14ac:dyDescent="0.25">
      <c r="F533" s="33"/>
      <c r="G533" s="33"/>
      <c r="H533" s="33"/>
      <c r="I533" s="34"/>
      <c r="J533" s="34"/>
      <c r="K533" s="14"/>
      <c r="L533" s="32"/>
      <c r="M533" s="14"/>
      <c r="N533" s="14"/>
      <c r="O533" s="2"/>
      <c r="P533"/>
      <c r="Q533" s="2"/>
      <c r="R533"/>
      <c r="S533"/>
      <c r="T533"/>
      <c r="U533" s="2"/>
      <c r="V533" s="2"/>
      <c r="W533" s="2"/>
      <c r="X533" s="2"/>
      <c r="Y533" s="2"/>
      <c r="Z533" s="11"/>
      <c r="AA533" s="15"/>
      <c r="AB533" s="15"/>
      <c r="AC533" s="15"/>
      <c r="AD533" s="35"/>
      <c r="AE533" s="99"/>
      <c r="AF533" s="99"/>
      <c r="AG533" s="35"/>
      <c r="AH533" s="35"/>
      <c r="AI533" s="35"/>
      <c r="AJ533" s="1"/>
      <c r="AK533" s="1"/>
      <c r="AL533" s="1"/>
      <c r="AM533" s="1"/>
      <c r="AN533" s="1"/>
      <c r="AO533" s="1"/>
      <c r="AP533"/>
      <c r="AQ533"/>
      <c r="AR533"/>
      <c r="AS533"/>
      <c r="AT533" s="50"/>
      <c r="AU533" s="97"/>
      <c r="AV533" s="97"/>
      <c r="AW533" s="97"/>
      <c r="AX533" s="97"/>
      <c r="AY533" s="97"/>
      <c r="BD533" s="35"/>
      <c r="BE533" s="35"/>
      <c r="BV533" s="98"/>
      <c r="BW533" s="98"/>
      <c r="BX533" s="98"/>
      <c r="BY533" s="112"/>
      <c r="BZ533" s="112"/>
      <c r="CA533" s="112"/>
      <c r="CB533" s="98"/>
      <c r="CC533" s="98"/>
      <c r="CD533" s="98"/>
      <c r="CE533" s="98"/>
      <c r="CG533" s="100"/>
      <c r="CH533" s="100"/>
      <c r="CI533" s="100"/>
      <c r="CJ533" s="100"/>
      <c r="CK533" s="100"/>
      <c r="CL533" s="100"/>
      <c r="CM533" s="100"/>
      <c r="CN533" s="100"/>
      <c r="CO533" s="100"/>
      <c r="CP533" s="100"/>
      <c r="CQ533" s="100"/>
      <c r="CR533" s="100"/>
      <c r="CS533" s="100"/>
      <c r="CT533" s="100"/>
      <c r="CU533" s="100"/>
    </row>
    <row r="534" spans="6:99" s="36" customFormat="1" ht="11.1" customHeight="1" x14ac:dyDescent="0.25">
      <c r="F534" s="33"/>
      <c r="G534" s="33"/>
      <c r="H534" s="33"/>
      <c r="I534" s="34"/>
      <c r="J534" s="34"/>
      <c r="K534" s="14"/>
      <c r="L534" s="32"/>
      <c r="M534" s="14"/>
      <c r="N534" s="14"/>
      <c r="O534" s="2"/>
      <c r="P534"/>
      <c r="Q534" s="2"/>
      <c r="R534"/>
      <c r="S534"/>
      <c r="T534"/>
      <c r="U534" s="2"/>
      <c r="V534" s="2"/>
      <c r="W534" s="2"/>
      <c r="X534" s="2"/>
      <c r="Y534" s="2"/>
      <c r="Z534" s="11"/>
      <c r="AA534" s="15"/>
      <c r="AB534" s="15"/>
      <c r="AC534" s="15"/>
      <c r="AD534" s="35"/>
      <c r="AE534" s="99"/>
      <c r="AF534" s="99"/>
      <c r="AG534" s="35"/>
      <c r="AH534" s="35"/>
      <c r="AI534" s="35"/>
      <c r="AJ534" s="1"/>
      <c r="AK534" s="1"/>
      <c r="AL534" s="1"/>
      <c r="AM534" s="1"/>
      <c r="AN534" s="1"/>
      <c r="AO534" s="1"/>
      <c r="AP534"/>
      <c r="AQ534"/>
      <c r="AR534"/>
      <c r="AS534"/>
      <c r="AT534" s="50"/>
      <c r="AU534" s="97"/>
      <c r="AV534" s="97"/>
      <c r="AW534" s="97"/>
      <c r="AX534" s="97"/>
      <c r="AY534" s="97"/>
      <c r="BD534" s="35"/>
      <c r="BE534" s="35"/>
      <c r="BV534" s="98"/>
      <c r="BW534" s="98"/>
      <c r="BX534" s="98"/>
      <c r="BY534" s="112"/>
      <c r="BZ534" s="112"/>
      <c r="CA534" s="112"/>
      <c r="CB534" s="98"/>
      <c r="CC534" s="98"/>
      <c r="CD534" s="98"/>
      <c r="CE534" s="98"/>
      <c r="CG534" s="100"/>
      <c r="CH534" s="100"/>
      <c r="CI534" s="100"/>
      <c r="CJ534" s="100"/>
      <c r="CK534" s="100"/>
      <c r="CL534" s="100"/>
      <c r="CM534" s="100"/>
      <c r="CN534" s="100"/>
      <c r="CO534" s="100"/>
      <c r="CP534" s="100"/>
      <c r="CQ534" s="100"/>
      <c r="CR534" s="100"/>
      <c r="CS534" s="100"/>
      <c r="CT534" s="100"/>
      <c r="CU534" s="100"/>
    </row>
    <row r="535" spans="6:99" s="36" customFormat="1" ht="11.1" customHeight="1" x14ac:dyDescent="0.25">
      <c r="F535" s="33"/>
      <c r="G535" s="33"/>
      <c r="H535" s="33"/>
      <c r="I535" s="34"/>
      <c r="J535" s="34"/>
      <c r="K535" s="14"/>
      <c r="L535" s="32"/>
      <c r="M535" s="14"/>
      <c r="N535" s="14"/>
      <c r="O535" s="2"/>
      <c r="P535"/>
      <c r="Q535" s="2"/>
      <c r="R535"/>
      <c r="S535"/>
      <c r="T535"/>
      <c r="U535" s="2"/>
      <c r="V535" s="2"/>
      <c r="W535" s="2"/>
      <c r="X535" s="2"/>
      <c r="Y535" s="2"/>
      <c r="Z535" s="11"/>
      <c r="AA535" s="15"/>
      <c r="AB535" s="15"/>
      <c r="AC535" s="15"/>
      <c r="AD535" s="35"/>
      <c r="AE535" s="99"/>
      <c r="AF535" s="99"/>
      <c r="AG535" s="35"/>
      <c r="AH535" s="35"/>
      <c r="AI535" s="35"/>
      <c r="AJ535" s="1"/>
      <c r="AK535" s="1"/>
      <c r="AL535" s="1"/>
      <c r="AM535" s="1"/>
      <c r="AN535" s="1"/>
      <c r="AO535" s="1"/>
      <c r="AP535"/>
      <c r="AQ535"/>
      <c r="AR535"/>
      <c r="AS535"/>
      <c r="AT535" s="50"/>
      <c r="AU535" s="97"/>
      <c r="AV535" s="97"/>
      <c r="AW535" s="97"/>
      <c r="AX535" s="97"/>
      <c r="AY535" s="97"/>
      <c r="BD535" s="35"/>
      <c r="BE535" s="35"/>
      <c r="BV535" s="98"/>
      <c r="BW535" s="98"/>
      <c r="BX535" s="98"/>
      <c r="BY535" s="112"/>
      <c r="BZ535" s="112"/>
      <c r="CA535" s="112"/>
      <c r="CB535" s="98"/>
      <c r="CC535" s="98"/>
      <c r="CD535" s="98"/>
      <c r="CE535" s="98"/>
      <c r="CG535" s="100"/>
      <c r="CH535" s="100"/>
      <c r="CI535" s="100"/>
      <c r="CJ535" s="100"/>
      <c r="CK535" s="100"/>
      <c r="CL535" s="100"/>
      <c r="CM535" s="100"/>
      <c r="CN535" s="100"/>
      <c r="CO535" s="100"/>
      <c r="CP535" s="100"/>
      <c r="CQ535" s="100"/>
      <c r="CR535" s="100"/>
      <c r="CS535" s="100"/>
      <c r="CT535" s="100"/>
      <c r="CU535" s="100"/>
    </row>
    <row r="536" spans="6:99" s="36" customFormat="1" ht="11.1" customHeight="1" x14ac:dyDescent="0.25">
      <c r="F536" s="33"/>
      <c r="G536" s="33"/>
      <c r="H536" s="33"/>
      <c r="I536" s="34"/>
      <c r="J536" s="34"/>
      <c r="K536" s="14"/>
      <c r="L536" s="32"/>
      <c r="M536" s="14"/>
      <c r="N536" s="14"/>
      <c r="O536" s="2"/>
      <c r="P536"/>
      <c r="Q536" s="2"/>
      <c r="R536"/>
      <c r="S536"/>
      <c r="T536"/>
      <c r="U536" s="2"/>
      <c r="V536" s="2"/>
      <c r="W536" s="2"/>
      <c r="X536" s="2"/>
      <c r="Y536" s="2"/>
      <c r="Z536" s="11"/>
      <c r="AA536" s="15"/>
      <c r="AB536" s="15"/>
      <c r="AC536" s="15"/>
      <c r="AD536" s="35"/>
      <c r="AE536" s="99"/>
      <c r="AF536" s="99"/>
      <c r="AG536" s="35"/>
      <c r="AH536" s="35"/>
      <c r="AI536" s="35"/>
      <c r="AJ536" s="1"/>
      <c r="AK536" s="1"/>
      <c r="AL536" s="1"/>
      <c r="AM536" s="1"/>
      <c r="AN536" s="1"/>
      <c r="AO536" s="1"/>
      <c r="AP536"/>
      <c r="AQ536"/>
      <c r="AR536"/>
      <c r="AS536"/>
      <c r="AT536" s="50"/>
      <c r="AU536" s="97"/>
      <c r="AV536" s="97"/>
      <c r="AW536" s="97"/>
      <c r="AX536" s="97"/>
      <c r="AY536" s="97"/>
      <c r="BD536" s="35"/>
      <c r="BE536" s="35"/>
      <c r="BV536" s="98"/>
      <c r="BW536" s="98"/>
      <c r="BX536" s="98"/>
      <c r="BY536" s="112"/>
      <c r="BZ536" s="112"/>
      <c r="CA536" s="112"/>
      <c r="CB536" s="98"/>
      <c r="CC536" s="98"/>
      <c r="CD536" s="98"/>
      <c r="CE536" s="98"/>
      <c r="CG536" s="100"/>
      <c r="CH536" s="100"/>
      <c r="CI536" s="100"/>
      <c r="CJ536" s="100"/>
      <c r="CK536" s="100"/>
      <c r="CL536" s="100"/>
      <c r="CM536" s="100"/>
      <c r="CN536" s="100"/>
      <c r="CO536" s="100"/>
      <c r="CP536" s="100"/>
      <c r="CQ536" s="100"/>
      <c r="CR536" s="100"/>
      <c r="CS536" s="100"/>
      <c r="CT536" s="100"/>
      <c r="CU536" s="100"/>
    </row>
    <row r="537" spans="6:99" s="36" customFormat="1" ht="11.1" customHeight="1" x14ac:dyDescent="0.25">
      <c r="F537" s="33"/>
      <c r="G537" s="33"/>
      <c r="H537" s="33"/>
      <c r="I537" s="34"/>
      <c r="J537" s="34"/>
      <c r="K537" s="14"/>
      <c r="L537" s="32"/>
      <c r="M537" s="14"/>
      <c r="N537" s="14"/>
      <c r="O537" s="2"/>
      <c r="P537"/>
      <c r="Q537" s="2"/>
      <c r="R537"/>
      <c r="S537"/>
      <c r="T537"/>
      <c r="U537" s="2"/>
      <c r="V537" s="2"/>
      <c r="W537" s="2"/>
      <c r="X537" s="2"/>
      <c r="Y537" s="2"/>
      <c r="Z537" s="11"/>
      <c r="AA537" s="15"/>
      <c r="AB537" s="15"/>
      <c r="AC537" s="15"/>
      <c r="AD537" s="35"/>
      <c r="AE537" s="99"/>
      <c r="AF537" s="99"/>
      <c r="AG537" s="35"/>
      <c r="AH537" s="35"/>
      <c r="AI537" s="35"/>
      <c r="AJ537" s="1"/>
      <c r="AK537" s="1"/>
      <c r="AL537" s="1"/>
      <c r="AM537" s="1"/>
      <c r="AN537" s="1"/>
      <c r="AO537" s="1"/>
      <c r="AP537"/>
      <c r="AQ537"/>
      <c r="AR537"/>
      <c r="AS537"/>
      <c r="AT537" s="50"/>
      <c r="AU537" s="97"/>
      <c r="AV537" s="97"/>
      <c r="AW537" s="97"/>
      <c r="AX537" s="97"/>
      <c r="AY537" s="97"/>
      <c r="BD537" s="35"/>
      <c r="BE537" s="35"/>
      <c r="BV537" s="98"/>
      <c r="BW537" s="98"/>
      <c r="BX537" s="98"/>
      <c r="BY537" s="112"/>
      <c r="BZ537" s="112"/>
      <c r="CA537" s="112"/>
      <c r="CB537" s="98"/>
      <c r="CC537" s="98"/>
      <c r="CD537" s="98"/>
      <c r="CE537" s="98"/>
      <c r="CG537" s="100"/>
      <c r="CH537" s="100"/>
      <c r="CI537" s="100"/>
      <c r="CJ537" s="100"/>
      <c r="CK537" s="100"/>
      <c r="CL537" s="100"/>
      <c r="CM537" s="100"/>
      <c r="CN537" s="100"/>
      <c r="CO537" s="100"/>
      <c r="CP537" s="100"/>
      <c r="CQ537" s="100"/>
      <c r="CR537" s="100"/>
      <c r="CS537" s="100"/>
      <c r="CT537" s="100"/>
      <c r="CU537" s="100"/>
    </row>
    <row r="538" spans="6:99" s="36" customFormat="1" ht="11.1" customHeight="1" x14ac:dyDescent="0.25">
      <c r="F538" s="33"/>
      <c r="G538" s="33"/>
      <c r="H538" s="33"/>
      <c r="I538" s="34"/>
      <c r="J538" s="34"/>
      <c r="K538" s="14"/>
      <c r="L538" s="32"/>
      <c r="M538" s="14"/>
      <c r="N538" s="14"/>
      <c r="O538" s="2"/>
      <c r="P538"/>
      <c r="Q538" s="2"/>
      <c r="R538"/>
      <c r="S538"/>
      <c r="T538"/>
      <c r="U538" s="2"/>
      <c r="V538" s="2"/>
      <c r="W538" s="2"/>
      <c r="X538" s="2"/>
      <c r="Y538" s="2"/>
      <c r="Z538" s="11"/>
      <c r="AA538" s="15"/>
      <c r="AB538" s="15"/>
      <c r="AC538" s="15"/>
      <c r="AD538" s="35"/>
      <c r="AE538" s="99"/>
      <c r="AF538" s="99"/>
      <c r="AG538" s="35"/>
      <c r="AH538" s="35"/>
      <c r="AI538" s="35"/>
      <c r="AJ538" s="1"/>
      <c r="AK538" s="1"/>
      <c r="AL538" s="1"/>
      <c r="AM538" s="1"/>
      <c r="AN538" s="1"/>
      <c r="AO538" s="1"/>
      <c r="AP538"/>
      <c r="AQ538"/>
      <c r="AR538"/>
      <c r="AS538"/>
      <c r="AT538" s="50"/>
      <c r="AU538" s="97"/>
      <c r="AV538" s="97"/>
      <c r="AW538" s="97"/>
      <c r="AX538" s="97"/>
      <c r="AY538" s="97"/>
      <c r="BD538" s="35"/>
      <c r="BE538" s="35"/>
      <c r="BV538" s="98"/>
      <c r="BW538" s="98"/>
      <c r="BX538" s="98"/>
      <c r="BY538" s="112"/>
      <c r="BZ538" s="112"/>
      <c r="CA538" s="112"/>
      <c r="CB538" s="98"/>
      <c r="CC538" s="98"/>
      <c r="CD538" s="98"/>
      <c r="CE538" s="98"/>
      <c r="CG538" s="100"/>
      <c r="CH538" s="100"/>
      <c r="CI538" s="100"/>
      <c r="CJ538" s="100"/>
      <c r="CK538" s="100"/>
      <c r="CL538" s="100"/>
      <c r="CM538" s="100"/>
      <c r="CN538" s="100"/>
      <c r="CO538" s="100"/>
      <c r="CP538" s="100"/>
      <c r="CQ538" s="100"/>
      <c r="CR538" s="100"/>
      <c r="CS538" s="100"/>
      <c r="CT538" s="100"/>
      <c r="CU538" s="100"/>
    </row>
    <row r="539" spans="6:99" s="36" customFormat="1" ht="11.1" customHeight="1" x14ac:dyDescent="0.25">
      <c r="F539" s="33"/>
      <c r="G539" s="33"/>
      <c r="H539" s="33"/>
      <c r="I539" s="34"/>
      <c r="J539" s="34"/>
      <c r="K539" s="14"/>
      <c r="L539" s="32"/>
      <c r="M539" s="14"/>
      <c r="N539" s="14"/>
      <c r="O539" s="2"/>
      <c r="P539"/>
      <c r="Q539" s="2"/>
      <c r="R539"/>
      <c r="S539"/>
      <c r="T539"/>
      <c r="U539" s="2"/>
      <c r="V539" s="2"/>
      <c r="W539" s="2"/>
      <c r="X539" s="2"/>
      <c r="Y539" s="2"/>
      <c r="Z539" s="11"/>
      <c r="AA539" s="15"/>
      <c r="AB539" s="15"/>
      <c r="AC539" s="15"/>
      <c r="AD539" s="35"/>
      <c r="AE539" s="99"/>
      <c r="AF539" s="99"/>
      <c r="AG539" s="35"/>
      <c r="AH539" s="35"/>
      <c r="AI539" s="35"/>
      <c r="AJ539" s="1"/>
      <c r="AK539" s="1"/>
      <c r="AL539" s="1"/>
      <c r="AM539" s="1"/>
      <c r="AN539" s="1"/>
      <c r="AO539" s="1"/>
      <c r="AP539"/>
      <c r="AQ539"/>
      <c r="AR539"/>
      <c r="AS539"/>
      <c r="AT539" s="50"/>
      <c r="AU539" s="97"/>
      <c r="AV539" s="97"/>
      <c r="AW539" s="97"/>
      <c r="AX539" s="97"/>
      <c r="AY539" s="97"/>
      <c r="BD539" s="35"/>
      <c r="BE539" s="35"/>
      <c r="BV539" s="98"/>
      <c r="BW539" s="98"/>
      <c r="BX539" s="98"/>
      <c r="BY539" s="112"/>
      <c r="BZ539" s="112"/>
      <c r="CA539" s="112"/>
      <c r="CB539" s="98"/>
      <c r="CC539" s="98"/>
      <c r="CD539" s="98"/>
      <c r="CE539" s="98"/>
      <c r="CG539" s="100"/>
      <c r="CH539" s="100"/>
      <c r="CI539" s="100"/>
      <c r="CJ539" s="100"/>
      <c r="CK539" s="100"/>
      <c r="CL539" s="100"/>
      <c r="CM539" s="100"/>
      <c r="CN539" s="100"/>
      <c r="CO539" s="100"/>
      <c r="CP539" s="100"/>
      <c r="CQ539" s="100"/>
      <c r="CR539" s="100"/>
      <c r="CS539" s="100"/>
      <c r="CT539" s="100"/>
      <c r="CU539" s="100"/>
    </row>
    <row r="540" spans="6:99" s="36" customFormat="1" ht="11.1" customHeight="1" x14ac:dyDescent="0.25">
      <c r="F540" s="33"/>
      <c r="G540" s="33"/>
      <c r="H540" s="33"/>
      <c r="I540" s="34"/>
      <c r="J540" s="34"/>
      <c r="K540" s="14"/>
      <c r="L540" s="32"/>
      <c r="M540" s="14"/>
      <c r="N540" s="14"/>
      <c r="O540" s="2"/>
      <c r="P540"/>
      <c r="Q540" s="2"/>
      <c r="R540"/>
      <c r="S540"/>
      <c r="T540"/>
      <c r="U540" s="2"/>
      <c r="V540" s="2"/>
      <c r="W540" s="2"/>
      <c r="X540" s="2"/>
      <c r="Y540" s="2"/>
      <c r="Z540" s="11"/>
      <c r="AA540" s="15"/>
      <c r="AB540" s="15"/>
      <c r="AC540" s="15"/>
      <c r="AD540" s="35"/>
      <c r="AE540" s="99"/>
      <c r="AF540" s="99"/>
      <c r="AG540" s="35"/>
      <c r="AH540" s="35"/>
      <c r="AI540" s="35"/>
      <c r="AJ540" s="1"/>
      <c r="AK540" s="1"/>
      <c r="AL540" s="1"/>
      <c r="AM540" s="1"/>
      <c r="AN540" s="1"/>
      <c r="AO540" s="1"/>
      <c r="AP540"/>
      <c r="AQ540"/>
      <c r="AR540"/>
      <c r="AS540"/>
      <c r="AT540" s="50"/>
      <c r="AU540" s="97"/>
      <c r="AV540" s="97"/>
      <c r="AW540" s="97"/>
      <c r="AX540" s="97"/>
      <c r="AY540" s="97"/>
      <c r="BD540" s="35"/>
      <c r="BE540" s="35"/>
      <c r="BV540" s="98"/>
      <c r="BW540" s="98"/>
      <c r="BX540" s="98"/>
      <c r="BY540" s="112"/>
      <c r="BZ540" s="112"/>
      <c r="CA540" s="112"/>
      <c r="CB540" s="98"/>
      <c r="CC540" s="98"/>
      <c r="CD540" s="98"/>
      <c r="CE540" s="98"/>
      <c r="CG540" s="100"/>
      <c r="CH540" s="100"/>
      <c r="CI540" s="100"/>
      <c r="CJ540" s="100"/>
      <c r="CK540" s="100"/>
      <c r="CL540" s="100"/>
      <c r="CM540" s="100"/>
      <c r="CN540" s="100"/>
      <c r="CO540" s="100"/>
      <c r="CP540" s="100"/>
      <c r="CQ540" s="100"/>
      <c r="CR540" s="100"/>
      <c r="CS540" s="100"/>
      <c r="CT540" s="100"/>
      <c r="CU540" s="100"/>
    </row>
    <row r="541" spans="6:99" s="36" customFormat="1" ht="11.1" customHeight="1" x14ac:dyDescent="0.25">
      <c r="F541" s="33"/>
      <c r="G541" s="33"/>
      <c r="H541" s="33"/>
      <c r="I541" s="34"/>
      <c r="J541" s="34"/>
      <c r="K541" s="14"/>
      <c r="L541" s="32"/>
      <c r="M541" s="14"/>
      <c r="N541" s="14"/>
      <c r="O541" s="2"/>
      <c r="P541"/>
      <c r="Q541" s="2"/>
      <c r="R541"/>
      <c r="S541"/>
      <c r="T541"/>
      <c r="U541" s="2"/>
      <c r="V541" s="2"/>
      <c r="W541" s="2"/>
      <c r="X541" s="2"/>
      <c r="Y541" s="2"/>
      <c r="Z541" s="11"/>
      <c r="AA541" s="15"/>
      <c r="AB541" s="15"/>
      <c r="AC541" s="15"/>
      <c r="AD541" s="35"/>
      <c r="AE541" s="99"/>
      <c r="AF541" s="99"/>
      <c r="AG541" s="35"/>
      <c r="AH541" s="35"/>
      <c r="AI541" s="35"/>
      <c r="AJ541" s="1"/>
      <c r="AK541" s="1"/>
      <c r="AL541" s="1"/>
      <c r="AM541" s="1"/>
      <c r="AN541" s="1"/>
      <c r="AO541" s="1"/>
      <c r="AP541"/>
      <c r="AQ541"/>
      <c r="AR541"/>
      <c r="AS541"/>
      <c r="AT541" s="50"/>
      <c r="AU541" s="97"/>
      <c r="AV541" s="97"/>
      <c r="AW541" s="97"/>
      <c r="AX541" s="97"/>
      <c r="AY541" s="97"/>
      <c r="BD541" s="35"/>
      <c r="BE541" s="35"/>
      <c r="BV541" s="98"/>
      <c r="BW541" s="98"/>
      <c r="BX541" s="98"/>
      <c r="BY541" s="112"/>
      <c r="BZ541" s="112"/>
      <c r="CA541" s="112"/>
      <c r="CB541" s="98"/>
      <c r="CC541" s="98"/>
      <c r="CD541" s="98"/>
      <c r="CE541" s="98"/>
      <c r="CG541" s="100"/>
      <c r="CH541" s="100"/>
      <c r="CI541" s="100"/>
      <c r="CJ541" s="100"/>
      <c r="CK541" s="100"/>
      <c r="CL541" s="100"/>
      <c r="CM541" s="100"/>
      <c r="CN541" s="100"/>
      <c r="CO541" s="100"/>
      <c r="CP541" s="100"/>
      <c r="CQ541" s="100"/>
      <c r="CR541" s="100"/>
      <c r="CS541" s="100"/>
      <c r="CT541" s="100"/>
      <c r="CU541" s="100"/>
    </row>
    <row r="542" spans="6:99" s="36" customFormat="1" ht="11.1" customHeight="1" x14ac:dyDescent="0.25">
      <c r="F542" s="33"/>
      <c r="G542" s="33"/>
      <c r="H542" s="33"/>
      <c r="I542" s="34"/>
      <c r="J542" s="34"/>
      <c r="K542" s="14"/>
      <c r="L542" s="32"/>
      <c r="M542" s="14"/>
      <c r="N542" s="14"/>
      <c r="O542" s="2"/>
      <c r="P542"/>
      <c r="Q542" s="2"/>
      <c r="R542"/>
      <c r="S542"/>
      <c r="T542"/>
      <c r="U542" s="2"/>
      <c r="V542" s="2"/>
      <c r="W542" s="2"/>
      <c r="X542" s="2"/>
      <c r="Y542" s="2"/>
      <c r="Z542" s="11"/>
      <c r="AA542" s="15"/>
      <c r="AB542" s="15"/>
      <c r="AC542" s="15"/>
      <c r="AD542" s="35"/>
      <c r="AE542" s="99"/>
      <c r="AF542" s="99"/>
      <c r="AG542" s="35"/>
      <c r="AH542" s="35"/>
      <c r="AI542" s="35"/>
      <c r="AJ542" s="1"/>
      <c r="AK542" s="1"/>
      <c r="AL542" s="1"/>
      <c r="AM542" s="1"/>
      <c r="AN542" s="1"/>
      <c r="AO542" s="1"/>
      <c r="AP542"/>
      <c r="AQ542"/>
      <c r="AR542"/>
      <c r="AS542"/>
      <c r="AT542" s="50"/>
      <c r="AU542" s="97"/>
      <c r="AV542" s="97"/>
      <c r="AW542" s="97"/>
      <c r="AX542" s="97"/>
      <c r="AY542" s="97"/>
      <c r="BD542" s="35"/>
      <c r="BE542" s="35"/>
      <c r="BV542" s="98"/>
      <c r="BW542" s="98"/>
      <c r="BX542" s="98"/>
      <c r="BY542" s="112"/>
      <c r="BZ542" s="112"/>
      <c r="CA542" s="112"/>
      <c r="CB542" s="98"/>
      <c r="CC542" s="98"/>
      <c r="CD542" s="98"/>
      <c r="CE542" s="98"/>
      <c r="CG542" s="100"/>
      <c r="CH542" s="100"/>
      <c r="CI542" s="100"/>
      <c r="CJ542" s="100"/>
      <c r="CK542" s="100"/>
      <c r="CL542" s="100"/>
      <c r="CM542" s="100"/>
      <c r="CN542" s="100"/>
      <c r="CO542" s="100"/>
      <c r="CP542" s="100"/>
      <c r="CQ542" s="100"/>
      <c r="CR542" s="100"/>
      <c r="CS542" s="100"/>
      <c r="CT542" s="100"/>
      <c r="CU542" s="100"/>
    </row>
    <row r="543" spans="6:99" s="36" customFormat="1" ht="11.1" customHeight="1" x14ac:dyDescent="0.25">
      <c r="F543" s="33"/>
      <c r="G543" s="33"/>
      <c r="H543" s="33"/>
      <c r="I543" s="34"/>
      <c r="J543" s="34"/>
      <c r="K543" s="14"/>
      <c r="L543" s="32"/>
      <c r="M543" s="14"/>
      <c r="N543" s="14"/>
      <c r="O543" s="2"/>
      <c r="P543"/>
      <c r="Q543" s="2"/>
      <c r="R543"/>
      <c r="S543"/>
      <c r="T543"/>
      <c r="U543" s="2"/>
      <c r="V543" s="2"/>
      <c r="W543" s="2"/>
      <c r="X543" s="2"/>
      <c r="Y543" s="2"/>
      <c r="Z543" s="11"/>
      <c r="AA543" s="15"/>
      <c r="AB543" s="15"/>
      <c r="AC543" s="15"/>
      <c r="AD543" s="35"/>
      <c r="AE543" s="99"/>
      <c r="AF543" s="99"/>
      <c r="AG543" s="35"/>
      <c r="AH543" s="35"/>
      <c r="AI543" s="35"/>
      <c r="AJ543" s="1"/>
      <c r="AK543" s="1"/>
      <c r="AL543" s="1"/>
      <c r="AM543" s="1"/>
      <c r="AN543" s="1"/>
      <c r="AO543" s="1"/>
      <c r="AP543"/>
      <c r="AQ543"/>
      <c r="AR543"/>
      <c r="AS543"/>
      <c r="AT543" s="50"/>
      <c r="AU543" s="97"/>
      <c r="AV543" s="97"/>
      <c r="AW543" s="97"/>
      <c r="AX543" s="97"/>
      <c r="AY543" s="97"/>
      <c r="BD543" s="35"/>
      <c r="BE543" s="35"/>
      <c r="BV543" s="98"/>
      <c r="BW543" s="98"/>
      <c r="BX543" s="98"/>
      <c r="BY543" s="112"/>
      <c r="BZ543" s="112"/>
      <c r="CA543" s="112"/>
      <c r="CB543" s="98"/>
      <c r="CC543" s="98"/>
      <c r="CD543" s="98"/>
      <c r="CE543" s="98"/>
      <c r="CG543" s="100"/>
      <c r="CH543" s="100"/>
      <c r="CI543" s="100"/>
      <c r="CJ543" s="100"/>
      <c r="CK543" s="100"/>
      <c r="CL543" s="100"/>
      <c r="CM543" s="100"/>
      <c r="CN543" s="100"/>
      <c r="CO543" s="100"/>
      <c r="CP543" s="100"/>
      <c r="CQ543" s="100"/>
      <c r="CR543" s="100"/>
      <c r="CS543" s="100"/>
      <c r="CT543" s="100"/>
      <c r="CU543" s="100"/>
    </row>
    <row r="544" spans="6:99" s="36" customFormat="1" ht="11.1" customHeight="1" x14ac:dyDescent="0.25">
      <c r="F544" s="33"/>
      <c r="G544" s="33"/>
      <c r="H544" s="33"/>
      <c r="I544" s="34"/>
      <c r="J544" s="34"/>
      <c r="K544" s="14"/>
      <c r="L544" s="32"/>
      <c r="M544" s="14"/>
      <c r="N544" s="14"/>
      <c r="O544" s="2"/>
      <c r="P544"/>
      <c r="Q544" s="2"/>
      <c r="R544"/>
      <c r="S544"/>
      <c r="T544"/>
      <c r="U544" s="2"/>
      <c r="V544" s="2"/>
      <c r="W544" s="2"/>
      <c r="X544" s="2"/>
      <c r="Y544" s="2"/>
      <c r="Z544" s="11"/>
      <c r="AA544" s="15"/>
      <c r="AB544" s="15"/>
      <c r="AC544" s="15"/>
      <c r="AD544" s="35"/>
      <c r="AE544" s="99"/>
      <c r="AF544" s="99"/>
      <c r="AG544" s="35"/>
      <c r="AH544" s="35"/>
      <c r="AI544" s="35"/>
      <c r="AJ544" s="1"/>
      <c r="AK544" s="1"/>
      <c r="AL544" s="1"/>
      <c r="AM544" s="1"/>
      <c r="AN544" s="1"/>
      <c r="AO544" s="1"/>
      <c r="AP544"/>
      <c r="AQ544"/>
      <c r="AR544"/>
      <c r="AS544"/>
      <c r="AT544" s="50"/>
      <c r="AU544" s="97"/>
      <c r="AV544" s="97"/>
      <c r="AW544" s="97"/>
      <c r="AX544" s="97"/>
      <c r="AY544" s="97"/>
      <c r="BD544" s="35"/>
      <c r="BE544" s="35"/>
      <c r="BV544" s="98"/>
      <c r="BW544" s="98"/>
      <c r="BX544" s="98"/>
      <c r="BY544" s="112"/>
      <c r="BZ544" s="112"/>
      <c r="CA544" s="112"/>
      <c r="CB544" s="98"/>
      <c r="CC544" s="98"/>
      <c r="CD544" s="98"/>
      <c r="CE544" s="98"/>
      <c r="CG544" s="100"/>
      <c r="CH544" s="100"/>
      <c r="CI544" s="100"/>
      <c r="CJ544" s="100"/>
      <c r="CK544" s="100"/>
      <c r="CL544" s="100"/>
      <c r="CM544" s="100"/>
      <c r="CN544" s="100"/>
      <c r="CO544" s="100"/>
      <c r="CP544" s="100"/>
      <c r="CQ544" s="100"/>
      <c r="CR544" s="100"/>
      <c r="CS544" s="100"/>
      <c r="CT544" s="100"/>
      <c r="CU544" s="100"/>
    </row>
    <row r="545" spans="6:99" s="36" customFormat="1" ht="11.1" customHeight="1" x14ac:dyDescent="0.25">
      <c r="F545" s="33"/>
      <c r="G545" s="33"/>
      <c r="H545" s="33"/>
      <c r="I545" s="34"/>
      <c r="J545" s="34"/>
      <c r="K545" s="14"/>
      <c r="L545" s="32"/>
      <c r="M545" s="14"/>
      <c r="N545" s="14"/>
      <c r="O545" s="2"/>
      <c r="P545"/>
      <c r="Q545" s="2"/>
      <c r="R545"/>
      <c r="S545"/>
      <c r="T545"/>
      <c r="U545" s="2"/>
      <c r="V545" s="2"/>
      <c r="W545" s="2"/>
      <c r="X545" s="2"/>
      <c r="Y545" s="2"/>
      <c r="Z545" s="11"/>
      <c r="AA545" s="15"/>
      <c r="AB545" s="15"/>
      <c r="AC545" s="15"/>
      <c r="AD545" s="35"/>
      <c r="AE545" s="99"/>
      <c r="AF545" s="99"/>
      <c r="AG545" s="35"/>
      <c r="AH545" s="35"/>
      <c r="AI545" s="35"/>
      <c r="AJ545" s="1"/>
      <c r="AK545" s="1"/>
      <c r="AL545" s="1"/>
      <c r="AM545" s="1"/>
      <c r="AN545" s="1"/>
      <c r="AO545" s="1"/>
      <c r="AP545"/>
      <c r="AQ545"/>
      <c r="AR545"/>
      <c r="AS545"/>
      <c r="AT545" s="50"/>
      <c r="AU545" s="97"/>
      <c r="AV545" s="97"/>
      <c r="AW545" s="97"/>
      <c r="AX545" s="97"/>
      <c r="AY545" s="97"/>
      <c r="BD545" s="35"/>
      <c r="BE545" s="35"/>
      <c r="BV545" s="98"/>
      <c r="BW545" s="98"/>
      <c r="BX545" s="98"/>
      <c r="BY545" s="112"/>
      <c r="BZ545" s="112"/>
      <c r="CA545" s="112"/>
      <c r="CB545" s="98"/>
      <c r="CC545" s="98"/>
      <c r="CD545" s="98"/>
      <c r="CE545" s="98"/>
      <c r="CG545" s="100"/>
      <c r="CH545" s="100"/>
      <c r="CI545" s="100"/>
      <c r="CJ545" s="100"/>
      <c r="CK545" s="100"/>
      <c r="CL545" s="100"/>
      <c r="CM545" s="100"/>
      <c r="CN545" s="100"/>
      <c r="CO545" s="100"/>
      <c r="CP545" s="100"/>
      <c r="CQ545" s="100"/>
      <c r="CR545" s="100"/>
      <c r="CS545" s="100"/>
      <c r="CT545" s="100"/>
      <c r="CU545" s="100"/>
    </row>
    <row r="546" spans="6:99" s="36" customFormat="1" ht="11.1" customHeight="1" x14ac:dyDescent="0.25">
      <c r="F546" s="33"/>
      <c r="G546" s="33"/>
      <c r="H546" s="33"/>
      <c r="I546" s="34"/>
      <c r="J546" s="34"/>
      <c r="K546" s="14"/>
      <c r="L546" s="32"/>
      <c r="M546" s="14"/>
      <c r="N546" s="14"/>
      <c r="O546" s="2"/>
      <c r="P546"/>
      <c r="Q546" s="2"/>
      <c r="R546"/>
      <c r="S546"/>
      <c r="T546"/>
      <c r="U546" s="2"/>
      <c r="V546" s="2"/>
      <c r="W546" s="2"/>
      <c r="X546" s="2"/>
      <c r="Y546" s="2"/>
      <c r="Z546" s="11"/>
      <c r="AA546" s="15"/>
      <c r="AB546" s="15"/>
      <c r="AC546" s="15"/>
      <c r="AD546" s="35"/>
      <c r="AE546" s="99"/>
      <c r="AF546" s="99"/>
      <c r="AG546" s="35"/>
      <c r="AH546" s="35"/>
      <c r="AI546" s="35"/>
      <c r="AJ546" s="1"/>
      <c r="AK546" s="1"/>
      <c r="AL546" s="1"/>
      <c r="AM546" s="1"/>
      <c r="AN546" s="1"/>
      <c r="AO546" s="1"/>
      <c r="AP546"/>
      <c r="AQ546"/>
      <c r="AR546"/>
      <c r="AS546"/>
      <c r="AT546" s="50"/>
      <c r="AU546" s="97"/>
      <c r="AV546" s="97"/>
      <c r="AW546" s="97"/>
      <c r="AX546" s="97"/>
      <c r="AY546" s="97"/>
      <c r="BD546" s="35"/>
      <c r="BE546" s="35"/>
      <c r="BV546" s="98"/>
      <c r="BW546" s="98"/>
      <c r="BX546" s="98"/>
      <c r="BY546" s="112"/>
      <c r="BZ546" s="112"/>
      <c r="CA546" s="112"/>
      <c r="CB546" s="98"/>
      <c r="CC546" s="98"/>
      <c r="CD546" s="98"/>
      <c r="CE546" s="98"/>
      <c r="CG546" s="100"/>
      <c r="CH546" s="100"/>
      <c r="CI546" s="100"/>
      <c r="CJ546" s="100"/>
      <c r="CK546" s="100"/>
      <c r="CL546" s="100"/>
      <c r="CM546" s="100"/>
      <c r="CN546" s="100"/>
      <c r="CO546" s="100"/>
      <c r="CP546" s="100"/>
      <c r="CQ546" s="100"/>
      <c r="CR546" s="100"/>
      <c r="CS546" s="100"/>
      <c r="CT546" s="100"/>
      <c r="CU546" s="100"/>
    </row>
    <row r="547" spans="6:99" s="36" customFormat="1" ht="11.1" customHeight="1" x14ac:dyDescent="0.25">
      <c r="F547" s="33"/>
      <c r="G547" s="33"/>
      <c r="H547" s="33"/>
      <c r="I547" s="34"/>
      <c r="J547" s="34"/>
      <c r="K547" s="14"/>
      <c r="L547" s="32"/>
      <c r="M547" s="14"/>
      <c r="N547" s="14"/>
      <c r="O547" s="2"/>
      <c r="P547"/>
      <c r="Q547" s="2"/>
      <c r="R547"/>
      <c r="S547"/>
      <c r="T547"/>
      <c r="U547" s="2"/>
      <c r="V547" s="2"/>
      <c r="W547" s="2"/>
      <c r="X547" s="2"/>
      <c r="Y547" s="2"/>
      <c r="Z547" s="11"/>
      <c r="AA547" s="15"/>
      <c r="AB547" s="15"/>
      <c r="AC547" s="15"/>
      <c r="AD547" s="35"/>
      <c r="AE547" s="99"/>
      <c r="AF547" s="99"/>
      <c r="AG547" s="35"/>
      <c r="AH547" s="35"/>
      <c r="AI547" s="35"/>
      <c r="AJ547" s="1"/>
      <c r="AK547" s="1"/>
      <c r="AL547" s="1"/>
      <c r="AM547" s="1"/>
      <c r="AN547" s="1"/>
      <c r="AO547" s="1"/>
      <c r="AP547"/>
      <c r="AQ547"/>
      <c r="AR547"/>
      <c r="AS547"/>
      <c r="AT547" s="50"/>
      <c r="AU547" s="97"/>
      <c r="AV547" s="97"/>
      <c r="AW547" s="97"/>
      <c r="AX547" s="97"/>
      <c r="AY547" s="97"/>
      <c r="BD547" s="35"/>
      <c r="BE547" s="35"/>
      <c r="BV547" s="98"/>
      <c r="BW547" s="98"/>
      <c r="BX547" s="98"/>
      <c r="BY547" s="112"/>
      <c r="BZ547" s="112"/>
      <c r="CA547" s="112"/>
      <c r="CB547" s="98"/>
      <c r="CC547" s="98"/>
      <c r="CD547" s="98"/>
      <c r="CE547" s="98"/>
      <c r="CG547" s="100"/>
      <c r="CH547" s="100"/>
      <c r="CI547" s="100"/>
      <c r="CJ547" s="100"/>
      <c r="CK547" s="100"/>
      <c r="CL547" s="100"/>
      <c r="CM547" s="100"/>
      <c r="CN547" s="100"/>
      <c r="CO547" s="100"/>
      <c r="CP547" s="100"/>
      <c r="CQ547" s="100"/>
      <c r="CR547" s="100"/>
      <c r="CS547" s="100"/>
      <c r="CT547" s="100"/>
      <c r="CU547" s="100"/>
    </row>
    <row r="548" spans="6:99" s="36" customFormat="1" ht="11.1" customHeight="1" x14ac:dyDescent="0.25">
      <c r="F548" s="33"/>
      <c r="G548" s="33"/>
      <c r="H548" s="33"/>
      <c r="I548" s="34"/>
      <c r="J548" s="34"/>
      <c r="K548" s="14"/>
      <c r="L548" s="32"/>
      <c r="M548" s="14"/>
      <c r="N548" s="14"/>
      <c r="O548" s="2"/>
      <c r="P548"/>
      <c r="Q548" s="2"/>
      <c r="R548"/>
      <c r="S548"/>
      <c r="T548"/>
      <c r="U548" s="2"/>
      <c r="V548" s="2"/>
      <c r="W548" s="2"/>
      <c r="X548" s="2"/>
      <c r="Y548" s="2"/>
      <c r="Z548" s="11"/>
      <c r="AA548" s="15"/>
      <c r="AB548" s="15"/>
      <c r="AC548" s="15"/>
      <c r="AD548" s="35"/>
      <c r="AE548" s="99"/>
      <c r="AF548" s="99"/>
      <c r="AG548" s="35"/>
      <c r="AH548" s="35"/>
      <c r="AI548" s="35"/>
      <c r="AJ548" s="1"/>
      <c r="AK548" s="1"/>
      <c r="AL548" s="1"/>
      <c r="AM548" s="1"/>
      <c r="AN548" s="1"/>
      <c r="AO548" s="1"/>
      <c r="AP548"/>
      <c r="AQ548"/>
      <c r="AR548"/>
      <c r="AS548"/>
      <c r="AT548" s="50"/>
      <c r="AU548" s="97"/>
      <c r="AV548" s="97"/>
      <c r="AW548" s="97"/>
      <c r="AX548" s="97"/>
      <c r="AY548" s="97"/>
      <c r="BD548" s="35"/>
      <c r="BE548" s="35"/>
      <c r="BV548" s="98"/>
      <c r="BW548" s="98"/>
      <c r="BX548" s="98"/>
      <c r="BY548" s="112"/>
      <c r="BZ548" s="112"/>
      <c r="CA548" s="112"/>
      <c r="CB548" s="98"/>
      <c r="CC548" s="98"/>
      <c r="CD548" s="98"/>
      <c r="CE548" s="98"/>
      <c r="CG548" s="100"/>
      <c r="CH548" s="100"/>
      <c r="CI548" s="100"/>
      <c r="CJ548" s="100"/>
      <c r="CK548" s="100"/>
      <c r="CL548" s="100"/>
      <c r="CM548" s="100"/>
      <c r="CN548" s="100"/>
      <c r="CO548" s="100"/>
      <c r="CP548" s="100"/>
      <c r="CQ548" s="100"/>
      <c r="CR548" s="100"/>
      <c r="CS548" s="100"/>
      <c r="CT548" s="100"/>
      <c r="CU548" s="100"/>
    </row>
    <row r="549" spans="6:99" s="36" customFormat="1" ht="11.1" customHeight="1" x14ac:dyDescent="0.25">
      <c r="F549" s="33"/>
      <c r="G549" s="33"/>
      <c r="H549" s="33"/>
      <c r="I549" s="34"/>
      <c r="J549" s="34"/>
      <c r="K549" s="14"/>
      <c r="L549" s="32"/>
      <c r="M549" s="14"/>
      <c r="N549" s="14"/>
      <c r="O549" s="2"/>
      <c r="P549"/>
      <c r="Q549" s="2"/>
      <c r="R549"/>
      <c r="S549"/>
      <c r="T549"/>
      <c r="U549" s="2"/>
      <c r="V549" s="2"/>
      <c r="W549" s="2"/>
      <c r="X549" s="2"/>
      <c r="Y549" s="2"/>
      <c r="Z549" s="11"/>
      <c r="AA549" s="15"/>
      <c r="AB549" s="15"/>
      <c r="AC549" s="15"/>
      <c r="AD549" s="35"/>
      <c r="AE549" s="99"/>
      <c r="AF549" s="99"/>
      <c r="AG549" s="35"/>
      <c r="AH549" s="35"/>
      <c r="AI549" s="35"/>
      <c r="AJ549" s="1"/>
      <c r="AK549" s="1"/>
      <c r="AL549" s="1"/>
      <c r="AM549" s="1"/>
      <c r="AN549" s="1"/>
      <c r="AO549" s="1"/>
      <c r="AP549"/>
      <c r="AQ549"/>
      <c r="AR549"/>
      <c r="AS549"/>
      <c r="AT549" s="50"/>
      <c r="AU549" s="97"/>
      <c r="AV549" s="97"/>
      <c r="AW549" s="97"/>
      <c r="AX549" s="97"/>
      <c r="AY549" s="97"/>
      <c r="BD549" s="35"/>
      <c r="BE549" s="35"/>
      <c r="BV549" s="98"/>
      <c r="BW549" s="98"/>
      <c r="BX549" s="98"/>
      <c r="BY549" s="112"/>
      <c r="BZ549" s="112"/>
      <c r="CA549" s="112"/>
      <c r="CB549" s="98"/>
      <c r="CC549" s="98"/>
      <c r="CD549" s="98"/>
      <c r="CE549" s="98"/>
      <c r="CG549" s="100"/>
      <c r="CH549" s="100"/>
      <c r="CI549" s="100"/>
      <c r="CJ549" s="100"/>
      <c r="CK549" s="100"/>
      <c r="CL549" s="100"/>
      <c r="CM549" s="100"/>
      <c r="CN549" s="100"/>
      <c r="CO549" s="100"/>
      <c r="CP549" s="100"/>
      <c r="CQ549" s="100"/>
      <c r="CR549" s="100"/>
      <c r="CS549" s="100"/>
      <c r="CT549" s="100"/>
      <c r="CU549" s="100"/>
    </row>
    <row r="550" spans="6:99" s="36" customFormat="1" ht="11.1" customHeight="1" x14ac:dyDescent="0.25">
      <c r="F550" s="33"/>
      <c r="G550" s="33"/>
      <c r="H550" s="33"/>
      <c r="I550" s="34"/>
      <c r="J550" s="34"/>
      <c r="K550" s="14"/>
      <c r="L550" s="32"/>
      <c r="M550" s="14"/>
      <c r="N550" s="14"/>
      <c r="O550" s="2"/>
      <c r="P550"/>
      <c r="Q550" s="2"/>
      <c r="R550"/>
      <c r="S550"/>
      <c r="T550"/>
      <c r="U550" s="2"/>
      <c r="V550" s="2"/>
      <c r="W550" s="2"/>
      <c r="X550" s="2"/>
      <c r="Y550" s="2"/>
      <c r="Z550" s="11"/>
      <c r="AA550" s="15"/>
      <c r="AB550" s="15"/>
      <c r="AC550" s="15"/>
      <c r="AD550" s="35"/>
      <c r="AE550" s="99"/>
      <c r="AF550" s="99"/>
      <c r="AG550" s="35"/>
      <c r="AH550" s="35"/>
      <c r="AI550" s="35"/>
      <c r="AJ550" s="1"/>
      <c r="AK550" s="1"/>
      <c r="AL550" s="1"/>
      <c r="AM550" s="1"/>
      <c r="AN550" s="1"/>
      <c r="AO550" s="1"/>
      <c r="AP550"/>
      <c r="AQ550"/>
      <c r="AR550"/>
      <c r="AS550"/>
      <c r="AT550" s="50"/>
      <c r="AU550" s="97"/>
      <c r="AV550" s="97"/>
      <c r="AW550" s="97"/>
      <c r="AX550" s="97"/>
      <c r="AY550" s="97"/>
      <c r="BD550" s="35"/>
      <c r="BE550" s="35"/>
      <c r="BV550" s="98"/>
      <c r="BW550" s="98"/>
      <c r="BX550" s="98"/>
      <c r="BY550" s="112"/>
      <c r="BZ550" s="112"/>
      <c r="CA550" s="112"/>
      <c r="CB550" s="98"/>
      <c r="CC550" s="98"/>
      <c r="CD550" s="98"/>
      <c r="CE550" s="98"/>
      <c r="CG550" s="100"/>
      <c r="CH550" s="100"/>
      <c r="CI550" s="100"/>
      <c r="CJ550" s="100"/>
      <c r="CK550" s="100"/>
      <c r="CL550" s="100"/>
      <c r="CM550" s="100"/>
      <c r="CN550" s="100"/>
      <c r="CO550" s="100"/>
      <c r="CP550" s="100"/>
      <c r="CQ550" s="100"/>
      <c r="CR550" s="100"/>
      <c r="CS550" s="100"/>
      <c r="CT550" s="100"/>
      <c r="CU550" s="100"/>
    </row>
    <row r="551" spans="6:99" s="36" customFormat="1" ht="11.1" customHeight="1" x14ac:dyDescent="0.25">
      <c r="F551" s="33"/>
      <c r="G551" s="33"/>
      <c r="H551" s="33"/>
      <c r="I551" s="34"/>
      <c r="J551" s="34"/>
      <c r="K551" s="14"/>
      <c r="L551" s="32"/>
      <c r="M551" s="14"/>
      <c r="N551" s="14"/>
      <c r="O551" s="2"/>
      <c r="P551"/>
      <c r="Q551" s="2"/>
      <c r="R551"/>
      <c r="S551"/>
      <c r="T551"/>
      <c r="U551" s="2"/>
      <c r="V551" s="2"/>
      <c r="W551" s="2"/>
      <c r="X551" s="2"/>
      <c r="Y551" s="2"/>
      <c r="Z551" s="11"/>
      <c r="AA551" s="15"/>
      <c r="AB551" s="15"/>
      <c r="AC551" s="15"/>
      <c r="AD551" s="35"/>
      <c r="AE551" s="99"/>
      <c r="AF551" s="99"/>
      <c r="AG551" s="35"/>
      <c r="AH551" s="35"/>
      <c r="AI551" s="35"/>
      <c r="AJ551" s="1"/>
      <c r="AK551" s="1"/>
      <c r="AL551" s="1"/>
      <c r="AM551" s="1"/>
      <c r="AN551" s="1"/>
      <c r="AO551" s="1"/>
      <c r="AP551"/>
      <c r="AQ551"/>
      <c r="AR551"/>
      <c r="AS551"/>
      <c r="AT551" s="50"/>
      <c r="AU551" s="97"/>
      <c r="AV551" s="97"/>
      <c r="AW551" s="97"/>
      <c r="AX551" s="97"/>
      <c r="AY551" s="97"/>
      <c r="BD551" s="35"/>
      <c r="BE551" s="35"/>
      <c r="BV551" s="98"/>
      <c r="BW551" s="98"/>
      <c r="BX551" s="98"/>
      <c r="BY551" s="112"/>
      <c r="BZ551" s="112"/>
      <c r="CA551" s="112"/>
      <c r="CB551" s="98"/>
      <c r="CC551" s="98"/>
      <c r="CD551" s="98"/>
      <c r="CE551" s="98"/>
      <c r="CG551" s="100"/>
      <c r="CH551" s="100"/>
      <c r="CI551" s="100"/>
      <c r="CJ551" s="100"/>
      <c r="CK551" s="100"/>
      <c r="CL551" s="100"/>
      <c r="CM551" s="100"/>
      <c r="CN551" s="100"/>
      <c r="CO551" s="100"/>
      <c r="CP551" s="100"/>
      <c r="CQ551" s="100"/>
      <c r="CR551" s="100"/>
      <c r="CS551" s="100"/>
      <c r="CT551" s="100"/>
      <c r="CU551" s="100"/>
    </row>
    <row r="552" spans="6:99" s="36" customFormat="1" ht="11.1" customHeight="1" x14ac:dyDescent="0.25">
      <c r="F552" s="33"/>
      <c r="G552" s="33"/>
      <c r="H552" s="33"/>
      <c r="I552" s="34"/>
      <c r="J552" s="34"/>
      <c r="K552" s="14"/>
      <c r="L552" s="32"/>
      <c r="M552" s="14"/>
      <c r="N552" s="14"/>
      <c r="O552" s="2"/>
      <c r="P552"/>
      <c r="Q552" s="2"/>
      <c r="R552"/>
      <c r="S552"/>
      <c r="T552"/>
      <c r="U552" s="2"/>
      <c r="V552" s="2"/>
      <c r="W552" s="2"/>
      <c r="X552" s="2"/>
      <c r="Y552" s="2"/>
      <c r="Z552" s="11"/>
      <c r="AA552" s="15"/>
      <c r="AB552" s="15"/>
      <c r="AC552" s="15"/>
      <c r="AD552" s="35"/>
      <c r="AE552" s="99"/>
      <c r="AF552" s="99"/>
      <c r="AG552" s="35"/>
      <c r="AH552" s="35"/>
      <c r="AI552" s="35"/>
      <c r="AJ552" s="1"/>
      <c r="AK552" s="1"/>
      <c r="AL552" s="1"/>
      <c r="AM552" s="1"/>
      <c r="AN552" s="1"/>
      <c r="AO552" s="1"/>
      <c r="AP552"/>
      <c r="AQ552"/>
      <c r="AR552"/>
      <c r="AS552"/>
      <c r="AT552" s="50"/>
      <c r="AU552" s="97"/>
      <c r="AV552" s="97"/>
      <c r="AW552" s="97"/>
      <c r="AX552" s="97"/>
      <c r="AY552" s="97"/>
      <c r="BD552" s="35"/>
      <c r="BE552" s="35"/>
      <c r="BV552" s="98"/>
      <c r="BW552" s="98"/>
      <c r="BX552" s="98"/>
      <c r="BY552" s="112"/>
      <c r="BZ552" s="112"/>
      <c r="CA552" s="112"/>
      <c r="CB552" s="98"/>
      <c r="CC552" s="98"/>
      <c r="CD552" s="98"/>
      <c r="CE552" s="98"/>
      <c r="CG552" s="100"/>
      <c r="CH552" s="100"/>
      <c r="CI552" s="100"/>
      <c r="CJ552" s="100"/>
      <c r="CK552" s="100"/>
      <c r="CL552" s="100"/>
      <c r="CM552" s="100"/>
      <c r="CN552" s="100"/>
      <c r="CO552" s="100"/>
      <c r="CP552" s="100"/>
      <c r="CQ552" s="100"/>
      <c r="CR552" s="100"/>
      <c r="CS552" s="100"/>
      <c r="CT552" s="100"/>
      <c r="CU552" s="100"/>
    </row>
    <row r="553" spans="6:99" s="36" customFormat="1" ht="11.1" customHeight="1" x14ac:dyDescent="0.25">
      <c r="F553" s="33"/>
      <c r="G553" s="33"/>
      <c r="H553" s="33"/>
      <c r="I553" s="34"/>
      <c r="J553" s="34"/>
      <c r="K553" s="14"/>
      <c r="L553" s="32"/>
      <c r="M553" s="14"/>
      <c r="N553" s="14"/>
      <c r="O553" s="2"/>
      <c r="P553"/>
      <c r="Q553" s="2"/>
      <c r="R553"/>
      <c r="S553"/>
      <c r="T553"/>
      <c r="U553" s="2"/>
      <c r="V553" s="2"/>
      <c r="W553" s="2"/>
      <c r="X553" s="2"/>
      <c r="Y553" s="2"/>
      <c r="Z553" s="11"/>
      <c r="AA553" s="15"/>
      <c r="AB553" s="15"/>
      <c r="AC553" s="15"/>
      <c r="AD553" s="35"/>
      <c r="AE553" s="99"/>
      <c r="AF553" s="99"/>
      <c r="AG553" s="35"/>
      <c r="AH553" s="35"/>
      <c r="AI553" s="35"/>
      <c r="AJ553" s="1"/>
      <c r="AK553" s="1"/>
      <c r="AL553" s="1"/>
      <c r="AM553" s="1"/>
      <c r="AN553" s="1"/>
      <c r="AO553" s="1"/>
      <c r="AP553"/>
      <c r="AQ553"/>
      <c r="AR553"/>
      <c r="AS553"/>
      <c r="AT553" s="50"/>
      <c r="AU553" s="97"/>
      <c r="AV553" s="97"/>
      <c r="AW553" s="97"/>
      <c r="AX553" s="97"/>
      <c r="AY553" s="97"/>
      <c r="BD553" s="35"/>
      <c r="BE553" s="35"/>
      <c r="BV553" s="98"/>
      <c r="BW553" s="98"/>
      <c r="BX553" s="98"/>
      <c r="BY553" s="112"/>
      <c r="BZ553" s="112"/>
      <c r="CA553" s="112"/>
      <c r="CB553" s="98"/>
      <c r="CC553" s="98"/>
      <c r="CD553" s="98"/>
      <c r="CE553" s="98"/>
      <c r="CG553" s="100"/>
      <c r="CH553" s="100"/>
      <c r="CI553" s="100"/>
      <c r="CJ553" s="100"/>
      <c r="CK553" s="100"/>
      <c r="CL553" s="100"/>
      <c r="CM553" s="100"/>
      <c r="CN553" s="100"/>
      <c r="CO553" s="100"/>
      <c r="CP553" s="100"/>
      <c r="CQ553" s="100"/>
      <c r="CR553" s="100"/>
      <c r="CS553" s="100"/>
      <c r="CT553" s="100"/>
      <c r="CU553" s="100"/>
    </row>
    <row r="554" spans="6:99" s="36" customFormat="1" ht="11.1" customHeight="1" x14ac:dyDescent="0.25">
      <c r="F554" s="33"/>
      <c r="G554" s="33"/>
      <c r="H554" s="33"/>
      <c r="I554" s="34"/>
      <c r="J554" s="34"/>
      <c r="K554" s="14"/>
      <c r="L554" s="32"/>
      <c r="M554" s="14"/>
      <c r="N554" s="14"/>
      <c r="O554" s="2"/>
      <c r="P554"/>
      <c r="Q554" s="2"/>
      <c r="R554"/>
      <c r="S554"/>
      <c r="T554"/>
      <c r="U554" s="2"/>
      <c r="V554" s="2"/>
      <c r="W554" s="2"/>
      <c r="X554" s="2"/>
      <c r="Y554" s="2"/>
      <c r="Z554" s="11"/>
      <c r="AA554" s="15"/>
      <c r="AB554" s="15"/>
      <c r="AC554" s="15"/>
      <c r="AD554" s="35"/>
      <c r="AE554" s="99"/>
      <c r="AF554" s="99"/>
      <c r="AG554" s="35"/>
      <c r="AH554" s="35"/>
      <c r="AI554" s="35"/>
      <c r="AJ554" s="1"/>
      <c r="AK554" s="1"/>
      <c r="AL554" s="1"/>
      <c r="AM554" s="1"/>
      <c r="AN554" s="1"/>
      <c r="AO554" s="1"/>
      <c r="AP554"/>
      <c r="AQ554"/>
      <c r="AR554"/>
      <c r="AS554"/>
      <c r="AT554" s="50"/>
      <c r="AU554" s="97"/>
      <c r="AV554" s="97"/>
      <c r="AW554" s="97"/>
      <c r="AX554" s="97"/>
      <c r="AY554" s="97"/>
      <c r="BD554" s="35"/>
      <c r="BE554" s="35"/>
      <c r="BV554" s="98"/>
      <c r="BW554" s="98"/>
      <c r="BX554" s="98"/>
      <c r="BY554" s="112"/>
      <c r="BZ554" s="112"/>
      <c r="CA554" s="112"/>
      <c r="CB554" s="98"/>
      <c r="CC554" s="98"/>
      <c r="CD554" s="98"/>
      <c r="CE554" s="98"/>
      <c r="CG554" s="100"/>
      <c r="CH554" s="100"/>
      <c r="CI554" s="100"/>
      <c r="CJ554" s="100"/>
      <c r="CK554" s="100"/>
      <c r="CL554" s="100"/>
      <c r="CM554" s="100"/>
      <c r="CN554" s="100"/>
      <c r="CO554" s="100"/>
      <c r="CP554" s="100"/>
      <c r="CQ554" s="100"/>
      <c r="CR554" s="100"/>
      <c r="CS554" s="100"/>
      <c r="CT554" s="100"/>
      <c r="CU554" s="100"/>
    </row>
    <row r="555" spans="6:99" s="36" customFormat="1" ht="11.1" customHeight="1" x14ac:dyDescent="0.25">
      <c r="F555" s="33"/>
      <c r="G555" s="33"/>
      <c r="H555" s="33"/>
      <c r="I555" s="34"/>
      <c r="J555" s="34"/>
      <c r="K555" s="14"/>
      <c r="L555" s="32"/>
      <c r="M555" s="14"/>
      <c r="N555" s="14"/>
      <c r="O555" s="2"/>
      <c r="P555"/>
      <c r="Q555" s="2"/>
      <c r="R555"/>
      <c r="S555"/>
      <c r="T555"/>
      <c r="U555" s="2"/>
      <c r="V555" s="2"/>
      <c r="W555" s="2"/>
      <c r="X555" s="2"/>
      <c r="Y555" s="2"/>
      <c r="Z555" s="11"/>
      <c r="AA555" s="15"/>
      <c r="AB555" s="15"/>
      <c r="AC555" s="15"/>
      <c r="AD555" s="35"/>
      <c r="AE555" s="99"/>
      <c r="AF555" s="99"/>
      <c r="AG555" s="35"/>
      <c r="AH555" s="35"/>
      <c r="AI555" s="35"/>
      <c r="AJ555" s="1"/>
      <c r="AK555" s="1"/>
      <c r="AL555" s="1"/>
      <c r="AM555" s="1"/>
      <c r="AN555" s="1"/>
      <c r="AO555" s="1"/>
      <c r="AP555"/>
      <c r="AQ555"/>
      <c r="AR555"/>
      <c r="AS555"/>
      <c r="AT555" s="50"/>
      <c r="AU555" s="97"/>
      <c r="AV555" s="97"/>
      <c r="AW555" s="97"/>
      <c r="AX555" s="97"/>
      <c r="AY555" s="97"/>
      <c r="BD555" s="35"/>
      <c r="BE555" s="35"/>
      <c r="BV555" s="98"/>
      <c r="BW555" s="98"/>
      <c r="BX555" s="98"/>
      <c r="BY555" s="112"/>
      <c r="BZ555" s="112"/>
      <c r="CA555" s="112"/>
      <c r="CB555" s="98"/>
      <c r="CC555" s="98"/>
      <c r="CD555" s="98"/>
      <c r="CE555" s="98"/>
      <c r="CG555" s="100"/>
      <c r="CH555" s="100"/>
      <c r="CI555" s="100"/>
      <c r="CJ555" s="100"/>
      <c r="CK555" s="100"/>
      <c r="CL555" s="100"/>
      <c r="CM555" s="100"/>
      <c r="CN555" s="100"/>
      <c r="CO555" s="100"/>
      <c r="CP555" s="100"/>
      <c r="CQ555" s="100"/>
      <c r="CR555" s="100"/>
      <c r="CS555" s="100"/>
      <c r="CT555" s="100"/>
      <c r="CU555" s="100"/>
    </row>
    <row r="556" spans="6:99" s="36" customFormat="1" ht="11.1" customHeight="1" x14ac:dyDescent="0.25">
      <c r="F556" s="33"/>
      <c r="G556" s="33"/>
      <c r="H556" s="33"/>
      <c r="I556" s="34"/>
      <c r="J556" s="34"/>
      <c r="K556" s="14"/>
      <c r="L556" s="32"/>
      <c r="M556" s="14"/>
      <c r="N556" s="14"/>
      <c r="O556" s="2"/>
      <c r="P556"/>
      <c r="Q556" s="2"/>
      <c r="R556"/>
      <c r="S556"/>
      <c r="T556"/>
      <c r="U556" s="2"/>
      <c r="V556" s="2"/>
      <c r="W556" s="2"/>
      <c r="X556" s="2"/>
      <c r="Y556" s="2"/>
      <c r="Z556" s="11"/>
      <c r="AA556" s="15"/>
      <c r="AB556" s="15"/>
      <c r="AC556" s="15"/>
      <c r="AD556" s="35"/>
      <c r="AE556" s="99"/>
      <c r="AF556" s="99"/>
      <c r="AG556" s="35"/>
      <c r="AH556" s="35"/>
      <c r="AI556" s="35"/>
      <c r="AJ556" s="1"/>
      <c r="AK556" s="1"/>
      <c r="AL556" s="1"/>
      <c r="AM556" s="1"/>
      <c r="AN556" s="1"/>
      <c r="AO556" s="1"/>
      <c r="AP556"/>
      <c r="AQ556"/>
      <c r="AR556"/>
      <c r="AS556"/>
      <c r="AT556" s="50"/>
      <c r="AU556" s="97"/>
      <c r="AV556" s="97"/>
      <c r="AW556" s="97"/>
      <c r="AX556" s="97"/>
      <c r="AY556" s="97"/>
      <c r="BD556" s="35"/>
      <c r="BE556" s="35"/>
      <c r="BV556" s="98"/>
      <c r="BW556" s="98"/>
      <c r="BX556" s="98"/>
      <c r="BY556" s="112"/>
      <c r="BZ556" s="112"/>
      <c r="CA556" s="112"/>
      <c r="CB556" s="98"/>
      <c r="CC556" s="98"/>
      <c r="CD556" s="98"/>
      <c r="CE556" s="98"/>
      <c r="CG556" s="100"/>
      <c r="CH556" s="100"/>
      <c r="CI556" s="100"/>
      <c r="CJ556" s="100"/>
      <c r="CK556" s="100"/>
      <c r="CL556" s="100"/>
      <c r="CM556" s="100"/>
      <c r="CN556" s="100"/>
      <c r="CO556" s="100"/>
      <c r="CP556" s="100"/>
      <c r="CQ556" s="100"/>
      <c r="CR556" s="100"/>
      <c r="CS556" s="100"/>
      <c r="CT556" s="100"/>
      <c r="CU556" s="100"/>
    </row>
    <row r="557" spans="6:99" s="36" customFormat="1" ht="11.1" customHeight="1" x14ac:dyDescent="0.25">
      <c r="F557" s="33"/>
      <c r="G557" s="33"/>
      <c r="H557" s="33"/>
      <c r="I557" s="34"/>
      <c r="J557" s="34"/>
      <c r="K557" s="14"/>
      <c r="L557" s="32"/>
      <c r="M557" s="14"/>
      <c r="N557" s="14"/>
      <c r="O557" s="2"/>
      <c r="P557"/>
      <c r="Q557" s="2"/>
      <c r="R557"/>
      <c r="S557"/>
      <c r="T557"/>
      <c r="U557" s="2"/>
      <c r="V557" s="2"/>
      <c r="W557" s="2"/>
      <c r="X557" s="2"/>
      <c r="Y557" s="2"/>
      <c r="Z557" s="11"/>
      <c r="AA557" s="15"/>
      <c r="AB557" s="15"/>
      <c r="AC557" s="15"/>
      <c r="AD557" s="35"/>
      <c r="AE557" s="99"/>
      <c r="AF557" s="99"/>
      <c r="AG557" s="35"/>
      <c r="AH557" s="35"/>
      <c r="AI557" s="35"/>
      <c r="AJ557" s="1"/>
      <c r="AK557" s="1"/>
      <c r="AL557" s="1"/>
      <c r="AM557" s="1"/>
      <c r="AN557" s="1"/>
      <c r="AO557" s="1"/>
      <c r="AP557"/>
      <c r="AQ557"/>
      <c r="AR557"/>
      <c r="AS557"/>
      <c r="AT557" s="50"/>
      <c r="AU557" s="97"/>
      <c r="AV557" s="97"/>
      <c r="AW557" s="97"/>
      <c r="AX557" s="97"/>
      <c r="AY557" s="97"/>
      <c r="BD557" s="35"/>
      <c r="BE557" s="35"/>
      <c r="BV557" s="98"/>
      <c r="BW557" s="98"/>
      <c r="BX557" s="98"/>
      <c r="BY557" s="112"/>
      <c r="BZ557" s="112"/>
      <c r="CA557" s="112"/>
      <c r="CB557" s="98"/>
      <c r="CC557" s="98"/>
      <c r="CD557" s="98"/>
      <c r="CE557" s="98"/>
      <c r="CG557" s="100"/>
      <c r="CH557" s="100"/>
      <c r="CI557" s="100"/>
      <c r="CJ557" s="100"/>
      <c r="CK557" s="100"/>
      <c r="CL557" s="100"/>
      <c r="CM557" s="100"/>
      <c r="CN557" s="100"/>
      <c r="CO557" s="100"/>
      <c r="CP557" s="100"/>
      <c r="CQ557" s="100"/>
      <c r="CR557" s="100"/>
      <c r="CS557" s="100"/>
      <c r="CT557" s="100"/>
      <c r="CU557" s="100"/>
    </row>
    <row r="558" spans="6:99" s="36" customFormat="1" ht="11.1" customHeight="1" x14ac:dyDescent="0.25">
      <c r="F558" s="33"/>
      <c r="G558" s="33"/>
      <c r="H558" s="33"/>
      <c r="I558" s="34"/>
      <c r="J558" s="34"/>
      <c r="K558" s="14"/>
      <c r="L558" s="32"/>
      <c r="M558" s="14"/>
      <c r="N558" s="14"/>
      <c r="O558" s="2"/>
      <c r="P558"/>
      <c r="Q558" s="2"/>
      <c r="R558"/>
      <c r="S558"/>
      <c r="T558"/>
      <c r="U558" s="2"/>
      <c r="V558" s="2"/>
      <c r="W558" s="2"/>
      <c r="X558" s="2"/>
      <c r="Y558" s="2"/>
      <c r="Z558" s="11"/>
      <c r="AA558" s="15"/>
      <c r="AB558" s="15"/>
      <c r="AC558" s="15"/>
      <c r="AD558" s="35"/>
      <c r="AE558" s="99"/>
      <c r="AF558" s="99"/>
      <c r="AG558" s="35"/>
      <c r="AH558" s="35"/>
      <c r="AI558" s="35"/>
      <c r="AJ558" s="1"/>
      <c r="AK558" s="1"/>
      <c r="AL558" s="1"/>
      <c r="AM558" s="1"/>
      <c r="AN558" s="1"/>
      <c r="AO558" s="1"/>
      <c r="AP558"/>
      <c r="AQ558"/>
      <c r="AR558"/>
      <c r="AS558"/>
      <c r="AT558" s="50"/>
      <c r="AU558" s="97"/>
      <c r="AV558" s="97"/>
      <c r="AW558" s="97"/>
      <c r="AX558" s="97"/>
      <c r="AY558" s="97"/>
      <c r="BD558" s="35"/>
      <c r="BE558" s="35"/>
      <c r="BV558" s="98"/>
      <c r="BW558" s="98"/>
      <c r="BX558" s="98"/>
      <c r="BY558" s="112"/>
      <c r="BZ558" s="112"/>
      <c r="CA558" s="112"/>
      <c r="CB558" s="98"/>
      <c r="CC558" s="98"/>
      <c r="CD558" s="98"/>
      <c r="CE558" s="98"/>
      <c r="CG558" s="100"/>
      <c r="CH558" s="100"/>
      <c r="CI558" s="100"/>
      <c r="CJ558" s="100"/>
      <c r="CK558" s="100"/>
      <c r="CL558" s="100"/>
      <c r="CM558" s="100"/>
      <c r="CN558" s="100"/>
      <c r="CO558" s="100"/>
      <c r="CP558" s="100"/>
      <c r="CQ558" s="100"/>
      <c r="CR558" s="100"/>
      <c r="CS558" s="100"/>
      <c r="CT558" s="100"/>
      <c r="CU558" s="100"/>
    </row>
    <row r="559" spans="6:99" s="36" customFormat="1" ht="11.1" customHeight="1" x14ac:dyDescent="0.25">
      <c r="F559" s="33"/>
      <c r="G559" s="33"/>
      <c r="H559" s="33"/>
      <c r="I559" s="34"/>
      <c r="J559" s="34"/>
      <c r="K559" s="14"/>
      <c r="L559" s="32"/>
      <c r="M559" s="14"/>
      <c r="N559" s="14"/>
      <c r="O559" s="2"/>
      <c r="P559"/>
      <c r="Q559" s="2"/>
      <c r="R559"/>
      <c r="S559"/>
      <c r="T559"/>
      <c r="U559" s="2"/>
      <c r="V559" s="2"/>
      <c r="W559" s="2"/>
      <c r="X559" s="2"/>
      <c r="Y559" s="2"/>
      <c r="Z559" s="11"/>
      <c r="AA559" s="15"/>
      <c r="AB559" s="15"/>
      <c r="AC559" s="15"/>
      <c r="AD559" s="35"/>
      <c r="AE559" s="99"/>
      <c r="AF559" s="99"/>
      <c r="AG559" s="35"/>
      <c r="AH559" s="35"/>
      <c r="AI559" s="35"/>
      <c r="AJ559" s="1"/>
      <c r="AK559" s="1"/>
      <c r="AL559" s="1"/>
      <c r="AM559" s="1"/>
      <c r="AN559" s="1"/>
      <c r="AO559" s="1"/>
      <c r="AP559"/>
      <c r="AQ559"/>
      <c r="AR559"/>
      <c r="AS559"/>
      <c r="AT559" s="50"/>
      <c r="AU559" s="97"/>
      <c r="AV559" s="97"/>
      <c r="AW559" s="97"/>
      <c r="AX559" s="97"/>
      <c r="AY559" s="97"/>
      <c r="BD559" s="35"/>
      <c r="BE559" s="35"/>
      <c r="BV559" s="98"/>
      <c r="BW559" s="98"/>
      <c r="BX559" s="98"/>
      <c r="BY559" s="112"/>
      <c r="BZ559" s="112"/>
      <c r="CA559" s="112"/>
      <c r="CB559" s="98"/>
      <c r="CC559" s="98"/>
      <c r="CD559" s="98"/>
      <c r="CE559" s="98"/>
      <c r="CG559" s="100"/>
      <c r="CH559" s="100"/>
      <c r="CI559" s="100"/>
      <c r="CJ559" s="100"/>
      <c r="CK559" s="100"/>
      <c r="CL559" s="100"/>
      <c r="CM559" s="100"/>
      <c r="CN559" s="100"/>
      <c r="CO559" s="100"/>
      <c r="CP559" s="100"/>
      <c r="CQ559" s="100"/>
      <c r="CR559" s="100"/>
      <c r="CS559" s="100"/>
      <c r="CT559" s="100"/>
      <c r="CU559" s="100"/>
    </row>
    <row r="560" spans="6:99" s="36" customFormat="1" ht="11.1" customHeight="1" x14ac:dyDescent="0.25">
      <c r="F560" s="33"/>
      <c r="G560" s="33"/>
      <c r="H560" s="33"/>
      <c r="I560" s="34"/>
      <c r="J560" s="34"/>
      <c r="K560" s="14"/>
      <c r="L560" s="32"/>
      <c r="M560" s="14"/>
      <c r="N560" s="14"/>
      <c r="O560" s="2"/>
      <c r="P560"/>
      <c r="Q560" s="2"/>
      <c r="R560"/>
      <c r="S560"/>
      <c r="T560"/>
      <c r="U560" s="2"/>
      <c r="V560" s="2"/>
      <c r="W560" s="2"/>
      <c r="X560" s="2"/>
      <c r="Y560" s="2"/>
      <c r="Z560" s="11"/>
      <c r="AA560" s="15"/>
      <c r="AB560" s="15"/>
      <c r="AC560" s="15"/>
      <c r="AD560" s="35"/>
      <c r="AE560" s="99"/>
      <c r="AF560" s="99"/>
      <c r="AG560" s="35"/>
      <c r="AH560" s="35"/>
      <c r="AI560" s="35"/>
      <c r="AJ560" s="1"/>
      <c r="AK560" s="1"/>
      <c r="AL560" s="1"/>
      <c r="AM560" s="1"/>
      <c r="AN560" s="1"/>
      <c r="AO560" s="1"/>
      <c r="AP560"/>
      <c r="AQ560"/>
      <c r="AR560"/>
      <c r="AS560"/>
      <c r="AT560" s="50"/>
      <c r="AU560" s="97"/>
      <c r="AV560" s="97"/>
      <c r="AW560" s="97"/>
      <c r="AX560" s="97"/>
      <c r="AY560" s="97"/>
      <c r="BD560" s="35"/>
      <c r="BE560" s="35"/>
      <c r="BV560" s="98"/>
      <c r="BW560" s="98"/>
      <c r="BX560" s="98"/>
      <c r="BY560" s="112"/>
      <c r="BZ560" s="112"/>
      <c r="CA560" s="112"/>
      <c r="CB560" s="98"/>
      <c r="CC560" s="98"/>
      <c r="CD560" s="98"/>
      <c r="CE560" s="98"/>
      <c r="CG560" s="100"/>
      <c r="CH560" s="100"/>
      <c r="CI560" s="100"/>
      <c r="CJ560" s="100"/>
      <c r="CK560" s="100"/>
      <c r="CL560" s="100"/>
      <c r="CM560" s="100"/>
      <c r="CN560" s="100"/>
      <c r="CO560" s="100"/>
      <c r="CP560" s="100"/>
      <c r="CQ560" s="100"/>
      <c r="CR560" s="100"/>
      <c r="CS560" s="100"/>
      <c r="CT560" s="100"/>
      <c r="CU560" s="100"/>
    </row>
    <row r="561" spans="6:99" s="36" customFormat="1" ht="11.1" customHeight="1" x14ac:dyDescent="0.25">
      <c r="F561" s="33"/>
      <c r="G561" s="33"/>
      <c r="H561" s="33"/>
      <c r="I561" s="34"/>
      <c r="J561" s="34"/>
      <c r="K561" s="14"/>
      <c r="L561" s="32"/>
      <c r="M561" s="14"/>
      <c r="N561" s="14"/>
      <c r="O561" s="2"/>
      <c r="P561"/>
      <c r="Q561" s="2"/>
      <c r="R561"/>
      <c r="S561"/>
      <c r="T561"/>
      <c r="U561" s="2"/>
      <c r="V561" s="2"/>
      <c r="W561" s="2"/>
      <c r="X561" s="2"/>
      <c r="Y561" s="2"/>
      <c r="Z561" s="11"/>
      <c r="AA561" s="15"/>
      <c r="AB561" s="15"/>
      <c r="AC561" s="15"/>
      <c r="AD561" s="35"/>
      <c r="AE561" s="99"/>
      <c r="AF561" s="99"/>
      <c r="AG561" s="35"/>
      <c r="AH561" s="35"/>
      <c r="AI561" s="35"/>
      <c r="AJ561" s="1"/>
      <c r="AK561" s="1"/>
      <c r="AL561" s="1"/>
      <c r="AM561" s="1"/>
      <c r="AN561" s="1"/>
      <c r="AO561" s="1"/>
      <c r="AP561"/>
      <c r="AQ561"/>
      <c r="AR561"/>
      <c r="AS561"/>
      <c r="AT561" s="50"/>
      <c r="AU561" s="97"/>
      <c r="AV561" s="97"/>
      <c r="AW561" s="97"/>
      <c r="AX561" s="97"/>
      <c r="AY561" s="97"/>
      <c r="BD561" s="35"/>
      <c r="BE561" s="35"/>
      <c r="BV561" s="98"/>
      <c r="BW561" s="98"/>
      <c r="BX561" s="98"/>
      <c r="BY561" s="112"/>
      <c r="BZ561" s="112"/>
      <c r="CA561" s="112"/>
      <c r="CB561" s="98"/>
      <c r="CC561" s="98"/>
      <c r="CD561" s="98"/>
      <c r="CE561" s="98"/>
      <c r="CG561" s="100"/>
      <c r="CH561" s="100"/>
      <c r="CI561" s="100"/>
      <c r="CJ561" s="100"/>
      <c r="CK561" s="100"/>
      <c r="CL561" s="100"/>
      <c r="CM561" s="100"/>
      <c r="CN561" s="100"/>
      <c r="CO561" s="100"/>
      <c r="CP561" s="100"/>
      <c r="CQ561" s="100"/>
      <c r="CR561" s="100"/>
      <c r="CS561" s="100"/>
      <c r="CT561" s="100"/>
      <c r="CU561" s="100"/>
    </row>
    <row r="562" spans="6:99" s="36" customFormat="1" ht="11.1" customHeight="1" x14ac:dyDescent="0.25">
      <c r="F562" s="33"/>
      <c r="G562" s="33"/>
      <c r="H562" s="33"/>
      <c r="I562" s="34"/>
      <c r="J562" s="34"/>
      <c r="K562" s="14"/>
      <c r="L562" s="32"/>
      <c r="M562" s="14"/>
      <c r="N562" s="14"/>
      <c r="O562" s="2"/>
      <c r="P562"/>
      <c r="Q562" s="2"/>
      <c r="R562"/>
      <c r="S562"/>
      <c r="T562"/>
      <c r="U562" s="2"/>
      <c r="V562" s="2"/>
      <c r="W562" s="2"/>
      <c r="X562" s="2"/>
      <c r="Y562" s="2"/>
      <c r="Z562" s="11"/>
      <c r="AA562" s="15"/>
      <c r="AB562" s="15"/>
      <c r="AC562" s="15"/>
      <c r="AD562" s="35"/>
      <c r="AE562" s="99"/>
      <c r="AF562" s="99"/>
      <c r="AG562" s="35"/>
      <c r="AH562" s="35"/>
      <c r="AI562" s="35"/>
      <c r="AJ562" s="1"/>
      <c r="AK562" s="1"/>
      <c r="AL562" s="1"/>
      <c r="AM562" s="1"/>
      <c r="AN562" s="1"/>
      <c r="AO562" s="1"/>
      <c r="AP562"/>
      <c r="AQ562"/>
      <c r="AR562"/>
      <c r="AS562"/>
      <c r="AT562" s="50"/>
      <c r="AU562" s="97"/>
      <c r="AV562" s="97"/>
      <c r="AW562" s="97"/>
      <c r="AX562" s="97"/>
      <c r="AY562" s="97"/>
      <c r="BD562" s="35"/>
      <c r="BE562" s="35"/>
      <c r="BV562" s="98"/>
      <c r="BW562" s="98"/>
      <c r="BX562" s="98"/>
      <c r="BY562" s="112"/>
      <c r="BZ562" s="112"/>
      <c r="CA562" s="112"/>
      <c r="CB562" s="98"/>
      <c r="CC562" s="98"/>
      <c r="CD562" s="98"/>
      <c r="CE562" s="98"/>
      <c r="CG562" s="100"/>
      <c r="CH562" s="100"/>
      <c r="CI562" s="100"/>
      <c r="CJ562" s="100"/>
      <c r="CK562" s="100"/>
      <c r="CL562" s="100"/>
      <c r="CM562" s="100"/>
      <c r="CN562" s="100"/>
      <c r="CO562" s="100"/>
      <c r="CP562" s="100"/>
      <c r="CQ562" s="100"/>
      <c r="CR562" s="100"/>
      <c r="CS562" s="100"/>
      <c r="CT562" s="100"/>
      <c r="CU562" s="100"/>
    </row>
    <row r="563" spans="6:99" s="36" customFormat="1" ht="11.1" customHeight="1" x14ac:dyDescent="0.25">
      <c r="F563" s="33"/>
      <c r="G563" s="33"/>
      <c r="H563" s="33"/>
      <c r="I563" s="34"/>
      <c r="J563" s="34"/>
      <c r="K563" s="14"/>
      <c r="L563" s="32"/>
      <c r="M563" s="14"/>
      <c r="N563" s="14"/>
      <c r="O563" s="2"/>
      <c r="P563"/>
      <c r="Q563" s="2"/>
      <c r="R563"/>
      <c r="S563"/>
      <c r="T563"/>
      <c r="U563" s="2"/>
      <c r="V563" s="2"/>
      <c r="W563" s="2"/>
      <c r="X563" s="2"/>
      <c r="Y563" s="2"/>
      <c r="Z563" s="11"/>
      <c r="AA563" s="15"/>
      <c r="AB563" s="15"/>
      <c r="AC563" s="15"/>
      <c r="AD563" s="35"/>
      <c r="AE563" s="99"/>
      <c r="AF563" s="99"/>
      <c r="AG563" s="35"/>
      <c r="AH563" s="35"/>
      <c r="AI563" s="35"/>
      <c r="AJ563" s="1"/>
      <c r="AK563" s="1"/>
      <c r="AL563" s="1"/>
      <c r="AM563" s="1"/>
      <c r="AN563" s="1"/>
      <c r="AO563" s="1"/>
      <c r="AP563"/>
      <c r="AQ563"/>
      <c r="AR563"/>
      <c r="AS563"/>
      <c r="AT563" s="50"/>
      <c r="AU563" s="97"/>
      <c r="AV563" s="97"/>
      <c r="AW563" s="97"/>
      <c r="AX563" s="97"/>
      <c r="AY563" s="97"/>
      <c r="BD563" s="35"/>
      <c r="BE563" s="35"/>
      <c r="BV563" s="98"/>
      <c r="BW563" s="98"/>
      <c r="BX563" s="98"/>
      <c r="BY563" s="112"/>
      <c r="BZ563" s="112"/>
      <c r="CA563" s="112"/>
      <c r="CB563" s="98"/>
      <c r="CC563" s="98"/>
      <c r="CD563" s="98"/>
      <c r="CE563" s="98"/>
      <c r="CG563" s="100"/>
      <c r="CH563" s="100"/>
      <c r="CI563" s="100"/>
      <c r="CJ563" s="100"/>
      <c r="CK563" s="100"/>
      <c r="CL563" s="100"/>
      <c r="CM563" s="100"/>
      <c r="CN563" s="100"/>
      <c r="CO563" s="100"/>
      <c r="CP563" s="100"/>
      <c r="CQ563" s="100"/>
      <c r="CR563" s="100"/>
      <c r="CS563" s="100"/>
      <c r="CT563" s="100"/>
      <c r="CU563" s="100"/>
    </row>
    <row r="564" spans="6:99" s="36" customFormat="1" ht="11.1" customHeight="1" x14ac:dyDescent="0.25">
      <c r="F564" s="33"/>
      <c r="G564" s="33"/>
      <c r="H564" s="33"/>
      <c r="I564" s="34"/>
      <c r="J564" s="34"/>
      <c r="K564" s="14"/>
      <c r="L564" s="32"/>
      <c r="M564" s="14"/>
      <c r="N564" s="14"/>
      <c r="O564" s="2"/>
      <c r="P564"/>
      <c r="Q564" s="2"/>
      <c r="R564"/>
      <c r="S564"/>
      <c r="T564"/>
      <c r="U564" s="2"/>
      <c r="V564" s="2"/>
      <c r="W564" s="2"/>
      <c r="X564" s="2"/>
      <c r="Y564" s="2"/>
      <c r="Z564" s="11"/>
      <c r="AA564" s="15"/>
      <c r="AB564" s="15"/>
      <c r="AC564" s="15"/>
      <c r="AD564" s="35"/>
      <c r="AE564" s="99"/>
      <c r="AF564" s="99"/>
      <c r="AG564" s="35"/>
      <c r="AH564" s="35"/>
      <c r="AI564" s="35"/>
      <c r="AJ564" s="1"/>
      <c r="AK564" s="1"/>
      <c r="AL564" s="1"/>
      <c r="AM564" s="1"/>
      <c r="AN564" s="1"/>
      <c r="AO564" s="1"/>
      <c r="AP564"/>
      <c r="AQ564"/>
      <c r="AR564"/>
      <c r="AS564"/>
      <c r="AT564" s="50"/>
      <c r="AU564" s="97"/>
      <c r="AV564" s="97"/>
      <c r="AW564" s="97"/>
      <c r="AX564" s="97"/>
      <c r="AY564" s="97"/>
      <c r="BD564" s="35"/>
      <c r="BE564" s="35"/>
      <c r="BV564" s="98"/>
      <c r="BW564" s="98"/>
      <c r="BX564" s="98"/>
      <c r="BY564" s="112"/>
      <c r="BZ564" s="112"/>
      <c r="CA564" s="112"/>
      <c r="CB564" s="98"/>
      <c r="CC564" s="98"/>
      <c r="CD564" s="98"/>
      <c r="CE564" s="98"/>
      <c r="CG564" s="100"/>
      <c r="CH564" s="100"/>
      <c r="CI564" s="100"/>
      <c r="CJ564" s="100"/>
      <c r="CK564" s="100"/>
      <c r="CL564" s="100"/>
      <c r="CM564" s="100"/>
      <c r="CN564" s="100"/>
      <c r="CO564" s="100"/>
      <c r="CP564" s="100"/>
      <c r="CQ564" s="100"/>
      <c r="CR564" s="100"/>
      <c r="CS564" s="100"/>
      <c r="CT564" s="100"/>
      <c r="CU564" s="100"/>
    </row>
    <row r="565" spans="6:99" s="36" customFormat="1" ht="11.1" customHeight="1" x14ac:dyDescent="0.25">
      <c r="F565" s="33"/>
      <c r="G565" s="33"/>
      <c r="H565" s="33"/>
      <c r="I565" s="34"/>
      <c r="J565" s="34"/>
      <c r="K565" s="14"/>
      <c r="L565" s="32"/>
      <c r="M565" s="14"/>
      <c r="N565" s="14"/>
      <c r="O565" s="2"/>
      <c r="P565"/>
      <c r="Q565" s="2"/>
      <c r="R565"/>
      <c r="S565"/>
      <c r="T565"/>
      <c r="U565" s="2"/>
      <c r="V565" s="2"/>
      <c r="W565" s="2"/>
      <c r="X565" s="2"/>
      <c r="Y565" s="2"/>
      <c r="Z565" s="11"/>
      <c r="AA565" s="15"/>
      <c r="AB565" s="15"/>
      <c r="AC565" s="15"/>
      <c r="AD565" s="35"/>
      <c r="AE565" s="99"/>
      <c r="AF565" s="99"/>
      <c r="AG565" s="35"/>
      <c r="AH565" s="35"/>
      <c r="AI565" s="35"/>
      <c r="AJ565" s="1"/>
      <c r="AK565" s="1"/>
      <c r="AL565" s="1"/>
      <c r="AM565" s="1"/>
      <c r="AN565" s="1"/>
      <c r="AO565" s="1"/>
      <c r="AP565"/>
      <c r="AQ565"/>
      <c r="AR565"/>
      <c r="AS565"/>
      <c r="AT565" s="50"/>
      <c r="AU565" s="97"/>
      <c r="AV565" s="97"/>
      <c r="AW565" s="97"/>
      <c r="AX565" s="97"/>
      <c r="AY565" s="97"/>
      <c r="BD565" s="35"/>
      <c r="BE565" s="35"/>
      <c r="BV565" s="98"/>
      <c r="BW565" s="98"/>
      <c r="BX565" s="98"/>
      <c r="BY565" s="112"/>
      <c r="BZ565" s="112"/>
      <c r="CA565" s="112"/>
      <c r="CB565" s="98"/>
      <c r="CC565" s="98"/>
      <c r="CD565" s="98"/>
      <c r="CE565" s="98"/>
      <c r="CG565" s="100"/>
      <c r="CH565" s="100"/>
      <c r="CI565" s="100"/>
      <c r="CJ565" s="100"/>
      <c r="CK565" s="100"/>
      <c r="CL565" s="100"/>
      <c r="CM565" s="100"/>
      <c r="CN565" s="100"/>
      <c r="CO565" s="100"/>
      <c r="CP565" s="100"/>
      <c r="CQ565" s="100"/>
      <c r="CR565" s="100"/>
      <c r="CS565" s="100"/>
      <c r="CT565" s="100"/>
      <c r="CU565" s="100"/>
    </row>
    <row r="566" spans="6:99" s="36" customFormat="1" ht="11.1" customHeight="1" x14ac:dyDescent="0.25">
      <c r="F566" s="33"/>
      <c r="G566" s="33"/>
      <c r="H566" s="33"/>
      <c r="I566" s="34"/>
      <c r="J566" s="34"/>
      <c r="K566" s="14"/>
      <c r="L566" s="32"/>
      <c r="M566" s="14"/>
      <c r="N566" s="14"/>
      <c r="O566" s="2"/>
      <c r="P566"/>
      <c r="Q566" s="2"/>
      <c r="R566"/>
      <c r="S566"/>
      <c r="T566"/>
      <c r="U566" s="2"/>
      <c r="V566" s="2"/>
      <c r="W566" s="2"/>
      <c r="X566" s="2"/>
      <c r="Y566" s="2"/>
      <c r="Z566" s="11"/>
      <c r="AA566" s="15"/>
      <c r="AB566" s="15"/>
      <c r="AC566" s="15"/>
      <c r="AD566" s="35"/>
      <c r="AE566" s="99"/>
      <c r="AF566" s="99"/>
      <c r="AG566" s="35"/>
      <c r="AH566" s="35"/>
      <c r="AI566" s="35"/>
      <c r="AJ566" s="1"/>
      <c r="AK566" s="1"/>
      <c r="AL566" s="1"/>
      <c r="AM566" s="1"/>
      <c r="AN566" s="1"/>
      <c r="AO566" s="1"/>
      <c r="AP566"/>
      <c r="AQ566"/>
      <c r="AR566"/>
      <c r="AS566"/>
      <c r="AT566" s="50"/>
      <c r="AU566" s="97"/>
      <c r="AV566" s="97"/>
      <c r="AW566" s="97"/>
      <c r="AX566" s="97"/>
      <c r="AY566" s="97"/>
      <c r="BD566" s="35"/>
      <c r="BE566" s="35"/>
      <c r="BV566" s="98"/>
      <c r="BW566" s="98"/>
      <c r="BX566" s="98"/>
      <c r="BY566" s="112"/>
      <c r="BZ566" s="112"/>
      <c r="CA566" s="112"/>
      <c r="CB566" s="98"/>
      <c r="CC566" s="98"/>
      <c r="CD566" s="98"/>
      <c r="CE566" s="98"/>
      <c r="CG566" s="100"/>
      <c r="CH566" s="100"/>
      <c r="CI566" s="100"/>
      <c r="CJ566" s="100"/>
      <c r="CK566" s="100"/>
      <c r="CL566" s="100"/>
      <c r="CM566" s="100"/>
      <c r="CN566" s="100"/>
      <c r="CO566" s="100"/>
      <c r="CP566" s="100"/>
      <c r="CQ566" s="100"/>
      <c r="CR566" s="100"/>
      <c r="CS566" s="100"/>
      <c r="CT566" s="100"/>
      <c r="CU566" s="100"/>
    </row>
    <row r="567" spans="6:99" s="36" customFormat="1" ht="11.1" customHeight="1" x14ac:dyDescent="0.25">
      <c r="F567" s="33"/>
      <c r="G567" s="33"/>
      <c r="H567" s="33"/>
      <c r="I567" s="34"/>
      <c r="J567" s="34"/>
      <c r="K567" s="14"/>
      <c r="L567" s="32"/>
      <c r="M567" s="14"/>
      <c r="N567" s="14"/>
      <c r="O567" s="2"/>
      <c r="P567"/>
      <c r="Q567" s="2"/>
      <c r="R567"/>
      <c r="S567"/>
      <c r="T567"/>
      <c r="U567" s="2"/>
      <c r="V567" s="2"/>
      <c r="W567" s="2"/>
      <c r="X567" s="2"/>
      <c r="Y567" s="2"/>
      <c r="Z567" s="11"/>
      <c r="AA567" s="15"/>
      <c r="AB567" s="15"/>
      <c r="AC567" s="15"/>
      <c r="AD567" s="35"/>
      <c r="AE567" s="99"/>
      <c r="AF567" s="99"/>
      <c r="AG567" s="35"/>
      <c r="AH567" s="35"/>
      <c r="AI567" s="35"/>
      <c r="AJ567" s="1"/>
      <c r="AK567" s="1"/>
      <c r="AL567" s="1"/>
      <c r="AM567" s="1"/>
      <c r="AN567" s="1"/>
      <c r="AO567" s="1"/>
      <c r="AP567"/>
      <c r="AQ567"/>
      <c r="AR567"/>
      <c r="AS567"/>
      <c r="AT567" s="50"/>
      <c r="AU567" s="97"/>
      <c r="AV567" s="97"/>
      <c r="AW567" s="97"/>
      <c r="AX567" s="97"/>
      <c r="AY567" s="97"/>
      <c r="BD567" s="35"/>
      <c r="BE567" s="35"/>
      <c r="BV567" s="98"/>
      <c r="BW567" s="98"/>
      <c r="BX567" s="98"/>
      <c r="BY567" s="112"/>
      <c r="BZ567" s="112"/>
      <c r="CA567" s="112"/>
      <c r="CB567" s="98"/>
      <c r="CC567" s="98"/>
      <c r="CD567" s="98"/>
      <c r="CE567" s="98"/>
      <c r="CG567" s="100"/>
      <c r="CH567" s="100"/>
      <c r="CI567" s="100"/>
      <c r="CJ567" s="100"/>
      <c r="CK567" s="100"/>
      <c r="CL567" s="100"/>
      <c r="CM567" s="100"/>
      <c r="CN567" s="100"/>
      <c r="CO567" s="100"/>
      <c r="CP567" s="100"/>
      <c r="CQ567" s="100"/>
      <c r="CR567" s="100"/>
      <c r="CS567" s="100"/>
      <c r="CT567" s="100"/>
      <c r="CU567" s="100"/>
    </row>
    <row r="568" spans="6:99" s="36" customFormat="1" ht="11.1" customHeight="1" x14ac:dyDescent="0.25">
      <c r="F568" s="33"/>
      <c r="G568" s="33"/>
      <c r="H568" s="33"/>
      <c r="I568" s="34"/>
      <c r="J568" s="34"/>
      <c r="K568" s="14"/>
      <c r="L568" s="32"/>
      <c r="M568" s="14"/>
      <c r="N568" s="14"/>
      <c r="O568" s="2"/>
      <c r="P568"/>
      <c r="Q568" s="2"/>
      <c r="R568"/>
      <c r="S568"/>
      <c r="T568"/>
      <c r="U568" s="2"/>
      <c r="V568" s="2"/>
      <c r="W568" s="2"/>
      <c r="X568" s="2"/>
      <c r="Y568" s="2"/>
      <c r="Z568" s="11"/>
      <c r="AA568" s="15"/>
      <c r="AB568" s="15"/>
      <c r="AC568" s="15"/>
      <c r="AD568" s="35"/>
      <c r="AE568" s="99"/>
      <c r="AF568" s="99"/>
      <c r="AG568" s="35"/>
      <c r="AH568" s="35"/>
      <c r="AI568" s="35"/>
      <c r="AJ568" s="1"/>
      <c r="AK568" s="1"/>
      <c r="AL568" s="1"/>
      <c r="AM568" s="1"/>
      <c r="AN568" s="1"/>
      <c r="AO568" s="1"/>
      <c r="AP568"/>
      <c r="AQ568"/>
      <c r="AR568"/>
      <c r="AS568"/>
      <c r="AT568" s="50"/>
      <c r="AU568" s="97"/>
      <c r="AV568" s="97"/>
      <c r="AW568" s="97"/>
      <c r="AX568" s="97"/>
      <c r="AY568" s="97"/>
      <c r="BD568" s="35"/>
      <c r="BE568" s="35"/>
      <c r="BV568" s="98"/>
      <c r="BW568" s="98"/>
      <c r="BX568" s="98"/>
      <c r="BY568" s="112"/>
      <c r="BZ568" s="112"/>
      <c r="CA568" s="112"/>
      <c r="CB568" s="98"/>
      <c r="CC568" s="98"/>
      <c r="CD568" s="98"/>
      <c r="CE568" s="98"/>
      <c r="CG568" s="100"/>
      <c r="CH568" s="100"/>
      <c r="CI568" s="100"/>
      <c r="CJ568" s="100"/>
      <c r="CK568" s="100"/>
      <c r="CL568" s="100"/>
      <c r="CM568" s="100"/>
      <c r="CN568" s="100"/>
      <c r="CO568" s="100"/>
      <c r="CP568" s="100"/>
      <c r="CQ568" s="100"/>
      <c r="CR568" s="100"/>
      <c r="CS568" s="100"/>
      <c r="CT568" s="100"/>
      <c r="CU568" s="100"/>
    </row>
    <row r="569" spans="6:99" s="36" customFormat="1" ht="11.1" customHeight="1" x14ac:dyDescent="0.25">
      <c r="F569" s="33"/>
      <c r="G569" s="33"/>
      <c r="H569" s="33"/>
      <c r="I569" s="34"/>
      <c r="J569" s="34"/>
      <c r="K569" s="14"/>
      <c r="L569" s="32"/>
      <c r="M569" s="14"/>
      <c r="N569" s="14"/>
      <c r="O569" s="2"/>
      <c r="P569"/>
      <c r="Q569" s="2"/>
      <c r="R569"/>
      <c r="S569"/>
      <c r="T569"/>
      <c r="U569" s="2"/>
      <c r="V569" s="2"/>
      <c r="W569" s="2"/>
      <c r="X569" s="2"/>
      <c r="Y569" s="2"/>
      <c r="Z569" s="11"/>
      <c r="AA569" s="15"/>
      <c r="AB569" s="15"/>
      <c r="AC569" s="15"/>
      <c r="AD569" s="35"/>
      <c r="AE569" s="99"/>
      <c r="AF569" s="99"/>
      <c r="AG569" s="35"/>
      <c r="AH569" s="35"/>
      <c r="AI569" s="35"/>
      <c r="AJ569" s="1"/>
      <c r="AK569" s="1"/>
      <c r="AL569" s="1"/>
      <c r="AM569" s="1"/>
      <c r="AN569" s="1"/>
      <c r="AO569" s="1"/>
      <c r="AP569"/>
      <c r="AQ569"/>
      <c r="AR569"/>
      <c r="AS569"/>
      <c r="AT569" s="50"/>
      <c r="AU569" s="97"/>
      <c r="AV569" s="97"/>
      <c r="AW569" s="97"/>
      <c r="AX569" s="97"/>
      <c r="AY569" s="97"/>
      <c r="BD569" s="35"/>
      <c r="BE569" s="35"/>
      <c r="BV569" s="98"/>
      <c r="BW569" s="98"/>
      <c r="BX569" s="98"/>
      <c r="BY569" s="112"/>
      <c r="BZ569" s="112"/>
      <c r="CA569" s="112"/>
      <c r="CB569" s="98"/>
      <c r="CC569" s="98"/>
      <c r="CD569" s="98"/>
      <c r="CE569" s="98"/>
      <c r="CG569" s="100"/>
      <c r="CH569" s="100"/>
      <c r="CI569" s="100"/>
      <c r="CJ569" s="100"/>
      <c r="CK569" s="100"/>
      <c r="CL569" s="100"/>
      <c r="CM569" s="100"/>
      <c r="CN569" s="100"/>
      <c r="CO569" s="100"/>
      <c r="CP569" s="100"/>
      <c r="CQ569" s="100"/>
      <c r="CR569" s="100"/>
      <c r="CS569" s="100"/>
      <c r="CT569" s="100"/>
      <c r="CU569" s="100"/>
    </row>
    <row r="570" spans="6:99" s="36" customFormat="1" ht="11.1" customHeight="1" x14ac:dyDescent="0.25">
      <c r="F570" s="33"/>
      <c r="G570" s="33"/>
      <c r="H570" s="33"/>
      <c r="I570" s="34"/>
      <c r="J570" s="34"/>
      <c r="K570" s="14"/>
      <c r="L570" s="32"/>
      <c r="M570" s="14"/>
      <c r="N570" s="14"/>
      <c r="O570" s="2"/>
      <c r="P570"/>
      <c r="Q570" s="2"/>
      <c r="R570"/>
      <c r="S570"/>
      <c r="T570"/>
      <c r="U570" s="2"/>
      <c r="V570" s="2"/>
      <c r="W570" s="2"/>
      <c r="X570" s="2"/>
      <c r="Y570" s="2"/>
      <c r="Z570" s="11"/>
      <c r="AA570" s="15"/>
      <c r="AB570" s="15"/>
      <c r="AC570" s="15"/>
      <c r="AD570" s="35"/>
      <c r="AE570" s="99"/>
      <c r="AF570" s="99"/>
      <c r="AG570" s="35"/>
      <c r="AH570" s="35"/>
      <c r="AI570" s="35"/>
      <c r="AJ570" s="1"/>
      <c r="AK570" s="1"/>
      <c r="AL570" s="1"/>
      <c r="AM570" s="1"/>
      <c r="AN570" s="1"/>
      <c r="AO570" s="1"/>
      <c r="AP570"/>
      <c r="AQ570"/>
      <c r="AR570"/>
      <c r="AS570"/>
      <c r="AT570" s="50"/>
      <c r="AU570" s="97"/>
      <c r="AV570" s="97"/>
      <c r="AW570" s="97"/>
      <c r="AX570" s="97"/>
      <c r="AY570" s="97"/>
      <c r="BD570" s="35"/>
      <c r="BE570" s="35"/>
      <c r="BV570" s="98"/>
      <c r="BW570" s="98"/>
      <c r="BX570" s="98"/>
      <c r="BY570" s="112"/>
      <c r="BZ570" s="112"/>
      <c r="CA570" s="112"/>
      <c r="CB570" s="98"/>
      <c r="CC570" s="98"/>
      <c r="CD570" s="98"/>
      <c r="CE570" s="98"/>
      <c r="CG570" s="100"/>
      <c r="CH570" s="100"/>
      <c r="CI570" s="100"/>
      <c r="CJ570" s="100"/>
      <c r="CK570" s="100"/>
      <c r="CL570" s="100"/>
      <c r="CM570" s="100"/>
      <c r="CN570" s="100"/>
      <c r="CO570" s="100"/>
      <c r="CP570" s="100"/>
      <c r="CQ570" s="100"/>
      <c r="CR570" s="100"/>
      <c r="CS570" s="100"/>
      <c r="CT570" s="100"/>
      <c r="CU570" s="100"/>
    </row>
    <row r="571" spans="6:99" s="36" customFormat="1" ht="11.1" customHeight="1" x14ac:dyDescent="0.25">
      <c r="F571" s="33"/>
      <c r="G571" s="33"/>
      <c r="H571" s="33"/>
      <c r="I571" s="34"/>
      <c r="J571" s="34"/>
      <c r="K571" s="14"/>
      <c r="L571" s="32"/>
      <c r="M571" s="14"/>
      <c r="N571" s="14"/>
      <c r="O571" s="2"/>
      <c r="P571"/>
      <c r="Q571" s="2"/>
      <c r="R571"/>
      <c r="S571"/>
      <c r="T571"/>
      <c r="U571" s="2"/>
      <c r="V571" s="2"/>
      <c r="W571" s="2"/>
      <c r="X571" s="2"/>
      <c r="Y571" s="2"/>
      <c r="Z571" s="11"/>
      <c r="AA571" s="15"/>
      <c r="AB571" s="15"/>
      <c r="AC571" s="15"/>
      <c r="AD571" s="35"/>
      <c r="AE571" s="99"/>
      <c r="AF571" s="99"/>
      <c r="AG571" s="35"/>
      <c r="AH571" s="35"/>
      <c r="AI571" s="35"/>
      <c r="AJ571" s="1"/>
      <c r="AK571" s="1"/>
      <c r="AL571" s="1"/>
      <c r="AM571" s="1"/>
      <c r="AN571" s="1"/>
      <c r="AO571" s="1"/>
      <c r="AP571"/>
      <c r="AQ571"/>
      <c r="AR571"/>
      <c r="AS571"/>
      <c r="AT571" s="50"/>
      <c r="AU571" s="97"/>
      <c r="AV571" s="97"/>
      <c r="AW571" s="97"/>
      <c r="AX571" s="97"/>
      <c r="AY571" s="97"/>
      <c r="BD571" s="35"/>
      <c r="BE571" s="35"/>
      <c r="BV571" s="98"/>
      <c r="BW571" s="98"/>
      <c r="BX571" s="98"/>
      <c r="BY571" s="112"/>
      <c r="BZ571" s="112"/>
      <c r="CA571" s="112"/>
      <c r="CB571" s="98"/>
      <c r="CC571" s="98"/>
      <c r="CD571" s="98"/>
      <c r="CE571" s="98"/>
      <c r="CG571" s="100"/>
      <c r="CH571" s="100"/>
      <c r="CI571" s="100"/>
      <c r="CJ571" s="100"/>
      <c r="CK571" s="100"/>
      <c r="CL571" s="100"/>
      <c r="CM571" s="100"/>
      <c r="CN571" s="100"/>
      <c r="CO571" s="100"/>
      <c r="CP571" s="100"/>
      <c r="CQ571" s="100"/>
      <c r="CR571" s="100"/>
      <c r="CS571" s="100"/>
      <c r="CT571" s="100"/>
      <c r="CU571" s="100"/>
    </row>
    <row r="572" spans="6:99" s="36" customFormat="1" ht="11.1" customHeight="1" x14ac:dyDescent="0.25">
      <c r="F572" s="33"/>
      <c r="G572" s="33"/>
      <c r="H572" s="33"/>
      <c r="I572" s="34"/>
      <c r="J572" s="34"/>
      <c r="K572" s="14"/>
      <c r="L572" s="32"/>
      <c r="M572" s="14"/>
      <c r="N572" s="14"/>
      <c r="O572" s="2"/>
      <c r="P572"/>
      <c r="Q572" s="2"/>
      <c r="R572"/>
      <c r="S572"/>
      <c r="T572"/>
      <c r="U572" s="2"/>
      <c r="V572" s="2"/>
      <c r="W572" s="2"/>
      <c r="X572" s="2"/>
      <c r="Y572" s="2"/>
      <c r="Z572" s="11"/>
      <c r="AA572" s="15"/>
      <c r="AB572" s="15"/>
      <c r="AC572" s="15"/>
      <c r="AD572" s="35"/>
      <c r="AE572" s="99"/>
      <c r="AF572" s="99"/>
      <c r="AG572" s="35"/>
      <c r="AH572" s="35"/>
      <c r="AI572" s="35"/>
      <c r="AJ572" s="1"/>
      <c r="AK572" s="1"/>
      <c r="AL572" s="1"/>
      <c r="AM572" s="1"/>
      <c r="AN572" s="1"/>
      <c r="AO572" s="1"/>
      <c r="AP572"/>
      <c r="AQ572"/>
      <c r="AR572"/>
      <c r="AS572"/>
      <c r="AT572" s="50"/>
      <c r="AU572" s="97"/>
      <c r="AV572" s="97"/>
      <c r="AW572" s="97"/>
      <c r="AX572" s="97"/>
      <c r="AY572" s="97"/>
      <c r="BD572" s="35"/>
      <c r="BE572" s="35"/>
      <c r="BV572" s="98"/>
      <c r="BW572" s="98"/>
      <c r="BX572" s="98"/>
      <c r="BY572" s="112"/>
      <c r="BZ572" s="112"/>
      <c r="CA572" s="112"/>
      <c r="CB572" s="98"/>
      <c r="CC572" s="98"/>
      <c r="CD572" s="98"/>
      <c r="CE572" s="98"/>
      <c r="CG572" s="100"/>
      <c r="CH572" s="100"/>
      <c r="CI572" s="100"/>
      <c r="CJ572" s="100"/>
      <c r="CK572" s="100"/>
      <c r="CL572" s="100"/>
      <c r="CM572" s="100"/>
      <c r="CN572" s="100"/>
      <c r="CO572" s="100"/>
      <c r="CP572" s="100"/>
      <c r="CQ572" s="100"/>
      <c r="CR572" s="100"/>
      <c r="CS572" s="100"/>
      <c r="CT572" s="100"/>
      <c r="CU572" s="100"/>
    </row>
    <row r="573" spans="6:99" s="36" customFormat="1" ht="11.1" customHeight="1" x14ac:dyDescent="0.25">
      <c r="F573" s="33"/>
      <c r="G573" s="33"/>
      <c r="H573" s="33"/>
      <c r="I573" s="34"/>
      <c r="J573" s="34"/>
      <c r="K573" s="14"/>
      <c r="L573" s="32"/>
      <c r="M573" s="14"/>
      <c r="N573" s="14"/>
      <c r="O573" s="2"/>
      <c r="P573"/>
      <c r="Q573" s="2"/>
      <c r="R573"/>
      <c r="S573"/>
      <c r="T573"/>
      <c r="U573" s="2"/>
      <c r="V573" s="2"/>
      <c r="W573" s="2"/>
      <c r="X573" s="2"/>
      <c r="Y573" s="2"/>
      <c r="Z573" s="11"/>
      <c r="AA573" s="15"/>
      <c r="AB573" s="15"/>
      <c r="AC573" s="15"/>
      <c r="AD573" s="35"/>
      <c r="AE573" s="99"/>
      <c r="AF573" s="99"/>
      <c r="AG573" s="35"/>
      <c r="AH573" s="35"/>
      <c r="AI573" s="35"/>
      <c r="AJ573" s="1"/>
      <c r="AK573" s="1"/>
      <c r="AL573" s="1"/>
      <c r="AM573" s="1"/>
      <c r="AN573" s="1"/>
      <c r="AO573" s="1"/>
      <c r="AP573"/>
      <c r="AQ573"/>
      <c r="AR573"/>
      <c r="AS573"/>
      <c r="AT573" s="50"/>
      <c r="AU573" s="97"/>
      <c r="AV573" s="97"/>
      <c r="AW573" s="97"/>
      <c r="AX573" s="97"/>
      <c r="AY573" s="97"/>
      <c r="BD573" s="35"/>
      <c r="BE573" s="35"/>
      <c r="BV573" s="98"/>
      <c r="BW573" s="98"/>
      <c r="BX573" s="98"/>
      <c r="BY573" s="112"/>
      <c r="BZ573" s="112"/>
      <c r="CA573" s="112"/>
      <c r="CB573" s="98"/>
      <c r="CC573" s="98"/>
      <c r="CD573" s="98"/>
      <c r="CE573" s="98"/>
      <c r="CG573" s="100"/>
      <c r="CH573" s="100"/>
      <c r="CI573" s="100"/>
      <c r="CJ573" s="100"/>
      <c r="CK573" s="100"/>
      <c r="CL573" s="100"/>
      <c r="CM573" s="100"/>
      <c r="CN573" s="100"/>
      <c r="CO573" s="100"/>
      <c r="CP573" s="100"/>
      <c r="CQ573" s="100"/>
      <c r="CR573" s="100"/>
      <c r="CS573" s="100"/>
      <c r="CT573" s="100"/>
      <c r="CU573" s="100"/>
    </row>
    <row r="574" spans="6:99" s="36" customFormat="1" ht="11.1" customHeight="1" x14ac:dyDescent="0.25">
      <c r="F574" s="33"/>
      <c r="G574" s="33"/>
      <c r="H574" s="33"/>
      <c r="I574" s="34"/>
      <c r="J574" s="34"/>
      <c r="K574" s="14"/>
      <c r="L574" s="32"/>
      <c r="M574" s="14"/>
      <c r="N574" s="14"/>
      <c r="O574" s="2"/>
      <c r="P574"/>
      <c r="Q574" s="2"/>
      <c r="R574"/>
      <c r="S574"/>
      <c r="T574"/>
      <c r="U574" s="2"/>
      <c r="V574" s="2"/>
      <c r="W574" s="2"/>
      <c r="X574" s="2"/>
      <c r="Y574" s="2"/>
      <c r="Z574" s="11"/>
      <c r="AA574" s="15"/>
      <c r="AB574" s="15"/>
      <c r="AC574" s="15"/>
      <c r="AD574" s="35"/>
      <c r="AE574" s="99"/>
      <c r="AF574" s="99"/>
      <c r="AG574" s="35"/>
      <c r="AH574" s="35"/>
      <c r="AI574" s="35"/>
      <c r="AJ574" s="1"/>
      <c r="AK574" s="1"/>
      <c r="AL574" s="1"/>
      <c r="AM574" s="1"/>
      <c r="AN574" s="1"/>
      <c r="AO574" s="1"/>
      <c r="AP574"/>
      <c r="AQ574"/>
      <c r="AR574"/>
      <c r="AS574"/>
      <c r="AT574" s="50"/>
      <c r="AU574" s="97"/>
      <c r="AV574" s="97"/>
      <c r="AW574" s="97"/>
      <c r="AX574" s="97"/>
      <c r="AY574" s="97"/>
      <c r="BD574" s="35"/>
      <c r="BE574" s="35"/>
      <c r="BV574" s="98"/>
      <c r="BW574" s="98"/>
      <c r="BX574" s="98"/>
      <c r="BY574" s="112"/>
      <c r="BZ574" s="112"/>
      <c r="CA574" s="112"/>
      <c r="CB574" s="98"/>
      <c r="CC574" s="98"/>
      <c r="CD574" s="98"/>
      <c r="CE574" s="98"/>
      <c r="CG574" s="100"/>
      <c r="CH574" s="100"/>
      <c r="CI574" s="100"/>
      <c r="CJ574" s="100"/>
      <c r="CK574" s="100"/>
      <c r="CL574" s="100"/>
      <c r="CM574" s="100"/>
      <c r="CN574" s="100"/>
      <c r="CO574" s="100"/>
      <c r="CP574" s="100"/>
      <c r="CQ574" s="100"/>
      <c r="CR574" s="100"/>
      <c r="CS574" s="100"/>
      <c r="CT574" s="100"/>
      <c r="CU574" s="100"/>
    </row>
    <row r="575" spans="6:99" s="36" customFormat="1" ht="11.1" customHeight="1" x14ac:dyDescent="0.25">
      <c r="F575" s="33"/>
      <c r="G575" s="33"/>
      <c r="H575" s="33"/>
      <c r="I575" s="34"/>
      <c r="J575" s="34"/>
      <c r="K575" s="14"/>
      <c r="L575" s="32"/>
      <c r="M575" s="14"/>
      <c r="N575" s="14"/>
      <c r="O575" s="2"/>
      <c r="P575"/>
      <c r="Q575" s="2"/>
      <c r="R575"/>
      <c r="S575"/>
      <c r="T575"/>
      <c r="U575" s="2"/>
      <c r="V575" s="2"/>
      <c r="W575" s="2"/>
      <c r="X575" s="2"/>
      <c r="Y575" s="2"/>
      <c r="Z575" s="11"/>
      <c r="AA575" s="15"/>
      <c r="AB575" s="15"/>
      <c r="AC575" s="15"/>
      <c r="AD575" s="35"/>
      <c r="AE575" s="99"/>
      <c r="AF575" s="99"/>
      <c r="AG575" s="35"/>
      <c r="AH575" s="35"/>
      <c r="AI575" s="35"/>
      <c r="AJ575" s="1"/>
      <c r="AK575" s="1"/>
      <c r="AL575" s="1"/>
      <c r="AM575" s="1"/>
      <c r="AN575" s="1"/>
      <c r="AO575" s="1"/>
      <c r="AP575"/>
      <c r="AQ575"/>
      <c r="AR575"/>
      <c r="AS575"/>
      <c r="AT575" s="50"/>
      <c r="AU575" s="97"/>
      <c r="AV575" s="97"/>
      <c r="AW575" s="97"/>
      <c r="AX575" s="97"/>
      <c r="AY575" s="97"/>
      <c r="BD575" s="35"/>
      <c r="BE575" s="35"/>
      <c r="BV575" s="98"/>
      <c r="BW575" s="98"/>
      <c r="BX575" s="98"/>
      <c r="BY575" s="112"/>
      <c r="BZ575" s="112"/>
      <c r="CA575" s="112"/>
      <c r="CB575" s="98"/>
      <c r="CC575" s="98"/>
      <c r="CD575" s="98"/>
      <c r="CE575" s="98"/>
      <c r="CG575" s="100"/>
      <c r="CH575" s="100"/>
      <c r="CI575" s="100"/>
      <c r="CJ575" s="100"/>
      <c r="CK575" s="100"/>
      <c r="CL575" s="100"/>
      <c r="CM575" s="100"/>
      <c r="CN575" s="100"/>
      <c r="CO575" s="100"/>
      <c r="CP575" s="100"/>
      <c r="CQ575" s="100"/>
      <c r="CR575" s="100"/>
      <c r="CS575" s="100"/>
      <c r="CT575" s="100"/>
      <c r="CU575" s="100"/>
    </row>
    <row r="576" spans="6:99" s="36" customFormat="1" ht="11.1" customHeight="1" x14ac:dyDescent="0.25">
      <c r="F576" s="33"/>
      <c r="G576" s="33"/>
      <c r="H576" s="33"/>
      <c r="I576" s="34"/>
      <c r="J576" s="34"/>
      <c r="K576" s="14"/>
      <c r="L576" s="32"/>
      <c r="M576" s="14"/>
      <c r="N576" s="14"/>
      <c r="O576" s="2"/>
      <c r="P576"/>
      <c r="Q576" s="2"/>
      <c r="R576"/>
      <c r="S576"/>
      <c r="T576"/>
      <c r="U576" s="2"/>
      <c r="V576" s="2"/>
      <c r="W576" s="2"/>
      <c r="X576" s="2"/>
      <c r="Y576" s="2"/>
      <c r="Z576" s="11"/>
      <c r="AA576" s="15"/>
      <c r="AB576" s="15"/>
      <c r="AC576" s="15"/>
      <c r="AD576" s="35"/>
      <c r="AE576" s="99"/>
      <c r="AF576" s="99"/>
      <c r="AG576" s="35"/>
      <c r="AH576" s="35"/>
      <c r="AI576" s="35"/>
      <c r="AJ576" s="1"/>
      <c r="AK576" s="1"/>
      <c r="AL576" s="1"/>
      <c r="AM576" s="1"/>
      <c r="AN576" s="1"/>
      <c r="AO576" s="1"/>
      <c r="AP576"/>
      <c r="AQ576"/>
      <c r="AR576"/>
      <c r="AS576"/>
      <c r="AT576" s="50"/>
      <c r="AU576" s="97"/>
      <c r="AV576" s="97"/>
      <c r="AW576" s="97"/>
      <c r="AX576" s="97"/>
      <c r="AY576" s="97"/>
      <c r="BD576" s="35"/>
      <c r="BE576" s="35"/>
      <c r="BV576" s="98"/>
      <c r="BW576" s="98"/>
      <c r="BX576" s="98"/>
      <c r="BY576" s="112"/>
      <c r="BZ576" s="112"/>
      <c r="CA576" s="112"/>
      <c r="CB576" s="98"/>
      <c r="CC576" s="98"/>
      <c r="CD576" s="98"/>
      <c r="CE576" s="98"/>
      <c r="CG576" s="100"/>
      <c r="CH576" s="100"/>
      <c r="CI576" s="100"/>
      <c r="CJ576" s="100"/>
      <c r="CK576" s="100"/>
      <c r="CL576" s="100"/>
      <c r="CM576" s="100"/>
      <c r="CN576" s="100"/>
      <c r="CO576" s="100"/>
      <c r="CP576" s="100"/>
      <c r="CQ576" s="100"/>
      <c r="CR576" s="100"/>
      <c r="CS576" s="100"/>
      <c r="CT576" s="100"/>
      <c r="CU576" s="100"/>
    </row>
    <row r="577" spans="6:99" s="36" customFormat="1" ht="11.1" customHeight="1" x14ac:dyDescent="0.25">
      <c r="F577" s="33"/>
      <c r="G577" s="33"/>
      <c r="H577" s="33"/>
      <c r="I577" s="34"/>
      <c r="J577" s="34"/>
      <c r="K577" s="14"/>
      <c r="L577" s="32"/>
      <c r="M577" s="14"/>
      <c r="N577" s="14"/>
      <c r="O577" s="2"/>
      <c r="P577"/>
      <c r="Q577" s="2"/>
      <c r="R577"/>
      <c r="S577"/>
      <c r="T577"/>
      <c r="U577" s="2"/>
      <c r="V577" s="2"/>
      <c r="W577" s="2"/>
      <c r="X577" s="2"/>
      <c r="Y577" s="2"/>
      <c r="Z577" s="11"/>
      <c r="AA577" s="15"/>
      <c r="AB577" s="15"/>
      <c r="AC577" s="15"/>
      <c r="AD577" s="35"/>
      <c r="AE577" s="99"/>
      <c r="AF577" s="99"/>
      <c r="AG577" s="35"/>
      <c r="AH577" s="35"/>
      <c r="AI577" s="35"/>
      <c r="AJ577" s="1"/>
      <c r="AK577" s="1"/>
      <c r="AL577" s="1"/>
      <c r="AM577" s="1"/>
      <c r="AN577" s="1"/>
      <c r="AO577" s="1"/>
      <c r="AP577"/>
      <c r="AQ577"/>
      <c r="AR577"/>
      <c r="AS577"/>
      <c r="AT577" s="50"/>
      <c r="AU577" s="97"/>
      <c r="AV577" s="97"/>
      <c r="AW577" s="97"/>
      <c r="AX577" s="97"/>
      <c r="AY577" s="97"/>
      <c r="BD577" s="35"/>
      <c r="BE577" s="35"/>
      <c r="BV577" s="98"/>
      <c r="BW577" s="98"/>
      <c r="BX577" s="98"/>
      <c r="BY577" s="112"/>
      <c r="BZ577" s="112"/>
      <c r="CA577" s="112"/>
      <c r="CB577" s="98"/>
      <c r="CC577" s="98"/>
      <c r="CD577" s="98"/>
      <c r="CE577" s="98"/>
      <c r="CG577" s="100"/>
      <c r="CH577" s="100"/>
      <c r="CI577" s="100"/>
      <c r="CJ577" s="100"/>
      <c r="CK577" s="100"/>
      <c r="CL577" s="100"/>
      <c r="CM577" s="100"/>
      <c r="CN577" s="100"/>
      <c r="CO577" s="100"/>
      <c r="CP577" s="100"/>
      <c r="CQ577" s="100"/>
      <c r="CR577" s="100"/>
      <c r="CS577" s="100"/>
      <c r="CT577" s="100"/>
      <c r="CU577" s="100"/>
    </row>
    <row r="578" spans="6:99" s="36" customFormat="1" ht="11.1" customHeight="1" x14ac:dyDescent="0.25">
      <c r="F578" s="33"/>
      <c r="G578" s="33"/>
      <c r="H578" s="33"/>
      <c r="I578" s="34"/>
      <c r="J578" s="34"/>
      <c r="K578" s="14"/>
      <c r="L578" s="32"/>
      <c r="M578" s="14"/>
      <c r="N578" s="14"/>
      <c r="O578" s="2"/>
      <c r="P578"/>
      <c r="Q578" s="2"/>
      <c r="R578"/>
      <c r="S578"/>
      <c r="T578"/>
      <c r="U578" s="2"/>
      <c r="V578" s="2"/>
      <c r="W578" s="2"/>
      <c r="X578" s="2"/>
      <c r="Y578" s="2"/>
      <c r="Z578" s="11"/>
      <c r="AA578" s="15"/>
      <c r="AB578" s="15"/>
      <c r="AC578" s="15"/>
      <c r="AD578" s="35"/>
      <c r="AE578" s="99"/>
      <c r="AF578" s="99"/>
      <c r="AG578" s="35"/>
      <c r="AH578" s="35"/>
      <c r="AI578" s="35"/>
      <c r="AJ578" s="1"/>
      <c r="AK578" s="1"/>
      <c r="AL578" s="1"/>
      <c r="AM578" s="1"/>
      <c r="AN578" s="1"/>
      <c r="AO578" s="1"/>
      <c r="AP578"/>
      <c r="AQ578"/>
      <c r="AR578"/>
      <c r="AS578"/>
      <c r="AT578" s="50"/>
      <c r="AU578" s="97"/>
      <c r="AV578" s="97"/>
      <c r="AW578" s="97"/>
      <c r="AX578" s="97"/>
      <c r="AY578" s="97"/>
      <c r="BD578" s="35"/>
      <c r="BE578" s="35"/>
      <c r="BV578" s="98"/>
      <c r="BW578" s="98"/>
      <c r="BX578" s="98"/>
      <c r="BY578" s="112"/>
      <c r="BZ578" s="112"/>
      <c r="CA578" s="112"/>
      <c r="CB578" s="98"/>
      <c r="CC578" s="98"/>
      <c r="CD578" s="98"/>
      <c r="CE578" s="98"/>
      <c r="CG578" s="100"/>
      <c r="CH578" s="100"/>
      <c r="CI578" s="100"/>
      <c r="CJ578" s="100"/>
      <c r="CK578" s="100"/>
      <c r="CL578" s="100"/>
      <c r="CM578" s="100"/>
      <c r="CN578" s="100"/>
      <c r="CO578" s="100"/>
      <c r="CP578" s="100"/>
      <c r="CQ578" s="100"/>
      <c r="CR578" s="100"/>
      <c r="CS578" s="100"/>
      <c r="CT578" s="100"/>
      <c r="CU578" s="100"/>
    </row>
    <row r="579" spans="6:99" s="36" customFormat="1" ht="11.1" customHeight="1" x14ac:dyDescent="0.25">
      <c r="F579" s="33"/>
      <c r="G579" s="33"/>
      <c r="H579" s="33"/>
      <c r="I579" s="34"/>
      <c r="J579" s="34"/>
      <c r="K579" s="14"/>
      <c r="L579" s="32"/>
      <c r="M579" s="14"/>
      <c r="N579" s="14"/>
      <c r="O579" s="2"/>
      <c r="P579"/>
      <c r="Q579" s="2"/>
      <c r="R579"/>
      <c r="S579"/>
      <c r="T579"/>
      <c r="U579" s="2"/>
      <c r="V579" s="2"/>
      <c r="W579" s="2"/>
      <c r="X579" s="2"/>
      <c r="Y579" s="2"/>
      <c r="Z579" s="11"/>
      <c r="AA579" s="15"/>
      <c r="AB579" s="15"/>
      <c r="AC579" s="15"/>
      <c r="AD579" s="35"/>
      <c r="AE579" s="99"/>
      <c r="AF579" s="99"/>
      <c r="AG579" s="35"/>
      <c r="AH579" s="35"/>
      <c r="AI579" s="35"/>
      <c r="AJ579" s="1"/>
      <c r="AK579" s="1"/>
      <c r="AL579" s="1"/>
      <c r="AM579" s="1"/>
      <c r="AN579" s="1"/>
      <c r="AO579" s="1"/>
      <c r="AP579"/>
      <c r="AQ579"/>
      <c r="AR579"/>
      <c r="AS579"/>
      <c r="AT579" s="50"/>
      <c r="AU579" s="97"/>
      <c r="AV579" s="97"/>
      <c r="AW579" s="97"/>
      <c r="AX579" s="97"/>
      <c r="AY579" s="97"/>
      <c r="BD579" s="35"/>
      <c r="BE579" s="35"/>
      <c r="BV579" s="98"/>
      <c r="BW579" s="98"/>
      <c r="BX579" s="98"/>
      <c r="BY579" s="112"/>
      <c r="BZ579" s="112"/>
      <c r="CA579" s="112"/>
      <c r="CB579" s="98"/>
      <c r="CC579" s="98"/>
      <c r="CD579" s="98"/>
      <c r="CE579" s="98"/>
      <c r="CG579" s="100"/>
      <c r="CH579" s="100"/>
      <c r="CI579" s="100"/>
      <c r="CJ579" s="100"/>
      <c r="CK579" s="100"/>
      <c r="CL579" s="100"/>
      <c r="CM579" s="100"/>
      <c r="CN579" s="100"/>
      <c r="CO579" s="100"/>
      <c r="CP579" s="100"/>
      <c r="CQ579" s="100"/>
      <c r="CR579" s="100"/>
      <c r="CS579" s="100"/>
      <c r="CT579" s="100"/>
      <c r="CU579" s="100"/>
    </row>
    <row r="580" spans="6:99" s="36" customFormat="1" ht="11.1" customHeight="1" x14ac:dyDescent="0.25">
      <c r="F580" s="33"/>
      <c r="G580" s="33"/>
      <c r="H580" s="33"/>
      <c r="I580" s="34"/>
      <c r="J580" s="34"/>
      <c r="K580" s="14"/>
      <c r="L580" s="32"/>
      <c r="M580" s="14"/>
      <c r="N580" s="14"/>
      <c r="O580" s="2"/>
      <c r="P580"/>
      <c r="Q580" s="2"/>
      <c r="R580"/>
      <c r="S580"/>
      <c r="T580"/>
      <c r="U580" s="2"/>
      <c r="V580" s="2"/>
      <c r="W580" s="2"/>
      <c r="X580" s="2"/>
      <c r="Y580" s="2"/>
      <c r="Z580" s="11"/>
      <c r="AA580" s="15"/>
      <c r="AB580" s="15"/>
      <c r="AC580" s="15"/>
      <c r="AD580" s="35"/>
      <c r="AE580" s="99"/>
      <c r="AF580" s="99"/>
      <c r="AG580" s="35"/>
      <c r="AH580" s="35"/>
      <c r="AI580" s="35"/>
      <c r="AJ580" s="1"/>
      <c r="AK580" s="1"/>
      <c r="AL580" s="1"/>
      <c r="AM580" s="1"/>
      <c r="AN580" s="1"/>
      <c r="AO580" s="1"/>
      <c r="AP580"/>
      <c r="AQ580"/>
      <c r="AR580"/>
      <c r="AS580"/>
      <c r="AT580" s="50"/>
      <c r="AU580" s="97"/>
      <c r="AV580" s="97"/>
      <c r="AW580" s="97"/>
      <c r="AX580" s="97"/>
      <c r="AY580" s="97"/>
      <c r="BD580" s="35"/>
      <c r="BE580" s="35"/>
      <c r="BV580" s="98"/>
      <c r="BW580" s="98"/>
      <c r="BX580" s="98"/>
      <c r="BY580" s="112"/>
      <c r="BZ580" s="112"/>
      <c r="CA580" s="112"/>
      <c r="CB580" s="98"/>
      <c r="CC580" s="98"/>
      <c r="CD580" s="98"/>
      <c r="CE580" s="98"/>
      <c r="CG580" s="100"/>
      <c r="CH580" s="100"/>
      <c r="CI580" s="100"/>
      <c r="CJ580" s="100"/>
      <c r="CK580" s="100"/>
      <c r="CL580" s="100"/>
      <c r="CM580" s="100"/>
      <c r="CN580" s="100"/>
      <c r="CO580" s="100"/>
      <c r="CP580" s="100"/>
      <c r="CQ580" s="100"/>
      <c r="CR580" s="100"/>
      <c r="CS580" s="100"/>
      <c r="CT580" s="100"/>
      <c r="CU580" s="100"/>
    </row>
    <row r="581" spans="6:99" s="36" customFormat="1" ht="11.1" customHeight="1" x14ac:dyDescent="0.25">
      <c r="F581" s="33"/>
      <c r="G581" s="33"/>
      <c r="H581" s="33"/>
      <c r="I581" s="34"/>
      <c r="J581" s="34"/>
      <c r="K581" s="14"/>
      <c r="L581" s="32"/>
      <c r="M581" s="14"/>
      <c r="N581" s="14"/>
      <c r="O581" s="2"/>
      <c r="P581"/>
      <c r="Q581" s="2"/>
      <c r="R581"/>
      <c r="S581"/>
      <c r="T581"/>
      <c r="U581" s="2"/>
      <c r="V581" s="2"/>
      <c r="W581" s="2"/>
      <c r="X581" s="2"/>
      <c r="Y581" s="2"/>
      <c r="Z581" s="11"/>
      <c r="AA581" s="15"/>
      <c r="AB581" s="15"/>
      <c r="AC581" s="15"/>
      <c r="AD581" s="35"/>
      <c r="AE581" s="99"/>
      <c r="AF581" s="99"/>
      <c r="AG581" s="35"/>
      <c r="AH581" s="35"/>
      <c r="AI581" s="35"/>
      <c r="AJ581" s="1"/>
      <c r="AK581" s="1"/>
      <c r="AL581" s="1"/>
      <c r="AM581" s="1"/>
      <c r="AN581" s="1"/>
      <c r="AO581" s="1"/>
      <c r="AP581"/>
      <c r="AQ581"/>
      <c r="AR581"/>
      <c r="AS581"/>
      <c r="AT581" s="50"/>
      <c r="AU581" s="97"/>
      <c r="AV581" s="97"/>
      <c r="AW581" s="97"/>
      <c r="AX581" s="97"/>
      <c r="AY581" s="97"/>
      <c r="BD581" s="35"/>
      <c r="BE581" s="35"/>
      <c r="BV581" s="98"/>
      <c r="BW581" s="98"/>
      <c r="BX581" s="98"/>
      <c r="BY581" s="112"/>
      <c r="BZ581" s="112"/>
      <c r="CA581" s="112"/>
      <c r="CB581" s="98"/>
      <c r="CC581" s="98"/>
      <c r="CD581" s="98"/>
      <c r="CE581" s="98"/>
      <c r="CG581" s="100"/>
      <c r="CH581" s="100"/>
      <c r="CI581" s="100"/>
      <c r="CJ581" s="100"/>
      <c r="CK581" s="100"/>
      <c r="CL581" s="100"/>
      <c r="CM581" s="100"/>
      <c r="CN581" s="100"/>
      <c r="CO581" s="100"/>
      <c r="CP581" s="100"/>
      <c r="CQ581" s="100"/>
      <c r="CR581" s="100"/>
      <c r="CS581" s="100"/>
      <c r="CT581" s="100"/>
      <c r="CU581" s="100"/>
    </row>
    <row r="582" spans="6:99" s="36" customFormat="1" ht="11.1" customHeight="1" x14ac:dyDescent="0.25">
      <c r="F582" s="33"/>
      <c r="G582" s="33"/>
      <c r="H582" s="33"/>
      <c r="I582" s="34"/>
      <c r="J582" s="34"/>
      <c r="K582" s="14"/>
      <c r="L582" s="32"/>
      <c r="M582" s="14"/>
      <c r="N582" s="14"/>
      <c r="O582" s="2"/>
      <c r="P582"/>
      <c r="Q582" s="2"/>
      <c r="R582"/>
      <c r="S582"/>
      <c r="T582"/>
      <c r="U582" s="2"/>
      <c r="V582" s="2"/>
      <c r="W582" s="2"/>
      <c r="X582" s="2"/>
      <c r="Y582" s="2"/>
      <c r="Z582" s="11"/>
      <c r="AA582" s="15"/>
      <c r="AB582" s="15"/>
      <c r="AC582" s="15"/>
      <c r="AD582" s="35"/>
      <c r="AE582" s="99"/>
      <c r="AF582" s="99"/>
      <c r="AG582" s="35"/>
      <c r="AH582" s="35"/>
      <c r="AI582" s="35"/>
      <c r="AJ582" s="1"/>
      <c r="AK582" s="1"/>
      <c r="AL582" s="1"/>
      <c r="AM582" s="1"/>
      <c r="AN582" s="1"/>
      <c r="AO582" s="1"/>
      <c r="AP582"/>
      <c r="AQ582"/>
      <c r="AR582"/>
      <c r="AS582"/>
      <c r="AT582" s="50"/>
      <c r="AU582" s="97"/>
      <c r="AV582" s="97"/>
      <c r="AW582" s="97"/>
      <c r="AX582" s="97"/>
      <c r="AY582" s="97"/>
      <c r="BD582" s="35"/>
      <c r="BE582" s="35"/>
      <c r="BV582" s="98"/>
      <c r="BW582" s="98"/>
      <c r="BX582" s="98"/>
      <c r="BY582" s="112"/>
      <c r="BZ582" s="112"/>
      <c r="CA582" s="112"/>
      <c r="CB582" s="98"/>
      <c r="CC582" s="98"/>
      <c r="CD582" s="98"/>
      <c r="CE582" s="98"/>
      <c r="CG582" s="100"/>
      <c r="CH582" s="100"/>
      <c r="CI582" s="100"/>
      <c r="CJ582" s="100"/>
      <c r="CK582" s="100"/>
      <c r="CL582" s="100"/>
      <c r="CM582" s="100"/>
      <c r="CN582" s="100"/>
      <c r="CO582" s="100"/>
      <c r="CP582" s="100"/>
      <c r="CQ582" s="100"/>
      <c r="CR582" s="100"/>
      <c r="CS582" s="100"/>
      <c r="CT582" s="100"/>
      <c r="CU582" s="100"/>
    </row>
    <row r="583" spans="6:99" s="36" customFormat="1" ht="11.1" customHeight="1" x14ac:dyDescent="0.25">
      <c r="F583" s="33"/>
      <c r="G583" s="33"/>
      <c r="H583" s="33"/>
      <c r="I583" s="34"/>
      <c r="J583" s="34"/>
      <c r="K583" s="14"/>
      <c r="L583" s="32"/>
      <c r="M583" s="14"/>
      <c r="N583" s="14"/>
      <c r="O583" s="2"/>
      <c r="P583"/>
      <c r="Q583" s="2"/>
      <c r="R583"/>
      <c r="S583"/>
      <c r="T583"/>
      <c r="U583" s="2"/>
      <c r="V583" s="2"/>
      <c r="W583" s="2"/>
      <c r="X583" s="2"/>
      <c r="Y583" s="2"/>
      <c r="Z583" s="11"/>
      <c r="AA583" s="15"/>
      <c r="AB583" s="15"/>
      <c r="AC583" s="15"/>
      <c r="AD583" s="35"/>
      <c r="AE583" s="99"/>
      <c r="AF583" s="99"/>
      <c r="AG583" s="35"/>
      <c r="AH583" s="35"/>
      <c r="AI583" s="35"/>
      <c r="AJ583" s="1"/>
      <c r="AK583" s="1"/>
      <c r="AL583" s="1"/>
      <c r="AM583" s="1"/>
      <c r="AN583" s="1"/>
      <c r="AO583" s="1"/>
      <c r="AP583"/>
      <c r="AQ583"/>
      <c r="AR583"/>
      <c r="AS583"/>
      <c r="AT583" s="50"/>
      <c r="AU583" s="97"/>
      <c r="AV583" s="97"/>
      <c r="AW583" s="97"/>
      <c r="AX583" s="97"/>
      <c r="AY583" s="97"/>
      <c r="BD583" s="35"/>
      <c r="BE583" s="35"/>
      <c r="BV583" s="98"/>
      <c r="BW583" s="98"/>
      <c r="BX583" s="98"/>
      <c r="BY583" s="112"/>
      <c r="BZ583" s="112"/>
      <c r="CA583" s="112"/>
      <c r="CB583" s="98"/>
      <c r="CC583" s="98"/>
      <c r="CD583" s="98"/>
      <c r="CE583" s="98"/>
      <c r="CG583" s="100"/>
      <c r="CH583" s="100"/>
      <c r="CI583" s="100"/>
      <c r="CJ583" s="100"/>
      <c r="CK583" s="100"/>
      <c r="CL583" s="100"/>
      <c r="CM583" s="100"/>
      <c r="CN583" s="100"/>
      <c r="CO583" s="100"/>
      <c r="CP583" s="100"/>
      <c r="CQ583" s="100"/>
      <c r="CR583" s="100"/>
      <c r="CS583" s="100"/>
      <c r="CT583" s="100"/>
      <c r="CU583" s="100"/>
    </row>
    <row r="584" spans="6:99" s="36" customFormat="1" ht="11.1" customHeight="1" x14ac:dyDescent="0.25">
      <c r="F584" s="33"/>
      <c r="G584" s="33"/>
      <c r="H584" s="33"/>
      <c r="I584" s="34"/>
      <c r="J584" s="34"/>
      <c r="K584" s="14"/>
      <c r="L584" s="32"/>
      <c r="M584" s="14"/>
      <c r="N584" s="14"/>
      <c r="O584" s="2"/>
      <c r="P584"/>
      <c r="Q584" s="2"/>
      <c r="R584"/>
      <c r="S584"/>
      <c r="T584"/>
      <c r="U584" s="2"/>
      <c r="V584" s="2"/>
      <c r="W584" s="2"/>
      <c r="X584" s="2"/>
      <c r="Y584" s="2"/>
      <c r="Z584" s="11"/>
      <c r="AA584" s="15"/>
      <c r="AB584" s="15"/>
      <c r="AC584" s="15"/>
      <c r="AD584" s="35"/>
      <c r="AE584" s="99"/>
      <c r="AF584" s="99"/>
      <c r="AG584" s="35"/>
      <c r="AH584" s="35"/>
      <c r="AI584" s="35"/>
      <c r="AJ584" s="1"/>
      <c r="AK584" s="1"/>
      <c r="AL584" s="1"/>
      <c r="AM584" s="1"/>
      <c r="AN584" s="1"/>
      <c r="AO584" s="1"/>
      <c r="AP584"/>
      <c r="AQ584"/>
      <c r="AR584"/>
      <c r="AS584"/>
      <c r="AT584" s="50"/>
      <c r="AU584" s="97"/>
      <c r="AV584" s="97"/>
      <c r="AW584" s="97"/>
      <c r="AX584" s="97"/>
      <c r="AY584" s="97"/>
      <c r="BD584" s="35"/>
      <c r="BE584" s="35"/>
      <c r="BV584" s="98"/>
      <c r="BW584" s="98"/>
      <c r="BX584" s="98"/>
      <c r="BY584" s="112"/>
      <c r="BZ584" s="112"/>
      <c r="CA584" s="112"/>
      <c r="CB584" s="98"/>
      <c r="CC584" s="98"/>
      <c r="CD584" s="98"/>
      <c r="CE584" s="98"/>
      <c r="CG584" s="100"/>
      <c r="CH584" s="100"/>
      <c r="CI584" s="100"/>
      <c r="CJ584" s="100"/>
      <c r="CK584" s="100"/>
      <c r="CL584" s="100"/>
      <c r="CM584" s="100"/>
      <c r="CN584" s="100"/>
      <c r="CO584" s="100"/>
      <c r="CP584" s="100"/>
      <c r="CQ584" s="100"/>
      <c r="CR584" s="100"/>
      <c r="CS584" s="100"/>
      <c r="CT584" s="100"/>
      <c r="CU584" s="100"/>
    </row>
    <row r="585" spans="6:99" s="36" customFormat="1" ht="11.1" customHeight="1" x14ac:dyDescent="0.25">
      <c r="F585" s="33"/>
      <c r="G585" s="33"/>
      <c r="H585" s="33"/>
      <c r="I585" s="34"/>
      <c r="J585" s="34"/>
      <c r="K585" s="14"/>
      <c r="L585" s="32"/>
      <c r="M585" s="14"/>
      <c r="N585" s="14"/>
      <c r="O585" s="2"/>
      <c r="P585"/>
      <c r="Q585" s="2"/>
      <c r="R585"/>
      <c r="S585"/>
      <c r="T585"/>
      <c r="U585" s="2"/>
      <c r="V585" s="2"/>
      <c r="W585" s="2"/>
      <c r="X585" s="2"/>
      <c r="Y585" s="2"/>
      <c r="Z585" s="11"/>
      <c r="AA585" s="15"/>
      <c r="AB585" s="15"/>
      <c r="AC585" s="15"/>
      <c r="AD585" s="35"/>
      <c r="AE585" s="99"/>
      <c r="AF585" s="99"/>
      <c r="AG585" s="35"/>
      <c r="AH585" s="35"/>
      <c r="AI585" s="35"/>
      <c r="AJ585" s="1"/>
      <c r="AK585" s="1"/>
      <c r="AL585" s="1"/>
      <c r="AM585" s="1"/>
      <c r="AN585" s="1"/>
      <c r="AO585" s="1"/>
      <c r="AP585"/>
      <c r="AQ585"/>
      <c r="AR585"/>
      <c r="AS585"/>
      <c r="AT585" s="50"/>
      <c r="AU585" s="97"/>
      <c r="AV585" s="97"/>
      <c r="AW585" s="97"/>
      <c r="AX585" s="97"/>
      <c r="AY585" s="97"/>
      <c r="BD585" s="35"/>
      <c r="BE585" s="35"/>
      <c r="BV585" s="98"/>
      <c r="BW585" s="98"/>
      <c r="BX585" s="98"/>
      <c r="BY585" s="112"/>
      <c r="BZ585" s="112"/>
      <c r="CA585" s="112"/>
      <c r="CB585" s="98"/>
      <c r="CC585" s="98"/>
      <c r="CD585" s="98"/>
      <c r="CE585" s="98"/>
      <c r="CG585" s="100"/>
      <c r="CH585" s="100"/>
      <c r="CI585" s="100"/>
      <c r="CJ585" s="100"/>
      <c r="CK585" s="100"/>
      <c r="CL585" s="100"/>
      <c r="CM585" s="100"/>
      <c r="CN585" s="100"/>
      <c r="CO585" s="100"/>
      <c r="CP585" s="100"/>
      <c r="CQ585" s="100"/>
      <c r="CR585" s="100"/>
      <c r="CS585" s="100"/>
      <c r="CT585" s="100"/>
      <c r="CU585" s="100"/>
    </row>
    <row r="586" spans="6:99" s="36" customFormat="1" ht="11.1" customHeight="1" x14ac:dyDescent="0.25">
      <c r="F586" s="33"/>
      <c r="G586" s="33"/>
      <c r="H586" s="33"/>
      <c r="I586" s="34"/>
      <c r="J586" s="34"/>
      <c r="K586" s="14"/>
      <c r="L586" s="32"/>
      <c r="M586" s="14"/>
      <c r="N586" s="14"/>
      <c r="O586" s="2"/>
      <c r="P586"/>
      <c r="Q586" s="2"/>
      <c r="R586"/>
      <c r="S586"/>
      <c r="T586"/>
      <c r="U586" s="2"/>
      <c r="V586" s="2"/>
      <c r="W586" s="2"/>
      <c r="X586" s="2"/>
      <c r="Y586" s="2"/>
      <c r="Z586" s="11"/>
      <c r="AA586" s="15"/>
      <c r="AB586" s="15"/>
      <c r="AC586" s="15"/>
      <c r="AD586" s="35"/>
      <c r="AE586" s="99"/>
      <c r="AF586" s="99"/>
      <c r="AG586" s="35"/>
      <c r="AH586" s="35"/>
      <c r="AI586" s="35"/>
      <c r="AJ586" s="1"/>
      <c r="AK586" s="1"/>
      <c r="AL586" s="1"/>
      <c r="AM586" s="1"/>
      <c r="AN586" s="1"/>
      <c r="AO586" s="1"/>
      <c r="AP586"/>
      <c r="AQ586"/>
      <c r="AR586"/>
      <c r="AS586"/>
      <c r="AT586" s="50"/>
      <c r="AU586" s="97"/>
      <c r="AV586" s="97"/>
      <c r="AW586" s="97"/>
      <c r="AX586" s="97"/>
      <c r="AY586" s="97"/>
      <c r="BD586" s="35"/>
      <c r="BE586" s="35"/>
      <c r="BV586" s="98"/>
      <c r="BW586" s="98"/>
      <c r="BX586" s="98"/>
      <c r="BY586" s="112"/>
      <c r="BZ586" s="112"/>
      <c r="CA586" s="112"/>
      <c r="CB586" s="98"/>
      <c r="CC586" s="98"/>
      <c r="CD586" s="98"/>
      <c r="CE586" s="98"/>
      <c r="CG586" s="100"/>
      <c r="CH586" s="100"/>
      <c r="CI586" s="100"/>
      <c r="CJ586" s="100"/>
      <c r="CK586" s="100"/>
      <c r="CL586" s="100"/>
      <c r="CM586" s="100"/>
      <c r="CN586" s="100"/>
      <c r="CO586" s="100"/>
      <c r="CP586" s="100"/>
      <c r="CQ586" s="100"/>
      <c r="CR586" s="100"/>
      <c r="CS586" s="100"/>
      <c r="CT586" s="100"/>
      <c r="CU586" s="100"/>
    </row>
    <row r="587" spans="6:99" s="36" customFormat="1" ht="11.1" customHeight="1" x14ac:dyDescent="0.25">
      <c r="F587" s="33"/>
      <c r="G587" s="33"/>
      <c r="H587" s="33"/>
      <c r="I587" s="34"/>
      <c r="J587" s="34"/>
      <c r="K587" s="14"/>
      <c r="L587" s="32"/>
      <c r="M587" s="14"/>
      <c r="N587" s="14"/>
      <c r="O587" s="2"/>
      <c r="P587"/>
      <c r="Q587" s="2"/>
      <c r="R587"/>
      <c r="S587"/>
      <c r="T587"/>
      <c r="U587" s="2"/>
      <c r="V587" s="2"/>
      <c r="W587" s="2"/>
      <c r="X587" s="2"/>
      <c r="Y587" s="2"/>
      <c r="Z587" s="11"/>
      <c r="AA587" s="15"/>
      <c r="AB587" s="15"/>
      <c r="AC587" s="15"/>
      <c r="AD587" s="35"/>
      <c r="AE587" s="99"/>
      <c r="AF587" s="99"/>
      <c r="AG587" s="35"/>
      <c r="AH587" s="35"/>
      <c r="AI587" s="35"/>
      <c r="AJ587" s="1"/>
      <c r="AK587" s="1"/>
      <c r="AL587" s="1"/>
      <c r="AM587" s="1"/>
      <c r="AN587" s="1"/>
      <c r="AO587" s="1"/>
      <c r="AP587"/>
      <c r="AQ587"/>
      <c r="AR587"/>
      <c r="AS587"/>
      <c r="AT587" s="50"/>
      <c r="AU587" s="97"/>
      <c r="AV587" s="97"/>
      <c r="AW587" s="97"/>
      <c r="AX587" s="97"/>
      <c r="AY587" s="97"/>
      <c r="BD587" s="35"/>
      <c r="BE587" s="35"/>
      <c r="BV587" s="98"/>
      <c r="BW587" s="98"/>
      <c r="BX587" s="98"/>
      <c r="BY587" s="112"/>
      <c r="BZ587" s="112"/>
      <c r="CA587" s="112"/>
      <c r="CB587" s="98"/>
      <c r="CC587" s="98"/>
      <c r="CD587" s="98"/>
      <c r="CE587" s="98"/>
      <c r="CG587" s="100"/>
      <c r="CH587" s="100"/>
      <c r="CI587" s="100"/>
      <c r="CJ587" s="100"/>
      <c r="CK587" s="100"/>
      <c r="CL587" s="100"/>
      <c r="CM587" s="100"/>
      <c r="CN587" s="100"/>
      <c r="CO587" s="100"/>
      <c r="CP587" s="100"/>
      <c r="CQ587" s="100"/>
      <c r="CR587" s="100"/>
      <c r="CS587" s="100"/>
      <c r="CT587" s="100"/>
      <c r="CU587" s="100"/>
    </row>
    <row r="588" spans="6:99" s="36" customFormat="1" ht="11.1" customHeight="1" x14ac:dyDescent="0.25">
      <c r="F588" s="33"/>
      <c r="G588" s="33"/>
      <c r="H588" s="33"/>
      <c r="I588" s="34"/>
      <c r="J588" s="34"/>
      <c r="K588" s="14"/>
      <c r="L588" s="32"/>
      <c r="M588" s="14"/>
      <c r="N588" s="14"/>
      <c r="O588" s="2"/>
      <c r="P588"/>
      <c r="Q588" s="2"/>
      <c r="R588"/>
      <c r="S588"/>
      <c r="T588"/>
      <c r="U588" s="2"/>
      <c r="V588" s="2"/>
      <c r="W588" s="2"/>
      <c r="X588" s="2"/>
      <c r="Y588" s="2"/>
      <c r="Z588" s="11"/>
      <c r="AA588" s="15"/>
      <c r="AB588" s="15"/>
      <c r="AC588" s="15"/>
      <c r="AD588" s="35"/>
      <c r="AE588" s="99"/>
      <c r="AF588" s="99"/>
      <c r="AG588" s="35"/>
      <c r="AH588" s="35"/>
      <c r="AI588" s="35"/>
      <c r="AJ588" s="1"/>
      <c r="AK588" s="1"/>
      <c r="AL588" s="1"/>
      <c r="AM588" s="1"/>
      <c r="AN588" s="1"/>
      <c r="AO588" s="1"/>
      <c r="AP588"/>
      <c r="AQ588"/>
      <c r="AR588"/>
      <c r="AS588"/>
      <c r="AT588" s="50"/>
      <c r="AU588" s="97"/>
      <c r="AV588" s="97"/>
      <c r="AW588" s="97"/>
      <c r="AX588" s="97"/>
      <c r="AY588" s="97"/>
      <c r="BD588" s="35"/>
      <c r="BE588" s="35"/>
      <c r="BV588" s="98"/>
      <c r="BW588" s="98"/>
      <c r="BX588" s="98"/>
      <c r="BY588" s="112"/>
      <c r="BZ588" s="112"/>
      <c r="CA588" s="112"/>
      <c r="CB588" s="98"/>
      <c r="CC588" s="98"/>
      <c r="CD588" s="98"/>
      <c r="CE588" s="98"/>
      <c r="CG588" s="100"/>
      <c r="CH588" s="100"/>
      <c r="CI588" s="100"/>
      <c r="CJ588" s="100"/>
      <c r="CK588" s="100"/>
      <c r="CL588" s="100"/>
      <c r="CM588" s="100"/>
      <c r="CN588" s="100"/>
      <c r="CO588" s="100"/>
      <c r="CP588" s="100"/>
      <c r="CQ588" s="100"/>
      <c r="CR588" s="100"/>
      <c r="CS588" s="100"/>
      <c r="CT588" s="100"/>
      <c r="CU588" s="100"/>
    </row>
    <row r="589" spans="6:99" s="36" customFormat="1" ht="11.1" customHeight="1" x14ac:dyDescent="0.25">
      <c r="F589" s="33"/>
      <c r="G589" s="33"/>
      <c r="H589" s="33"/>
      <c r="I589" s="34"/>
      <c r="J589" s="34"/>
      <c r="K589" s="14"/>
      <c r="L589" s="32"/>
      <c r="M589" s="14"/>
      <c r="N589" s="14"/>
      <c r="O589" s="2"/>
      <c r="P589"/>
      <c r="Q589" s="2"/>
      <c r="R589"/>
      <c r="S589"/>
      <c r="T589"/>
      <c r="U589" s="2"/>
      <c r="V589" s="2"/>
      <c r="W589" s="2"/>
      <c r="X589" s="2"/>
      <c r="Y589" s="2"/>
      <c r="Z589" s="11"/>
      <c r="AA589" s="15"/>
      <c r="AB589" s="15"/>
      <c r="AC589" s="15"/>
      <c r="AD589" s="35"/>
      <c r="AE589" s="99"/>
      <c r="AF589" s="99"/>
      <c r="AG589" s="35"/>
      <c r="AH589" s="35"/>
      <c r="AI589" s="35"/>
      <c r="AJ589" s="1"/>
      <c r="AK589" s="1"/>
      <c r="AL589" s="1"/>
      <c r="AM589" s="1"/>
      <c r="AN589" s="1"/>
      <c r="AO589" s="1"/>
      <c r="AP589"/>
      <c r="AQ589"/>
      <c r="AR589"/>
      <c r="AS589"/>
      <c r="AT589" s="50"/>
      <c r="AU589" s="97"/>
      <c r="AV589" s="97"/>
      <c r="AW589" s="97"/>
      <c r="AX589" s="97"/>
      <c r="AY589" s="97"/>
      <c r="BD589" s="35"/>
      <c r="BE589" s="35"/>
      <c r="BV589" s="98"/>
      <c r="BW589" s="98"/>
      <c r="BX589" s="98"/>
      <c r="BY589" s="112"/>
      <c r="BZ589" s="112"/>
      <c r="CA589" s="112"/>
      <c r="CB589" s="98"/>
      <c r="CC589" s="98"/>
      <c r="CD589" s="98"/>
      <c r="CE589" s="98"/>
      <c r="CG589" s="100"/>
      <c r="CH589" s="100"/>
      <c r="CI589" s="100"/>
      <c r="CJ589" s="100"/>
      <c r="CK589" s="100"/>
      <c r="CL589" s="100"/>
      <c r="CM589" s="100"/>
      <c r="CN589" s="100"/>
      <c r="CO589" s="100"/>
      <c r="CP589" s="100"/>
      <c r="CQ589" s="100"/>
      <c r="CR589" s="100"/>
      <c r="CS589" s="100"/>
      <c r="CT589" s="100"/>
      <c r="CU589" s="100"/>
    </row>
    <row r="590" spans="6:99" s="36" customFormat="1" ht="11.1" customHeight="1" x14ac:dyDescent="0.25">
      <c r="F590" s="33"/>
      <c r="G590" s="33"/>
      <c r="H590" s="33"/>
      <c r="I590" s="34"/>
      <c r="J590" s="34"/>
      <c r="K590" s="14"/>
      <c r="L590" s="32"/>
      <c r="M590" s="14"/>
      <c r="N590" s="14"/>
      <c r="O590" s="2"/>
      <c r="P590"/>
      <c r="Q590" s="2"/>
      <c r="R590"/>
      <c r="S590"/>
      <c r="T590"/>
      <c r="U590" s="2"/>
      <c r="V590" s="2"/>
      <c r="W590" s="2"/>
      <c r="X590" s="2"/>
      <c r="Y590" s="2"/>
      <c r="Z590" s="11"/>
      <c r="AA590" s="15"/>
      <c r="AB590" s="15"/>
      <c r="AC590" s="15"/>
      <c r="AD590" s="35"/>
      <c r="AE590" s="99"/>
      <c r="AF590" s="99"/>
      <c r="AG590" s="35"/>
      <c r="AH590" s="35"/>
      <c r="AI590" s="35"/>
      <c r="AJ590" s="1"/>
      <c r="AK590" s="1"/>
      <c r="AL590" s="1"/>
      <c r="AM590" s="1"/>
      <c r="AN590" s="1"/>
      <c r="AO590" s="1"/>
      <c r="AP590"/>
      <c r="AQ590"/>
      <c r="AR590"/>
      <c r="AS590"/>
      <c r="AT590" s="50"/>
      <c r="AU590" s="97"/>
      <c r="AV590" s="97"/>
      <c r="AW590" s="97"/>
      <c r="AX590" s="97"/>
      <c r="AY590" s="97"/>
      <c r="BD590" s="35"/>
      <c r="BE590" s="35"/>
      <c r="BV590" s="98"/>
      <c r="BW590" s="98"/>
      <c r="BX590" s="98"/>
      <c r="BY590" s="112"/>
      <c r="BZ590" s="112"/>
      <c r="CA590" s="112"/>
      <c r="CB590" s="98"/>
      <c r="CC590" s="98"/>
      <c r="CD590" s="98"/>
      <c r="CE590" s="98"/>
      <c r="CG590" s="100"/>
      <c r="CH590" s="100"/>
      <c r="CI590" s="100"/>
      <c r="CJ590" s="100"/>
      <c r="CK590" s="100"/>
      <c r="CL590" s="100"/>
      <c r="CM590" s="100"/>
      <c r="CN590" s="100"/>
      <c r="CO590" s="100"/>
      <c r="CP590" s="100"/>
      <c r="CQ590" s="100"/>
      <c r="CR590" s="100"/>
      <c r="CS590" s="100"/>
      <c r="CT590" s="100"/>
      <c r="CU590" s="100"/>
    </row>
    <row r="591" spans="6:99" s="36" customFormat="1" ht="11.1" customHeight="1" x14ac:dyDescent="0.25">
      <c r="F591" s="33"/>
      <c r="G591" s="33"/>
      <c r="H591" s="33"/>
      <c r="I591" s="34"/>
      <c r="J591" s="34"/>
      <c r="K591" s="14"/>
      <c r="L591" s="32"/>
      <c r="M591" s="14"/>
      <c r="N591" s="14"/>
      <c r="O591" s="2"/>
      <c r="P591"/>
      <c r="Q591" s="2"/>
      <c r="R591"/>
      <c r="S591"/>
      <c r="T591"/>
      <c r="U591" s="2"/>
      <c r="V591" s="2"/>
      <c r="W591" s="2"/>
      <c r="X591" s="2"/>
      <c r="Y591" s="2"/>
      <c r="Z591" s="11"/>
      <c r="AA591" s="15"/>
      <c r="AB591" s="15"/>
      <c r="AC591" s="15"/>
      <c r="AD591" s="35"/>
      <c r="AE591" s="99"/>
      <c r="AF591" s="99"/>
      <c r="AG591" s="35"/>
      <c r="AH591" s="35"/>
      <c r="AI591" s="35"/>
      <c r="AJ591" s="1"/>
      <c r="AK591" s="1"/>
      <c r="AL591" s="1"/>
      <c r="AM591" s="1"/>
      <c r="AN591" s="1"/>
      <c r="AO591" s="1"/>
      <c r="AP591"/>
      <c r="AQ591"/>
      <c r="AR591"/>
      <c r="AS591"/>
      <c r="AT591" s="50"/>
      <c r="AU591" s="97"/>
      <c r="AV591" s="97"/>
      <c r="AW591" s="97"/>
      <c r="AX591" s="97"/>
      <c r="AY591" s="97"/>
      <c r="BD591" s="35"/>
      <c r="BE591" s="35"/>
      <c r="BV591" s="98"/>
      <c r="BW591" s="98"/>
      <c r="BX591" s="98"/>
      <c r="BY591" s="112"/>
      <c r="BZ591" s="112"/>
      <c r="CA591" s="112"/>
      <c r="CB591" s="98"/>
      <c r="CC591" s="98"/>
      <c r="CD591" s="98"/>
      <c r="CE591" s="98"/>
      <c r="CG591" s="100"/>
      <c r="CH591" s="100"/>
      <c r="CI591" s="100"/>
      <c r="CJ591" s="100"/>
      <c r="CK591" s="100"/>
      <c r="CL591" s="100"/>
      <c r="CM591" s="100"/>
      <c r="CN591" s="100"/>
      <c r="CO591" s="100"/>
      <c r="CP591" s="100"/>
      <c r="CQ591" s="100"/>
      <c r="CR591" s="100"/>
      <c r="CS591" s="100"/>
      <c r="CT591" s="100"/>
      <c r="CU591" s="100"/>
    </row>
    <row r="592" spans="6:99" s="36" customFormat="1" ht="11.1" customHeight="1" x14ac:dyDescent="0.25">
      <c r="F592" s="33"/>
      <c r="G592" s="33"/>
      <c r="H592" s="33"/>
      <c r="I592" s="34"/>
      <c r="J592" s="34"/>
      <c r="K592" s="14"/>
      <c r="L592" s="32"/>
      <c r="M592" s="14"/>
      <c r="N592" s="14"/>
      <c r="O592" s="2"/>
      <c r="P592"/>
      <c r="Q592" s="2"/>
      <c r="R592"/>
      <c r="S592"/>
      <c r="T592"/>
      <c r="U592" s="2"/>
      <c r="V592" s="2"/>
      <c r="W592" s="2"/>
      <c r="X592" s="2"/>
      <c r="Y592" s="2"/>
      <c r="Z592" s="11"/>
      <c r="AA592" s="15"/>
      <c r="AB592" s="15"/>
      <c r="AC592" s="15"/>
      <c r="AD592" s="35"/>
      <c r="AE592" s="99"/>
      <c r="AF592" s="99"/>
      <c r="AG592" s="35"/>
      <c r="AH592" s="35"/>
      <c r="AI592" s="35"/>
      <c r="AJ592" s="1"/>
      <c r="AK592" s="1"/>
      <c r="AL592" s="1"/>
      <c r="AM592" s="1"/>
      <c r="AN592" s="1"/>
      <c r="AO592" s="1"/>
      <c r="AP592"/>
      <c r="AQ592"/>
      <c r="AR592"/>
      <c r="AS592"/>
      <c r="AT592" s="50"/>
      <c r="AU592" s="97"/>
      <c r="AV592" s="97"/>
      <c r="AW592" s="97"/>
      <c r="AX592" s="97"/>
      <c r="AY592" s="97"/>
      <c r="BD592" s="35"/>
      <c r="BE592" s="35"/>
      <c r="BV592" s="98"/>
      <c r="BW592" s="98"/>
      <c r="BX592" s="98"/>
      <c r="BY592" s="112"/>
      <c r="BZ592" s="112"/>
      <c r="CA592" s="112"/>
      <c r="CB592" s="98"/>
      <c r="CC592" s="98"/>
      <c r="CD592" s="98"/>
      <c r="CE592" s="98"/>
      <c r="CG592" s="100"/>
      <c r="CH592" s="100"/>
      <c r="CI592" s="100"/>
      <c r="CJ592" s="100"/>
      <c r="CK592" s="100"/>
      <c r="CL592" s="100"/>
      <c r="CM592" s="100"/>
      <c r="CN592" s="100"/>
      <c r="CO592" s="100"/>
      <c r="CP592" s="100"/>
      <c r="CQ592" s="100"/>
      <c r="CR592" s="100"/>
      <c r="CS592" s="100"/>
      <c r="CT592" s="100"/>
      <c r="CU592" s="100"/>
    </row>
    <row r="593" spans="6:99" s="36" customFormat="1" ht="11.1" customHeight="1" x14ac:dyDescent="0.25">
      <c r="F593" s="33"/>
      <c r="G593" s="33"/>
      <c r="H593" s="33"/>
      <c r="I593" s="34"/>
      <c r="J593" s="34"/>
      <c r="K593" s="14"/>
      <c r="L593" s="32"/>
      <c r="M593" s="14"/>
      <c r="N593" s="14"/>
      <c r="O593" s="2"/>
      <c r="P593"/>
      <c r="Q593" s="2"/>
      <c r="R593"/>
      <c r="S593"/>
      <c r="T593"/>
      <c r="U593" s="2"/>
      <c r="V593" s="2"/>
      <c r="W593" s="2"/>
      <c r="X593" s="2"/>
      <c r="Y593" s="2"/>
      <c r="Z593" s="11"/>
      <c r="AA593" s="15"/>
      <c r="AB593" s="15"/>
      <c r="AC593" s="15"/>
      <c r="AD593" s="35"/>
      <c r="AE593" s="99"/>
      <c r="AF593" s="99"/>
      <c r="AG593" s="35"/>
      <c r="AH593" s="35"/>
      <c r="AI593" s="35"/>
      <c r="AJ593" s="1"/>
      <c r="AK593" s="1"/>
      <c r="AL593" s="1"/>
      <c r="AM593" s="1"/>
      <c r="AN593" s="1"/>
      <c r="AO593" s="1"/>
      <c r="AP593"/>
      <c r="AQ593"/>
      <c r="AR593"/>
      <c r="AS593"/>
      <c r="AT593" s="50"/>
      <c r="AU593" s="97"/>
      <c r="AV593" s="97"/>
      <c r="AW593" s="97"/>
      <c r="AX593" s="97"/>
      <c r="AY593" s="97"/>
      <c r="BD593" s="35"/>
      <c r="BE593" s="35"/>
      <c r="BV593" s="98"/>
      <c r="BW593" s="98"/>
      <c r="BX593" s="98"/>
      <c r="BY593" s="112"/>
      <c r="BZ593" s="112"/>
      <c r="CA593" s="112"/>
      <c r="CB593" s="98"/>
      <c r="CC593" s="98"/>
      <c r="CD593" s="98"/>
      <c r="CE593" s="98"/>
      <c r="CG593" s="100"/>
      <c r="CH593" s="100"/>
      <c r="CI593" s="100"/>
      <c r="CJ593" s="100"/>
      <c r="CK593" s="100"/>
      <c r="CL593" s="100"/>
      <c r="CM593" s="100"/>
      <c r="CN593" s="100"/>
      <c r="CO593" s="100"/>
      <c r="CP593" s="100"/>
      <c r="CQ593" s="100"/>
      <c r="CR593" s="100"/>
      <c r="CS593" s="100"/>
      <c r="CT593" s="100"/>
      <c r="CU593" s="100"/>
    </row>
    <row r="594" spans="6:99" s="36" customFormat="1" ht="11.1" customHeight="1" x14ac:dyDescent="0.25">
      <c r="F594" s="33"/>
      <c r="G594" s="33"/>
      <c r="H594" s="33"/>
      <c r="I594" s="34"/>
      <c r="J594" s="34"/>
      <c r="K594" s="14"/>
      <c r="L594" s="32"/>
      <c r="M594" s="14"/>
      <c r="N594" s="14"/>
      <c r="O594" s="2"/>
      <c r="P594"/>
      <c r="Q594" s="2"/>
      <c r="R594"/>
      <c r="S594"/>
      <c r="T594"/>
      <c r="U594" s="2"/>
      <c r="V594" s="2"/>
      <c r="W594" s="2"/>
      <c r="X594" s="2"/>
      <c r="Y594" s="2"/>
      <c r="Z594" s="11"/>
      <c r="AA594" s="15"/>
      <c r="AB594" s="15"/>
      <c r="AC594" s="15"/>
      <c r="AD594" s="35"/>
      <c r="AE594" s="99"/>
      <c r="AF594" s="99"/>
      <c r="AG594" s="35"/>
      <c r="AH594" s="35"/>
      <c r="AI594" s="35"/>
      <c r="AJ594" s="1"/>
      <c r="AK594" s="1"/>
      <c r="AL594" s="1"/>
      <c r="AM594" s="1"/>
      <c r="AN594" s="1"/>
      <c r="AO594" s="1"/>
      <c r="AP594"/>
      <c r="AQ594"/>
      <c r="AR594"/>
      <c r="AS594"/>
      <c r="AT594" s="50"/>
      <c r="AU594" s="97"/>
      <c r="AV594" s="97"/>
      <c r="AW594" s="97"/>
      <c r="AX594" s="97"/>
      <c r="AY594" s="97"/>
      <c r="BD594" s="35"/>
      <c r="BE594" s="35"/>
      <c r="BV594" s="98"/>
      <c r="BW594" s="98"/>
      <c r="BX594" s="98"/>
      <c r="BY594" s="112"/>
      <c r="BZ594" s="112"/>
      <c r="CA594" s="112"/>
      <c r="CB594" s="98"/>
      <c r="CC594" s="98"/>
      <c r="CD594" s="98"/>
      <c r="CE594" s="98"/>
      <c r="CG594" s="100"/>
      <c r="CH594" s="100"/>
      <c r="CI594" s="100"/>
      <c r="CJ594" s="100"/>
      <c r="CK594" s="100"/>
      <c r="CL594" s="100"/>
      <c r="CM594" s="100"/>
      <c r="CN594" s="100"/>
      <c r="CO594" s="100"/>
      <c r="CP594" s="100"/>
      <c r="CQ594" s="100"/>
      <c r="CR594" s="100"/>
      <c r="CS594" s="100"/>
      <c r="CT594" s="100"/>
      <c r="CU594" s="100"/>
    </row>
    <row r="595" spans="6:99" s="36" customFormat="1" ht="11.1" customHeight="1" x14ac:dyDescent="0.25">
      <c r="F595" s="33"/>
      <c r="G595" s="33"/>
      <c r="H595" s="33"/>
      <c r="I595" s="34"/>
      <c r="J595" s="34"/>
      <c r="K595" s="14"/>
      <c r="L595" s="32"/>
      <c r="M595" s="14"/>
      <c r="N595" s="14"/>
      <c r="O595" s="2"/>
      <c r="P595"/>
      <c r="Q595" s="2"/>
      <c r="R595"/>
      <c r="S595"/>
      <c r="T595"/>
      <c r="U595" s="2"/>
      <c r="V595" s="2"/>
      <c r="W595" s="2"/>
      <c r="X595" s="2"/>
      <c r="Y595" s="2"/>
      <c r="Z595" s="11"/>
      <c r="AA595" s="15"/>
      <c r="AB595" s="15"/>
      <c r="AC595" s="15"/>
      <c r="AD595" s="35"/>
      <c r="AE595" s="99"/>
      <c r="AF595" s="99"/>
      <c r="AG595" s="35"/>
      <c r="AH595" s="35"/>
      <c r="AI595" s="35"/>
      <c r="AJ595" s="1"/>
      <c r="AK595" s="1"/>
      <c r="AL595" s="1"/>
      <c r="AM595" s="1"/>
      <c r="AN595" s="1"/>
      <c r="AO595" s="1"/>
      <c r="AP595"/>
      <c r="AQ595"/>
      <c r="AR595"/>
      <c r="AS595"/>
      <c r="AT595" s="50"/>
      <c r="AU595" s="97"/>
      <c r="AV595" s="97"/>
      <c r="AW595" s="97"/>
      <c r="AX595" s="97"/>
      <c r="AY595" s="97"/>
      <c r="BD595" s="35"/>
      <c r="BE595" s="35"/>
      <c r="BV595" s="98"/>
      <c r="BW595" s="98"/>
      <c r="BX595" s="98"/>
      <c r="BY595" s="112"/>
      <c r="BZ595" s="112"/>
      <c r="CA595" s="112"/>
      <c r="CB595" s="98"/>
      <c r="CC595" s="98"/>
      <c r="CD595" s="98"/>
      <c r="CE595" s="98"/>
      <c r="CG595" s="100"/>
      <c r="CH595" s="100"/>
      <c r="CI595" s="100"/>
      <c r="CJ595" s="100"/>
      <c r="CK595" s="100"/>
      <c r="CL595" s="100"/>
      <c r="CM595" s="100"/>
      <c r="CN595" s="100"/>
      <c r="CO595" s="100"/>
      <c r="CP595" s="100"/>
      <c r="CQ595" s="100"/>
      <c r="CR595" s="100"/>
      <c r="CS595" s="100"/>
      <c r="CT595" s="100"/>
      <c r="CU595" s="100"/>
    </row>
    <row r="596" spans="6:99" s="36" customFormat="1" ht="11.1" customHeight="1" x14ac:dyDescent="0.25">
      <c r="F596" s="33"/>
      <c r="G596" s="33"/>
      <c r="H596" s="33"/>
      <c r="I596" s="34"/>
      <c r="J596" s="34"/>
      <c r="K596" s="14"/>
      <c r="L596" s="32"/>
      <c r="M596" s="14"/>
      <c r="N596" s="14"/>
      <c r="O596" s="2"/>
      <c r="P596"/>
      <c r="Q596" s="2"/>
      <c r="R596"/>
      <c r="S596"/>
      <c r="T596"/>
      <c r="U596" s="2"/>
      <c r="V596" s="2"/>
      <c r="W596" s="2"/>
      <c r="X596" s="2"/>
      <c r="Y596" s="2"/>
      <c r="Z596" s="11"/>
      <c r="AA596" s="15"/>
      <c r="AB596" s="15"/>
      <c r="AC596" s="15"/>
      <c r="AD596" s="35"/>
      <c r="AE596" s="99"/>
      <c r="AF596" s="99"/>
      <c r="AG596" s="35"/>
      <c r="AH596" s="35"/>
      <c r="AI596" s="35"/>
      <c r="AJ596" s="1"/>
      <c r="AK596" s="1"/>
      <c r="AL596" s="1"/>
      <c r="AM596" s="1"/>
      <c r="AN596" s="1"/>
      <c r="AO596" s="1"/>
      <c r="AP596"/>
      <c r="AQ596"/>
      <c r="AR596"/>
      <c r="AS596"/>
      <c r="AT596" s="50"/>
      <c r="AU596" s="97"/>
      <c r="AV596" s="97"/>
      <c r="AW596" s="97"/>
      <c r="AX596" s="97"/>
      <c r="AY596" s="97"/>
      <c r="BD596" s="35"/>
      <c r="BE596" s="35"/>
      <c r="BV596" s="98"/>
      <c r="BW596" s="98"/>
      <c r="BX596" s="98"/>
      <c r="BY596" s="112"/>
      <c r="BZ596" s="112"/>
      <c r="CA596" s="112"/>
      <c r="CB596" s="98"/>
      <c r="CC596" s="98"/>
      <c r="CD596" s="98"/>
      <c r="CE596" s="98"/>
      <c r="CG596" s="100"/>
      <c r="CH596" s="100"/>
      <c r="CI596" s="100"/>
      <c r="CJ596" s="100"/>
      <c r="CK596" s="100"/>
      <c r="CL596" s="100"/>
      <c r="CM596" s="100"/>
      <c r="CN596" s="100"/>
      <c r="CO596" s="100"/>
      <c r="CP596" s="100"/>
      <c r="CQ596" s="100"/>
      <c r="CR596" s="100"/>
      <c r="CS596" s="100"/>
      <c r="CT596" s="100"/>
      <c r="CU596" s="100"/>
    </row>
    <row r="597" spans="6:99" s="36" customFormat="1" ht="11.1" customHeight="1" x14ac:dyDescent="0.25">
      <c r="F597" s="33"/>
      <c r="G597" s="33"/>
      <c r="H597" s="33"/>
      <c r="I597" s="34"/>
      <c r="J597" s="34"/>
      <c r="K597" s="14"/>
      <c r="L597" s="32"/>
      <c r="M597" s="14"/>
      <c r="N597" s="14"/>
      <c r="O597" s="2"/>
      <c r="P597"/>
      <c r="Q597" s="2"/>
      <c r="R597"/>
      <c r="S597"/>
      <c r="T597"/>
      <c r="U597" s="2"/>
      <c r="V597" s="2"/>
      <c r="W597" s="2"/>
      <c r="X597" s="2"/>
      <c r="Y597" s="2"/>
      <c r="Z597" s="11"/>
      <c r="AA597" s="15"/>
      <c r="AB597" s="15"/>
      <c r="AC597" s="15"/>
      <c r="AD597" s="35"/>
      <c r="AE597" s="99"/>
      <c r="AF597" s="99"/>
      <c r="AG597" s="35"/>
      <c r="AH597" s="35"/>
      <c r="AI597" s="35"/>
      <c r="AJ597" s="1"/>
      <c r="AK597" s="1"/>
      <c r="AL597" s="1"/>
      <c r="AM597" s="1"/>
      <c r="AN597" s="1"/>
      <c r="AO597" s="1"/>
      <c r="AP597"/>
      <c r="AQ597"/>
      <c r="AR597"/>
      <c r="AS597"/>
      <c r="AT597" s="50"/>
      <c r="AU597" s="97"/>
      <c r="AV597" s="97"/>
      <c r="AW597" s="97"/>
      <c r="AX597" s="97"/>
      <c r="AY597" s="97"/>
      <c r="BD597" s="35"/>
      <c r="BE597" s="35"/>
      <c r="BV597" s="98"/>
      <c r="BW597" s="98"/>
      <c r="BX597" s="98"/>
      <c r="BY597" s="112"/>
      <c r="BZ597" s="112"/>
      <c r="CA597" s="112"/>
      <c r="CB597" s="98"/>
      <c r="CC597" s="98"/>
      <c r="CD597" s="98"/>
      <c r="CE597" s="98"/>
      <c r="CG597" s="100"/>
      <c r="CH597" s="100"/>
      <c r="CI597" s="100"/>
      <c r="CJ597" s="100"/>
      <c r="CK597" s="100"/>
      <c r="CL597" s="100"/>
      <c r="CM597" s="100"/>
      <c r="CN597" s="100"/>
      <c r="CO597" s="100"/>
      <c r="CP597" s="100"/>
      <c r="CQ597" s="100"/>
      <c r="CR597" s="100"/>
      <c r="CS597" s="100"/>
      <c r="CT597" s="100"/>
      <c r="CU597" s="100"/>
    </row>
    <row r="598" spans="6:99" s="36" customFormat="1" ht="11.1" customHeight="1" x14ac:dyDescent="0.25">
      <c r="F598" s="33"/>
      <c r="G598" s="33"/>
      <c r="H598" s="33"/>
      <c r="I598" s="34"/>
      <c r="J598" s="34"/>
      <c r="K598" s="14"/>
      <c r="L598" s="32"/>
      <c r="M598" s="14"/>
      <c r="N598" s="14"/>
      <c r="O598" s="2"/>
      <c r="P598"/>
      <c r="Q598" s="2"/>
      <c r="R598"/>
      <c r="S598"/>
      <c r="T598"/>
      <c r="U598" s="2"/>
      <c r="V598" s="2"/>
      <c r="W598" s="2"/>
      <c r="X598" s="2"/>
      <c r="Y598" s="2"/>
      <c r="Z598" s="11"/>
      <c r="AA598" s="15"/>
      <c r="AB598" s="15"/>
      <c r="AC598" s="15"/>
      <c r="AD598" s="35"/>
      <c r="AE598" s="99"/>
      <c r="AF598" s="99"/>
      <c r="AG598" s="35"/>
      <c r="AH598" s="35"/>
      <c r="AI598" s="35"/>
      <c r="AJ598" s="1"/>
      <c r="AK598" s="1"/>
      <c r="AL598" s="1"/>
      <c r="AM598" s="1"/>
      <c r="AN598" s="1"/>
      <c r="AO598" s="1"/>
      <c r="AP598"/>
      <c r="AQ598"/>
      <c r="AR598"/>
      <c r="AS598"/>
      <c r="AT598" s="50"/>
      <c r="AU598" s="97"/>
      <c r="AV598" s="97"/>
      <c r="AW598" s="97"/>
      <c r="AX598" s="97"/>
      <c r="AY598" s="97"/>
      <c r="BD598" s="35"/>
      <c r="BE598" s="35"/>
      <c r="BV598" s="98"/>
      <c r="BW598" s="98"/>
      <c r="BX598" s="98"/>
      <c r="BY598" s="112"/>
      <c r="BZ598" s="112"/>
      <c r="CA598" s="112"/>
      <c r="CB598" s="98"/>
      <c r="CC598" s="98"/>
      <c r="CD598" s="98"/>
      <c r="CE598" s="98"/>
      <c r="CG598" s="100"/>
      <c r="CH598" s="100"/>
      <c r="CI598" s="100"/>
      <c r="CJ598" s="100"/>
      <c r="CK598" s="100"/>
      <c r="CL598" s="100"/>
      <c r="CM598" s="100"/>
      <c r="CN598" s="100"/>
      <c r="CO598" s="100"/>
      <c r="CP598" s="100"/>
      <c r="CQ598" s="100"/>
      <c r="CR598" s="100"/>
      <c r="CS598" s="100"/>
      <c r="CT598" s="100"/>
      <c r="CU598" s="100"/>
    </row>
    <row r="599" spans="6:99" s="36" customFormat="1" ht="11.1" customHeight="1" x14ac:dyDescent="0.25">
      <c r="F599" s="33"/>
      <c r="G599" s="33"/>
      <c r="H599" s="33"/>
      <c r="I599" s="34"/>
      <c r="J599" s="34"/>
      <c r="K599" s="14"/>
      <c r="L599" s="32"/>
      <c r="M599" s="14"/>
      <c r="N599" s="14"/>
      <c r="O599" s="2"/>
      <c r="P599"/>
      <c r="Q599" s="2"/>
      <c r="R599"/>
      <c r="S599"/>
      <c r="T599"/>
      <c r="U599" s="2"/>
      <c r="V599" s="2"/>
      <c r="W599" s="2"/>
      <c r="X599" s="2"/>
      <c r="Y599" s="2"/>
      <c r="Z599" s="11"/>
      <c r="AA599" s="15"/>
      <c r="AB599" s="15"/>
      <c r="AC599" s="15"/>
      <c r="AD599" s="35"/>
      <c r="AE599" s="99"/>
      <c r="AF599" s="99"/>
      <c r="AG599" s="35"/>
      <c r="AH599" s="35"/>
      <c r="AI599" s="35"/>
      <c r="AJ599" s="1"/>
      <c r="AK599" s="1"/>
      <c r="AL599" s="1"/>
      <c r="AM599" s="1"/>
      <c r="AN599" s="1"/>
      <c r="AO599" s="1"/>
      <c r="AP599"/>
      <c r="AQ599"/>
      <c r="AR599"/>
      <c r="AS599"/>
      <c r="AT599" s="50"/>
      <c r="AU599" s="97"/>
      <c r="AV599" s="97"/>
      <c r="AW599" s="97"/>
      <c r="AX599" s="97"/>
      <c r="AY599" s="97"/>
      <c r="BD599" s="35"/>
      <c r="BE599" s="35"/>
      <c r="BV599" s="98"/>
      <c r="BW599" s="98"/>
      <c r="BX599" s="98"/>
      <c r="BY599" s="112"/>
      <c r="BZ599" s="112"/>
      <c r="CA599" s="112"/>
      <c r="CB599" s="98"/>
      <c r="CC599" s="98"/>
      <c r="CD599" s="98"/>
      <c r="CE599" s="98"/>
      <c r="CG599" s="100"/>
      <c r="CH599" s="100"/>
      <c r="CI599" s="100"/>
      <c r="CJ599" s="100"/>
      <c r="CK599" s="100"/>
      <c r="CL599" s="100"/>
      <c r="CM599" s="100"/>
      <c r="CN599" s="100"/>
      <c r="CO599" s="100"/>
      <c r="CP599" s="100"/>
      <c r="CQ599" s="100"/>
      <c r="CR599" s="100"/>
      <c r="CS599" s="100"/>
      <c r="CT599" s="100"/>
      <c r="CU599" s="100"/>
    </row>
    <row r="600" spans="6:99" s="36" customFormat="1" ht="11.1" customHeight="1" x14ac:dyDescent="0.25">
      <c r="F600" s="33"/>
      <c r="G600" s="33"/>
      <c r="H600" s="33"/>
      <c r="I600" s="34"/>
      <c r="J600" s="34"/>
      <c r="K600" s="14"/>
      <c r="L600" s="32"/>
      <c r="M600" s="14"/>
      <c r="N600" s="14"/>
      <c r="O600" s="2"/>
      <c r="P600"/>
      <c r="Q600" s="2"/>
      <c r="R600"/>
      <c r="S600"/>
      <c r="T600"/>
      <c r="U600" s="2"/>
      <c r="V600" s="2"/>
      <c r="W600" s="2"/>
      <c r="X600" s="2"/>
      <c r="Y600" s="2"/>
      <c r="Z600" s="11"/>
      <c r="AA600" s="15"/>
      <c r="AB600" s="15"/>
      <c r="AC600" s="15"/>
      <c r="AD600" s="35"/>
      <c r="AE600" s="99"/>
      <c r="AF600" s="99"/>
      <c r="AG600" s="35"/>
      <c r="AH600" s="35"/>
      <c r="AI600" s="35"/>
      <c r="AJ600" s="1"/>
      <c r="AK600" s="1"/>
      <c r="AL600" s="1"/>
      <c r="AM600" s="1"/>
      <c r="AN600" s="1"/>
      <c r="AO600" s="1"/>
      <c r="AP600"/>
      <c r="AQ600"/>
      <c r="AR600"/>
      <c r="AS600"/>
      <c r="AT600" s="50"/>
      <c r="AU600" s="97"/>
      <c r="AV600" s="97"/>
      <c r="AW600" s="97"/>
      <c r="AX600" s="97"/>
      <c r="AY600" s="97"/>
      <c r="BD600" s="35"/>
      <c r="BE600" s="35"/>
      <c r="BV600" s="98"/>
      <c r="BW600" s="98"/>
      <c r="BX600" s="98"/>
      <c r="BY600" s="112"/>
      <c r="BZ600" s="112"/>
      <c r="CA600" s="112"/>
      <c r="CB600" s="98"/>
      <c r="CC600" s="98"/>
      <c r="CD600" s="98"/>
      <c r="CE600" s="98"/>
      <c r="CG600" s="100"/>
      <c r="CH600" s="100"/>
      <c r="CI600" s="100"/>
      <c r="CJ600" s="100"/>
      <c r="CK600" s="100"/>
      <c r="CL600" s="100"/>
      <c r="CM600" s="100"/>
      <c r="CN600" s="100"/>
      <c r="CO600" s="100"/>
      <c r="CP600" s="100"/>
      <c r="CQ600" s="100"/>
      <c r="CR600" s="100"/>
      <c r="CS600" s="100"/>
      <c r="CT600" s="100"/>
      <c r="CU600" s="100"/>
    </row>
    <row r="601" spans="6:99" s="36" customFormat="1" ht="11.1" customHeight="1" x14ac:dyDescent="0.25">
      <c r="F601" s="33"/>
      <c r="G601" s="33"/>
      <c r="H601" s="33"/>
      <c r="I601" s="34"/>
      <c r="J601" s="34"/>
      <c r="K601" s="14"/>
      <c r="L601" s="32"/>
      <c r="M601" s="14"/>
      <c r="N601" s="14"/>
      <c r="O601" s="2"/>
      <c r="P601"/>
      <c r="Q601" s="2"/>
      <c r="R601"/>
      <c r="S601"/>
      <c r="T601"/>
      <c r="U601" s="2"/>
      <c r="V601" s="2"/>
      <c r="W601" s="2"/>
      <c r="X601" s="2"/>
      <c r="Y601" s="2"/>
      <c r="Z601" s="11"/>
      <c r="AA601" s="15"/>
      <c r="AB601" s="15"/>
      <c r="AC601" s="15"/>
      <c r="AD601" s="35"/>
      <c r="AE601" s="99"/>
      <c r="AF601" s="99"/>
      <c r="AG601" s="35"/>
      <c r="AH601" s="35"/>
      <c r="AI601" s="35"/>
      <c r="AJ601" s="1"/>
      <c r="AK601" s="1"/>
      <c r="AL601" s="1"/>
      <c r="AM601" s="1"/>
      <c r="AN601" s="1"/>
      <c r="AO601" s="1"/>
      <c r="AP601"/>
      <c r="AQ601"/>
      <c r="AR601"/>
      <c r="AS601"/>
      <c r="AT601" s="50"/>
      <c r="AU601" s="97"/>
      <c r="AV601" s="97"/>
      <c r="AW601" s="97"/>
      <c r="AX601" s="97"/>
      <c r="AY601" s="97"/>
      <c r="BD601" s="35"/>
      <c r="BE601" s="35"/>
      <c r="BV601" s="98"/>
      <c r="BW601" s="98"/>
      <c r="BX601" s="98"/>
      <c r="BY601" s="112"/>
      <c r="BZ601" s="112"/>
      <c r="CA601" s="112"/>
      <c r="CB601" s="98"/>
      <c r="CC601" s="98"/>
      <c r="CD601" s="98"/>
      <c r="CE601" s="98"/>
      <c r="CG601" s="100"/>
      <c r="CH601" s="100"/>
      <c r="CI601" s="100"/>
      <c r="CJ601" s="100"/>
      <c r="CK601" s="100"/>
      <c r="CL601" s="100"/>
      <c r="CM601" s="100"/>
      <c r="CN601" s="100"/>
      <c r="CO601" s="100"/>
      <c r="CP601" s="100"/>
      <c r="CQ601" s="100"/>
      <c r="CR601" s="100"/>
      <c r="CS601" s="100"/>
      <c r="CT601" s="100"/>
      <c r="CU601" s="100"/>
    </row>
    <row r="602" spans="6:99" s="36" customFormat="1" ht="11.1" customHeight="1" x14ac:dyDescent="0.25">
      <c r="F602" s="33"/>
      <c r="G602" s="33"/>
      <c r="H602" s="33"/>
      <c r="I602" s="34"/>
      <c r="J602" s="34"/>
      <c r="K602" s="14"/>
      <c r="L602" s="32"/>
      <c r="M602" s="14"/>
      <c r="N602" s="14"/>
      <c r="O602" s="2"/>
      <c r="P602"/>
      <c r="Q602" s="2"/>
      <c r="R602"/>
      <c r="S602"/>
      <c r="T602"/>
      <c r="U602" s="2"/>
      <c r="V602" s="2"/>
      <c r="W602" s="2"/>
      <c r="X602" s="2"/>
      <c r="Y602" s="2"/>
      <c r="Z602" s="11"/>
      <c r="AA602" s="15"/>
      <c r="AB602" s="15"/>
      <c r="AC602" s="15"/>
      <c r="AD602" s="35"/>
      <c r="AE602" s="99"/>
      <c r="AF602" s="99"/>
      <c r="AG602" s="35"/>
      <c r="AH602" s="35"/>
      <c r="AI602" s="35"/>
      <c r="AJ602" s="1"/>
      <c r="AK602" s="1"/>
      <c r="AL602" s="1"/>
      <c r="AM602" s="1"/>
      <c r="AN602" s="1"/>
      <c r="AO602" s="1"/>
      <c r="AP602"/>
      <c r="AQ602"/>
      <c r="AR602"/>
      <c r="AS602"/>
      <c r="AT602" s="50"/>
      <c r="AU602" s="97"/>
      <c r="AV602" s="97"/>
      <c r="AW602" s="97"/>
      <c r="AX602" s="97"/>
      <c r="AY602" s="97"/>
      <c r="BD602" s="35"/>
      <c r="BE602" s="35"/>
      <c r="BV602" s="98"/>
      <c r="BW602" s="98"/>
      <c r="BX602" s="98"/>
      <c r="BY602" s="112"/>
      <c r="BZ602" s="112"/>
      <c r="CA602" s="112"/>
      <c r="CB602" s="98"/>
      <c r="CC602" s="98"/>
      <c r="CD602" s="98"/>
      <c r="CE602" s="98"/>
      <c r="CG602" s="100"/>
      <c r="CH602" s="100"/>
      <c r="CI602" s="100"/>
      <c r="CJ602" s="100"/>
      <c r="CK602" s="100"/>
      <c r="CL602" s="100"/>
      <c r="CM602" s="100"/>
      <c r="CN602" s="100"/>
      <c r="CO602" s="100"/>
      <c r="CP602" s="100"/>
      <c r="CQ602" s="100"/>
      <c r="CR602" s="100"/>
      <c r="CS602" s="100"/>
      <c r="CT602" s="100"/>
      <c r="CU602" s="100"/>
    </row>
    <row r="603" spans="6:99" s="36" customFormat="1" ht="11.1" customHeight="1" x14ac:dyDescent="0.25">
      <c r="F603" s="33"/>
      <c r="G603" s="33"/>
      <c r="H603" s="33"/>
      <c r="I603" s="34"/>
      <c r="J603" s="34"/>
      <c r="K603" s="14"/>
      <c r="L603" s="32"/>
      <c r="M603" s="14"/>
      <c r="N603" s="14"/>
      <c r="O603" s="2"/>
      <c r="P603"/>
      <c r="Q603" s="2"/>
      <c r="R603"/>
      <c r="S603"/>
      <c r="T603"/>
      <c r="U603" s="2"/>
      <c r="V603" s="2"/>
      <c r="W603" s="2"/>
      <c r="X603" s="2"/>
      <c r="Y603" s="2"/>
      <c r="Z603" s="11"/>
      <c r="AA603" s="15"/>
      <c r="AB603" s="15"/>
      <c r="AC603" s="15"/>
      <c r="AD603" s="35"/>
      <c r="AE603" s="99"/>
      <c r="AF603" s="99"/>
      <c r="AG603" s="35"/>
      <c r="AH603" s="35"/>
      <c r="AI603" s="35"/>
      <c r="AJ603" s="1"/>
      <c r="AK603" s="1"/>
      <c r="AL603" s="1"/>
      <c r="AM603" s="1"/>
      <c r="AN603" s="1"/>
      <c r="AO603" s="1"/>
      <c r="AP603"/>
      <c r="AQ603"/>
      <c r="AR603"/>
      <c r="AS603"/>
      <c r="AT603" s="50"/>
      <c r="AU603" s="97"/>
      <c r="AV603" s="97"/>
      <c r="AW603" s="97"/>
      <c r="AX603" s="97"/>
      <c r="AY603" s="97"/>
      <c r="BD603" s="35"/>
      <c r="BE603" s="35"/>
      <c r="BV603" s="98"/>
      <c r="BW603" s="98"/>
      <c r="BX603" s="98"/>
      <c r="BY603" s="112"/>
      <c r="BZ603" s="112"/>
      <c r="CA603" s="112"/>
      <c r="CB603" s="98"/>
      <c r="CC603" s="98"/>
      <c r="CD603" s="98"/>
      <c r="CE603" s="98"/>
      <c r="CG603" s="100"/>
      <c r="CH603" s="100"/>
      <c r="CI603" s="100"/>
      <c r="CJ603" s="100"/>
      <c r="CK603" s="100"/>
      <c r="CL603" s="100"/>
      <c r="CM603" s="100"/>
      <c r="CN603" s="100"/>
      <c r="CO603" s="100"/>
      <c r="CP603" s="100"/>
      <c r="CQ603" s="100"/>
      <c r="CR603" s="100"/>
      <c r="CS603" s="100"/>
      <c r="CT603" s="100"/>
      <c r="CU603" s="100"/>
    </row>
    <row r="604" spans="6:99" s="36" customFormat="1" ht="11.1" customHeight="1" x14ac:dyDescent="0.25">
      <c r="F604" s="33"/>
      <c r="G604" s="33"/>
      <c r="H604" s="33"/>
      <c r="I604" s="34"/>
      <c r="J604" s="34"/>
      <c r="K604" s="14"/>
      <c r="L604" s="32"/>
      <c r="M604" s="14"/>
      <c r="N604" s="14"/>
      <c r="O604" s="2"/>
      <c r="P604"/>
      <c r="Q604" s="2"/>
      <c r="R604"/>
      <c r="S604"/>
      <c r="T604"/>
      <c r="U604" s="2"/>
      <c r="V604" s="2"/>
      <c r="W604" s="2"/>
      <c r="X604" s="2"/>
      <c r="Y604" s="2"/>
      <c r="Z604" s="11"/>
      <c r="AA604" s="15"/>
      <c r="AB604" s="15"/>
      <c r="AC604" s="15"/>
      <c r="AD604" s="35"/>
      <c r="AE604" s="99"/>
      <c r="AF604" s="99"/>
      <c r="AG604" s="35"/>
      <c r="AH604" s="35"/>
      <c r="AI604" s="35"/>
      <c r="AJ604" s="1"/>
      <c r="AK604" s="1"/>
      <c r="AL604" s="1"/>
      <c r="AM604" s="1"/>
      <c r="AN604" s="1"/>
      <c r="AO604" s="1"/>
      <c r="AP604"/>
      <c r="AQ604"/>
      <c r="AR604"/>
      <c r="AS604"/>
      <c r="AT604" s="50"/>
      <c r="AU604" s="97"/>
      <c r="AV604" s="97"/>
      <c r="AW604" s="97"/>
      <c r="AX604" s="97"/>
      <c r="AY604" s="97"/>
      <c r="BD604" s="35"/>
      <c r="BE604" s="35"/>
      <c r="BV604" s="98"/>
      <c r="BW604" s="98"/>
      <c r="BX604" s="98"/>
      <c r="BY604" s="112"/>
      <c r="BZ604" s="112"/>
      <c r="CA604" s="112"/>
      <c r="CB604" s="98"/>
      <c r="CC604" s="98"/>
      <c r="CD604" s="98"/>
      <c r="CE604" s="98"/>
      <c r="CG604" s="100"/>
      <c r="CH604" s="100"/>
      <c r="CI604" s="100"/>
      <c r="CJ604" s="100"/>
      <c r="CK604" s="100"/>
      <c r="CL604" s="100"/>
      <c r="CM604" s="100"/>
      <c r="CN604" s="100"/>
      <c r="CO604" s="100"/>
      <c r="CP604" s="100"/>
      <c r="CQ604" s="100"/>
      <c r="CR604" s="100"/>
      <c r="CS604" s="100"/>
      <c r="CT604" s="100"/>
      <c r="CU604" s="100"/>
    </row>
    <row r="605" spans="6:99" s="36" customFormat="1" ht="11.1" customHeight="1" x14ac:dyDescent="0.25">
      <c r="F605" s="33"/>
      <c r="G605" s="33"/>
      <c r="H605" s="33"/>
      <c r="I605" s="34"/>
      <c r="J605" s="34"/>
      <c r="K605" s="14"/>
      <c r="L605" s="32"/>
      <c r="M605" s="14"/>
      <c r="N605" s="14"/>
      <c r="O605" s="2"/>
      <c r="P605"/>
      <c r="Q605" s="2"/>
      <c r="R605"/>
      <c r="S605"/>
      <c r="T605"/>
      <c r="U605" s="2"/>
      <c r="V605" s="2"/>
      <c r="W605" s="2"/>
      <c r="X605" s="2"/>
      <c r="Y605" s="2"/>
      <c r="Z605" s="11"/>
      <c r="AA605" s="15"/>
      <c r="AB605" s="15"/>
      <c r="AC605" s="15"/>
      <c r="AD605" s="35"/>
      <c r="AE605" s="99"/>
      <c r="AF605" s="99"/>
      <c r="AG605" s="35"/>
      <c r="AH605" s="35"/>
      <c r="AI605" s="35"/>
      <c r="AJ605" s="1"/>
      <c r="AK605" s="1"/>
      <c r="AL605" s="1"/>
      <c r="AM605" s="1"/>
      <c r="AN605" s="1"/>
      <c r="AO605" s="1"/>
      <c r="AP605"/>
      <c r="AQ605"/>
      <c r="AR605"/>
      <c r="AS605"/>
      <c r="AT605" s="50"/>
      <c r="AU605" s="97"/>
      <c r="AV605" s="97"/>
      <c r="AW605" s="97"/>
      <c r="AX605" s="97"/>
      <c r="AY605" s="97"/>
      <c r="BD605" s="35"/>
      <c r="BE605" s="35"/>
      <c r="BV605" s="98"/>
      <c r="BW605" s="98"/>
      <c r="BX605" s="98"/>
      <c r="BY605" s="112"/>
      <c r="BZ605" s="112"/>
      <c r="CA605" s="112"/>
      <c r="CB605" s="98"/>
      <c r="CC605" s="98"/>
      <c r="CD605" s="98"/>
      <c r="CE605" s="98"/>
      <c r="CG605" s="100"/>
      <c r="CH605" s="100"/>
      <c r="CI605" s="100"/>
      <c r="CJ605" s="100"/>
      <c r="CK605" s="100"/>
      <c r="CL605" s="100"/>
      <c r="CM605" s="100"/>
      <c r="CN605" s="100"/>
      <c r="CO605" s="100"/>
      <c r="CP605" s="100"/>
      <c r="CQ605" s="100"/>
      <c r="CR605" s="100"/>
      <c r="CS605" s="100"/>
      <c r="CT605" s="100"/>
      <c r="CU605" s="100"/>
    </row>
    <row r="606" spans="6:99" s="36" customFormat="1" ht="11.1" customHeight="1" x14ac:dyDescent="0.25">
      <c r="F606" s="33"/>
      <c r="G606" s="33"/>
      <c r="H606" s="33"/>
      <c r="I606" s="34"/>
      <c r="J606" s="34"/>
      <c r="K606" s="14"/>
      <c r="L606" s="32"/>
      <c r="M606" s="14"/>
      <c r="N606" s="14"/>
      <c r="O606" s="2"/>
      <c r="P606"/>
      <c r="Q606" s="2"/>
      <c r="R606"/>
      <c r="S606"/>
      <c r="T606"/>
      <c r="U606" s="2"/>
      <c r="V606" s="2"/>
      <c r="W606" s="2"/>
      <c r="X606" s="2"/>
      <c r="Y606" s="2"/>
      <c r="Z606" s="11"/>
      <c r="AA606" s="15"/>
      <c r="AB606" s="15"/>
      <c r="AC606" s="15"/>
      <c r="AD606" s="35"/>
      <c r="AE606" s="99"/>
      <c r="AF606" s="99"/>
      <c r="AG606" s="35"/>
      <c r="AH606" s="35"/>
      <c r="AI606" s="35"/>
      <c r="AJ606" s="1"/>
      <c r="AK606" s="1"/>
      <c r="AL606" s="1"/>
      <c r="AM606" s="1"/>
      <c r="AN606" s="1"/>
      <c r="AO606" s="1"/>
      <c r="AP606"/>
      <c r="AQ606"/>
      <c r="AR606"/>
      <c r="AS606"/>
      <c r="AT606" s="50"/>
      <c r="AU606" s="97"/>
      <c r="AV606" s="97"/>
      <c r="AW606" s="97"/>
      <c r="AX606" s="97"/>
      <c r="AY606" s="97"/>
      <c r="BD606" s="35"/>
      <c r="BE606" s="35"/>
      <c r="BV606" s="98"/>
      <c r="BW606" s="98"/>
      <c r="BX606" s="98"/>
      <c r="BY606" s="112"/>
      <c r="BZ606" s="112"/>
      <c r="CA606" s="112"/>
      <c r="CB606" s="98"/>
      <c r="CC606" s="98"/>
      <c r="CD606" s="98"/>
      <c r="CE606" s="98"/>
      <c r="CG606" s="100"/>
      <c r="CH606" s="100"/>
      <c r="CI606" s="100"/>
      <c r="CJ606" s="100"/>
      <c r="CK606" s="100"/>
      <c r="CL606" s="100"/>
      <c r="CM606" s="100"/>
      <c r="CN606" s="100"/>
      <c r="CO606" s="100"/>
      <c r="CP606" s="100"/>
      <c r="CQ606" s="100"/>
      <c r="CR606" s="100"/>
      <c r="CS606" s="100"/>
      <c r="CT606" s="100"/>
      <c r="CU606" s="100"/>
    </row>
    <row r="607" spans="6:99" s="36" customFormat="1" ht="11.1" customHeight="1" x14ac:dyDescent="0.25">
      <c r="F607" s="33"/>
      <c r="G607" s="33"/>
      <c r="H607" s="33"/>
      <c r="I607" s="34"/>
      <c r="J607" s="34"/>
      <c r="K607" s="14"/>
      <c r="L607" s="32"/>
      <c r="M607" s="14"/>
      <c r="N607" s="14"/>
      <c r="O607" s="2"/>
      <c r="P607"/>
      <c r="Q607" s="2"/>
      <c r="R607"/>
      <c r="S607"/>
      <c r="T607"/>
      <c r="U607" s="2"/>
      <c r="V607" s="2"/>
      <c r="W607" s="2"/>
      <c r="X607" s="2"/>
      <c r="Y607" s="2"/>
      <c r="Z607" s="11"/>
      <c r="AA607" s="15"/>
      <c r="AB607" s="15"/>
      <c r="AC607" s="15"/>
      <c r="AD607" s="35"/>
      <c r="AE607" s="99"/>
      <c r="AF607" s="99"/>
      <c r="AG607" s="35"/>
      <c r="AH607" s="35"/>
      <c r="AI607" s="35"/>
      <c r="AJ607" s="1"/>
      <c r="AK607" s="1"/>
      <c r="AL607" s="1"/>
      <c r="AM607" s="1"/>
      <c r="AN607" s="1"/>
      <c r="AO607" s="1"/>
      <c r="AP607"/>
      <c r="AQ607"/>
      <c r="AR607"/>
      <c r="AS607"/>
      <c r="AT607" s="50"/>
      <c r="AU607" s="97"/>
      <c r="AV607" s="97"/>
      <c r="AW607" s="97"/>
      <c r="AX607" s="97"/>
      <c r="AY607" s="97"/>
      <c r="BD607" s="35"/>
      <c r="BE607" s="35"/>
      <c r="BV607" s="98"/>
      <c r="BW607" s="98"/>
      <c r="BX607" s="98"/>
      <c r="BY607" s="112"/>
      <c r="BZ607" s="112"/>
      <c r="CA607" s="112"/>
      <c r="CB607" s="98"/>
      <c r="CC607" s="98"/>
      <c r="CD607" s="98"/>
      <c r="CE607" s="98"/>
      <c r="CG607" s="100"/>
      <c r="CH607" s="100"/>
      <c r="CI607" s="100"/>
      <c r="CJ607" s="100"/>
      <c r="CK607" s="100"/>
      <c r="CL607" s="100"/>
      <c r="CM607" s="100"/>
      <c r="CN607" s="100"/>
      <c r="CO607" s="100"/>
      <c r="CP607" s="100"/>
      <c r="CQ607" s="100"/>
      <c r="CR607" s="100"/>
      <c r="CS607" s="100"/>
      <c r="CT607" s="100"/>
      <c r="CU607" s="100"/>
    </row>
    <row r="608" spans="6:99" s="36" customFormat="1" ht="11.1" customHeight="1" x14ac:dyDescent="0.25">
      <c r="F608" s="33"/>
      <c r="G608" s="33"/>
      <c r="H608" s="33"/>
      <c r="I608" s="34"/>
      <c r="J608" s="34"/>
      <c r="K608" s="14"/>
      <c r="L608" s="32"/>
      <c r="M608" s="14"/>
      <c r="N608" s="14"/>
      <c r="O608" s="2"/>
      <c r="P608"/>
      <c r="Q608" s="2"/>
      <c r="R608"/>
      <c r="S608"/>
      <c r="T608"/>
      <c r="U608" s="2"/>
      <c r="V608" s="2"/>
      <c r="W608" s="2"/>
      <c r="X608" s="2"/>
      <c r="Y608" s="2"/>
      <c r="Z608" s="11"/>
      <c r="AA608" s="15"/>
      <c r="AB608" s="15"/>
      <c r="AC608" s="15"/>
      <c r="AD608" s="35"/>
      <c r="AE608" s="99"/>
      <c r="AF608" s="99"/>
      <c r="AG608" s="35"/>
      <c r="AH608" s="35"/>
      <c r="AI608" s="35"/>
      <c r="AJ608" s="1"/>
      <c r="AK608" s="1"/>
      <c r="AL608" s="1"/>
      <c r="AM608" s="1"/>
      <c r="AN608" s="1"/>
      <c r="AO608" s="1"/>
      <c r="AP608"/>
      <c r="AQ608"/>
      <c r="AR608"/>
      <c r="AS608"/>
      <c r="AT608" s="50"/>
      <c r="AU608" s="97"/>
      <c r="AV608" s="97"/>
      <c r="AW608" s="97"/>
      <c r="AX608" s="97"/>
      <c r="AY608" s="97"/>
      <c r="BD608" s="35"/>
      <c r="BE608" s="35"/>
      <c r="BV608" s="98"/>
      <c r="BW608" s="98"/>
      <c r="BX608" s="98"/>
      <c r="BY608" s="112"/>
      <c r="BZ608" s="112"/>
      <c r="CA608" s="112"/>
      <c r="CB608" s="98"/>
      <c r="CC608" s="98"/>
      <c r="CD608" s="98"/>
      <c r="CE608" s="98"/>
      <c r="CG608" s="100"/>
      <c r="CH608" s="100"/>
      <c r="CI608" s="100"/>
      <c r="CJ608" s="100"/>
      <c r="CK608" s="100"/>
      <c r="CL608" s="100"/>
      <c r="CM608" s="100"/>
      <c r="CN608" s="100"/>
      <c r="CO608" s="100"/>
      <c r="CP608" s="100"/>
      <c r="CQ608" s="100"/>
      <c r="CR608" s="100"/>
      <c r="CS608" s="100"/>
      <c r="CT608" s="100"/>
      <c r="CU608" s="100"/>
    </row>
    <row r="609" spans="6:99" s="36" customFormat="1" ht="11.1" customHeight="1" x14ac:dyDescent="0.25">
      <c r="F609" s="33"/>
      <c r="G609" s="33"/>
      <c r="H609" s="33"/>
      <c r="I609" s="34"/>
      <c r="J609" s="34"/>
      <c r="K609" s="14"/>
      <c r="L609" s="32"/>
      <c r="M609" s="14"/>
      <c r="N609" s="14"/>
      <c r="O609" s="2"/>
      <c r="P609"/>
      <c r="Q609" s="2"/>
      <c r="R609"/>
      <c r="S609"/>
      <c r="T609"/>
      <c r="U609" s="2"/>
      <c r="V609" s="2"/>
      <c r="W609" s="2"/>
      <c r="X609" s="2"/>
      <c r="Y609" s="2"/>
      <c r="Z609" s="11"/>
      <c r="AA609" s="15"/>
      <c r="AB609" s="15"/>
      <c r="AC609" s="15"/>
      <c r="AD609" s="35"/>
      <c r="AE609" s="99"/>
      <c r="AF609" s="99"/>
      <c r="AG609" s="35"/>
      <c r="AH609" s="35"/>
      <c r="AI609" s="35"/>
      <c r="AJ609" s="1"/>
      <c r="AK609" s="1"/>
      <c r="AL609" s="1"/>
      <c r="AM609" s="1"/>
      <c r="AN609" s="1"/>
      <c r="AO609" s="1"/>
      <c r="AP609"/>
      <c r="AQ609"/>
      <c r="AR609"/>
      <c r="AS609"/>
      <c r="AT609" s="50"/>
      <c r="AU609" s="97"/>
      <c r="AV609" s="97"/>
      <c r="AW609" s="97"/>
      <c r="AX609" s="97"/>
      <c r="AY609" s="97"/>
      <c r="BD609" s="35"/>
      <c r="BE609" s="35"/>
      <c r="BV609" s="98"/>
      <c r="BW609" s="98"/>
      <c r="BX609" s="98"/>
      <c r="BY609" s="112"/>
      <c r="BZ609" s="112"/>
      <c r="CA609" s="112"/>
      <c r="CB609" s="98"/>
      <c r="CC609" s="98"/>
      <c r="CD609" s="98"/>
      <c r="CE609" s="98"/>
      <c r="CG609" s="100"/>
      <c r="CH609" s="100"/>
      <c r="CI609" s="100"/>
      <c r="CJ609" s="100"/>
      <c r="CK609" s="100"/>
      <c r="CL609" s="100"/>
      <c r="CM609" s="100"/>
      <c r="CN609" s="100"/>
      <c r="CO609" s="100"/>
      <c r="CP609" s="100"/>
      <c r="CQ609" s="100"/>
      <c r="CR609" s="100"/>
      <c r="CS609" s="100"/>
      <c r="CT609" s="100"/>
      <c r="CU609" s="100"/>
    </row>
    <row r="610" spans="6:99" s="36" customFormat="1" ht="11.1" customHeight="1" x14ac:dyDescent="0.25">
      <c r="F610" s="33"/>
      <c r="G610" s="33"/>
      <c r="H610" s="33"/>
      <c r="I610" s="34"/>
      <c r="J610" s="34"/>
      <c r="K610" s="14"/>
      <c r="L610" s="32"/>
      <c r="M610" s="14"/>
      <c r="N610" s="14"/>
      <c r="O610" s="2"/>
      <c r="P610"/>
      <c r="Q610" s="2"/>
      <c r="R610"/>
      <c r="S610"/>
      <c r="T610"/>
      <c r="U610" s="2"/>
      <c r="V610" s="2"/>
      <c r="W610" s="2"/>
      <c r="X610" s="2"/>
      <c r="Y610" s="2"/>
      <c r="Z610" s="11"/>
      <c r="AA610" s="15"/>
      <c r="AB610" s="15"/>
      <c r="AC610" s="15"/>
      <c r="AD610" s="35"/>
      <c r="AE610" s="99"/>
      <c r="AF610" s="99"/>
      <c r="AG610" s="35"/>
      <c r="AH610" s="35"/>
      <c r="AI610" s="35"/>
      <c r="AJ610" s="1"/>
      <c r="AK610" s="1"/>
      <c r="AL610" s="1"/>
      <c r="AM610" s="1"/>
      <c r="AN610" s="1"/>
      <c r="AO610" s="1"/>
      <c r="AP610"/>
      <c r="AQ610"/>
      <c r="AR610"/>
      <c r="AS610"/>
      <c r="AT610" s="50"/>
      <c r="AU610" s="97"/>
      <c r="AV610" s="97"/>
      <c r="AW610" s="97"/>
      <c r="AX610" s="97"/>
      <c r="AY610" s="97"/>
      <c r="BD610" s="35"/>
      <c r="BE610" s="35"/>
      <c r="BV610" s="98"/>
      <c r="BW610" s="98"/>
      <c r="BX610" s="98"/>
      <c r="BY610" s="112"/>
      <c r="BZ610" s="112"/>
      <c r="CA610" s="112"/>
      <c r="CB610" s="98"/>
      <c r="CC610" s="98"/>
      <c r="CD610" s="98"/>
      <c r="CE610" s="98"/>
      <c r="CG610" s="100"/>
      <c r="CH610" s="100"/>
      <c r="CI610" s="100"/>
      <c r="CJ610" s="100"/>
      <c r="CK610" s="100"/>
      <c r="CL610" s="100"/>
      <c r="CM610" s="100"/>
      <c r="CN610" s="100"/>
      <c r="CO610" s="100"/>
      <c r="CP610" s="100"/>
      <c r="CQ610" s="100"/>
      <c r="CR610" s="100"/>
      <c r="CS610" s="100"/>
      <c r="CT610" s="100"/>
      <c r="CU610" s="100"/>
    </row>
    <row r="611" spans="6:99" s="36" customFormat="1" ht="11.1" customHeight="1" x14ac:dyDescent="0.25">
      <c r="F611" s="33"/>
      <c r="G611" s="33"/>
      <c r="H611" s="33"/>
      <c r="I611" s="34"/>
      <c r="J611" s="34"/>
      <c r="K611" s="14"/>
      <c r="L611" s="32"/>
      <c r="M611" s="14"/>
      <c r="N611" s="14"/>
      <c r="O611" s="2"/>
      <c r="P611"/>
      <c r="Q611" s="2"/>
      <c r="R611"/>
      <c r="S611"/>
      <c r="T611"/>
      <c r="U611" s="2"/>
      <c r="V611" s="2"/>
      <c r="W611" s="2"/>
      <c r="X611" s="2"/>
      <c r="Y611" s="2"/>
      <c r="Z611" s="11"/>
      <c r="AA611" s="15"/>
      <c r="AB611" s="15"/>
      <c r="AC611" s="15"/>
      <c r="AD611" s="35"/>
      <c r="AE611" s="99"/>
      <c r="AF611" s="99"/>
      <c r="AG611" s="35"/>
      <c r="AH611" s="35"/>
      <c r="AI611" s="35"/>
      <c r="AJ611" s="1"/>
      <c r="AK611" s="1"/>
      <c r="AL611" s="1"/>
      <c r="AM611" s="1"/>
      <c r="AN611" s="1"/>
      <c r="AO611" s="1"/>
      <c r="AP611"/>
      <c r="AQ611"/>
      <c r="AR611"/>
      <c r="AS611"/>
      <c r="AT611" s="50"/>
      <c r="AU611" s="97"/>
      <c r="AV611" s="97"/>
      <c r="AW611" s="97"/>
      <c r="AX611" s="97"/>
      <c r="AY611" s="97"/>
      <c r="BD611" s="35"/>
      <c r="BE611" s="35"/>
      <c r="BV611" s="98"/>
      <c r="BW611" s="98"/>
      <c r="BX611" s="98"/>
      <c r="BY611" s="112"/>
      <c r="BZ611" s="112"/>
      <c r="CA611" s="112"/>
      <c r="CB611" s="98"/>
      <c r="CC611" s="98"/>
      <c r="CD611" s="98"/>
      <c r="CE611" s="98"/>
      <c r="CG611" s="100"/>
      <c r="CH611" s="100"/>
      <c r="CI611" s="100"/>
      <c r="CJ611" s="100"/>
      <c r="CK611" s="100"/>
      <c r="CL611" s="100"/>
      <c r="CM611" s="100"/>
      <c r="CN611" s="100"/>
      <c r="CO611" s="100"/>
      <c r="CP611" s="100"/>
      <c r="CQ611" s="100"/>
      <c r="CR611" s="100"/>
      <c r="CS611" s="100"/>
      <c r="CT611" s="100"/>
      <c r="CU611" s="100"/>
    </row>
    <row r="612" spans="6:99" s="36" customFormat="1" ht="11.1" customHeight="1" x14ac:dyDescent="0.25">
      <c r="F612" s="33"/>
      <c r="G612" s="33"/>
      <c r="H612" s="33"/>
      <c r="I612" s="34"/>
      <c r="J612" s="34"/>
      <c r="K612" s="14"/>
      <c r="L612" s="32"/>
      <c r="M612" s="14"/>
      <c r="N612" s="14"/>
      <c r="O612" s="2"/>
      <c r="P612"/>
      <c r="Q612" s="2"/>
      <c r="R612"/>
      <c r="S612"/>
      <c r="T612"/>
      <c r="U612" s="2"/>
      <c r="V612" s="2"/>
      <c r="W612" s="2"/>
      <c r="X612" s="2"/>
      <c r="Y612" s="2"/>
      <c r="Z612" s="11"/>
      <c r="AA612" s="15"/>
      <c r="AB612" s="15"/>
      <c r="AC612" s="15"/>
      <c r="AD612" s="35"/>
      <c r="AE612" s="99"/>
      <c r="AF612" s="99"/>
      <c r="AG612" s="35"/>
      <c r="AH612" s="35"/>
      <c r="AI612" s="35"/>
      <c r="AJ612" s="1"/>
      <c r="AK612" s="1"/>
      <c r="AL612" s="1"/>
      <c r="AM612" s="1"/>
      <c r="AN612" s="1"/>
      <c r="AO612" s="1"/>
      <c r="AP612"/>
      <c r="AQ612"/>
      <c r="AR612"/>
      <c r="AS612"/>
      <c r="AT612" s="50"/>
      <c r="AU612" s="97"/>
      <c r="AV612" s="97"/>
      <c r="AW612" s="97"/>
      <c r="AX612" s="97"/>
      <c r="AY612" s="97"/>
      <c r="BD612" s="35"/>
      <c r="BE612" s="35"/>
      <c r="BV612" s="98"/>
      <c r="BW612" s="98"/>
      <c r="BX612" s="98"/>
      <c r="BY612" s="112"/>
      <c r="BZ612" s="112"/>
      <c r="CA612" s="112"/>
      <c r="CB612" s="98"/>
      <c r="CC612" s="98"/>
      <c r="CD612" s="98"/>
      <c r="CE612" s="98"/>
      <c r="CG612" s="100"/>
      <c r="CH612" s="100"/>
      <c r="CI612" s="100"/>
      <c r="CJ612" s="100"/>
      <c r="CK612" s="100"/>
      <c r="CL612" s="100"/>
      <c r="CM612" s="100"/>
      <c r="CN612" s="100"/>
      <c r="CO612" s="100"/>
      <c r="CP612" s="100"/>
      <c r="CQ612" s="100"/>
      <c r="CR612" s="100"/>
      <c r="CS612" s="100"/>
      <c r="CT612" s="100"/>
      <c r="CU612" s="100"/>
    </row>
    <row r="613" spans="6:99" s="36" customFormat="1" ht="11.1" customHeight="1" x14ac:dyDescent="0.25">
      <c r="F613" s="33"/>
      <c r="G613" s="33"/>
      <c r="H613" s="33"/>
      <c r="I613" s="34"/>
      <c r="J613" s="34"/>
      <c r="K613" s="14"/>
      <c r="L613" s="32"/>
      <c r="M613" s="14"/>
      <c r="N613" s="14"/>
      <c r="O613" s="2"/>
      <c r="P613"/>
      <c r="Q613" s="2"/>
      <c r="R613"/>
      <c r="S613"/>
      <c r="T613"/>
      <c r="U613" s="2"/>
      <c r="V613" s="2"/>
      <c r="W613" s="2"/>
      <c r="X613" s="2"/>
      <c r="Y613" s="2"/>
      <c r="Z613" s="11"/>
      <c r="AA613" s="15"/>
      <c r="AB613" s="15"/>
      <c r="AC613" s="15"/>
      <c r="AD613" s="35"/>
      <c r="AE613" s="99"/>
      <c r="AF613" s="99"/>
      <c r="AG613" s="35"/>
      <c r="AH613" s="35"/>
      <c r="AI613" s="35"/>
      <c r="AJ613" s="1"/>
      <c r="AK613" s="1"/>
      <c r="AL613" s="1"/>
      <c r="AM613" s="1"/>
      <c r="AN613" s="1"/>
      <c r="AO613" s="1"/>
      <c r="AP613"/>
      <c r="AQ613"/>
      <c r="AR613"/>
      <c r="AS613"/>
      <c r="AT613" s="50"/>
      <c r="AU613" s="97"/>
      <c r="AV613" s="97"/>
      <c r="AW613" s="97"/>
      <c r="AX613" s="97"/>
      <c r="AY613" s="97"/>
      <c r="BD613" s="35"/>
      <c r="BE613" s="35"/>
      <c r="BV613" s="98"/>
      <c r="BW613" s="98"/>
      <c r="BX613" s="98"/>
      <c r="BY613" s="112"/>
      <c r="BZ613" s="112"/>
      <c r="CA613" s="112"/>
      <c r="CB613" s="98"/>
      <c r="CC613" s="98"/>
      <c r="CD613" s="98"/>
      <c r="CE613" s="98"/>
      <c r="CG613" s="100"/>
      <c r="CH613" s="100"/>
      <c r="CI613" s="100"/>
      <c r="CJ613" s="100"/>
      <c r="CK613" s="100"/>
      <c r="CL613" s="100"/>
      <c r="CM613" s="100"/>
      <c r="CN613" s="100"/>
      <c r="CO613" s="100"/>
      <c r="CP613" s="100"/>
      <c r="CQ613" s="100"/>
      <c r="CR613" s="100"/>
      <c r="CS613" s="100"/>
      <c r="CT613" s="100"/>
      <c r="CU613" s="100"/>
    </row>
    <row r="614" spans="6:99" s="36" customFormat="1" ht="11.1" customHeight="1" x14ac:dyDescent="0.25">
      <c r="F614" s="33"/>
      <c r="G614" s="33"/>
      <c r="H614" s="33"/>
      <c r="I614" s="34"/>
      <c r="J614" s="34"/>
      <c r="K614" s="14"/>
      <c r="L614" s="32"/>
      <c r="M614" s="14"/>
      <c r="N614" s="14"/>
      <c r="O614" s="2"/>
      <c r="P614"/>
      <c r="Q614" s="2"/>
      <c r="R614"/>
      <c r="S614"/>
      <c r="T614"/>
      <c r="U614" s="2"/>
      <c r="V614" s="2"/>
      <c r="W614" s="2"/>
      <c r="X614" s="2"/>
      <c r="Y614" s="2"/>
      <c r="Z614" s="11"/>
      <c r="AA614" s="15"/>
      <c r="AB614" s="15"/>
      <c r="AC614" s="15"/>
      <c r="AD614" s="35"/>
      <c r="AE614" s="99"/>
      <c r="AF614" s="99"/>
      <c r="AG614" s="35"/>
      <c r="AH614" s="35"/>
      <c r="AI614" s="35"/>
      <c r="AJ614" s="1"/>
      <c r="AK614" s="1"/>
      <c r="AL614" s="1"/>
      <c r="AM614" s="1"/>
      <c r="AN614" s="1"/>
      <c r="AO614" s="1"/>
      <c r="AP614"/>
      <c r="AQ614"/>
      <c r="AR614"/>
      <c r="AS614"/>
      <c r="AT614" s="50"/>
      <c r="AU614" s="97"/>
      <c r="AV614" s="97"/>
      <c r="AW614" s="97"/>
      <c r="AX614" s="97"/>
      <c r="AY614" s="97"/>
      <c r="BD614" s="35"/>
      <c r="BE614" s="35"/>
      <c r="BV614" s="98"/>
      <c r="BW614" s="98"/>
      <c r="BX614" s="98"/>
      <c r="BY614" s="112"/>
      <c r="BZ614" s="112"/>
      <c r="CA614" s="112"/>
      <c r="CB614" s="98"/>
      <c r="CC614" s="98"/>
      <c r="CD614" s="98"/>
      <c r="CE614" s="98"/>
      <c r="CG614" s="100"/>
      <c r="CH614" s="100"/>
      <c r="CI614" s="100"/>
      <c r="CJ614" s="100"/>
      <c r="CK614" s="100"/>
      <c r="CL614" s="100"/>
      <c r="CM614" s="100"/>
      <c r="CN614" s="100"/>
      <c r="CO614" s="100"/>
      <c r="CP614" s="100"/>
      <c r="CQ614" s="100"/>
      <c r="CR614" s="100"/>
      <c r="CS614" s="100"/>
      <c r="CT614" s="100"/>
      <c r="CU614" s="100"/>
    </row>
    <row r="615" spans="6:99" s="36" customFormat="1" ht="11.1" customHeight="1" x14ac:dyDescent="0.25">
      <c r="F615" s="33"/>
      <c r="G615" s="33"/>
      <c r="H615" s="33"/>
      <c r="I615" s="34"/>
      <c r="J615" s="34"/>
      <c r="K615" s="14"/>
      <c r="L615" s="32"/>
      <c r="M615" s="14"/>
      <c r="N615" s="14"/>
      <c r="O615" s="2"/>
      <c r="P615"/>
      <c r="Q615" s="2"/>
      <c r="R615"/>
      <c r="S615"/>
      <c r="T615"/>
      <c r="U615" s="2"/>
      <c r="V615" s="2"/>
      <c r="W615" s="2"/>
      <c r="X615" s="2"/>
      <c r="Y615" s="2"/>
      <c r="Z615" s="11"/>
      <c r="AA615" s="15"/>
      <c r="AB615" s="15"/>
      <c r="AC615" s="15"/>
      <c r="AD615" s="35"/>
      <c r="AE615" s="99"/>
      <c r="AF615" s="99"/>
      <c r="AG615" s="35"/>
      <c r="AH615" s="35"/>
      <c r="AI615" s="35"/>
      <c r="AJ615" s="1"/>
      <c r="AK615" s="1"/>
      <c r="AL615" s="1"/>
      <c r="AM615" s="1"/>
      <c r="AN615" s="1"/>
      <c r="AO615" s="1"/>
      <c r="AP615"/>
      <c r="AQ615"/>
      <c r="AR615"/>
      <c r="AS615"/>
      <c r="AT615" s="50"/>
      <c r="AU615" s="97"/>
      <c r="AV615" s="97"/>
      <c r="AW615" s="97"/>
      <c r="AX615" s="97"/>
      <c r="AY615" s="97"/>
      <c r="BD615" s="35"/>
      <c r="BE615" s="35"/>
      <c r="BV615" s="98"/>
      <c r="BW615" s="98"/>
      <c r="BX615" s="98"/>
      <c r="BY615" s="112"/>
      <c r="BZ615" s="112"/>
      <c r="CA615" s="112"/>
      <c r="CB615" s="98"/>
      <c r="CC615" s="98"/>
      <c r="CD615" s="98"/>
      <c r="CE615" s="98"/>
      <c r="CG615" s="100"/>
      <c r="CH615" s="100"/>
      <c r="CI615" s="100"/>
      <c r="CJ615" s="100"/>
      <c r="CK615" s="100"/>
      <c r="CL615" s="100"/>
      <c r="CM615" s="100"/>
      <c r="CN615" s="100"/>
      <c r="CO615" s="100"/>
      <c r="CP615" s="100"/>
      <c r="CQ615" s="100"/>
      <c r="CR615" s="100"/>
      <c r="CS615" s="100"/>
      <c r="CT615" s="100"/>
      <c r="CU615" s="100"/>
    </row>
    <row r="616" spans="6:99" s="36" customFormat="1" ht="11.1" customHeight="1" x14ac:dyDescent="0.25">
      <c r="F616" s="33"/>
      <c r="G616" s="33"/>
      <c r="H616" s="33"/>
      <c r="I616" s="34"/>
      <c r="J616" s="34"/>
      <c r="K616" s="14"/>
      <c r="L616" s="32"/>
      <c r="M616" s="14"/>
      <c r="N616" s="14"/>
      <c r="O616" s="2"/>
      <c r="P616"/>
      <c r="Q616" s="2"/>
      <c r="R616"/>
      <c r="S616"/>
      <c r="T616"/>
      <c r="U616" s="2"/>
      <c r="V616" s="2"/>
      <c r="W616" s="2"/>
      <c r="X616" s="2"/>
      <c r="Y616" s="2"/>
      <c r="Z616" s="11"/>
      <c r="AA616" s="15"/>
      <c r="AB616" s="15"/>
      <c r="AC616" s="15"/>
      <c r="AD616" s="35"/>
      <c r="AE616" s="99"/>
      <c r="AF616" s="99"/>
      <c r="AG616" s="35"/>
      <c r="AH616" s="35"/>
      <c r="AI616" s="35"/>
      <c r="AJ616" s="1"/>
      <c r="AK616" s="1"/>
      <c r="AL616" s="1"/>
      <c r="AM616" s="1"/>
      <c r="AN616" s="1"/>
      <c r="AO616" s="1"/>
      <c r="AP616"/>
      <c r="AQ616"/>
      <c r="AR616"/>
      <c r="AS616"/>
      <c r="AT616" s="50"/>
      <c r="AU616" s="97"/>
      <c r="AV616" s="97"/>
      <c r="AW616" s="97"/>
      <c r="AX616" s="97"/>
      <c r="AY616" s="97"/>
      <c r="BD616" s="35"/>
      <c r="BE616" s="35"/>
      <c r="BV616" s="98"/>
      <c r="BW616" s="98"/>
      <c r="BX616" s="98"/>
      <c r="BY616" s="112"/>
      <c r="BZ616" s="112"/>
      <c r="CA616" s="112"/>
      <c r="CB616" s="98"/>
      <c r="CC616" s="98"/>
      <c r="CD616" s="98"/>
      <c r="CE616" s="98"/>
      <c r="CG616" s="100"/>
      <c r="CH616" s="100"/>
      <c r="CI616" s="100"/>
      <c r="CJ616" s="100"/>
      <c r="CK616" s="100"/>
      <c r="CL616" s="100"/>
      <c r="CM616" s="100"/>
      <c r="CN616" s="100"/>
      <c r="CO616" s="100"/>
      <c r="CP616" s="100"/>
      <c r="CQ616" s="100"/>
      <c r="CR616" s="100"/>
      <c r="CS616" s="100"/>
      <c r="CT616" s="100"/>
      <c r="CU616" s="100"/>
    </row>
    <row r="617" spans="6:99" s="36" customFormat="1" ht="11.1" customHeight="1" x14ac:dyDescent="0.25">
      <c r="F617" s="33"/>
      <c r="G617" s="33"/>
      <c r="H617" s="33"/>
      <c r="I617" s="34"/>
      <c r="J617" s="34"/>
      <c r="K617" s="14"/>
      <c r="L617" s="32"/>
      <c r="M617" s="14"/>
      <c r="N617" s="14"/>
      <c r="O617" s="2"/>
      <c r="P617"/>
      <c r="Q617" s="2"/>
      <c r="R617"/>
      <c r="S617"/>
      <c r="T617"/>
      <c r="U617" s="2"/>
      <c r="V617" s="2"/>
      <c r="W617" s="2"/>
      <c r="X617" s="2"/>
      <c r="Y617" s="2"/>
      <c r="Z617" s="11"/>
      <c r="AA617" s="15"/>
      <c r="AB617" s="15"/>
      <c r="AC617" s="15"/>
      <c r="AD617" s="35"/>
      <c r="AE617" s="99"/>
      <c r="AF617" s="99"/>
      <c r="AG617" s="35"/>
      <c r="AH617" s="35"/>
      <c r="AI617" s="35"/>
      <c r="AJ617" s="1"/>
      <c r="AK617" s="1"/>
      <c r="AL617" s="1"/>
      <c r="AM617" s="1"/>
      <c r="AN617" s="1"/>
      <c r="AO617" s="1"/>
      <c r="AP617"/>
      <c r="AQ617"/>
      <c r="AR617"/>
      <c r="AS617"/>
      <c r="AT617" s="50"/>
      <c r="AU617" s="97"/>
      <c r="AV617" s="97"/>
      <c r="AW617" s="97"/>
      <c r="AX617" s="97"/>
      <c r="AY617" s="97"/>
      <c r="BD617" s="35"/>
      <c r="BE617" s="35"/>
      <c r="BV617" s="98"/>
      <c r="BW617" s="98"/>
      <c r="BX617" s="98"/>
      <c r="BY617" s="112"/>
      <c r="BZ617" s="112"/>
      <c r="CA617" s="112"/>
      <c r="CB617" s="98"/>
      <c r="CC617" s="98"/>
      <c r="CD617" s="98"/>
      <c r="CE617" s="98"/>
      <c r="CG617" s="100"/>
      <c r="CH617" s="100"/>
      <c r="CI617" s="100"/>
      <c r="CJ617" s="100"/>
      <c r="CK617" s="100"/>
      <c r="CL617" s="100"/>
      <c r="CM617" s="100"/>
      <c r="CN617" s="100"/>
      <c r="CO617" s="100"/>
      <c r="CP617" s="100"/>
      <c r="CQ617" s="100"/>
      <c r="CR617" s="100"/>
      <c r="CS617" s="100"/>
      <c r="CT617" s="100"/>
      <c r="CU617" s="100"/>
    </row>
    <row r="618" spans="6:99" s="36" customFormat="1" ht="11.1" customHeight="1" x14ac:dyDescent="0.25">
      <c r="F618" s="33"/>
      <c r="G618" s="33"/>
      <c r="H618" s="33"/>
      <c r="I618" s="34"/>
      <c r="J618" s="34"/>
      <c r="K618" s="14"/>
      <c r="L618" s="32"/>
      <c r="M618" s="14"/>
      <c r="N618" s="14"/>
      <c r="O618" s="2"/>
      <c r="P618"/>
      <c r="Q618" s="2"/>
      <c r="R618"/>
      <c r="S618"/>
      <c r="T618"/>
      <c r="U618" s="2"/>
      <c r="V618" s="2"/>
      <c r="W618" s="2"/>
      <c r="X618" s="2"/>
      <c r="Y618" s="2"/>
      <c r="Z618" s="11"/>
      <c r="AA618" s="15"/>
      <c r="AB618" s="15"/>
      <c r="AC618" s="15"/>
      <c r="AD618" s="35"/>
      <c r="AE618" s="99"/>
      <c r="AF618" s="99"/>
      <c r="AG618" s="35"/>
      <c r="AH618" s="35"/>
      <c r="AI618" s="35"/>
      <c r="AJ618" s="1"/>
      <c r="AK618" s="1"/>
      <c r="AL618" s="1"/>
      <c r="AM618" s="1"/>
      <c r="AN618" s="1"/>
      <c r="AO618" s="1"/>
      <c r="AP618"/>
      <c r="AQ618"/>
      <c r="AR618"/>
      <c r="AS618"/>
      <c r="AT618" s="50"/>
      <c r="AU618" s="97"/>
      <c r="AV618" s="97"/>
      <c r="AW618" s="97"/>
      <c r="AX618" s="97"/>
      <c r="AY618" s="97"/>
      <c r="BD618" s="35"/>
      <c r="BE618" s="35"/>
      <c r="BV618" s="98"/>
      <c r="BW618" s="98"/>
      <c r="BX618" s="98"/>
      <c r="BY618" s="112"/>
      <c r="BZ618" s="112"/>
      <c r="CA618" s="112"/>
      <c r="CB618" s="98"/>
      <c r="CC618" s="98"/>
      <c r="CD618" s="98"/>
      <c r="CE618" s="98"/>
      <c r="CG618" s="100"/>
      <c r="CH618" s="100"/>
      <c r="CI618" s="100"/>
      <c r="CJ618" s="100"/>
      <c r="CK618" s="100"/>
      <c r="CL618" s="100"/>
      <c r="CM618" s="100"/>
      <c r="CN618" s="100"/>
      <c r="CO618" s="100"/>
      <c r="CP618" s="100"/>
      <c r="CQ618" s="100"/>
      <c r="CR618" s="100"/>
      <c r="CS618" s="100"/>
      <c r="CT618" s="100"/>
      <c r="CU618" s="100"/>
    </row>
    <row r="619" spans="6:99" s="36" customFormat="1" ht="11.1" customHeight="1" x14ac:dyDescent="0.25">
      <c r="F619" s="33"/>
      <c r="G619" s="33"/>
      <c r="H619" s="33"/>
      <c r="I619" s="34"/>
      <c r="J619" s="34"/>
      <c r="K619" s="14"/>
      <c r="L619" s="32"/>
      <c r="M619" s="14"/>
      <c r="N619" s="14"/>
      <c r="O619" s="2"/>
      <c r="P619"/>
      <c r="Q619" s="2"/>
      <c r="R619"/>
      <c r="S619"/>
      <c r="T619"/>
      <c r="U619" s="2"/>
      <c r="V619" s="2"/>
      <c r="W619" s="2"/>
      <c r="X619" s="2"/>
      <c r="Y619" s="2"/>
      <c r="Z619" s="11"/>
      <c r="AA619" s="15"/>
      <c r="AB619" s="15"/>
      <c r="AC619" s="15"/>
      <c r="AD619" s="35"/>
      <c r="AE619" s="99"/>
      <c r="AF619" s="99"/>
      <c r="AG619" s="35"/>
      <c r="AH619" s="35"/>
      <c r="AI619" s="35"/>
      <c r="AJ619" s="1"/>
      <c r="AK619" s="1"/>
      <c r="AL619" s="1"/>
      <c r="AM619" s="1"/>
      <c r="AN619" s="1"/>
      <c r="AO619" s="1"/>
      <c r="AP619"/>
      <c r="AQ619"/>
      <c r="AR619"/>
      <c r="AS619"/>
      <c r="AT619" s="50"/>
      <c r="AU619" s="97"/>
      <c r="AV619" s="97"/>
      <c r="AW619" s="97"/>
      <c r="AX619" s="97"/>
      <c r="AY619" s="97"/>
      <c r="BD619" s="35"/>
      <c r="BE619" s="35"/>
      <c r="BV619" s="98"/>
      <c r="BW619" s="98"/>
      <c r="BX619" s="98"/>
      <c r="BY619" s="112"/>
      <c r="BZ619" s="112"/>
      <c r="CA619" s="112"/>
      <c r="CB619" s="98"/>
      <c r="CC619" s="98"/>
      <c r="CD619" s="98"/>
      <c r="CE619" s="98"/>
      <c r="CG619" s="100"/>
      <c r="CH619" s="100"/>
      <c r="CI619" s="100"/>
      <c r="CJ619" s="100"/>
      <c r="CK619" s="100"/>
      <c r="CL619" s="100"/>
      <c r="CM619" s="100"/>
      <c r="CN619" s="100"/>
      <c r="CO619" s="100"/>
      <c r="CP619" s="100"/>
      <c r="CQ619" s="100"/>
      <c r="CR619" s="100"/>
      <c r="CS619" s="100"/>
      <c r="CT619" s="100"/>
      <c r="CU619" s="100"/>
    </row>
    <row r="620" spans="6:99" s="36" customFormat="1" ht="11.1" customHeight="1" x14ac:dyDescent="0.25">
      <c r="F620" s="33"/>
      <c r="G620" s="33"/>
      <c r="H620" s="33"/>
      <c r="I620" s="34"/>
      <c r="J620" s="34"/>
      <c r="K620" s="14"/>
      <c r="L620" s="32"/>
      <c r="M620" s="14"/>
      <c r="N620" s="14"/>
      <c r="O620" s="2"/>
      <c r="P620"/>
      <c r="Q620" s="2"/>
      <c r="R620"/>
      <c r="S620"/>
      <c r="T620"/>
      <c r="U620" s="2"/>
      <c r="V620" s="2"/>
      <c r="W620" s="2"/>
      <c r="X620" s="2"/>
      <c r="Y620" s="2"/>
      <c r="Z620" s="11"/>
      <c r="AA620" s="15"/>
      <c r="AB620" s="15"/>
      <c r="AC620" s="15"/>
      <c r="AD620" s="35"/>
      <c r="AE620" s="99"/>
      <c r="AF620" s="99"/>
      <c r="AG620" s="35"/>
      <c r="AH620" s="35"/>
      <c r="AI620" s="35"/>
      <c r="AJ620" s="1"/>
      <c r="AK620" s="1"/>
      <c r="AL620" s="1"/>
      <c r="AM620" s="1"/>
      <c r="AN620" s="1"/>
      <c r="AO620" s="1"/>
      <c r="AP620"/>
      <c r="AQ620"/>
      <c r="AR620"/>
      <c r="AS620"/>
      <c r="AT620" s="50"/>
      <c r="AU620" s="97"/>
      <c r="AV620" s="97"/>
      <c r="AW620" s="97"/>
      <c r="AX620" s="97"/>
      <c r="AY620" s="97"/>
      <c r="BD620" s="35"/>
      <c r="BE620" s="35"/>
      <c r="BV620" s="98"/>
      <c r="BW620" s="98"/>
      <c r="BX620" s="98"/>
      <c r="BY620" s="112"/>
      <c r="BZ620" s="112"/>
      <c r="CA620" s="112"/>
      <c r="CB620" s="98"/>
      <c r="CC620" s="98"/>
      <c r="CD620" s="98"/>
      <c r="CE620" s="98"/>
      <c r="CG620" s="100"/>
      <c r="CH620" s="100"/>
      <c r="CI620" s="100"/>
      <c r="CJ620" s="100"/>
      <c r="CK620" s="100"/>
      <c r="CL620" s="100"/>
      <c r="CM620" s="100"/>
      <c r="CN620" s="100"/>
      <c r="CO620" s="100"/>
      <c r="CP620" s="100"/>
      <c r="CQ620" s="100"/>
      <c r="CR620" s="100"/>
      <c r="CS620" s="100"/>
      <c r="CT620" s="100"/>
      <c r="CU620" s="100"/>
    </row>
    <row r="621" spans="6:99" s="36" customFormat="1" ht="11.1" customHeight="1" x14ac:dyDescent="0.25">
      <c r="F621" s="33"/>
      <c r="G621" s="33"/>
      <c r="H621" s="33"/>
      <c r="I621" s="34"/>
      <c r="J621" s="34"/>
      <c r="K621" s="14"/>
      <c r="L621" s="32"/>
      <c r="M621" s="14"/>
      <c r="N621" s="14"/>
      <c r="O621" s="2"/>
      <c r="P621"/>
      <c r="Q621" s="2"/>
      <c r="R621"/>
      <c r="S621"/>
      <c r="T621"/>
      <c r="U621" s="2"/>
      <c r="V621" s="2"/>
      <c r="W621" s="2"/>
      <c r="X621" s="2"/>
      <c r="Y621" s="2"/>
      <c r="Z621" s="11"/>
      <c r="AA621" s="15"/>
      <c r="AB621" s="15"/>
      <c r="AC621" s="15"/>
      <c r="AD621" s="35"/>
      <c r="AE621" s="99"/>
      <c r="AF621" s="99"/>
      <c r="AG621" s="35"/>
      <c r="AH621" s="35"/>
      <c r="AI621" s="35"/>
      <c r="AJ621" s="1"/>
      <c r="AK621" s="1"/>
      <c r="AL621" s="1"/>
      <c r="AM621" s="1"/>
      <c r="AN621" s="1"/>
      <c r="AO621" s="1"/>
      <c r="AP621"/>
      <c r="AQ621"/>
      <c r="AR621"/>
      <c r="AS621"/>
      <c r="AT621" s="50"/>
      <c r="AU621" s="97"/>
      <c r="AV621" s="97"/>
      <c r="AW621" s="97"/>
      <c r="AX621" s="97"/>
      <c r="AY621" s="97"/>
      <c r="BD621" s="35"/>
      <c r="BE621" s="35"/>
      <c r="BV621" s="98"/>
      <c r="BW621" s="98"/>
      <c r="BX621" s="98"/>
      <c r="BY621" s="112"/>
      <c r="BZ621" s="112"/>
      <c r="CA621" s="112"/>
      <c r="CB621" s="98"/>
      <c r="CC621" s="98"/>
      <c r="CD621" s="98"/>
      <c r="CE621" s="98"/>
      <c r="CG621" s="100"/>
      <c r="CH621" s="100"/>
      <c r="CI621" s="100"/>
      <c r="CJ621" s="100"/>
      <c r="CK621" s="100"/>
      <c r="CL621" s="100"/>
      <c r="CM621" s="100"/>
      <c r="CN621" s="100"/>
      <c r="CO621" s="100"/>
      <c r="CP621" s="100"/>
      <c r="CQ621" s="100"/>
      <c r="CR621" s="100"/>
      <c r="CS621" s="100"/>
      <c r="CT621" s="100"/>
      <c r="CU621" s="100"/>
    </row>
    <row r="622" spans="6:99" s="36" customFormat="1" ht="11.1" customHeight="1" x14ac:dyDescent="0.25">
      <c r="F622" s="33"/>
      <c r="G622" s="33"/>
      <c r="H622" s="33"/>
      <c r="I622" s="34"/>
      <c r="J622" s="34"/>
      <c r="K622" s="14"/>
      <c r="L622" s="32"/>
      <c r="M622" s="14"/>
      <c r="N622" s="14"/>
      <c r="O622" s="2"/>
      <c r="P622"/>
      <c r="Q622" s="2"/>
      <c r="R622"/>
      <c r="S622"/>
      <c r="T622"/>
      <c r="U622" s="2"/>
      <c r="V622" s="2"/>
      <c r="W622" s="2"/>
      <c r="X622" s="2"/>
      <c r="Y622" s="2"/>
      <c r="Z622" s="11"/>
      <c r="AA622" s="15"/>
      <c r="AB622" s="15"/>
      <c r="AC622" s="15"/>
      <c r="AD622" s="35"/>
      <c r="AE622" s="99"/>
      <c r="AF622" s="99"/>
      <c r="AG622" s="35"/>
      <c r="AH622" s="35"/>
      <c r="AI622" s="35"/>
      <c r="AJ622" s="1"/>
      <c r="AK622" s="1"/>
      <c r="AL622" s="1"/>
      <c r="AM622" s="1"/>
      <c r="AN622" s="1"/>
      <c r="AO622" s="1"/>
      <c r="AP622"/>
      <c r="AQ622"/>
      <c r="AR622"/>
      <c r="AS622"/>
      <c r="AT622" s="50"/>
      <c r="AU622" s="97"/>
      <c r="AV622" s="97"/>
      <c r="AW622" s="97"/>
      <c r="AX622" s="97"/>
      <c r="AY622" s="97"/>
      <c r="BD622" s="35"/>
      <c r="BE622" s="35"/>
      <c r="BV622" s="98"/>
      <c r="BW622" s="98"/>
      <c r="BX622" s="98"/>
      <c r="BY622" s="112"/>
      <c r="BZ622" s="112"/>
      <c r="CA622" s="112"/>
      <c r="CB622" s="98"/>
      <c r="CC622" s="98"/>
      <c r="CD622" s="98"/>
      <c r="CE622" s="98"/>
      <c r="CG622" s="100"/>
      <c r="CH622" s="100"/>
      <c r="CI622" s="100"/>
      <c r="CJ622" s="100"/>
      <c r="CK622" s="100"/>
      <c r="CL622" s="100"/>
      <c r="CM622" s="100"/>
      <c r="CN622" s="100"/>
      <c r="CO622" s="100"/>
      <c r="CP622" s="100"/>
      <c r="CQ622" s="100"/>
      <c r="CR622" s="100"/>
      <c r="CS622" s="100"/>
      <c r="CT622" s="100"/>
      <c r="CU622" s="100"/>
    </row>
    <row r="623" spans="6:99" s="36" customFormat="1" ht="11.1" customHeight="1" x14ac:dyDescent="0.25">
      <c r="F623" s="33"/>
      <c r="G623" s="33"/>
      <c r="H623" s="33"/>
      <c r="I623" s="34"/>
      <c r="J623" s="34"/>
      <c r="K623" s="14"/>
      <c r="L623" s="32"/>
      <c r="M623" s="14"/>
      <c r="N623" s="14"/>
      <c r="O623" s="2"/>
      <c r="P623"/>
      <c r="Q623" s="2"/>
      <c r="R623"/>
      <c r="S623"/>
      <c r="T623"/>
      <c r="U623" s="2"/>
      <c r="V623" s="2"/>
      <c r="W623" s="2"/>
      <c r="X623" s="2"/>
      <c r="Y623" s="2"/>
      <c r="Z623" s="11"/>
      <c r="AA623" s="15"/>
      <c r="AB623" s="15"/>
      <c r="AC623" s="15"/>
      <c r="AD623" s="35"/>
      <c r="AE623" s="99"/>
      <c r="AF623" s="99"/>
      <c r="AG623" s="35"/>
      <c r="AH623" s="35"/>
      <c r="AI623" s="35"/>
      <c r="AJ623" s="1"/>
      <c r="AK623" s="1"/>
      <c r="AL623" s="1"/>
      <c r="AM623" s="1"/>
      <c r="AN623" s="1"/>
      <c r="AO623" s="1"/>
      <c r="AP623"/>
      <c r="AQ623"/>
      <c r="AR623"/>
      <c r="AS623"/>
      <c r="AT623" s="50"/>
      <c r="AU623" s="97"/>
      <c r="AV623" s="97"/>
      <c r="AW623" s="97"/>
      <c r="AX623" s="97"/>
      <c r="AY623" s="97"/>
      <c r="BD623" s="35"/>
      <c r="BE623" s="35"/>
      <c r="BV623" s="98"/>
      <c r="BW623" s="98"/>
      <c r="BX623" s="98"/>
      <c r="BY623" s="112"/>
      <c r="BZ623" s="112"/>
      <c r="CA623" s="112"/>
      <c r="CB623" s="98"/>
      <c r="CC623" s="98"/>
      <c r="CD623" s="98"/>
      <c r="CE623" s="98"/>
      <c r="CG623" s="100"/>
      <c r="CH623" s="100"/>
      <c r="CI623" s="100"/>
      <c r="CJ623" s="100"/>
      <c r="CK623" s="100"/>
      <c r="CL623" s="100"/>
      <c r="CM623" s="100"/>
      <c r="CN623" s="100"/>
      <c r="CO623" s="100"/>
      <c r="CP623" s="100"/>
      <c r="CQ623" s="100"/>
      <c r="CR623" s="100"/>
      <c r="CS623" s="100"/>
      <c r="CT623" s="100"/>
      <c r="CU623" s="100"/>
    </row>
    <row r="624" spans="6:99" s="36" customFormat="1" ht="11.1" customHeight="1" x14ac:dyDescent="0.25">
      <c r="F624" s="33"/>
      <c r="G624" s="33"/>
      <c r="H624" s="33"/>
      <c r="I624" s="34"/>
      <c r="J624" s="34"/>
      <c r="K624" s="14"/>
      <c r="L624" s="32"/>
      <c r="M624" s="14"/>
      <c r="N624" s="14"/>
      <c r="O624" s="2"/>
      <c r="P624"/>
      <c r="Q624" s="2"/>
      <c r="R624"/>
      <c r="S624"/>
      <c r="T624"/>
      <c r="U624" s="2"/>
      <c r="V624" s="2"/>
      <c r="W624" s="2"/>
      <c r="X624" s="2"/>
      <c r="Y624" s="2"/>
      <c r="Z624" s="11"/>
      <c r="AA624" s="15"/>
      <c r="AB624" s="15"/>
      <c r="AC624" s="15"/>
      <c r="AD624" s="35"/>
      <c r="AE624" s="99"/>
      <c r="AF624" s="99"/>
      <c r="AG624" s="35"/>
      <c r="AH624" s="35"/>
      <c r="AI624" s="35"/>
      <c r="AJ624" s="1"/>
      <c r="AK624" s="1"/>
      <c r="AL624" s="1"/>
      <c r="AM624" s="1"/>
      <c r="AN624" s="1"/>
      <c r="AO624" s="1"/>
      <c r="AP624"/>
      <c r="AQ624"/>
      <c r="AR624"/>
      <c r="AS624"/>
      <c r="AT624" s="50"/>
      <c r="AU624" s="97"/>
      <c r="AV624" s="97"/>
      <c r="AW624" s="97"/>
      <c r="AX624" s="97"/>
      <c r="AY624" s="97"/>
      <c r="BD624" s="35"/>
      <c r="BE624" s="35"/>
      <c r="BV624" s="98"/>
      <c r="BW624" s="98"/>
      <c r="BX624" s="98"/>
      <c r="BY624" s="112"/>
      <c r="BZ624" s="112"/>
      <c r="CA624" s="112"/>
      <c r="CB624" s="98"/>
      <c r="CC624" s="98"/>
      <c r="CD624" s="98"/>
      <c r="CE624" s="98"/>
      <c r="CG624" s="100"/>
      <c r="CH624" s="100"/>
      <c r="CI624" s="100"/>
      <c r="CJ624" s="100"/>
      <c r="CK624" s="100"/>
      <c r="CL624" s="100"/>
      <c r="CM624" s="100"/>
      <c r="CN624" s="100"/>
      <c r="CO624" s="100"/>
      <c r="CP624" s="100"/>
      <c r="CQ624" s="100"/>
      <c r="CR624" s="100"/>
      <c r="CS624" s="100"/>
      <c r="CT624" s="100"/>
      <c r="CU624" s="100"/>
    </row>
    <row r="625" spans="6:99" s="36" customFormat="1" ht="11.1" customHeight="1" x14ac:dyDescent="0.25">
      <c r="F625" s="33"/>
      <c r="G625" s="33"/>
      <c r="H625" s="33"/>
      <c r="I625" s="34"/>
      <c r="J625" s="34"/>
      <c r="K625" s="14"/>
      <c r="L625" s="32"/>
      <c r="M625" s="14"/>
      <c r="N625" s="14"/>
      <c r="O625" s="2"/>
      <c r="P625"/>
      <c r="Q625" s="2"/>
      <c r="R625"/>
      <c r="S625"/>
      <c r="T625"/>
      <c r="U625" s="2"/>
      <c r="V625" s="2"/>
      <c r="W625" s="2"/>
      <c r="X625" s="2"/>
      <c r="Y625" s="2"/>
      <c r="Z625" s="11"/>
      <c r="AA625" s="15"/>
      <c r="AB625" s="15"/>
      <c r="AC625" s="15"/>
      <c r="AD625" s="35"/>
      <c r="AE625" s="99"/>
      <c r="AF625" s="99"/>
      <c r="AG625" s="35"/>
      <c r="AH625" s="35"/>
      <c r="AI625" s="35"/>
      <c r="AJ625" s="1"/>
      <c r="AK625" s="1"/>
      <c r="AL625" s="1"/>
      <c r="AM625" s="1"/>
      <c r="AN625" s="1"/>
      <c r="AO625" s="1"/>
      <c r="AP625"/>
      <c r="AQ625"/>
      <c r="AR625"/>
      <c r="AS625"/>
      <c r="AT625" s="50"/>
      <c r="AU625" s="97"/>
      <c r="AV625" s="97"/>
      <c r="AW625" s="97"/>
      <c r="AX625" s="97"/>
      <c r="AY625" s="97"/>
      <c r="BD625" s="35"/>
      <c r="BE625" s="35"/>
      <c r="BV625" s="98"/>
      <c r="BW625" s="98"/>
      <c r="BX625" s="98"/>
      <c r="BY625" s="112"/>
      <c r="BZ625" s="112"/>
      <c r="CA625" s="112"/>
      <c r="CB625" s="98"/>
      <c r="CC625" s="98"/>
      <c r="CD625" s="98"/>
      <c r="CE625" s="98"/>
      <c r="CG625" s="100"/>
      <c r="CH625" s="100"/>
      <c r="CI625" s="100"/>
      <c r="CJ625" s="100"/>
      <c r="CK625" s="100"/>
      <c r="CL625" s="100"/>
      <c r="CM625" s="100"/>
      <c r="CN625" s="100"/>
      <c r="CO625" s="100"/>
      <c r="CP625" s="100"/>
      <c r="CQ625" s="100"/>
      <c r="CR625" s="100"/>
      <c r="CS625" s="100"/>
      <c r="CT625" s="100"/>
      <c r="CU625" s="100"/>
    </row>
    <row r="626" spans="6:99" s="36" customFormat="1" ht="11.1" customHeight="1" x14ac:dyDescent="0.25">
      <c r="F626" s="33"/>
      <c r="G626" s="33"/>
      <c r="H626" s="33"/>
      <c r="I626" s="34"/>
      <c r="J626" s="34"/>
      <c r="K626" s="14"/>
      <c r="L626" s="32"/>
      <c r="M626" s="14"/>
      <c r="N626" s="14"/>
      <c r="O626" s="2"/>
      <c r="P626"/>
      <c r="Q626" s="2"/>
      <c r="R626"/>
      <c r="S626"/>
      <c r="T626"/>
      <c r="U626" s="2"/>
      <c r="V626" s="2"/>
      <c r="W626" s="2"/>
      <c r="X626" s="2"/>
      <c r="Y626" s="2"/>
      <c r="Z626" s="11"/>
      <c r="AA626" s="15"/>
      <c r="AB626" s="15"/>
      <c r="AC626" s="15"/>
      <c r="AD626" s="35"/>
      <c r="AE626" s="99"/>
      <c r="AF626" s="99"/>
      <c r="AG626" s="35"/>
      <c r="AH626" s="35"/>
      <c r="AI626" s="35"/>
      <c r="AJ626" s="1"/>
      <c r="AK626" s="1"/>
      <c r="AL626" s="1"/>
      <c r="AM626" s="1"/>
      <c r="AN626" s="1"/>
      <c r="AO626" s="1"/>
      <c r="AP626"/>
      <c r="AQ626"/>
      <c r="AR626"/>
      <c r="AS626"/>
      <c r="AT626" s="50"/>
      <c r="AU626" s="97"/>
      <c r="AV626" s="97"/>
      <c r="AW626" s="97"/>
      <c r="AX626" s="97"/>
      <c r="AY626" s="97"/>
      <c r="BD626" s="35"/>
      <c r="BE626" s="35"/>
      <c r="BV626" s="98"/>
      <c r="BW626" s="98"/>
      <c r="BX626" s="98"/>
      <c r="BY626" s="112"/>
      <c r="BZ626" s="112"/>
      <c r="CA626" s="112"/>
      <c r="CB626" s="98"/>
      <c r="CC626" s="98"/>
      <c r="CD626" s="98"/>
      <c r="CE626" s="98"/>
      <c r="CG626" s="100"/>
      <c r="CH626" s="100"/>
      <c r="CI626" s="100"/>
      <c r="CJ626" s="100"/>
      <c r="CK626" s="100"/>
      <c r="CL626" s="100"/>
      <c r="CM626" s="100"/>
      <c r="CN626" s="100"/>
      <c r="CO626" s="100"/>
      <c r="CP626" s="100"/>
      <c r="CQ626" s="100"/>
      <c r="CR626" s="100"/>
      <c r="CS626" s="100"/>
      <c r="CT626" s="100"/>
      <c r="CU626" s="100"/>
    </row>
    <row r="627" spans="6:99" s="36" customFormat="1" ht="11.1" customHeight="1" x14ac:dyDescent="0.25">
      <c r="F627" s="33"/>
      <c r="G627" s="33"/>
      <c r="H627" s="33"/>
      <c r="I627" s="34"/>
      <c r="J627" s="34"/>
      <c r="K627" s="14"/>
      <c r="L627" s="32"/>
      <c r="M627" s="14"/>
      <c r="N627" s="14"/>
      <c r="O627" s="2"/>
      <c r="P627"/>
      <c r="Q627" s="2"/>
      <c r="R627"/>
      <c r="S627"/>
      <c r="T627"/>
      <c r="U627" s="2"/>
      <c r="V627" s="2"/>
      <c r="W627" s="2"/>
      <c r="X627" s="2"/>
      <c r="Y627" s="2"/>
      <c r="Z627" s="11"/>
      <c r="AA627" s="15"/>
      <c r="AB627" s="15"/>
      <c r="AC627" s="15"/>
      <c r="AD627" s="35"/>
      <c r="AE627" s="99"/>
      <c r="AF627" s="99"/>
      <c r="AG627" s="35"/>
      <c r="AH627" s="35"/>
      <c r="AI627" s="35"/>
      <c r="AJ627" s="1"/>
      <c r="AK627" s="1"/>
      <c r="AL627" s="1"/>
      <c r="AM627" s="1"/>
      <c r="AN627" s="1"/>
      <c r="AO627" s="1"/>
      <c r="AP627"/>
      <c r="AQ627"/>
      <c r="AR627"/>
      <c r="AS627"/>
      <c r="AT627" s="50"/>
      <c r="AU627" s="97"/>
      <c r="AV627" s="97"/>
      <c r="AW627" s="97"/>
      <c r="AX627" s="97"/>
      <c r="AY627" s="97"/>
      <c r="BD627" s="35"/>
      <c r="BE627" s="35"/>
      <c r="BV627" s="98"/>
      <c r="BW627" s="98"/>
      <c r="BX627" s="98"/>
      <c r="BY627" s="112"/>
      <c r="BZ627" s="112"/>
      <c r="CA627" s="112"/>
      <c r="CB627" s="98"/>
      <c r="CC627" s="98"/>
      <c r="CD627" s="98"/>
      <c r="CE627" s="98"/>
      <c r="CG627" s="100"/>
      <c r="CH627" s="100"/>
      <c r="CI627" s="100"/>
      <c r="CJ627" s="100"/>
      <c r="CK627" s="100"/>
      <c r="CL627" s="100"/>
      <c r="CM627" s="100"/>
      <c r="CN627" s="100"/>
      <c r="CO627" s="100"/>
      <c r="CP627" s="100"/>
      <c r="CQ627" s="100"/>
      <c r="CR627" s="100"/>
      <c r="CS627" s="100"/>
      <c r="CT627" s="100"/>
      <c r="CU627" s="100"/>
    </row>
    <row r="628" spans="6:99" s="36" customFormat="1" ht="11.1" customHeight="1" x14ac:dyDescent="0.25">
      <c r="F628" s="33"/>
      <c r="G628" s="33"/>
      <c r="H628" s="33"/>
      <c r="I628" s="34"/>
      <c r="J628" s="34"/>
      <c r="K628" s="14"/>
      <c r="L628" s="32"/>
      <c r="M628" s="14"/>
      <c r="N628" s="14"/>
      <c r="O628" s="2"/>
      <c r="P628"/>
      <c r="Q628" s="2"/>
      <c r="R628"/>
      <c r="S628"/>
      <c r="T628"/>
      <c r="U628" s="2"/>
      <c r="V628" s="2"/>
      <c r="W628" s="2"/>
      <c r="X628" s="2"/>
      <c r="Y628" s="2"/>
      <c r="Z628" s="11"/>
      <c r="AA628" s="15"/>
      <c r="AB628" s="15"/>
      <c r="AC628" s="15"/>
      <c r="AD628" s="35"/>
      <c r="AE628" s="99"/>
      <c r="AF628" s="99"/>
      <c r="AG628" s="35"/>
      <c r="AH628" s="35"/>
      <c r="AI628" s="35"/>
      <c r="AJ628" s="1"/>
      <c r="AK628" s="1"/>
      <c r="AL628" s="1"/>
      <c r="AM628" s="1"/>
      <c r="AN628" s="1"/>
      <c r="AO628" s="1"/>
      <c r="AP628"/>
      <c r="AQ628"/>
      <c r="AR628"/>
      <c r="AS628"/>
      <c r="AT628" s="50"/>
      <c r="AU628" s="97"/>
      <c r="AV628" s="97"/>
      <c r="AW628" s="97"/>
      <c r="AX628" s="97"/>
      <c r="AY628" s="97"/>
      <c r="BD628" s="35"/>
      <c r="BE628" s="35"/>
      <c r="BV628" s="98"/>
      <c r="BW628" s="98"/>
      <c r="BX628" s="98"/>
      <c r="BY628" s="112"/>
      <c r="BZ628" s="112"/>
      <c r="CA628" s="112"/>
      <c r="CB628" s="98"/>
      <c r="CC628" s="98"/>
      <c r="CD628" s="98"/>
      <c r="CE628" s="98"/>
      <c r="CG628" s="100"/>
      <c r="CH628" s="100"/>
      <c r="CI628" s="100"/>
      <c r="CJ628" s="100"/>
      <c r="CK628" s="100"/>
      <c r="CL628" s="100"/>
      <c r="CM628" s="100"/>
      <c r="CN628" s="100"/>
      <c r="CO628" s="100"/>
      <c r="CP628" s="100"/>
      <c r="CQ628" s="100"/>
      <c r="CR628" s="100"/>
      <c r="CS628" s="100"/>
      <c r="CT628" s="100"/>
      <c r="CU628" s="100"/>
    </row>
    <row r="629" spans="6:99" s="36" customFormat="1" ht="11.1" customHeight="1" x14ac:dyDescent="0.25">
      <c r="F629" s="33"/>
      <c r="G629" s="33"/>
      <c r="H629" s="33"/>
      <c r="I629" s="34"/>
      <c r="J629" s="34"/>
      <c r="K629" s="14"/>
      <c r="L629" s="32"/>
      <c r="M629" s="14"/>
      <c r="N629" s="14"/>
      <c r="O629" s="2"/>
      <c r="P629"/>
      <c r="Q629" s="2"/>
      <c r="R629"/>
      <c r="S629"/>
      <c r="T629"/>
      <c r="U629" s="2"/>
      <c r="V629" s="2"/>
      <c r="W629" s="2"/>
      <c r="X629" s="2"/>
      <c r="Y629" s="2"/>
      <c r="Z629" s="11"/>
      <c r="AA629" s="15"/>
      <c r="AB629" s="15"/>
      <c r="AC629" s="15"/>
      <c r="AD629" s="35"/>
      <c r="AE629" s="99"/>
      <c r="AF629" s="99"/>
      <c r="AG629" s="35"/>
      <c r="AH629" s="35"/>
      <c r="AI629" s="35"/>
      <c r="AJ629" s="1"/>
      <c r="AK629" s="1"/>
      <c r="AL629" s="1"/>
      <c r="AM629" s="1"/>
      <c r="AN629" s="1"/>
      <c r="AO629" s="1"/>
      <c r="AP629"/>
      <c r="AQ629"/>
      <c r="AR629"/>
      <c r="AS629"/>
      <c r="AT629" s="50"/>
      <c r="AU629" s="97"/>
      <c r="AV629" s="97"/>
      <c r="AW629" s="97"/>
      <c r="AX629" s="97"/>
      <c r="AY629" s="97"/>
      <c r="BD629" s="35"/>
      <c r="BE629" s="35"/>
      <c r="BV629" s="98"/>
      <c r="BW629" s="98"/>
      <c r="BX629" s="98"/>
      <c r="BY629" s="112"/>
      <c r="BZ629" s="112"/>
      <c r="CA629" s="112"/>
      <c r="CB629" s="98"/>
      <c r="CC629" s="98"/>
      <c r="CD629" s="98"/>
      <c r="CE629" s="98"/>
      <c r="CG629" s="100"/>
      <c r="CH629" s="100"/>
      <c r="CI629" s="100"/>
      <c r="CJ629" s="100"/>
      <c r="CK629" s="100"/>
      <c r="CL629" s="100"/>
      <c r="CM629" s="100"/>
      <c r="CN629" s="100"/>
      <c r="CO629" s="100"/>
      <c r="CP629" s="100"/>
      <c r="CQ629" s="100"/>
      <c r="CR629" s="100"/>
      <c r="CS629" s="100"/>
      <c r="CT629" s="100"/>
      <c r="CU629" s="100"/>
    </row>
    <row r="630" spans="6:99" s="36" customFormat="1" ht="11.1" customHeight="1" x14ac:dyDescent="0.25">
      <c r="F630" s="33"/>
      <c r="G630" s="33"/>
      <c r="H630" s="33"/>
      <c r="I630" s="34"/>
      <c r="J630" s="34"/>
      <c r="K630" s="14"/>
      <c r="L630" s="32"/>
      <c r="M630" s="14"/>
      <c r="N630" s="14"/>
      <c r="O630" s="2"/>
      <c r="P630"/>
      <c r="Q630" s="2"/>
      <c r="R630"/>
      <c r="S630"/>
      <c r="T630"/>
      <c r="U630" s="2"/>
      <c r="V630" s="2"/>
      <c r="W630" s="2"/>
      <c r="X630" s="2"/>
      <c r="Y630" s="2"/>
      <c r="Z630" s="11"/>
      <c r="AA630" s="15"/>
      <c r="AB630" s="15"/>
      <c r="AC630" s="15"/>
      <c r="AD630" s="35"/>
      <c r="AE630" s="99"/>
      <c r="AF630" s="99"/>
      <c r="AG630" s="35"/>
      <c r="AH630" s="35"/>
      <c r="AI630" s="35"/>
      <c r="AJ630" s="1"/>
      <c r="AK630" s="1"/>
      <c r="AL630" s="1"/>
      <c r="AM630" s="1"/>
      <c r="AN630" s="1"/>
      <c r="AO630" s="1"/>
      <c r="AP630"/>
      <c r="AQ630"/>
      <c r="AR630"/>
      <c r="AS630"/>
      <c r="AT630" s="50"/>
      <c r="AU630" s="97"/>
      <c r="AV630" s="97"/>
      <c r="AW630" s="97"/>
      <c r="AX630" s="97"/>
      <c r="AY630" s="97"/>
      <c r="BD630" s="35"/>
      <c r="BE630" s="35"/>
      <c r="BV630" s="98"/>
      <c r="BW630" s="98"/>
      <c r="BX630" s="98"/>
      <c r="BY630" s="112"/>
      <c r="BZ630" s="112"/>
      <c r="CA630" s="112"/>
      <c r="CB630" s="98"/>
      <c r="CC630" s="98"/>
      <c r="CD630" s="98"/>
      <c r="CE630" s="98"/>
      <c r="CG630" s="100"/>
      <c r="CH630" s="100"/>
      <c r="CI630" s="100"/>
      <c r="CJ630" s="100"/>
      <c r="CK630" s="100"/>
      <c r="CL630" s="100"/>
      <c r="CM630" s="100"/>
      <c r="CN630" s="100"/>
      <c r="CO630" s="100"/>
      <c r="CP630" s="100"/>
      <c r="CQ630" s="100"/>
      <c r="CR630" s="100"/>
      <c r="CS630" s="100"/>
      <c r="CT630" s="100"/>
      <c r="CU630" s="100"/>
    </row>
    <row r="631" spans="6:99" s="36" customFormat="1" ht="11.1" customHeight="1" x14ac:dyDescent="0.25">
      <c r="F631" s="33"/>
      <c r="G631" s="33"/>
      <c r="H631" s="33"/>
      <c r="I631" s="34"/>
      <c r="J631" s="34"/>
      <c r="K631" s="14"/>
      <c r="L631" s="32"/>
      <c r="M631" s="14"/>
      <c r="N631" s="14"/>
      <c r="O631" s="2"/>
      <c r="P631"/>
      <c r="Q631" s="2"/>
      <c r="R631"/>
      <c r="S631"/>
      <c r="T631"/>
      <c r="U631" s="2"/>
      <c r="V631" s="2"/>
      <c r="W631" s="2"/>
      <c r="X631" s="2"/>
      <c r="Y631" s="2"/>
      <c r="Z631" s="11"/>
      <c r="AA631" s="15"/>
      <c r="AB631" s="15"/>
      <c r="AC631" s="15"/>
      <c r="AD631" s="35"/>
      <c r="AE631" s="99"/>
      <c r="AF631" s="99"/>
      <c r="AG631" s="35"/>
      <c r="AH631" s="35"/>
      <c r="AI631" s="35"/>
      <c r="AJ631" s="1"/>
      <c r="AK631" s="1"/>
      <c r="AL631" s="1"/>
      <c r="AM631" s="1"/>
      <c r="AN631" s="1"/>
      <c r="AO631" s="1"/>
      <c r="AP631"/>
      <c r="AQ631"/>
      <c r="AR631"/>
      <c r="AS631"/>
      <c r="AT631" s="50"/>
      <c r="AU631" s="97"/>
      <c r="AV631" s="97"/>
      <c r="AW631" s="97"/>
      <c r="AX631" s="97"/>
      <c r="AY631" s="97"/>
      <c r="BD631" s="35"/>
      <c r="BE631" s="35"/>
      <c r="BV631" s="98"/>
      <c r="BW631" s="98"/>
      <c r="BX631" s="98"/>
      <c r="BY631" s="112"/>
      <c r="BZ631" s="112"/>
      <c r="CA631" s="112"/>
      <c r="CB631" s="98"/>
      <c r="CC631" s="98"/>
      <c r="CD631" s="98"/>
      <c r="CE631" s="98"/>
      <c r="CG631" s="100"/>
      <c r="CH631" s="100"/>
      <c r="CI631" s="100"/>
      <c r="CJ631" s="100"/>
      <c r="CK631" s="100"/>
      <c r="CL631" s="100"/>
      <c r="CM631" s="100"/>
      <c r="CN631" s="100"/>
      <c r="CO631" s="100"/>
      <c r="CP631" s="100"/>
      <c r="CQ631" s="100"/>
      <c r="CR631" s="100"/>
      <c r="CS631" s="100"/>
      <c r="CT631" s="100"/>
      <c r="CU631" s="100"/>
    </row>
    <row r="632" spans="6:99" s="36" customFormat="1" ht="11.1" customHeight="1" x14ac:dyDescent="0.25">
      <c r="F632" s="33"/>
      <c r="G632" s="33"/>
      <c r="H632" s="33"/>
      <c r="I632" s="34"/>
      <c r="J632" s="34"/>
      <c r="K632" s="14"/>
      <c r="L632" s="32"/>
      <c r="M632" s="14"/>
      <c r="N632" s="14"/>
      <c r="O632" s="2"/>
      <c r="P632"/>
      <c r="Q632" s="2"/>
      <c r="R632"/>
      <c r="S632"/>
      <c r="T632"/>
      <c r="U632" s="2"/>
      <c r="V632" s="2"/>
      <c r="W632" s="2"/>
      <c r="X632" s="2"/>
      <c r="Y632" s="2"/>
      <c r="Z632" s="11"/>
      <c r="AA632" s="15"/>
      <c r="AB632" s="15"/>
      <c r="AC632" s="15"/>
      <c r="AD632" s="35"/>
      <c r="AE632" s="99"/>
      <c r="AF632" s="99"/>
      <c r="AG632" s="35"/>
      <c r="AH632" s="35"/>
      <c r="AI632" s="35"/>
      <c r="AJ632" s="1"/>
      <c r="AK632" s="1"/>
      <c r="AL632" s="1"/>
      <c r="AM632" s="1"/>
      <c r="AN632" s="1"/>
      <c r="AO632" s="1"/>
      <c r="AP632"/>
      <c r="AQ632"/>
      <c r="AR632"/>
      <c r="AS632"/>
      <c r="AT632" s="50"/>
      <c r="AU632" s="97"/>
      <c r="AV632" s="97"/>
      <c r="AW632" s="97"/>
      <c r="AX632" s="97"/>
      <c r="AY632" s="97"/>
      <c r="BD632" s="35"/>
      <c r="BE632" s="35"/>
      <c r="BV632" s="98"/>
      <c r="BW632" s="98"/>
      <c r="BX632" s="98"/>
      <c r="BY632" s="112"/>
      <c r="BZ632" s="112"/>
      <c r="CA632" s="112"/>
      <c r="CB632" s="98"/>
      <c r="CC632" s="98"/>
      <c r="CD632" s="98"/>
      <c r="CE632" s="98"/>
      <c r="CG632" s="100"/>
      <c r="CH632" s="100"/>
      <c r="CI632" s="100"/>
      <c r="CJ632" s="100"/>
      <c r="CK632" s="100"/>
      <c r="CL632" s="100"/>
      <c r="CM632" s="100"/>
      <c r="CN632" s="100"/>
      <c r="CO632" s="100"/>
      <c r="CP632" s="100"/>
      <c r="CQ632" s="100"/>
      <c r="CR632" s="100"/>
      <c r="CS632" s="100"/>
      <c r="CT632" s="100"/>
      <c r="CU632" s="100"/>
    </row>
    <row r="633" spans="6:99" s="36" customFormat="1" ht="11.1" customHeight="1" x14ac:dyDescent="0.25">
      <c r="F633" s="33"/>
      <c r="G633" s="33"/>
      <c r="H633" s="33"/>
      <c r="I633" s="34"/>
      <c r="J633" s="34"/>
      <c r="K633" s="14"/>
      <c r="L633" s="32"/>
      <c r="M633" s="14"/>
      <c r="N633" s="14"/>
      <c r="O633" s="2"/>
      <c r="P633"/>
      <c r="Q633" s="2"/>
      <c r="R633"/>
      <c r="S633"/>
      <c r="T633"/>
      <c r="U633" s="2"/>
      <c r="V633" s="2"/>
      <c r="W633" s="2"/>
      <c r="X633" s="2"/>
      <c r="Y633" s="2"/>
      <c r="Z633" s="11"/>
      <c r="AA633" s="15"/>
      <c r="AB633" s="15"/>
      <c r="AC633" s="15"/>
      <c r="AD633" s="35"/>
      <c r="AE633" s="99"/>
      <c r="AF633" s="99"/>
      <c r="AG633" s="35"/>
      <c r="AH633" s="35"/>
      <c r="AI633" s="35"/>
      <c r="AJ633" s="1"/>
      <c r="AK633" s="1"/>
      <c r="AL633" s="1"/>
      <c r="AM633" s="1"/>
      <c r="AN633" s="1"/>
      <c r="AO633" s="1"/>
      <c r="AP633"/>
      <c r="AQ633"/>
      <c r="AR633"/>
      <c r="AS633"/>
      <c r="AT633" s="50"/>
      <c r="AU633" s="97"/>
      <c r="AV633" s="97"/>
      <c r="AW633" s="97"/>
      <c r="AX633" s="97"/>
      <c r="AY633" s="97"/>
      <c r="BD633" s="35"/>
      <c r="BE633" s="35"/>
      <c r="BV633" s="98"/>
      <c r="BW633" s="98"/>
      <c r="BX633" s="98"/>
      <c r="BY633" s="112"/>
      <c r="BZ633" s="112"/>
      <c r="CA633" s="112"/>
      <c r="CB633" s="98"/>
      <c r="CC633" s="98"/>
      <c r="CD633" s="98"/>
      <c r="CE633" s="98"/>
      <c r="CG633" s="100"/>
      <c r="CH633" s="100"/>
      <c r="CI633" s="100"/>
      <c r="CJ633" s="100"/>
      <c r="CK633" s="100"/>
      <c r="CL633" s="100"/>
      <c r="CM633" s="100"/>
      <c r="CN633" s="100"/>
      <c r="CO633" s="100"/>
      <c r="CP633" s="100"/>
      <c r="CQ633" s="100"/>
      <c r="CR633" s="100"/>
      <c r="CS633" s="100"/>
      <c r="CT633" s="100"/>
      <c r="CU633" s="100"/>
    </row>
    <row r="634" spans="6:99" s="36" customFormat="1" ht="11.1" customHeight="1" x14ac:dyDescent="0.25">
      <c r="F634" s="33"/>
      <c r="G634" s="33"/>
      <c r="H634" s="33"/>
      <c r="I634" s="34"/>
      <c r="J634" s="34"/>
      <c r="K634" s="14"/>
      <c r="L634" s="32"/>
      <c r="M634" s="14"/>
      <c r="N634" s="14"/>
      <c r="O634" s="2"/>
      <c r="P634"/>
      <c r="Q634" s="2"/>
      <c r="R634"/>
      <c r="S634"/>
      <c r="T634"/>
      <c r="U634" s="2"/>
      <c r="V634" s="2"/>
      <c r="W634" s="2"/>
      <c r="X634" s="2"/>
      <c r="Y634" s="2"/>
      <c r="Z634" s="11"/>
      <c r="AA634" s="15"/>
      <c r="AB634" s="15"/>
      <c r="AC634" s="15"/>
      <c r="AD634" s="35"/>
      <c r="AE634" s="99"/>
      <c r="AF634" s="99"/>
      <c r="AG634" s="35"/>
      <c r="AH634" s="35"/>
      <c r="AI634" s="35"/>
      <c r="AJ634" s="1"/>
      <c r="AK634" s="1"/>
      <c r="AL634" s="1"/>
      <c r="AM634" s="1"/>
      <c r="AN634" s="1"/>
      <c r="AO634" s="1"/>
      <c r="AP634"/>
      <c r="AQ634"/>
      <c r="AR634"/>
      <c r="AS634"/>
      <c r="AT634" s="50"/>
      <c r="AU634" s="97"/>
      <c r="AV634" s="97"/>
      <c r="AW634" s="97"/>
      <c r="AX634" s="97"/>
      <c r="AY634" s="97"/>
      <c r="BD634" s="35"/>
      <c r="BE634" s="35"/>
      <c r="BV634" s="98"/>
      <c r="BW634" s="98"/>
      <c r="BX634" s="98"/>
      <c r="BY634" s="112"/>
      <c r="BZ634" s="112"/>
      <c r="CA634" s="112"/>
      <c r="CB634" s="98"/>
      <c r="CC634" s="98"/>
      <c r="CD634" s="98"/>
      <c r="CE634" s="98"/>
      <c r="CG634" s="100"/>
      <c r="CH634" s="100"/>
      <c r="CI634" s="100"/>
      <c r="CJ634" s="100"/>
      <c r="CK634" s="100"/>
      <c r="CL634" s="100"/>
      <c r="CM634" s="100"/>
      <c r="CN634" s="100"/>
      <c r="CO634" s="100"/>
      <c r="CP634" s="100"/>
      <c r="CQ634" s="100"/>
      <c r="CR634" s="100"/>
      <c r="CS634" s="100"/>
      <c r="CT634" s="100"/>
      <c r="CU634" s="100"/>
    </row>
    <row r="635" spans="6:99" s="36" customFormat="1" ht="11.1" customHeight="1" x14ac:dyDescent="0.25">
      <c r="F635" s="33"/>
      <c r="G635" s="33"/>
      <c r="H635" s="33"/>
      <c r="I635" s="34"/>
      <c r="J635" s="34"/>
      <c r="K635" s="14"/>
      <c r="L635" s="32"/>
      <c r="M635" s="14"/>
      <c r="N635" s="14"/>
      <c r="O635" s="2"/>
      <c r="P635"/>
      <c r="Q635" s="2"/>
      <c r="R635"/>
      <c r="S635"/>
      <c r="T635"/>
      <c r="U635" s="2"/>
      <c r="V635" s="2"/>
      <c r="W635" s="2"/>
      <c r="X635" s="2"/>
      <c r="Y635" s="2"/>
      <c r="Z635" s="11"/>
      <c r="AA635" s="15"/>
      <c r="AB635" s="15"/>
      <c r="AC635" s="15"/>
      <c r="AD635" s="35"/>
      <c r="AE635" s="99"/>
      <c r="AF635" s="99"/>
      <c r="AG635" s="35"/>
      <c r="AH635" s="35"/>
      <c r="AI635" s="35"/>
      <c r="AJ635" s="1"/>
      <c r="AK635" s="1"/>
      <c r="AL635" s="1"/>
      <c r="AM635" s="1"/>
      <c r="AN635" s="1"/>
      <c r="AO635" s="1"/>
      <c r="AP635"/>
      <c r="AQ635"/>
      <c r="AR635"/>
      <c r="AS635"/>
      <c r="AT635" s="50"/>
      <c r="AU635" s="97"/>
      <c r="AV635" s="97"/>
      <c r="AW635" s="97"/>
      <c r="AX635" s="97"/>
      <c r="AY635" s="97"/>
      <c r="BD635" s="35"/>
      <c r="BE635" s="35"/>
      <c r="BV635" s="98"/>
      <c r="BW635" s="98"/>
      <c r="BX635" s="98"/>
      <c r="BY635" s="112"/>
      <c r="BZ635" s="112"/>
      <c r="CA635" s="112"/>
      <c r="CB635" s="98"/>
      <c r="CC635" s="98"/>
      <c r="CD635" s="98"/>
      <c r="CE635" s="98"/>
      <c r="CG635" s="100"/>
      <c r="CH635" s="100"/>
      <c r="CI635" s="100"/>
      <c r="CJ635" s="100"/>
      <c r="CK635" s="100"/>
      <c r="CL635" s="100"/>
      <c r="CM635" s="100"/>
      <c r="CN635" s="100"/>
      <c r="CO635" s="100"/>
      <c r="CP635" s="100"/>
      <c r="CQ635" s="100"/>
      <c r="CR635" s="100"/>
      <c r="CS635" s="100"/>
      <c r="CT635" s="100"/>
      <c r="CU635" s="100"/>
    </row>
    <row r="636" spans="6:99" s="36" customFormat="1" ht="11.1" customHeight="1" x14ac:dyDescent="0.25">
      <c r="F636" s="33"/>
      <c r="G636" s="33"/>
      <c r="H636" s="33"/>
      <c r="I636" s="34"/>
      <c r="J636" s="34"/>
      <c r="K636" s="14"/>
      <c r="L636" s="32"/>
      <c r="M636" s="14"/>
      <c r="N636" s="14"/>
      <c r="O636" s="2"/>
      <c r="P636"/>
      <c r="Q636" s="2"/>
      <c r="R636"/>
      <c r="S636"/>
      <c r="T636"/>
      <c r="U636" s="2"/>
      <c r="V636" s="2"/>
      <c r="W636" s="2"/>
      <c r="X636" s="2"/>
      <c r="Y636" s="2"/>
      <c r="Z636" s="11"/>
      <c r="AA636" s="15"/>
      <c r="AB636" s="15"/>
      <c r="AC636" s="15"/>
      <c r="AD636" s="35"/>
      <c r="AE636" s="99"/>
      <c r="AF636" s="99"/>
      <c r="AG636" s="35"/>
      <c r="AH636" s="35"/>
      <c r="AI636" s="35"/>
      <c r="AJ636" s="1"/>
      <c r="AK636" s="1"/>
      <c r="AL636" s="1"/>
      <c r="AM636" s="1"/>
      <c r="AN636" s="1"/>
      <c r="AO636" s="1"/>
      <c r="AP636"/>
      <c r="AQ636"/>
      <c r="AR636"/>
      <c r="AS636"/>
      <c r="AT636" s="50"/>
      <c r="AU636" s="97"/>
      <c r="AV636" s="97"/>
      <c r="AW636" s="97"/>
      <c r="AX636" s="97"/>
      <c r="AY636" s="97"/>
      <c r="BD636" s="35"/>
      <c r="BE636" s="35"/>
      <c r="BV636" s="98"/>
      <c r="BW636" s="98"/>
      <c r="BX636" s="98"/>
      <c r="BY636" s="112"/>
      <c r="BZ636" s="112"/>
      <c r="CA636" s="112"/>
      <c r="CB636" s="98"/>
      <c r="CC636" s="98"/>
      <c r="CD636" s="98"/>
      <c r="CE636" s="98"/>
      <c r="CG636" s="100"/>
      <c r="CH636" s="100"/>
      <c r="CI636" s="100"/>
      <c r="CJ636" s="100"/>
      <c r="CK636" s="100"/>
      <c r="CL636" s="100"/>
      <c r="CM636" s="100"/>
      <c r="CN636" s="100"/>
      <c r="CO636" s="100"/>
      <c r="CP636" s="100"/>
      <c r="CQ636" s="100"/>
      <c r="CR636" s="100"/>
      <c r="CS636" s="100"/>
      <c r="CT636" s="100"/>
      <c r="CU636" s="100"/>
    </row>
    <row r="637" spans="6:99" s="36" customFormat="1" ht="11.1" customHeight="1" x14ac:dyDescent="0.25">
      <c r="F637" s="33"/>
      <c r="G637" s="33"/>
      <c r="H637" s="33"/>
      <c r="I637" s="34"/>
      <c r="J637" s="34"/>
      <c r="K637" s="14"/>
      <c r="L637" s="32"/>
      <c r="M637" s="14"/>
      <c r="N637" s="14"/>
      <c r="O637" s="2"/>
      <c r="P637"/>
      <c r="Q637" s="2"/>
      <c r="R637"/>
      <c r="S637"/>
      <c r="T637"/>
      <c r="U637" s="2"/>
      <c r="V637" s="2"/>
      <c r="W637" s="2"/>
      <c r="X637" s="2"/>
      <c r="Y637" s="2"/>
      <c r="Z637" s="11"/>
      <c r="AA637" s="15"/>
      <c r="AB637" s="15"/>
      <c r="AC637" s="15"/>
      <c r="AD637" s="35"/>
      <c r="AE637" s="99"/>
      <c r="AF637" s="99"/>
      <c r="AG637" s="35"/>
      <c r="AH637" s="35"/>
      <c r="AI637" s="35"/>
      <c r="AJ637" s="1"/>
      <c r="AK637" s="1"/>
      <c r="AL637" s="1"/>
      <c r="AM637" s="1"/>
      <c r="AN637" s="1"/>
      <c r="AO637" s="1"/>
      <c r="AP637"/>
      <c r="AQ637"/>
      <c r="AR637"/>
      <c r="AS637"/>
      <c r="AT637" s="50"/>
      <c r="AU637" s="97"/>
      <c r="AV637" s="97"/>
      <c r="AW637" s="97"/>
      <c r="AX637" s="97"/>
      <c r="AY637" s="97"/>
      <c r="BD637" s="35"/>
      <c r="BE637" s="35"/>
      <c r="BV637" s="98"/>
      <c r="BW637" s="98"/>
      <c r="BX637" s="98"/>
      <c r="BY637" s="112"/>
      <c r="BZ637" s="112"/>
      <c r="CA637" s="112"/>
      <c r="CB637" s="98"/>
      <c r="CC637" s="98"/>
      <c r="CD637" s="98"/>
      <c r="CE637" s="98"/>
      <c r="CG637" s="100"/>
      <c r="CH637" s="100"/>
      <c r="CI637" s="100"/>
      <c r="CJ637" s="100"/>
      <c r="CK637" s="100"/>
      <c r="CL637" s="100"/>
      <c r="CM637" s="100"/>
      <c r="CN637" s="100"/>
      <c r="CO637" s="100"/>
      <c r="CP637" s="100"/>
      <c r="CQ637" s="100"/>
      <c r="CR637" s="100"/>
      <c r="CS637" s="100"/>
      <c r="CT637" s="100"/>
      <c r="CU637" s="100"/>
    </row>
    <row r="638" spans="6:99" s="36" customFormat="1" ht="11.1" customHeight="1" x14ac:dyDescent="0.25">
      <c r="F638" s="33"/>
      <c r="G638" s="33"/>
      <c r="H638" s="33"/>
      <c r="I638" s="34"/>
      <c r="J638" s="34"/>
      <c r="K638" s="14"/>
      <c r="L638" s="32"/>
      <c r="M638" s="14"/>
      <c r="N638" s="14"/>
      <c r="O638" s="2"/>
      <c r="P638"/>
      <c r="Q638" s="2"/>
      <c r="R638"/>
      <c r="S638"/>
      <c r="T638"/>
      <c r="U638" s="2"/>
      <c r="V638" s="2"/>
      <c r="W638" s="2"/>
      <c r="X638" s="2"/>
      <c r="Y638" s="2"/>
      <c r="Z638" s="11"/>
      <c r="AA638" s="15"/>
      <c r="AB638" s="15"/>
      <c r="AC638" s="15"/>
      <c r="AD638" s="35"/>
      <c r="AE638" s="99"/>
      <c r="AF638" s="99"/>
      <c r="AG638" s="35"/>
      <c r="AH638" s="35"/>
      <c r="AI638" s="35"/>
      <c r="AJ638" s="1"/>
      <c r="AK638" s="1"/>
      <c r="AL638" s="1"/>
      <c r="AM638" s="1"/>
      <c r="AN638" s="1"/>
      <c r="AO638" s="1"/>
      <c r="AP638"/>
      <c r="AQ638"/>
      <c r="AR638"/>
      <c r="AS638"/>
      <c r="AT638" s="50"/>
      <c r="AU638" s="97"/>
      <c r="AV638" s="97"/>
      <c r="AW638" s="97"/>
      <c r="AX638" s="97"/>
      <c r="AY638" s="97"/>
      <c r="BD638" s="35"/>
      <c r="BE638" s="35"/>
      <c r="BV638" s="98"/>
      <c r="BW638" s="98"/>
      <c r="BX638" s="98"/>
      <c r="BY638" s="112"/>
      <c r="BZ638" s="112"/>
      <c r="CA638" s="112"/>
      <c r="CB638" s="98"/>
      <c r="CC638" s="98"/>
      <c r="CD638" s="98"/>
      <c r="CE638" s="98"/>
      <c r="CG638" s="100"/>
      <c r="CH638" s="100"/>
      <c r="CI638" s="100"/>
      <c r="CJ638" s="100"/>
      <c r="CK638" s="100"/>
      <c r="CL638" s="100"/>
      <c r="CM638" s="100"/>
      <c r="CN638" s="100"/>
      <c r="CO638" s="100"/>
      <c r="CP638" s="100"/>
      <c r="CQ638" s="100"/>
      <c r="CR638" s="100"/>
      <c r="CS638" s="100"/>
      <c r="CT638" s="100"/>
      <c r="CU638" s="100"/>
    </row>
    <row r="639" spans="6:99" s="36" customFormat="1" ht="11.1" customHeight="1" x14ac:dyDescent="0.25">
      <c r="F639" s="33"/>
      <c r="G639" s="33"/>
      <c r="H639" s="33"/>
      <c r="I639" s="34"/>
      <c r="J639" s="34"/>
      <c r="K639" s="14"/>
      <c r="L639" s="32"/>
      <c r="M639" s="14"/>
      <c r="N639" s="14"/>
      <c r="O639" s="2"/>
      <c r="P639"/>
      <c r="Q639" s="2"/>
      <c r="R639"/>
      <c r="S639"/>
      <c r="T639"/>
      <c r="U639" s="2"/>
      <c r="V639" s="2"/>
      <c r="W639" s="2"/>
      <c r="X639" s="2"/>
      <c r="Y639" s="2"/>
      <c r="Z639" s="11"/>
      <c r="AA639" s="15"/>
      <c r="AB639" s="15"/>
      <c r="AC639" s="15"/>
      <c r="AD639" s="35"/>
      <c r="AE639" s="99"/>
      <c r="AF639" s="99"/>
      <c r="AG639" s="35"/>
      <c r="AH639" s="35"/>
      <c r="AI639" s="35"/>
      <c r="AJ639" s="1"/>
      <c r="AK639" s="1"/>
      <c r="AL639" s="1"/>
      <c r="AM639" s="1"/>
      <c r="AN639" s="1"/>
      <c r="AO639" s="1"/>
      <c r="AP639"/>
      <c r="AQ639"/>
      <c r="AR639"/>
      <c r="AS639"/>
      <c r="AT639" s="50"/>
      <c r="AU639" s="97"/>
      <c r="AV639" s="97"/>
      <c r="AW639" s="97"/>
      <c r="AX639" s="97"/>
      <c r="AY639" s="97"/>
      <c r="BD639" s="35"/>
      <c r="BE639" s="35"/>
      <c r="BV639" s="98"/>
      <c r="BW639" s="98"/>
      <c r="BX639" s="98"/>
      <c r="BY639" s="112"/>
      <c r="BZ639" s="112"/>
      <c r="CA639" s="112"/>
      <c r="CB639" s="98"/>
      <c r="CC639" s="98"/>
      <c r="CD639" s="98"/>
      <c r="CE639" s="98"/>
      <c r="CG639" s="100"/>
      <c r="CH639" s="100"/>
      <c r="CI639" s="100"/>
      <c r="CJ639" s="100"/>
      <c r="CK639" s="100"/>
      <c r="CL639" s="100"/>
      <c r="CM639" s="100"/>
      <c r="CN639" s="100"/>
      <c r="CO639" s="100"/>
      <c r="CP639" s="100"/>
      <c r="CQ639" s="100"/>
      <c r="CR639" s="100"/>
      <c r="CS639" s="100"/>
      <c r="CT639" s="100"/>
      <c r="CU639" s="100"/>
    </row>
    <row r="640" spans="6:99" s="36" customFormat="1" ht="11.1" customHeight="1" x14ac:dyDescent="0.25">
      <c r="F640" s="33"/>
      <c r="G640" s="33"/>
      <c r="H640" s="33"/>
      <c r="I640" s="34"/>
      <c r="J640" s="34"/>
      <c r="K640" s="14"/>
      <c r="L640" s="32"/>
      <c r="M640" s="14"/>
      <c r="N640" s="14"/>
      <c r="O640" s="2"/>
      <c r="P640"/>
      <c r="Q640" s="2"/>
      <c r="R640"/>
      <c r="S640"/>
      <c r="T640"/>
      <c r="U640" s="2"/>
      <c r="V640" s="2"/>
      <c r="W640" s="2"/>
      <c r="X640" s="2"/>
      <c r="Y640" s="2"/>
      <c r="Z640" s="11"/>
      <c r="AA640" s="15"/>
      <c r="AB640" s="15"/>
      <c r="AC640" s="15"/>
      <c r="AD640" s="35"/>
      <c r="AE640" s="99"/>
      <c r="AF640" s="99"/>
      <c r="AG640" s="35"/>
      <c r="AH640" s="35"/>
      <c r="AI640" s="35"/>
      <c r="AJ640" s="1"/>
      <c r="AK640" s="1"/>
      <c r="AL640" s="1"/>
      <c r="AM640" s="1"/>
      <c r="AN640" s="1"/>
      <c r="AO640" s="1"/>
      <c r="AP640"/>
      <c r="AQ640"/>
      <c r="AR640"/>
      <c r="AS640"/>
      <c r="AT640" s="50"/>
      <c r="AU640" s="97"/>
      <c r="AV640" s="97"/>
      <c r="AW640" s="97"/>
      <c r="AX640" s="97"/>
      <c r="AY640" s="97"/>
      <c r="BD640" s="35"/>
      <c r="BE640" s="35"/>
      <c r="BV640" s="98"/>
      <c r="BW640" s="98"/>
      <c r="BX640" s="98"/>
      <c r="BY640" s="112"/>
      <c r="BZ640" s="112"/>
      <c r="CA640" s="112"/>
      <c r="CB640" s="98"/>
      <c r="CC640" s="98"/>
      <c r="CD640" s="98"/>
      <c r="CE640" s="98"/>
      <c r="CG640" s="100"/>
      <c r="CH640" s="100"/>
      <c r="CI640" s="100"/>
      <c r="CJ640" s="100"/>
      <c r="CK640" s="100"/>
      <c r="CL640" s="100"/>
      <c r="CM640" s="100"/>
      <c r="CN640" s="100"/>
      <c r="CO640" s="100"/>
      <c r="CP640" s="100"/>
      <c r="CQ640" s="100"/>
      <c r="CR640" s="100"/>
      <c r="CS640" s="100"/>
      <c r="CT640" s="100"/>
      <c r="CU640" s="100"/>
    </row>
    <row r="641" spans="6:99" s="36" customFormat="1" ht="11.1" customHeight="1" x14ac:dyDescent="0.25">
      <c r="F641" s="33"/>
      <c r="G641" s="33"/>
      <c r="H641" s="33"/>
      <c r="I641" s="34"/>
      <c r="J641" s="34"/>
      <c r="K641" s="14"/>
      <c r="L641" s="32"/>
      <c r="M641" s="14"/>
      <c r="N641" s="14"/>
      <c r="O641" s="2"/>
      <c r="P641"/>
      <c r="Q641" s="2"/>
      <c r="R641"/>
      <c r="S641"/>
      <c r="T641"/>
      <c r="U641" s="2"/>
      <c r="V641" s="2"/>
      <c r="W641" s="2"/>
      <c r="X641" s="2"/>
      <c r="Y641" s="2"/>
      <c r="Z641" s="11"/>
      <c r="AA641" s="15"/>
      <c r="AB641" s="15"/>
      <c r="AC641" s="15"/>
      <c r="AD641" s="35"/>
      <c r="AE641" s="99"/>
      <c r="AF641" s="99"/>
      <c r="AG641" s="35"/>
      <c r="AH641" s="35"/>
      <c r="AI641" s="35"/>
      <c r="AJ641" s="1"/>
      <c r="AK641" s="1"/>
      <c r="AL641" s="1"/>
      <c r="AM641" s="1"/>
      <c r="AN641" s="1"/>
      <c r="AO641" s="1"/>
      <c r="AP641"/>
      <c r="AQ641"/>
      <c r="AR641"/>
      <c r="AS641"/>
      <c r="AT641" s="50"/>
      <c r="AU641" s="97"/>
      <c r="AV641" s="97"/>
      <c r="AW641" s="97"/>
      <c r="AX641" s="97"/>
      <c r="AY641" s="97"/>
      <c r="BD641" s="35"/>
      <c r="BE641" s="35"/>
      <c r="BV641" s="98"/>
      <c r="BW641" s="98"/>
      <c r="BX641" s="98"/>
      <c r="BY641" s="112"/>
      <c r="BZ641" s="112"/>
      <c r="CA641" s="112"/>
      <c r="CB641" s="98"/>
      <c r="CC641" s="98"/>
      <c r="CD641" s="98"/>
      <c r="CE641" s="98"/>
      <c r="CG641" s="100"/>
      <c r="CH641" s="100"/>
      <c r="CI641" s="100"/>
      <c r="CJ641" s="100"/>
      <c r="CK641" s="100"/>
      <c r="CL641" s="100"/>
      <c r="CM641" s="100"/>
      <c r="CN641" s="100"/>
      <c r="CO641" s="100"/>
      <c r="CP641" s="100"/>
      <c r="CQ641" s="100"/>
      <c r="CR641" s="100"/>
      <c r="CS641" s="100"/>
      <c r="CT641" s="100"/>
      <c r="CU641" s="100"/>
    </row>
    <row r="642" spans="6:99" s="36" customFormat="1" ht="11.1" customHeight="1" x14ac:dyDescent="0.25">
      <c r="F642" s="33"/>
      <c r="G642" s="33"/>
      <c r="H642" s="33"/>
      <c r="I642" s="34"/>
      <c r="J642" s="34"/>
      <c r="K642" s="14"/>
      <c r="L642" s="32"/>
      <c r="M642" s="14"/>
      <c r="N642" s="14"/>
      <c r="O642" s="2"/>
      <c r="P642"/>
      <c r="Q642" s="2"/>
      <c r="R642"/>
      <c r="S642"/>
      <c r="T642"/>
      <c r="U642" s="2"/>
      <c r="V642" s="2"/>
      <c r="W642" s="2"/>
      <c r="X642" s="2"/>
      <c r="Y642" s="2"/>
      <c r="Z642" s="11"/>
      <c r="AA642" s="15"/>
      <c r="AB642" s="15"/>
      <c r="AC642" s="15"/>
      <c r="AD642" s="35"/>
      <c r="AE642" s="99"/>
      <c r="AF642" s="99"/>
      <c r="AG642" s="35"/>
      <c r="AH642" s="35"/>
      <c r="AI642" s="35"/>
      <c r="AJ642" s="1"/>
      <c r="AK642" s="1"/>
      <c r="AL642" s="1"/>
      <c r="AM642" s="1"/>
      <c r="AN642" s="1"/>
      <c r="AO642" s="1"/>
      <c r="AP642"/>
      <c r="AQ642"/>
      <c r="AR642"/>
      <c r="AS642"/>
      <c r="AT642" s="50"/>
      <c r="AU642" s="97"/>
      <c r="AV642" s="97"/>
      <c r="AW642" s="97"/>
      <c r="AX642" s="97"/>
      <c r="AY642" s="97"/>
      <c r="BD642" s="35"/>
      <c r="BE642" s="35"/>
      <c r="BV642" s="98"/>
      <c r="BW642" s="98"/>
      <c r="BX642" s="98"/>
      <c r="BY642" s="112"/>
      <c r="BZ642" s="112"/>
      <c r="CA642" s="112"/>
      <c r="CB642" s="98"/>
      <c r="CC642" s="98"/>
      <c r="CD642" s="98"/>
      <c r="CE642" s="98"/>
      <c r="CG642" s="100"/>
      <c r="CH642" s="100"/>
      <c r="CI642" s="100"/>
      <c r="CJ642" s="100"/>
      <c r="CK642" s="100"/>
      <c r="CL642" s="100"/>
      <c r="CM642" s="100"/>
      <c r="CN642" s="100"/>
      <c r="CO642" s="100"/>
      <c r="CP642" s="100"/>
      <c r="CQ642" s="100"/>
      <c r="CR642" s="100"/>
      <c r="CS642" s="100"/>
      <c r="CT642" s="100"/>
      <c r="CU642" s="100"/>
    </row>
    <row r="643" spans="6:99" s="36" customFormat="1" ht="11.1" customHeight="1" x14ac:dyDescent="0.25">
      <c r="F643" s="33"/>
      <c r="G643" s="33"/>
      <c r="H643" s="33"/>
      <c r="I643" s="34"/>
      <c r="J643" s="34"/>
      <c r="K643" s="14"/>
      <c r="L643" s="32"/>
      <c r="M643" s="14"/>
      <c r="N643" s="14"/>
      <c r="O643" s="2"/>
      <c r="P643"/>
      <c r="Q643" s="2"/>
      <c r="R643"/>
      <c r="S643"/>
      <c r="T643"/>
      <c r="U643" s="2"/>
      <c r="V643" s="2"/>
      <c r="W643" s="2"/>
      <c r="X643" s="2"/>
      <c r="Y643" s="2"/>
      <c r="Z643" s="11"/>
      <c r="AA643" s="15"/>
      <c r="AB643" s="15"/>
      <c r="AC643" s="15"/>
      <c r="AD643" s="35"/>
      <c r="AE643" s="99"/>
      <c r="AF643" s="99"/>
      <c r="AG643" s="35"/>
      <c r="AH643" s="35"/>
      <c r="AI643" s="35"/>
      <c r="AJ643" s="1"/>
      <c r="AK643" s="1"/>
      <c r="AL643" s="1"/>
      <c r="AM643" s="1"/>
      <c r="AN643" s="1"/>
      <c r="AO643" s="1"/>
      <c r="AP643"/>
      <c r="AQ643"/>
      <c r="AR643"/>
      <c r="AS643"/>
      <c r="AT643" s="50"/>
      <c r="AU643" s="97"/>
      <c r="AV643" s="97"/>
      <c r="AW643" s="97"/>
      <c r="AX643" s="97"/>
      <c r="AY643" s="97"/>
      <c r="BD643" s="35"/>
      <c r="BE643" s="35"/>
      <c r="BV643" s="98"/>
      <c r="BW643" s="98"/>
      <c r="BX643" s="98"/>
      <c r="BY643" s="112"/>
      <c r="BZ643" s="112"/>
      <c r="CA643" s="112"/>
      <c r="CB643" s="98"/>
      <c r="CC643" s="98"/>
      <c r="CD643" s="98"/>
      <c r="CE643" s="98"/>
      <c r="CG643" s="100"/>
      <c r="CH643" s="100"/>
      <c r="CI643" s="100"/>
      <c r="CJ643" s="100"/>
      <c r="CK643" s="100"/>
      <c r="CL643" s="100"/>
      <c r="CM643" s="100"/>
      <c r="CN643" s="100"/>
      <c r="CO643" s="100"/>
      <c r="CP643" s="100"/>
      <c r="CQ643" s="100"/>
      <c r="CR643" s="100"/>
      <c r="CS643" s="100"/>
      <c r="CT643" s="100"/>
      <c r="CU643" s="100"/>
    </row>
    <row r="644" spans="6:99" s="36" customFormat="1" ht="11.1" customHeight="1" x14ac:dyDescent="0.25">
      <c r="F644" s="33"/>
      <c r="G644" s="33"/>
      <c r="H644" s="33"/>
      <c r="I644" s="34"/>
      <c r="J644" s="34"/>
      <c r="K644" s="14"/>
      <c r="L644" s="32"/>
      <c r="M644" s="14"/>
      <c r="N644" s="14"/>
      <c r="O644" s="2"/>
      <c r="P644"/>
      <c r="Q644" s="2"/>
      <c r="R644"/>
      <c r="S644"/>
      <c r="T644"/>
      <c r="U644" s="2"/>
      <c r="V644" s="2"/>
      <c r="W644" s="2"/>
      <c r="X644" s="2"/>
      <c r="Y644" s="2"/>
      <c r="Z644" s="11"/>
      <c r="AA644" s="15"/>
      <c r="AB644" s="15"/>
      <c r="AC644" s="15"/>
      <c r="AD644" s="35"/>
      <c r="AE644" s="99"/>
      <c r="AF644" s="99"/>
      <c r="AG644" s="35"/>
      <c r="AH644" s="35"/>
      <c r="AI644" s="35"/>
      <c r="AJ644" s="1"/>
      <c r="AK644" s="1"/>
      <c r="AL644" s="1"/>
      <c r="AM644" s="1"/>
      <c r="AN644" s="1"/>
      <c r="AO644" s="1"/>
      <c r="AP644"/>
      <c r="AQ644"/>
      <c r="AR644"/>
      <c r="AS644"/>
      <c r="AT644" s="50"/>
      <c r="AU644" s="97"/>
      <c r="AV644" s="97"/>
      <c r="AW644" s="97"/>
      <c r="AX644" s="97"/>
      <c r="AY644" s="97"/>
      <c r="BD644" s="35"/>
      <c r="BE644" s="35"/>
      <c r="BV644" s="98"/>
      <c r="BW644" s="98"/>
      <c r="BX644" s="98"/>
      <c r="BY644" s="112"/>
      <c r="BZ644" s="112"/>
      <c r="CA644" s="112"/>
      <c r="CB644" s="98"/>
      <c r="CC644" s="98"/>
      <c r="CD644" s="98"/>
      <c r="CE644" s="98"/>
      <c r="CG644" s="100"/>
      <c r="CH644" s="100"/>
      <c r="CI644" s="100"/>
      <c r="CJ644" s="100"/>
      <c r="CK644" s="100"/>
      <c r="CL644" s="100"/>
      <c r="CM644" s="100"/>
      <c r="CN644" s="100"/>
      <c r="CO644" s="100"/>
      <c r="CP644" s="100"/>
      <c r="CQ644" s="100"/>
      <c r="CR644" s="100"/>
      <c r="CS644" s="100"/>
      <c r="CT644" s="100"/>
      <c r="CU644" s="100"/>
    </row>
    <row r="645" spans="6:99" s="36" customFormat="1" ht="11.1" customHeight="1" x14ac:dyDescent="0.25">
      <c r="F645" s="33"/>
      <c r="G645" s="33"/>
      <c r="H645" s="33"/>
      <c r="I645" s="34"/>
      <c r="J645" s="34"/>
      <c r="K645" s="14"/>
      <c r="L645" s="32"/>
      <c r="M645" s="14"/>
      <c r="N645" s="14"/>
      <c r="O645" s="2"/>
      <c r="P645"/>
      <c r="Q645" s="2"/>
      <c r="R645"/>
      <c r="S645"/>
      <c r="T645"/>
      <c r="U645" s="2"/>
      <c r="V645" s="2"/>
      <c r="W645" s="2"/>
      <c r="X645" s="2"/>
      <c r="Y645" s="2"/>
      <c r="Z645" s="11"/>
      <c r="AA645" s="15"/>
      <c r="AB645" s="15"/>
      <c r="AC645" s="15"/>
      <c r="AD645" s="35"/>
      <c r="AE645" s="99"/>
      <c r="AF645" s="99"/>
      <c r="AG645" s="35"/>
      <c r="AH645" s="35"/>
      <c r="AI645" s="35"/>
      <c r="AJ645" s="1"/>
      <c r="AK645" s="1"/>
      <c r="AL645" s="1"/>
      <c r="AM645" s="1"/>
      <c r="AN645" s="1"/>
      <c r="AO645" s="1"/>
      <c r="AP645"/>
      <c r="AQ645"/>
      <c r="AR645"/>
      <c r="AS645"/>
      <c r="AT645" s="50"/>
      <c r="AU645" s="97"/>
      <c r="AV645" s="97"/>
      <c r="AW645" s="97"/>
      <c r="AX645" s="97"/>
      <c r="AY645" s="97"/>
      <c r="BD645" s="35"/>
      <c r="BE645" s="35"/>
      <c r="BV645" s="98"/>
      <c r="BW645" s="98"/>
      <c r="BX645" s="98"/>
      <c r="BY645" s="112"/>
      <c r="BZ645" s="112"/>
      <c r="CA645" s="112"/>
      <c r="CB645" s="98"/>
      <c r="CC645" s="98"/>
      <c r="CD645" s="98"/>
      <c r="CE645" s="98"/>
      <c r="CG645" s="100"/>
      <c r="CH645" s="100"/>
      <c r="CI645" s="100"/>
      <c r="CJ645" s="100"/>
      <c r="CK645" s="100"/>
      <c r="CL645" s="100"/>
      <c r="CM645" s="100"/>
      <c r="CN645" s="100"/>
      <c r="CO645" s="100"/>
      <c r="CP645" s="100"/>
      <c r="CQ645" s="100"/>
      <c r="CR645" s="100"/>
      <c r="CS645" s="100"/>
      <c r="CT645" s="100"/>
      <c r="CU645" s="100"/>
    </row>
    <row r="646" spans="6:99" s="36" customFormat="1" ht="11.1" customHeight="1" x14ac:dyDescent="0.25">
      <c r="F646" s="33"/>
      <c r="G646" s="33"/>
      <c r="H646" s="33"/>
      <c r="I646" s="34"/>
      <c r="J646" s="34"/>
      <c r="K646" s="14"/>
      <c r="L646" s="32"/>
      <c r="M646" s="14"/>
      <c r="N646" s="14"/>
      <c r="O646" s="2"/>
      <c r="P646"/>
      <c r="Q646" s="2"/>
      <c r="R646"/>
      <c r="S646"/>
      <c r="T646"/>
      <c r="U646" s="2"/>
      <c r="V646" s="2"/>
      <c r="W646" s="2"/>
      <c r="X646" s="2"/>
      <c r="Y646" s="2"/>
      <c r="Z646" s="11"/>
      <c r="AA646" s="15"/>
      <c r="AB646" s="15"/>
      <c r="AC646" s="15"/>
      <c r="AD646" s="35"/>
      <c r="AE646" s="99"/>
      <c r="AF646" s="99"/>
      <c r="AG646" s="35"/>
      <c r="AH646" s="35"/>
      <c r="AI646" s="35"/>
      <c r="AJ646" s="1"/>
      <c r="AK646" s="1"/>
      <c r="AL646" s="1"/>
      <c r="AM646" s="1"/>
      <c r="AN646" s="1"/>
      <c r="AO646" s="1"/>
      <c r="AP646"/>
      <c r="AQ646"/>
      <c r="AR646"/>
      <c r="AS646"/>
      <c r="AT646" s="50"/>
      <c r="AU646" s="97"/>
      <c r="AV646" s="97"/>
      <c r="AW646" s="97"/>
      <c r="AX646" s="97"/>
      <c r="AY646" s="97"/>
      <c r="BD646" s="35"/>
      <c r="BE646" s="35"/>
      <c r="BV646" s="98"/>
      <c r="BW646" s="98"/>
      <c r="BX646" s="98"/>
      <c r="BY646" s="112"/>
      <c r="BZ646" s="112"/>
      <c r="CA646" s="112"/>
      <c r="CB646" s="98"/>
      <c r="CC646" s="98"/>
      <c r="CD646" s="98"/>
      <c r="CE646" s="98"/>
      <c r="CG646" s="100"/>
      <c r="CH646" s="100"/>
      <c r="CI646" s="100"/>
      <c r="CJ646" s="100"/>
      <c r="CK646" s="100"/>
      <c r="CL646" s="100"/>
      <c r="CM646" s="100"/>
      <c r="CN646" s="100"/>
      <c r="CO646" s="100"/>
      <c r="CP646" s="100"/>
      <c r="CQ646" s="100"/>
      <c r="CR646" s="100"/>
      <c r="CS646" s="100"/>
      <c r="CT646" s="100"/>
      <c r="CU646" s="100"/>
    </row>
    <row r="647" spans="6:99" s="36" customFormat="1" ht="11.1" customHeight="1" x14ac:dyDescent="0.25">
      <c r="F647" s="33"/>
      <c r="G647" s="33"/>
      <c r="H647" s="33"/>
      <c r="I647" s="34"/>
      <c r="J647" s="34"/>
      <c r="K647" s="14"/>
      <c r="L647" s="32"/>
      <c r="M647" s="14"/>
      <c r="N647" s="14"/>
      <c r="O647" s="2"/>
      <c r="P647"/>
      <c r="Q647" s="2"/>
      <c r="R647"/>
      <c r="S647"/>
      <c r="T647"/>
      <c r="U647" s="2"/>
      <c r="V647" s="2"/>
      <c r="W647" s="2"/>
      <c r="X647" s="2"/>
      <c r="Y647" s="2"/>
      <c r="Z647" s="11"/>
      <c r="AA647" s="15"/>
      <c r="AB647" s="15"/>
      <c r="AC647" s="15"/>
      <c r="AD647" s="35"/>
      <c r="AE647" s="99"/>
      <c r="AF647" s="99"/>
      <c r="AG647" s="35"/>
      <c r="AH647" s="35"/>
      <c r="AI647" s="35"/>
      <c r="AJ647" s="1"/>
      <c r="AK647" s="1"/>
      <c r="AL647" s="1"/>
      <c r="AM647" s="1"/>
      <c r="AN647" s="1"/>
      <c r="AO647" s="1"/>
      <c r="AP647"/>
      <c r="AQ647"/>
      <c r="AR647"/>
      <c r="AS647"/>
      <c r="AT647" s="50"/>
      <c r="AU647" s="97"/>
      <c r="AV647" s="97"/>
      <c r="AW647" s="97"/>
      <c r="AX647" s="97"/>
      <c r="AY647" s="97"/>
      <c r="BD647" s="35"/>
      <c r="BE647" s="35"/>
      <c r="BV647" s="98"/>
      <c r="BW647" s="98"/>
      <c r="BX647" s="98"/>
      <c r="BY647" s="112"/>
      <c r="BZ647" s="112"/>
      <c r="CA647" s="112"/>
      <c r="CB647" s="98"/>
      <c r="CC647" s="98"/>
      <c r="CD647" s="98"/>
      <c r="CE647" s="98"/>
      <c r="CG647" s="100"/>
      <c r="CH647" s="100"/>
      <c r="CI647" s="100"/>
      <c r="CJ647" s="100"/>
      <c r="CK647" s="100"/>
      <c r="CL647" s="100"/>
      <c r="CM647" s="100"/>
      <c r="CN647" s="100"/>
      <c r="CO647" s="100"/>
      <c r="CP647" s="100"/>
      <c r="CQ647" s="100"/>
      <c r="CR647" s="100"/>
      <c r="CS647" s="100"/>
      <c r="CT647" s="100"/>
      <c r="CU647" s="100"/>
    </row>
    <row r="648" spans="6:99" s="36" customFormat="1" ht="11.1" customHeight="1" x14ac:dyDescent="0.25">
      <c r="F648" s="33"/>
      <c r="G648" s="33"/>
      <c r="H648" s="33"/>
      <c r="I648" s="34"/>
      <c r="J648" s="34"/>
      <c r="K648" s="14"/>
      <c r="L648" s="32"/>
      <c r="M648" s="14"/>
      <c r="N648" s="14"/>
      <c r="O648" s="2"/>
      <c r="P648"/>
      <c r="Q648" s="2"/>
      <c r="R648"/>
      <c r="S648"/>
      <c r="T648"/>
      <c r="U648" s="2"/>
      <c r="V648" s="2"/>
      <c r="W648" s="2"/>
      <c r="X648" s="2"/>
      <c r="Y648" s="2"/>
      <c r="Z648" s="11"/>
      <c r="AA648" s="15"/>
      <c r="AB648" s="15"/>
      <c r="AC648" s="15"/>
      <c r="AD648" s="35"/>
      <c r="AE648" s="99"/>
      <c r="AF648" s="99"/>
      <c r="AG648" s="35"/>
      <c r="AH648" s="35"/>
      <c r="AI648" s="35"/>
      <c r="AJ648" s="1"/>
      <c r="AK648" s="1"/>
      <c r="AL648" s="1"/>
      <c r="AM648" s="1"/>
      <c r="AN648" s="1"/>
      <c r="AO648" s="1"/>
      <c r="AP648"/>
      <c r="AQ648"/>
      <c r="AR648"/>
      <c r="AS648"/>
      <c r="AT648" s="50"/>
      <c r="AU648" s="97"/>
      <c r="AV648" s="97"/>
      <c r="AW648" s="97"/>
      <c r="AX648" s="97"/>
      <c r="AY648" s="97"/>
      <c r="BD648" s="35"/>
      <c r="BE648" s="35"/>
      <c r="BV648" s="98"/>
      <c r="BW648" s="98"/>
      <c r="BX648" s="98"/>
      <c r="BY648" s="112"/>
      <c r="BZ648" s="112"/>
      <c r="CA648" s="112"/>
      <c r="CB648" s="98"/>
      <c r="CC648" s="98"/>
      <c r="CD648" s="98"/>
      <c r="CE648" s="98"/>
      <c r="CG648" s="100"/>
      <c r="CH648" s="100"/>
      <c r="CI648" s="100"/>
      <c r="CJ648" s="100"/>
      <c r="CK648" s="100"/>
      <c r="CL648" s="100"/>
      <c r="CM648" s="100"/>
      <c r="CN648" s="100"/>
      <c r="CO648" s="100"/>
      <c r="CP648" s="100"/>
      <c r="CQ648" s="100"/>
      <c r="CR648" s="100"/>
      <c r="CS648" s="100"/>
      <c r="CT648" s="100"/>
      <c r="CU648" s="100"/>
    </row>
    <row r="649" spans="6:99" s="36" customFormat="1" ht="11.1" customHeight="1" x14ac:dyDescent="0.25">
      <c r="F649" s="33"/>
      <c r="G649" s="33"/>
      <c r="H649" s="33"/>
      <c r="I649" s="34"/>
      <c r="J649" s="34"/>
      <c r="K649" s="14"/>
      <c r="L649" s="32"/>
      <c r="M649" s="14"/>
      <c r="N649" s="14"/>
      <c r="O649" s="2"/>
      <c r="P649"/>
      <c r="Q649" s="2"/>
      <c r="R649"/>
      <c r="S649"/>
      <c r="T649"/>
      <c r="U649" s="2"/>
      <c r="V649" s="2"/>
      <c r="W649" s="2"/>
      <c r="X649" s="2"/>
      <c r="Y649" s="2"/>
      <c r="Z649" s="11"/>
      <c r="AA649" s="15"/>
      <c r="AB649" s="15"/>
      <c r="AC649" s="15"/>
      <c r="AD649" s="35"/>
      <c r="AE649" s="99"/>
      <c r="AF649" s="99"/>
      <c r="AG649" s="35"/>
      <c r="AH649" s="35"/>
      <c r="AI649" s="35"/>
      <c r="AJ649" s="1"/>
      <c r="AK649" s="1"/>
      <c r="AL649" s="1"/>
      <c r="AM649" s="1"/>
      <c r="AN649" s="1"/>
      <c r="AO649" s="1"/>
      <c r="AP649"/>
      <c r="AQ649"/>
      <c r="AR649"/>
      <c r="AS649"/>
      <c r="AT649" s="50"/>
      <c r="AU649" s="97"/>
      <c r="AV649" s="97"/>
      <c r="AW649" s="97"/>
      <c r="AX649" s="97"/>
      <c r="AY649" s="97"/>
      <c r="BD649" s="35"/>
      <c r="BE649" s="35"/>
      <c r="BV649" s="98"/>
      <c r="BW649" s="98"/>
      <c r="BX649" s="98"/>
      <c r="BY649" s="112"/>
      <c r="BZ649" s="112"/>
      <c r="CA649" s="112"/>
      <c r="CB649" s="98"/>
      <c r="CC649" s="98"/>
      <c r="CD649" s="98"/>
      <c r="CE649" s="98"/>
      <c r="CG649" s="100"/>
      <c r="CH649" s="100"/>
      <c r="CI649" s="100"/>
      <c r="CJ649" s="100"/>
      <c r="CK649" s="100"/>
      <c r="CL649" s="100"/>
      <c r="CM649" s="100"/>
      <c r="CN649" s="100"/>
      <c r="CO649" s="100"/>
      <c r="CP649" s="100"/>
      <c r="CQ649" s="100"/>
      <c r="CR649" s="100"/>
      <c r="CS649" s="100"/>
      <c r="CT649" s="100"/>
      <c r="CU649" s="100"/>
    </row>
    <row r="650" spans="6:99" s="36" customFormat="1" ht="11.1" customHeight="1" x14ac:dyDescent="0.25">
      <c r="F650" s="33"/>
      <c r="G650" s="33"/>
      <c r="H650" s="33"/>
      <c r="I650" s="34"/>
      <c r="J650" s="34"/>
      <c r="K650" s="14"/>
      <c r="L650" s="32"/>
      <c r="M650" s="14"/>
      <c r="N650" s="14"/>
      <c r="O650" s="2"/>
      <c r="P650"/>
      <c r="Q650" s="2"/>
      <c r="R650"/>
      <c r="S650"/>
      <c r="T650"/>
      <c r="U650" s="2"/>
      <c r="V650" s="2"/>
      <c r="W650" s="2"/>
      <c r="X650" s="2"/>
      <c r="Y650" s="2"/>
      <c r="Z650" s="11"/>
      <c r="AA650" s="15"/>
      <c r="AB650" s="15"/>
      <c r="AC650" s="15"/>
      <c r="AD650" s="35"/>
      <c r="AE650" s="99"/>
      <c r="AF650" s="99"/>
      <c r="AG650" s="35"/>
      <c r="AH650" s="35"/>
      <c r="AI650" s="35"/>
      <c r="AJ650" s="1"/>
      <c r="AK650" s="1"/>
      <c r="AL650" s="1"/>
      <c r="AM650" s="1"/>
      <c r="AN650" s="1"/>
      <c r="AO650" s="1"/>
      <c r="AP650"/>
      <c r="AQ650"/>
      <c r="AR650"/>
      <c r="AS650"/>
      <c r="AT650" s="50"/>
      <c r="AU650" s="97"/>
      <c r="AV650" s="97"/>
      <c r="AW650" s="97"/>
      <c r="AX650" s="97"/>
      <c r="AY650" s="97"/>
      <c r="BD650" s="35"/>
      <c r="BE650" s="35"/>
      <c r="BV650" s="98"/>
      <c r="BW650" s="98"/>
      <c r="BX650" s="98"/>
      <c r="BY650" s="112"/>
      <c r="BZ650" s="112"/>
      <c r="CA650" s="112"/>
      <c r="CB650" s="98"/>
      <c r="CC650" s="98"/>
      <c r="CD650" s="98"/>
      <c r="CE650" s="98"/>
      <c r="CG650" s="100"/>
      <c r="CH650" s="100"/>
      <c r="CI650" s="100"/>
      <c r="CJ650" s="100"/>
      <c r="CK650" s="100"/>
      <c r="CL650" s="100"/>
      <c r="CM650" s="100"/>
      <c r="CN650" s="100"/>
      <c r="CO650" s="100"/>
      <c r="CP650" s="100"/>
      <c r="CQ650" s="100"/>
      <c r="CR650" s="100"/>
      <c r="CS650" s="100"/>
      <c r="CT650" s="100"/>
      <c r="CU650" s="100"/>
    </row>
    <row r="651" spans="6:99" s="36" customFormat="1" ht="11.1" customHeight="1" x14ac:dyDescent="0.25">
      <c r="F651" s="33"/>
      <c r="G651" s="33"/>
      <c r="H651" s="33"/>
      <c r="I651" s="34"/>
      <c r="J651" s="34"/>
      <c r="K651" s="14"/>
      <c r="L651" s="32"/>
      <c r="M651" s="14"/>
      <c r="N651" s="14"/>
      <c r="O651" s="2"/>
      <c r="P651"/>
      <c r="Q651" s="2"/>
      <c r="R651"/>
      <c r="S651"/>
      <c r="T651"/>
      <c r="U651" s="2"/>
      <c r="V651" s="2"/>
      <c r="W651" s="2"/>
      <c r="X651" s="2"/>
      <c r="Y651" s="2"/>
      <c r="Z651" s="11"/>
      <c r="AA651" s="15"/>
      <c r="AB651" s="15"/>
      <c r="AC651" s="15"/>
      <c r="AD651" s="35"/>
      <c r="AE651" s="99"/>
      <c r="AF651" s="99"/>
      <c r="AG651" s="35"/>
      <c r="AH651" s="35"/>
      <c r="AI651" s="35"/>
      <c r="AJ651" s="1"/>
      <c r="AK651" s="1"/>
      <c r="AL651" s="1"/>
      <c r="AM651" s="1"/>
      <c r="AN651" s="1"/>
      <c r="AO651" s="1"/>
      <c r="AP651"/>
      <c r="AQ651"/>
      <c r="AR651"/>
      <c r="AS651"/>
      <c r="AT651" s="50"/>
      <c r="AU651" s="97"/>
      <c r="AV651" s="97"/>
      <c r="AW651" s="97"/>
      <c r="AX651" s="97"/>
      <c r="AY651" s="97"/>
      <c r="BD651" s="35"/>
      <c r="BE651" s="35"/>
      <c r="BV651" s="98"/>
      <c r="BW651" s="98"/>
      <c r="BX651" s="98"/>
      <c r="BY651" s="112"/>
      <c r="BZ651" s="112"/>
      <c r="CA651" s="112"/>
      <c r="CB651" s="98"/>
      <c r="CC651" s="98"/>
      <c r="CD651" s="98"/>
      <c r="CE651" s="98"/>
      <c r="CG651" s="100"/>
      <c r="CH651" s="100"/>
      <c r="CI651" s="100"/>
      <c r="CJ651" s="100"/>
      <c r="CK651" s="100"/>
      <c r="CL651" s="100"/>
      <c r="CM651" s="100"/>
      <c r="CN651" s="100"/>
      <c r="CO651" s="100"/>
      <c r="CP651" s="100"/>
      <c r="CQ651" s="100"/>
      <c r="CR651" s="100"/>
      <c r="CS651" s="100"/>
      <c r="CT651" s="100"/>
      <c r="CU651" s="100"/>
    </row>
    <row r="652" spans="6:99" s="36" customFormat="1" ht="11.1" customHeight="1" x14ac:dyDescent="0.25">
      <c r="F652" s="33"/>
      <c r="G652" s="33"/>
      <c r="H652" s="33"/>
      <c r="I652" s="34"/>
      <c r="J652" s="34"/>
      <c r="K652" s="14"/>
      <c r="L652" s="32"/>
      <c r="M652" s="14"/>
      <c r="N652" s="14"/>
      <c r="O652" s="2"/>
      <c r="P652"/>
      <c r="Q652" s="2"/>
      <c r="R652"/>
      <c r="S652"/>
      <c r="T652"/>
      <c r="U652" s="2"/>
      <c r="V652" s="2"/>
      <c r="W652" s="2"/>
      <c r="X652" s="2"/>
      <c r="Y652" s="2"/>
      <c r="Z652" s="11"/>
      <c r="AA652" s="15"/>
      <c r="AB652" s="15"/>
      <c r="AC652" s="15"/>
      <c r="AD652" s="35"/>
      <c r="AE652" s="99"/>
      <c r="AF652" s="99"/>
      <c r="AG652" s="35"/>
      <c r="AH652" s="35"/>
      <c r="AI652" s="35"/>
      <c r="AJ652" s="1"/>
      <c r="AK652" s="1"/>
      <c r="AL652" s="1"/>
      <c r="AM652" s="1"/>
      <c r="AN652" s="1"/>
      <c r="AO652" s="1"/>
      <c r="AP652"/>
      <c r="AQ652"/>
      <c r="AR652"/>
      <c r="AS652"/>
      <c r="AT652" s="50"/>
      <c r="AU652" s="97"/>
      <c r="AV652" s="97"/>
      <c r="AW652" s="97"/>
      <c r="AX652" s="97"/>
      <c r="AY652" s="97"/>
      <c r="BD652" s="35"/>
      <c r="BE652" s="35"/>
      <c r="BV652" s="98"/>
      <c r="BW652" s="98"/>
      <c r="BX652" s="98"/>
      <c r="BY652" s="112"/>
      <c r="BZ652" s="112"/>
      <c r="CA652" s="112"/>
      <c r="CB652" s="98"/>
      <c r="CC652" s="98"/>
      <c r="CD652" s="98"/>
      <c r="CE652" s="98"/>
      <c r="CG652" s="100"/>
      <c r="CH652" s="100"/>
      <c r="CI652" s="100"/>
      <c r="CJ652" s="100"/>
      <c r="CK652" s="100"/>
      <c r="CL652" s="100"/>
      <c r="CM652" s="100"/>
      <c r="CN652" s="100"/>
      <c r="CO652" s="100"/>
      <c r="CP652" s="100"/>
      <c r="CQ652" s="100"/>
      <c r="CR652" s="100"/>
      <c r="CS652" s="100"/>
      <c r="CT652" s="100"/>
      <c r="CU652" s="100"/>
    </row>
    <row r="653" spans="6:99" s="36" customFormat="1" ht="11.1" customHeight="1" x14ac:dyDescent="0.25">
      <c r="F653" s="33"/>
      <c r="G653" s="33"/>
      <c r="H653" s="33"/>
      <c r="I653" s="34"/>
      <c r="J653" s="34"/>
      <c r="K653" s="14"/>
      <c r="L653" s="32"/>
      <c r="M653" s="14"/>
      <c r="N653" s="14"/>
      <c r="O653" s="2"/>
      <c r="P653"/>
      <c r="Q653" s="2"/>
      <c r="R653"/>
      <c r="S653"/>
      <c r="T653"/>
      <c r="U653" s="2"/>
      <c r="V653" s="2"/>
      <c r="W653" s="2"/>
      <c r="X653" s="2"/>
      <c r="Y653" s="2"/>
      <c r="Z653" s="11"/>
      <c r="AA653" s="15"/>
      <c r="AB653" s="15"/>
      <c r="AC653" s="15"/>
      <c r="AD653" s="35"/>
      <c r="AE653" s="99"/>
      <c r="AF653" s="99"/>
      <c r="AG653" s="35"/>
      <c r="AH653" s="35"/>
      <c r="AI653" s="35"/>
      <c r="AJ653" s="1"/>
      <c r="AK653" s="1"/>
      <c r="AL653" s="1"/>
      <c r="AM653" s="1"/>
      <c r="AN653" s="1"/>
      <c r="AO653" s="1"/>
      <c r="AP653"/>
      <c r="AQ653"/>
      <c r="AR653"/>
      <c r="AS653"/>
      <c r="AT653" s="50"/>
      <c r="AU653" s="97"/>
      <c r="AV653" s="97"/>
      <c r="AW653" s="97"/>
      <c r="AX653" s="97"/>
      <c r="AY653" s="97"/>
      <c r="BD653" s="35"/>
      <c r="BE653" s="35"/>
      <c r="BV653" s="98"/>
      <c r="BW653" s="98"/>
      <c r="BX653" s="98"/>
      <c r="BY653" s="112"/>
      <c r="BZ653" s="112"/>
      <c r="CA653" s="112"/>
      <c r="CB653" s="98"/>
      <c r="CC653" s="98"/>
      <c r="CD653" s="98"/>
      <c r="CE653" s="98"/>
      <c r="CG653" s="100"/>
      <c r="CH653" s="100"/>
      <c r="CI653" s="100"/>
      <c r="CJ653" s="100"/>
      <c r="CK653" s="100"/>
      <c r="CL653" s="100"/>
      <c r="CM653" s="100"/>
      <c r="CN653" s="100"/>
      <c r="CO653" s="100"/>
      <c r="CP653" s="100"/>
      <c r="CQ653" s="100"/>
      <c r="CR653" s="100"/>
      <c r="CS653" s="100"/>
      <c r="CT653" s="100"/>
      <c r="CU653" s="100"/>
    </row>
    <row r="654" spans="6:99" s="36" customFormat="1" ht="11.1" customHeight="1" x14ac:dyDescent="0.25">
      <c r="F654" s="33"/>
      <c r="G654" s="33"/>
      <c r="H654" s="33"/>
      <c r="I654" s="34"/>
      <c r="J654" s="34"/>
      <c r="K654" s="14"/>
      <c r="L654" s="32"/>
      <c r="M654" s="14"/>
      <c r="N654" s="14"/>
      <c r="O654" s="2"/>
      <c r="P654"/>
      <c r="Q654" s="2"/>
      <c r="R654"/>
      <c r="S654"/>
      <c r="T654"/>
      <c r="U654" s="2"/>
      <c r="V654" s="2"/>
      <c r="W654" s="2"/>
      <c r="X654" s="2"/>
      <c r="Y654" s="2"/>
      <c r="Z654" s="11"/>
      <c r="AA654" s="15"/>
      <c r="AB654" s="15"/>
      <c r="AC654" s="15"/>
      <c r="AD654" s="35"/>
      <c r="AE654" s="99"/>
      <c r="AF654" s="99"/>
      <c r="AG654" s="35"/>
      <c r="AH654" s="35"/>
      <c r="AI654" s="35"/>
      <c r="AJ654" s="1"/>
      <c r="AK654" s="1"/>
      <c r="AL654" s="1"/>
      <c r="AM654" s="1"/>
      <c r="AN654" s="1"/>
      <c r="AO654" s="1"/>
      <c r="AP654"/>
      <c r="AQ654"/>
      <c r="AR654"/>
      <c r="AS654"/>
      <c r="AT654" s="50"/>
      <c r="AU654" s="97"/>
      <c r="AV654" s="97"/>
      <c r="AW654" s="97"/>
      <c r="AX654" s="97"/>
      <c r="AY654" s="97"/>
      <c r="BD654" s="35"/>
      <c r="BE654" s="35"/>
      <c r="BV654" s="98"/>
      <c r="BW654" s="98"/>
      <c r="BX654" s="98"/>
      <c r="BY654" s="112"/>
      <c r="BZ654" s="112"/>
      <c r="CA654" s="112"/>
      <c r="CB654" s="98"/>
      <c r="CC654" s="98"/>
      <c r="CD654" s="98"/>
      <c r="CE654" s="98"/>
      <c r="CG654" s="100"/>
      <c r="CH654" s="100"/>
      <c r="CI654" s="100"/>
      <c r="CJ654" s="100"/>
      <c r="CK654" s="100"/>
      <c r="CL654" s="100"/>
      <c r="CM654" s="100"/>
      <c r="CN654" s="100"/>
      <c r="CO654" s="100"/>
      <c r="CP654" s="100"/>
      <c r="CQ654" s="100"/>
      <c r="CR654" s="100"/>
      <c r="CS654" s="100"/>
      <c r="CT654" s="100"/>
      <c r="CU654" s="100"/>
    </row>
    <row r="655" spans="6:99" s="36" customFormat="1" ht="11.1" customHeight="1" x14ac:dyDescent="0.25">
      <c r="F655" s="33"/>
      <c r="G655" s="33"/>
      <c r="H655" s="33"/>
      <c r="I655" s="34"/>
      <c r="J655" s="34"/>
      <c r="K655" s="14"/>
      <c r="L655" s="32"/>
      <c r="M655" s="14"/>
      <c r="N655" s="14"/>
      <c r="O655" s="2"/>
      <c r="P655"/>
      <c r="Q655" s="2"/>
      <c r="R655"/>
      <c r="S655"/>
      <c r="T655"/>
      <c r="U655" s="2"/>
      <c r="V655" s="2"/>
      <c r="W655" s="2"/>
      <c r="X655" s="2"/>
      <c r="Y655" s="2"/>
      <c r="Z655" s="11"/>
      <c r="AA655" s="15"/>
      <c r="AB655" s="15"/>
      <c r="AC655" s="15"/>
      <c r="AD655" s="35"/>
      <c r="AE655" s="99"/>
      <c r="AF655" s="99"/>
      <c r="AG655" s="35"/>
      <c r="AH655" s="35"/>
      <c r="AI655" s="35"/>
      <c r="AJ655" s="1"/>
      <c r="AK655" s="1"/>
      <c r="AL655" s="1"/>
      <c r="AM655" s="1"/>
      <c r="AN655" s="1"/>
      <c r="AO655" s="1"/>
      <c r="AP655"/>
      <c r="AQ655"/>
      <c r="AR655"/>
      <c r="AS655"/>
      <c r="AT655" s="50"/>
      <c r="AU655" s="97"/>
      <c r="AV655" s="97"/>
      <c r="AW655" s="97"/>
      <c r="AX655" s="97"/>
      <c r="AY655" s="97"/>
      <c r="BD655" s="35"/>
      <c r="BE655" s="35"/>
      <c r="BV655" s="98"/>
      <c r="BW655" s="98"/>
      <c r="BX655" s="98"/>
      <c r="BY655" s="112"/>
      <c r="BZ655" s="112"/>
      <c r="CA655" s="112"/>
      <c r="CB655" s="98"/>
      <c r="CC655" s="98"/>
      <c r="CD655" s="98"/>
      <c r="CE655" s="98"/>
      <c r="CG655" s="100"/>
      <c r="CH655" s="100"/>
      <c r="CI655" s="100"/>
      <c r="CJ655" s="100"/>
      <c r="CK655" s="100"/>
      <c r="CL655" s="100"/>
      <c r="CM655" s="100"/>
      <c r="CN655" s="100"/>
      <c r="CO655" s="100"/>
      <c r="CP655" s="100"/>
      <c r="CQ655" s="100"/>
      <c r="CR655" s="100"/>
      <c r="CS655" s="100"/>
      <c r="CT655" s="100"/>
      <c r="CU655" s="100"/>
    </row>
    <row r="656" spans="6:99" s="36" customFormat="1" ht="11.1" customHeight="1" x14ac:dyDescent="0.25">
      <c r="F656" s="33"/>
      <c r="G656" s="33"/>
      <c r="H656" s="33"/>
      <c r="I656" s="34"/>
      <c r="J656" s="34"/>
      <c r="K656" s="14"/>
      <c r="L656" s="32"/>
      <c r="M656" s="14"/>
      <c r="N656" s="14"/>
      <c r="O656" s="2"/>
      <c r="P656"/>
      <c r="Q656" s="2"/>
      <c r="R656"/>
      <c r="S656"/>
      <c r="T656"/>
      <c r="U656" s="2"/>
      <c r="V656" s="2"/>
      <c r="W656" s="2"/>
      <c r="X656" s="2"/>
      <c r="Y656" s="2"/>
      <c r="Z656" s="11"/>
      <c r="AA656" s="15"/>
      <c r="AB656" s="15"/>
      <c r="AC656" s="15"/>
      <c r="AD656" s="35"/>
      <c r="AE656" s="99"/>
      <c r="AF656" s="99"/>
      <c r="AG656" s="35"/>
      <c r="AH656" s="35"/>
      <c r="AI656" s="35"/>
      <c r="AJ656" s="1"/>
      <c r="AK656" s="1"/>
      <c r="AL656" s="1"/>
      <c r="AM656" s="1"/>
      <c r="AN656" s="1"/>
      <c r="AO656" s="1"/>
      <c r="AP656"/>
      <c r="AQ656"/>
      <c r="AR656"/>
      <c r="AS656"/>
      <c r="AT656" s="50"/>
      <c r="AU656" s="97"/>
      <c r="AV656" s="97"/>
      <c r="AW656" s="97"/>
      <c r="AX656" s="97"/>
      <c r="AY656" s="97"/>
      <c r="BD656" s="35"/>
      <c r="BE656" s="35"/>
      <c r="BV656" s="98"/>
      <c r="BW656" s="98"/>
      <c r="BX656" s="98"/>
      <c r="BY656" s="112"/>
      <c r="BZ656" s="112"/>
      <c r="CA656" s="112"/>
      <c r="CB656" s="98"/>
      <c r="CC656" s="98"/>
      <c r="CD656" s="98"/>
      <c r="CE656" s="98"/>
      <c r="CG656" s="100"/>
      <c r="CH656" s="100"/>
      <c r="CI656" s="100"/>
      <c r="CJ656" s="100"/>
      <c r="CK656" s="100"/>
      <c r="CL656" s="100"/>
      <c r="CM656" s="100"/>
      <c r="CN656" s="100"/>
      <c r="CO656" s="100"/>
      <c r="CP656" s="100"/>
      <c r="CQ656" s="100"/>
      <c r="CR656" s="100"/>
      <c r="CS656" s="100"/>
      <c r="CT656" s="100"/>
      <c r="CU656" s="100"/>
    </row>
    <row r="657" spans="6:99" s="36" customFormat="1" ht="11.1" customHeight="1" x14ac:dyDescent="0.25">
      <c r="F657" s="33"/>
      <c r="G657" s="33"/>
      <c r="H657" s="33"/>
      <c r="I657" s="34"/>
      <c r="J657" s="34"/>
      <c r="K657" s="14"/>
      <c r="L657" s="32"/>
      <c r="M657" s="14"/>
      <c r="N657" s="14"/>
      <c r="O657" s="2"/>
      <c r="P657"/>
      <c r="Q657" s="2"/>
      <c r="R657"/>
      <c r="S657"/>
      <c r="T657"/>
      <c r="U657" s="2"/>
      <c r="V657" s="2"/>
      <c r="W657" s="2"/>
      <c r="X657" s="2"/>
      <c r="Y657" s="2"/>
      <c r="Z657" s="11"/>
      <c r="AA657" s="15"/>
      <c r="AB657" s="15"/>
      <c r="AC657" s="15"/>
      <c r="AD657" s="35"/>
      <c r="AE657" s="99"/>
      <c r="AF657" s="99"/>
      <c r="AG657" s="35"/>
      <c r="AH657" s="35"/>
      <c r="AI657" s="35"/>
      <c r="AJ657" s="1"/>
      <c r="AK657" s="1"/>
      <c r="AL657" s="1"/>
      <c r="AM657" s="1"/>
      <c r="AN657" s="1"/>
      <c r="AO657" s="1"/>
      <c r="AP657"/>
      <c r="AQ657"/>
      <c r="AR657"/>
      <c r="AS657"/>
      <c r="AT657" s="50"/>
      <c r="AU657" s="97"/>
      <c r="AV657" s="97"/>
      <c r="AW657" s="97"/>
      <c r="AX657" s="97"/>
      <c r="AY657" s="97"/>
      <c r="BD657" s="35"/>
      <c r="BE657" s="35"/>
      <c r="BV657" s="98"/>
      <c r="BW657" s="98"/>
      <c r="BX657" s="98"/>
      <c r="BY657" s="112"/>
      <c r="BZ657" s="112"/>
      <c r="CA657" s="112"/>
      <c r="CB657" s="98"/>
      <c r="CC657" s="98"/>
      <c r="CD657" s="98"/>
      <c r="CE657" s="98"/>
      <c r="CG657" s="100"/>
      <c r="CH657" s="100"/>
      <c r="CI657" s="100"/>
      <c r="CJ657" s="100"/>
      <c r="CK657" s="100"/>
      <c r="CL657" s="100"/>
      <c r="CM657" s="100"/>
      <c r="CN657" s="100"/>
      <c r="CO657" s="100"/>
      <c r="CP657" s="100"/>
      <c r="CQ657" s="100"/>
      <c r="CR657" s="100"/>
      <c r="CS657" s="100"/>
      <c r="CT657" s="100"/>
      <c r="CU657" s="100"/>
    </row>
    <row r="658" spans="6:99" s="36" customFormat="1" ht="11.1" customHeight="1" x14ac:dyDescent="0.25">
      <c r="F658" s="33"/>
      <c r="G658" s="33"/>
      <c r="H658" s="33"/>
      <c r="I658" s="34"/>
      <c r="J658" s="34"/>
      <c r="K658" s="14"/>
      <c r="L658" s="32"/>
      <c r="M658" s="14"/>
      <c r="N658" s="14"/>
      <c r="O658" s="2"/>
      <c r="P658"/>
      <c r="Q658" s="2"/>
      <c r="R658"/>
      <c r="S658"/>
      <c r="T658"/>
      <c r="U658" s="2"/>
      <c r="V658" s="2"/>
      <c r="W658" s="2"/>
      <c r="X658" s="2"/>
      <c r="Y658" s="2"/>
      <c r="Z658" s="11"/>
      <c r="AA658" s="15"/>
      <c r="AB658" s="15"/>
      <c r="AC658" s="15"/>
      <c r="AD658" s="35"/>
      <c r="AE658" s="99"/>
      <c r="AF658" s="99"/>
      <c r="AG658" s="35"/>
      <c r="AH658" s="35"/>
      <c r="AI658" s="35"/>
      <c r="AJ658" s="1"/>
      <c r="AK658" s="1"/>
      <c r="AL658" s="1"/>
      <c r="AM658" s="1"/>
      <c r="AN658" s="1"/>
      <c r="AO658" s="1"/>
      <c r="AP658"/>
      <c r="AQ658"/>
      <c r="AR658"/>
      <c r="AS658"/>
      <c r="AT658" s="50"/>
      <c r="AU658" s="97"/>
      <c r="AV658" s="97"/>
      <c r="AW658" s="97"/>
      <c r="AX658" s="97"/>
      <c r="AY658" s="97"/>
      <c r="BD658" s="35"/>
      <c r="BE658" s="35"/>
      <c r="BV658" s="98"/>
      <c r="BW658" s="98"/>
      <c r="BX658" s="98"/>
      <c r="BY658" s="112"/>
      <c r="BZ658" s="112"/>
      <c r="CA658" s="112"/>
      <c r="CB658" s="98"/>
      <c r="CC658" s="98"/>
      <c r="CD658" s="98"/>
      <c r="CE658" s="98"/>
      <c r="CG658" s="100"/>
      <c r="CH658" s="100"/>
      <c r="CI658" s="100"/>
      <c r="CJ658" s="100"/>
      <c r="CK658" s="100"/>
      <c r="CL658" s="100"/>
      <c r="CM658" s="100"/>
      <c r="CN658" s="100"/>
      <c r="CO658" s="100"/>
      <c r="CP658" s="100"/>
      <c r="CQ658" s="100"/>
      <c r="CR658" s="100"/>
      <c r="CS658" s="100"/>
      <c r="CT658" s="100"/>
      <c r="CU658" s="100"/>
    </row>
    <row r="659" spans="6:99" s="36" customFormat="1" ht="11.1" customHeight="1" x14ac:dyDescent="0.25">
      <c r="F659" s="33"/>
      <c r="G659" s="33"/>
      <c r="H659" s="33"/>
      <c r="I659" s="34"/>
      <c r="J659" s="34"/>
      <c r="K659" s="14"/>
      <c r="L659" s="32"/>
      <c r="M659" s="14"/>
      <c r="N659" s="14"/>
      <c r="O659" s="2"/>
      <c r="P659"/>
      <c r="Q659" s="2"/>
      <c r="R659"/>
      <c r="S659"/>
      <c r="T659"/>
      <c r="U659" s="2"/>
      <c r="V659" s="2"/>
      <c r="W659" s="2"/>
      <c r="X659" s="2"/>
      <c r="Y659" s="2"/>
      <c r="Z659" s="11"/>
      <c r="AA659" s="15"/>
      <c r="AB659" s="15"/>
      <c r="AC659" s="15"/>
      <c r="AD659" s="35"/>
      <c r="AE659" s="99"/>
      <c r="AF659" s="99"/>
      <c r="AG659" s="35"/>
      <c r="AH659" s="35"/>
      <c r="AI659" s="35"/>
      <c r="AJ659" s="1"/>
      <c r="AK659" s="1"/>
      <c r="AL659" s="1"/>
      <c r="AM659" s="1"/>
      <c r="AN659" s="1"/>
      <c r="AO659" s="1"/>
      <c r="AP659"/>
      <c r="AQ659"/>
      <c r="AR659"/>
      <c r="AS659"/>
      <c r="AT659" s="50"/>
      <c r="AU659" s="97"/>
      <c r="AV659" s="97"/>
      <c r="AW659" s="97"/>
      <c r="AX659" s="97"/>
      <c r="AY659" s="97"/>
      <c r="BD659" s="35"/>
      <c r="BE659" s="35"/>
      <c r="BV659" s="98"/>
      <c r="BW659" s="98"/>
      <c r="BX659" s="98"/>
      <c r="BY659" s="112"/>
      <c r="BZ659" s="112"/>
      <c r="CA659" s="112"/>
      <c r="CB659" s="98"/>
      <c r="CC659" s="98"/>
      <c r="CD659" s="98"/>
      <c r="CE659" s="98"/>
      <c r="CG659" s="100"/>
      <c r="CH659" s="100"/>
      <c r="CI659" s="100"/>
      <c r="CJ659" s="100"/>
      <c r="CK659" s="100"/>
      <c r="CL659" s="100"/>
      <c r="CM659" s="100"/>
      <c r="CN659" s="100"/>
      <c r="CO659" s="100"/>
      <c r="CP659" s="100"/>
      <c r="CQ659" s="100"/>
      <c r="CR659" s="100"/>
      <c r="CS659" s="100"/>
      <c r="CT659" s="100"/>
      <c r="CU659" s="100"/>
    </row>
    <row r="660" spans="6:99" s="36" customFormat="1" ht="11.1" customHeight="1" x14ac:dyDescent="0.25">
      <c r="F660" s="33"/>
      <c r="G660" s="33"/>
      <c r="H660" s="33"/>
      <c r="I660" s="34"/>
      <c r="J660" s="34"/>
      <c r="K660" s="14"/>
      <c r="L660" s="32"/>
      <c r="M660" s="14"/>
      <c r="N660" s="14"/>
      <c r="O660" s="2"/>
      <c r="P660"/>
      <c r="Q660" s="2"/>
      <c r="R660"/>
      <c r="S660"/>
      <c r="T660"/>
      <c r="U660" s="2"/>
      <c r="V660" s="2"/>
      <c r="W660" s="2"/>
      <c r="X660" s="2"/>
      <c r="Y660" s="2"/>
      <c r="Z660" s="11"/>
      <c r="AA660" s="15"/>
      <c r="AB660" s="15"/>
      <c r="AC660" s="15"/>
      <c r="AD660" s="35"/>
      <c r="AE660" s="99"/>
      <c r="AF660" s="99"/>
      <c r="AG660" s="35"/>
      <c r="AH660" s="35"/>
      <c r="AI660" s="35"/>
      <c r="AJ660" s="1"/>
      <c r="AK660" s="1"/>
      <c r="AL660" s="1"/>
      <c r="AM660" s="1"/>
      <c r="AN660" s="1"/>
      <c r="AO660" s="1"/>
      <c r="AP660"/>
      <c r="AQ660"/>
      <c r="AR660"/>
      <c r="AS660"/>
      <c r="AT660" s="50"/>
      <c r="AU660" s="97"/>
      <c r="AV660" s="97"/>
      <c r="AW660" s="97"/>
      <c r="AX660" s="97"/>
      <c r="AY660" s="97"/>
      <c r="BD660" s="35"/>
      <c r="BE660" s="35"/>
      <c r="BV660" s="98"/>
      <c r="BW660" s="98"/>
      <c r="BX660" s="98"/>
      <c r="BY660" s="112"/>
      <c r="BZ660" s="112"/>
      <c r="CA660" s="112"/>
      <c r="CB660" s="98"/>
      <c r="CC660" s="98"/>
      <c r="CD660" s="98"/>
      <c r="CE660" s="98"/>
      <c r="CG660" s="100"/>
      <c r="CH660" s="100"/>
      <c r="CI660" s="100"/>
      <c r="CJ660" s="100"/>
      <c r="CK660" s="100"/>
      <c r="CL660" s="100"/>
      <c r="CM660" s="100"/>
      <c r="CN660" s="100"/>
      <c r="CO660" s="100"/>
      <c r="CP660" s="100"/>
      <c r="CQ660" s="100"/>
      <c r="CR660" s="100"/>
      <c r="CS660" s="100"/>
      <c r="CT660" s="100"/>
      <c r="CU660" s="100"/>
    </row>
    <row r="661" spans="6:99" s="36" customFormat="1" ht="11.1" customHeight="1" x14ac:dyDescent="0.25">
      <c r="F661" s="33"/>
      <c r="G661" s="33"/>
      <c r="H661" s="33"/>
      <c r="I661" s="34"/>
      <c r="J661" s="34"/>
      <c r="K661" s="14"/>
      <c r="L661" s="32"/>
      <c r="M661" s="14"/>
      <c r="N661" s="14"/>
      <c r="O661" s="2"/>
      <c r="P661"/>
      <c r="Q661" s="2"/>
      <c r="R661"/>
      <c r="S661"/>
      <c r="T661"/>
      <c r="U661" s="2"/>
      <c r="V661" s="2"/>
      <c r="W661" s="2"/>
      <c r="X661" s="2"/>
      <c r="Y661" s="2"/>
      <c r="Z661" s="11"/>
      <c r="AA661" s="15"/>
      <c r="AB661" s="15"/>
      <c r="AC661" s="15"/>
      <c r="AD661" s="35"/>
      <c r="AE661" s="99"/>
      <c r="AF661" s="99"/>
      <c r="AG661" s="35"/>
      <c r="AH661" s="35"/>
      <c r="AI661" s="35"/>
      <c r="AJ661" s="1"/>
      <c r="AK661" s="1"/>
      <c r="AL661" s="1"/>
      <c r="AM661" s="1"/>
      <c r="AN661" s="1"/>
      <c r="AO661" s="1"/>
      <c r="AP661"/>
      <c r="AQ661"/>
      <c r="AR661"/>
      <c r="AS661"/>
      <c r="AT661" s="50"/>
      <c r="AU661" s="97"/>
      <c r="AV661" s="97"/>
      <c r="AW661" s="97"/>
      <c r="AX661" s="97"/>
      <c r="AY661" s="97"/>
      <c r="BD661" s="35"/>
      <c r="BE661" s="35"/>
      <c r="BV661" s="98"/>
      <c r="BW661" s="98"/>
      <c r="BX661" s="98"/>
      <c r="BY661" s="112"/>
      <c r="BZ661" s="112"/>
      <c r="CA661" s="112"/>
      <c r="CB661" s="98"/>
      <c r="CC661" s="98"/>
      <c r="CD661" s="98"/>
      <c r="CE661" s="98"/>
      <c r="CG661" s="100"/>
      <c r="CH661" s="100"/>
      <c r="CI661" s="100"/>
      <c r="CJ661" s="100"/>
      <c r="CK661" s="100"/>
      <c r="CL661" s="100"/>
      <c r="CM661" s="100"/>
      <c r="CN661" s="100"/>
      <c r="CO661" s="100"/>
      <c r="CP661" s="100"/>
      <c r="CQ661" s="100"/>
      <c r="CR661" s="100"/>
      <c r="CS661" s="100"/>
      <c r="CT661" s="100"/>
      <c r="CU661" s="100"/>
    </row>
    <row r="662" spans="6:99" s="36" customFormat="1" ht="11.1" customHeight="1" x14ac:dyDescent="0.25">
      <c r="F662" s="33"/>
      <c r="G662" s="33"/>
      <c r="H662" s="33"/>
      <c r="I662" s="34"/>
      <c r="J662" s="34"/>
      <c r="K662" s="14"/>
      <c r="L662" s="32"/>
      <c r="M662" s="14"/>
      <c r="N662" s="14"/>
      <c r="O662" s="2"/>
      <c r="P662"/>
      <c r="Q662" s="2"/>
      <c r="R662"/>
      <c r="S662"/>
      <c r="T662"/>
      <c r="U662" s="2"/>
      <c r="V662" s="2"/>
      <c r="W662" s="2"/>
      <c r="X662" s="2"/>
      <c r="Y662" s="2"/>
      <c r="Z662" s="11"/>
      <c r="AA662" s="15"/>
      <c r="AB662" s="15"/>
      <c r="AC662" s="15"/>
      <c r="AD662" s="35"/>
      <c r="AE662" s="99"/>
      <c r="AF662" s="99"/>
      <c r="AG662" s="35"/>
      <c r="AH662" s="35"/>
      <c r="AI662" s="35"/>
      <c r="AJ662" s="1"/>
      <c r="AK662" s="1"/>
      <c r="AL662" s="1"/>
      <c r="AM662" s="1"/>
      <c r="AN662" s="1"/>
      <c r="AO662" s="1"/>
      <c r="AP662"/>
      <c r="AQ662"/>
      <c r="AR662"/>
      <c r="AS662"/>
      <c r="AT662" s="50"/>
      <c r="AU662" s="97"/>
      <c r="AV662" s="97"/>
      <c r="AW662" s="97"/>
      <c r="AX662" s="97"/>
      <c r="AY662" s="97"/>
      <c r="BD662" s="35"/>
      <c r="BE662" s="35"/>
      <c r="BV662" s="98"/>
      <c r="BW662" s="98"/>
      <c r="BX662" s="98"/>
      <c r="BY662" s="112"/>
      <c r="BZ662" s="112"/>
      <c r="CA662" s="112"/>
      <c r="CB662" s="98"/>
      <c r="CC662" s="98"/>
      <c r="CD662" s="98"/>
      <c r="CE662" s="98"/>
      <c r="CG662" s="100"/>
      <c r="CH662" s="100"/>
      <c r="CI662" s="100"/>
      <c r="CJ662" s="100"/>
      <c r="CK662" s="100"/>
      <c r="CL662" s="100"/>
      <c r="CM662" s="100"/>
      <c r="CN662" s="100"/>
      <c r="CO662" s="100"/>
      <c r="CP662" s="100"/>
      <c r="CQ662" s="100"/>
      <c r="CR662" s="100"/>
      <c r="CS662" s="100"/>
      <c r="CT662" s="100"/>
      <c r="CU662" s="100"/>
    </row>
    <row r="663" spans="6:99" s="36" customFormat="1" ht="11.1" customHeight="1" x14ac:dyDescent="0.25">
      <c r="F663" s="33"/>
      <c r="G663" s="33"/>
      <c r="H663" s="33"/>
      <c r="I663" s="34"/>
      <c r="J663" s="34"/>
      <c r="K663" s="14"/>
      <c r="L663" s="32"/>
      <c r="M663" s="14"/>
      <c r="N663" s="14"/>
      <c r="O663" s="2"/>
      <c r="P663"/>
      <c r="Q663" s="2"/>
      <c r="R663"/>
      <c r="S663"/>
      <c r="T663"/>
      <c r="U663" s="2"/>
      <c r="V663" s="2"/>
      <c r="W663" s="2"/>
      <c r="X663" s="2"/>
      <c r="Y663" s="2"/>
      <c r="Z663" s="11"/>
      <c r="AA663" s="15"/>
      <c r="AB663" s="15"/>
      <c r="AC663" s="15"/>
      <c r="AD663" s="35"/>
      <c r="AE663" s="99"/>
      <c r="AF663" s="99"/>
      <c r="AG663" s="35"/>
      <c r="AH663" s="35"/>
      <c r="AI663" s="35"/>
      <c r="AJ663" s="1"/>
      <c r="AK663" s="1"/>
      <c r="AL663" s="1"/>
      <c r="AM663" s="1"/>
      <c r="AN663" s="1"/>
      <c r="AO663" s="1"/>
      <c r="AP663"/>
      <c r="AQ663"/>
      <c r="AR663"/>
      <c r="AS663"/>
      <c r="AT663" s="50"/>
      <c r="AU663" s="97"/>
      <c r="AV663" s="97"/>
      <c r="AW663" s="97"/>
      <c r="AX663" s="97"/>
      <c r="AY663" s="97"/>
      <c r="BD663" s="35"/>
      <c r="BE663" s="35"/>
      <c r="BV663" s="98"/>
      <c r="BW663" s="98"/>
      <c r="BX663" s="98"/>
      <c r="BY663" s="112"/>
      <c r="BZ663" s="112"/>
      <c r="CA663" s="112"/>
      <c r="CB663" s="98"/>
      <c r="CC663" s="98"/>
      <c r="CD663" s="98"/>
      <c r="CE663" s="98"/>
      <c r="CG663" s="100"/>
      <c r="CH663" s="100"/>
      <c r="CI663" s="100"/>
      <c r="CJ663" s="100"/>
      <c r="CK663" s="100"/>
      <c r="CL663" s="100"/>
      <c r="CM663" s="100"/>
      <c r="CN663" s="100"/>
      <c r="CO663" s="100"/>
      <c r="CP663" s="100"/>
      <c r="CQ663" s="100"/>
      <c r="CR663" s="100"/>
      <c r="CS663" s="100"/>
      <c r="CT663" s="100"/>
      <c r="CU663" s="100"/>
    </row>
    <row r="664" spans="6:99" s="36" customFormat="1" ht="11.1" customHeight="1" x14ac:dyDescent="0.25">
      <c r="F664" s="33"/>
      <c r="G664" s="33"/>
      <c r="H664" s="33"/>
      <c r="I664" s="34"/>
      <c r="J664" s="34"/>
      <c r="K664" s="14"/>
      <c r="L664" s="32"/>
      <c r="M664" s="14"/>
      <c r="N664" s="14"/>
      <c r="O664" s="2"/>
      <c r="P664"/>
      <c r="Q664" s="2"/>
      <c r="R664"/>
      <c r="S664"/>
      <c r="T664"/>
      <c r="U664" s="2"/>
      <c r="V664" s="2"/>
      <c r="W664" s="2"/>
      <c r="X664" s="2"/>
      <c r="Y664" s="2"/>
      <c r="Z664" s="11"/>
      <c r="AA664" s="15"/>
      <c r="AB664" s="15"/>
      <c r="AC664" s="15"/>
      <c r="AD664" s="35"/>
      <c r="AE664" s="99"/>
      <c r="AF664" s="99"/>
      <c r="AG664" s="35"/>
      <c r="AH664" s="35"/>
      <c r="AI664" s="35"/>
      <c r="AJ664" s="1"/>
      <c r="AK664" s="1"/>
      <c r="AL664" s="1"/>
      <c r="AM664" s="1"/>
      <c r="AN664" s="1"/>
      <c r="AO664" s="1"/>
      <c r="AP664"/>
      <c r="AQ664"/>
      <c r="AR664"/>
      <c r="AS664"/>
      <c r="AT664" s="50"/>
      <c r="AU664" s="97"/>
      <c r="AV664" s="97"/>
      <c r="AW664" s="97"/>
      <c r="AX664" s="97"/>
      <c r="AY664" s="97"/>
      <c r="BD664" s="35"/>
      <c r="BE664" s="35"/>
      <c r="BV664" s="98"/>
      <c r="BW664" s="98"/>
      <c r="BX664" s="98"/>
      <c r="BY664" s="112"/>
      <c r="BZ664" s="112"/>
      <c r="CA664" s="112"/>
      <c r="CB664" s="98"/>
      <c r="CC664" s="98"/>
      <c r="CD664" s="98"/>
      <c r="CE664" s="98"/>
      <c r="CG664" s="100"/>
      <c r="CH664" s="100"/>
      <c r="CI664" s="100"/>
      <c r="CJ664" s="100"/>
      <c r="CK664" s="100"/>
      <c r="CL664" s="100"/>
      <c r="CM664" s="100"/>
      <c r="CN664" s="100"/>
      <c r="CO664" s="100"/>
      <c r="CP664" s="100"/>
      <c r="CQ664" s="100"/>
      <c r="CR664" s="100"/>
      <c r="CS664" s="100"/>
      <c r="CT664" s="100"/>
      <c r="CU664" s="100"/>
    </row>
    <row r="665" spans="6:99" s="36" customFormat="1" ht="11.1" customHeight="1" x14ac:dyDescent="0.25">
      <c r="F665" s="33"/>
      <c r="G665" s="33"/>
      <c r="H665" s="33"/>
      <c r="I665" s="34"/>
      <c r="J665" s="34"/>
      <c r="K665" s="14"/>
      <c r="L665" s="32"/>
      <c r="M665" s="14"/>
      <c r="N665" s="14"/>
      <c r="O665" s="2"/>
      <c r="P665"/>
      <c r="Q665" s="2"/>
      <c r="R665"/>
      <c r="S665"/>
      <c r="T665"/>
      <c r="U665" s="2"/>
      <c r="V665" s="2"/>
      <c r="W665" s="2"/>
      <c r="X665" s="2"/>
      <c r="Y665" s="2"/>
      <c r="Z665" s="11"/>
      <c r="AA665" s="15"/>
      <c r="AB665" s="15"/>
      <c r="AC665" s="15"/>
      <c r="AD665" s="35"/>
      <c r="AE665" s="99"/>
      <c r="AF665" s="99"/>
      <c r="AG665" s="35"/>
      <c r="AH665" s="35"/>
      <c r="AI665" s="35"/>
      <c r="AJ665" s="1"/>
      <c r="AK665" s="1"/>
      <c r="AL665" s="1"/>
      <c r="AM665" s="1"/>
      <c r="AN665" s="1"/>
      <c r="AO665" s="1"/>
      <c r="AP665"/>
      <c r="AQ665"/>
      <c r="AR665"/>
      <c r="AS665"/>
      <c r="AT665" s="50"/>
      <c r="AU665" s="97"/>
      <c r="AV665" s="97"/>
      <c r="AW665" s="97"/>
      <c r="AX665" s="97"/>
      <c r="AY665" s="97"/>
      <c r="BD665" s="35"/>
      <c r="BE665" s="35"/>
      <c r="BV665" s="98"/>
      <c r="BW665" s="98"/>
      <c r="BX665" s="98"/>
      <c r="BY665" s="112"/>
      <c r="BZ665" s="112"/>
      <c r="CA665" s="112"/>
      <c r="CB665" s="98"/>
      <c r="CC665" s="98"/>
      <c r="CD665" s="98"/>
      <c r="CE665" s="98"/>
      <c r="CG665" s="100"/>
      <c r="CH665" s="100"/>
      <c r="CI665" s="100"/>
      <c r="CJ665" s="100"/>
      <c r="CK665" s="100"/>
      <c r="CL665" s="100"/>
      <c r="CM665" s="100"/>
      <c r="CN665" s="100"/>
      <c r="CO665" s="100"/>
      <c r="CP665" s="100"/>
      <c r="CQ665" s="100"/>
      <c r="CR665" s="100"/>
      <c r="CS665" s="100"/>
      <c r="CT665" s="100"/>
      <c r="CU665" s="100"/>
    </row>
    <row r="666" spans="6:99" s="36" customFormat="1" ht="11.1" customHeight="1" x14ac:dyDescent="0.25">
      <c r="F666" s="33"/>
      <c r="G666" s="33"/>
      <c r="H666" s="33"/>
      <c r="I666" s="34"/>
      <c r="J666" s="34"/>
      <c r="K666" s="14"/>
      <c r="L666" s="32"/>
      <c r="M666" s="14"/>
      <c r="N666" s="14"/>
      <c r="O666" s="2"/>
      <c r="P666"/>
      <c r="Q666" s="2"/>
      <c r="R666"/>
      <c r="S666"/>
      <c r="T666"/>
      <c r="U666" s="2"/>
      <c r="V666" s="2"/>
      <c r="W666" s="2"/>
      <c r="X666" s="2"/>
      <c r="Y666" s="2"/>
      <c r="Z666" s="11"/>
      <c r="AA666" s="15"/>
      <c r="AB666" s="15"/>
      <c r="AC666" s="15"/>
      <c r="AD666" s="35"/>
      <c r="AE666" s="99"/>
      <c r="AF666" s="99"/>
      <c r="AG666" s="35"/>
      <c r="AH666" s="35"/>
      <c r="AI666" s="35"/>
      <c r="AJ666" s="1"/>
      <c r="AK666" s="1"/>
      <c r="AL666" s="1"/>
      <c r="AM666" s="1"/>
      <c r="AN666" s="1"/>
      <c r="AO666" s="1"/>
      <c r="AP666"/>
      <c r="AQ666"/>
      <c r="AR666"/>
      <c r="AS666"/>
      <c r="AT666" s="50"/>
      <c r="AU666" s="97"/>
      <c r="AV666" s="97"/>
      <c r="AW666" s="97"/>
      <c r="AX666" s="97"/>
      <c r="AY666" s="97"/>
      <c r="BD666" s="35"/>
      <c r="BE666" s="35"/>
      <c r="BV666" s="98"/>
      <c r="BW666" s="98"/>
      <c r="BX666" s="98"/>
      <c r="BY666" s="112"/>
      <c r="BZ666" s="112"/>
      <c r="CA666" s="112"/>
      <c r="CB666" s="98"/>
      <c r="CC666" s="98"/>
      <c r="CD666" s="98"/>
      <c r="CE666" s="98"/>
      <c r="CG666" s="100"/>
      <c r="CH666" s="100"/>
      <c r="CI666" s="100"/>
      <c r="CJ666" s="100"/>
      <c r="CK666" s="100"/>
      <c r="CL666" s="100"/>
      <c r="CM666" s="100"/>
      <c r="CN666" s="100"/>
      <c r="CO666" s="100"/>
      <c r="CP666" s="100"/>
      <c r="CQ666" s="100"/>
      <c r="CR666" s="100"/>
      <c r="CS666" s="100"/>
      <c r="CT666" s="100"/>
      <c r="CU666" s="100"/>
    </row>
    <row r="667" spans="6:99" s="36" customFormat="1" ht="11.1" customHeight="1" x14ac:dyDescent="0.25">
      <c r="F667" s="33"/>
      <c r="G667" s="33"/>
      <c r="H667" s="33"/>
      <c r="I667" s="34"/>
      <c r="J667" s="34"/>
      <c r="K667" s="14"/>
      <c r="L667" s="32"/>
      <c r="M667" s="14"/>
      <c r="N667" s="14"/>
      <c r="O667" s="2"/>
      <c r="P667"/>
      <c r="Q667" s="2"/>
      <c r="R667"/>
      <c r="S667"/>
      <c r="T667"/>
      <c r="U667" s="2"/>
      <c r="V667" s="2"/>
      <c r="W667" s="2"/>
      <c r="X667" s="2"/>
      <c r="Y667" s="2"/>
      <c r="Z667" s="11"/>
      <c r="AA667" s="15"/>
      <c r="AB667" s="15"/>
      <c r="AC667" s="15"/>
      <c r="AD667" s="35"/>
      <c r="AE667" s="99"/>
      <c r="AF667" s="99"/>
      <c r="AG667" s="35"/>
      <c r="AH667" s="35"/>
      <c r="AI667" s="35"/>
      <c r="AJ667" s="1"/>
      <c r="AK667" s="1"/>
      <c r="AL667" s="1"/>
      <c r="AM667" s="1"/>
      <c r="AN667" s="1"/>
      <c r="AO667" s="1"/>
      <c r="AP667"/>
      <c r="AQ667"/>
      <c r="AR667"/>
      <c r="AS667"/>
      <c r="AT667" s="50"/>
      <c r="AU667" s="97"/>
      <c r="AV667" s="97"/>
      <c r="AW667" s="97"/>
      <c r="AX667" s="97"/>
      <c r="AY667" s="97"/>
      <c r="BD667" s="35"/>
      <c r="BE667" s="35"/>
      <c r="BV667" s="98"/>
      <c r="BW667" s="98"/>
      <c r="BX667" s="98"/>
      <c r="BY667" s="112"/>
      <c r="BZ667" s="112"/>
      <c r="CA667" s="112"/>
      <c r="CB667" s="98"/>
      <c r="CC667" s="98"/>
      <c r="CD667" s="98"/>
      <c r="CE667" s="98"/>
      <c r="CG667" s="100"/>
      <c r="CH667" s="100"/>
      <c r="CI667" s="100"/>
      <c r="CJ667" s="100"/>
      <c r="CK667" s="100"/>
      <c r="CL667" s="100"/>
      <c r="CM667" s="100"/>
      <c r="CN667" s="100"/>
      <c r="CO667" s="100"/>
      <c r="CP667" s="100"/>
      <c r="CQ667" s="100"/>
      <c r="CR667" s="100"/>
      <c r="CS667" s="100"/>
      <c r="CT667" s="100"/>
      <c r="CU667" s="100"/>
    </row>
    <row r="668" spans="6:99" s="36" customFormat="1" ht="11.1" customHeight="1" x14ac:dyDescent="0.25">
      <c r="F668" s="33"/>
      <c r="G668" s="33"/>
      <c r="H668" s="33"/>
      <c r="I668" s="34"/>
      <c r="J668" s="34"/>
      <c r="K668" s="14"/>
      <c r="L668" s="32"/>
      <c r="M668" s="14"/>
      <c r="N668" s="14"/>
      <c r="O668" s="2"/>
      <c r="P668"/>
      <c r="Q668" s="2"/>
      <c r="R668"/>
      <c r="S668"/>
      <c r="T668"/>
      <c r="U668" s="2"/>
      <c r="V668" s="2"/>
      <c r="W668" s="2"/>
      <c r="X668" s="2"/>
      <c r="Y668" s="2"/>
      <c r="Z668" s="11"/>
      <c r="AA668" s="15"/>
      <c r="AB668" s="15"/>
      <c r="AC668" s="15"/>
      <c r="AD668" s="35"/>
      <c r="AE668" s="99"/>
      <c r="AF668" s="99"/>
      <c r="AG668" s="35"/>
      <c r="AH668" s="35"/>
      <c r="AI668" s="35"/>
      <c r="AJ668" s="1"/>
      <c r="AK668" s="1"/>
      <c r="AL668" s="1"/>
      <c r="AM668" s="1"/>
      <c r="AN668" s="1"/>
      <c r="AO668" s="1"/>
      <c r="AP668"/>
      <c r="AQ668"/>
      <c r="AR668"/>
      <c r="AS668"/>
      <c r="AT668" s="50"/>
      <c r="AU668" s="97"/>
      <c r="AV668" s="97"/>
      <c r="AW668" s="97"/>
      <c r="AX668" s="97"/>
      <c r="AY668" s="97"/>
      <c r="BD668" s="35"/>
      <c r="BE668" s="35"/>
      <c r="BV668" s="98"/>
      <c r="BW668" s="98"/>
      <c r="BX668" s="98"/>
      <c r="BY668" s="112"/>
      <c r="BZ668" s="112"/>
      <c r="CA668" s="112"/>
      <c r="CB668" s="98"/>
      <c r="CC668" s="98"/>
      <c r="CD668" s="98"/>
      <c r="CE668" s="98"/>
      <c r="CG668" s="100"/>
      <c r="CH668" s="100"/>
      <c r="CI668" s="100"/>
      <c r="CJ668" s="100"/>
      <c r="CK668" s="100"/>
      <c r="CL668" s="100"/>
      <c r="CM668" s="100"/>
      <c r="CN668" s="100"/>
      <c r="CO668" s="100"/>
      <c r="CP668" s="100"/>
      <c r="CQ668" s="100"/>
      <c r="CR668" s="100"/>
      <c r="CS668" s="100"/>
      <c r="CT668" s="100"/>
      <c r="CU668" s="100"/>
    </row>
    <row r="669" spans="6:99" s="36" customFormat="1" ht="11.1" customHeight="1" x14ac:dyDescent="0.25">
      <c r="F669" s="33"/>
      <c r="G669" s="33"/>
      <c r="H669" s="33"/>
      <c r="I669" s="34"/>
      <c r="J669" s="34"/>
      <c r="K669" s="14"/>
      <c r="L669" s="32"/>
      <c r="M669" s="14"/>
      <c r="N669" s="14"/>
      <c r="O669" s="2"/>
      <c r="P669"/>
      <c r="Q669" s="2"/>
      <c r="R669"/>
      <c r="S669"/>
      <c r="T669"/>
      <c r="U669" s="2"/>
      <c r="V669" s="2"/>
      <c r="W669" s="2"/>
      <c r="X669" s="2"/>
      <c r="Y669" s="2"/>
      <c r="Z669" s="11"/>
      <c r="AA669" s="15"/>
      <c r="AB669" s="15"/>
      <c r="AC669" s="15"/>
      <c r="AD669" s="35"/>
      <c r="AE669" s="99"/>
      <c r="AF669" s="99"/>
      <c r="AG669" s="35"/>
      <c r="AH669" s="35"/>
      <c r="AI669" s="35"/>
      <c r="AJ669" s="1"/>
      <c r="AK669" s="1"/>
      <c r="AL669" s="1"/>
      <c r="AM669" s="1"/>
      <c r="AN669" s="1"/>
      <c r="AO669" s="1"/>
      <c r="AP669"/>
      <c r="AQ669"/>
      <c r="AR669"/>
      <c r="AS669"/>
      <c r="AT669" s="50"/>
      <c r="AU669" s="97"/>
      <c r="AV669" s="97"/>
      <c r="AW669" s="97"/>
      <c r="AX669" s="97"/>
      <c r="AY669" s="97"/>
      <c r="BD669" s="35"/>
      <c r="BE669" s="35"/>
      <c r="BV669" s="98"/>
      <c r="BW669" s="98"/>
      <c r="BX669" s="98"/>
      <c r="BY669" s="112"/>
      <c r="BZ669" s="112"/>
      <c r="CA669" s="112"/>
      <c r="CB669" s="98"/>
      <c r="CC669" s="98"/>
      <c r="CD669" s="98"/>
      <c r="CE669" s="98"/>
      <c r="CG669" s="100"/>
      <c r="CH669" s="100"/>
      <c r="CI669" s="100"/>
      <c r="CJ669" s="100"/>
      <c r="CK669" s="100"/>
      <c r="CL669" s="100"/>
      <c r="CM669" s="100"/>
      <c r="CN669" s="100"/>
      <c r="CO669" s="100"/>
      <c r="CP669" s="100"/>
      <c r="CQ669" s="100"/>
      <c r="CR669" s="100"/>
      <c r="CS669" s="100"/>
      <c r="CT669" s="100"/>
      <c r="CU669" s="100"/>
    </row>
    <row r="670" spans="6:99" s="36" customFormat="1" ht="11.1" customHeight="1" x14ac:dyDescent="0.25">
      <c r="F670" s="33"/>
      <c r="G670" s="33"/>
      <c r="H670" s="33"/>
      <c r="I670" s="34"/>
      <c r="J670" s="34"/>
      <c r="K670" s="14"/>
      <c r="L670" s="32"/>
      <c r="M670" s="14"/>
      <c r="N670" s="14"/>
      <c r="O670" s="2"/>
      <c r="P670"/>
      <c r="Q670" s="2"/>
      <c r="R670"/>
      <c r="S670"/>
      <c r="T670"/>
      <c r="U670" s="2"/>
      <c r="V670" s="2"/>
      <c r="W670" s="2"/>
      <c r="X670" s="2"/>
      <c r="Y670" s="2"/>
      <c r="Z670" s="11"/>
      <c r="AA670" s="15"/>
      <c r="AB670" s="15"/>
      <c r="AC670" s="15"/>
      <c r="AD670" s="35"/>
      <c r="AE670" s="99"/>
      <c r="AF670" s="99"/>
      <c r="AG670" s="35"/>
      <c r="AH670" s="35"/>
      <c r="AI670" s="35"/>
      <c r="AJ670" s="1"/>
      <c r="AK670" s="1"/>
      <c r="AL670" s="1"/>
      <c r="AM670" s="1"/>
      <c r="AN670" s="1"/>
      <c r="AO670" s="1"/>
      <c r="AP670"/>
      <c r="AQ670"/>
      <c r="AR670"/>
      <c r="AS670"/>
      <c r="AT670" s="50"/>
      <c r="AU670" s="97"/>
      <c r="AV670" s="97"/>
      <c r="AW670" s="97"/>
      <c r="AX670" s="97"/>
      <c r="AY670" s="97"/>
      <c r="BD670" s="35"/>
      <c r="BE670" s="35"/>
      <c r="BV670" s="98"/>
      <c r="BW670" s="98"/>
      <c r="BX670" s="98"/>
      <c r="BY670" s="112"/>
      <c r="BZ670" s="112"/>
      <c r="CA670" s="112"/>
      <c r="CB670" s="98"/>
      <c r="CC670" s="98"/>
      <c r="CD670" s="98"/>
      <c r="CE670" s="98"/>
      <c r="CG670" s="100"/>
      <c r="CH670" s="100"/>
      <c r="CI670" s="100"/>
      <c r="CJ670" s="100"/>
      <c r="CK670" s="100"/>
      <c r="CL670" s="100"/>
      <c r="CM670" s="100"/>
      <c r="CN670" s="100"/>
      <c r="CO670" s="100"/>
      <c r="CP670" s="100"/>
      <c r="CQ670" s="100"/>
      <c r="CR670" s="100"/>
      <c r="CS670" s="100"/>
      <c r="CT670" s="100"/>
      <c r="CU670" s="100"/>
    </row>
    <row r="671" spans="6:99" s="36" customFormat="1" ht="11.1" customHeight="1" x14ac:dyDescent="0.25">
      <c r="F671" s="33"/>
      <c r="G671" s="33"/>
      <c r="H671" s="33"/>
      <c r="I671" s="34"/>
      <c r="J671" s="34"/>
      <c r="K671" s="14"/>
      <c r="L671" s="32"/>
      <c r="M671" s="14"/>
      <c r="N671" s="14"/>
      <c r="O671" s="2"/>
      <c r="P671"/>
      <c r="Q671" s="2"/>
      <c r="R671"/>
      <c r="S671"/>
      <c r="T671"/>
      <c r="U671" s="2"/>
      <c r="V671" s="2"/>
      <c r="W671" s="2"/>
      <c r="X671" s="2"/>
      <c r="Y671" s="2"/>
      <c r="Z671" s="11"/>
      <c r="AA671" s="15"/>
      <c r="AB671" s="15"/>
      <c r="AC671" s="15"/>
      <c r="AD671" s="35"/>
      <c r="AE671" s="99"/>
      <c r="AF671" s="99"/>
      <c r="AG671" s="35"/>
      <c r="AH671" s="35"/>
      <c r="AI671" s="35"/>
      <c r="AJ671" s="1"/>
      <c r="AK671" s="1"/>
      <c r="AL671" s="1"/>
      <c r="AM671" s="1"/>
      <c r="AN671" s="1"/>
      <c r="AO671" s="1"/>
      <c r="AP671"/>
      <c r="AQ671"/>
      <c r="AR671"/>
      <c r="AS671"/>
      <c r="AT671" s="50"/>
      <c r="AU671" s="97"/>
      <c r="AV671" s="97"/>
      <c r="AW671" s="97"/>
      <c r="AX671" s="97"/>
      <c r="AY671" s="97"/>
      <c r="BD671" s="35"/>
      <c r="BE671" s="35"/>
      <c r="BV671" s="98"/>
      <c r="BW671" s="98"/>
      <c r="BX671" s="98"/>
      <c r="BY671" s="112"/>
      <c r="BZ671" s="112"/>
      <c r="CA671" s="112"/>
      <c r="CB671" s="98"/>
      <c r="CC671" s="98"/>
      <c r="CD671" s="98"/>
      <c r="CE671" s="98"/>
      <c r="CG671" s="100"/>
      <c r="CH671" s="100"/>
      <c r="CI671" s="100"/>
      <c r="CJ671" s="100"/>
      <c r="CK671" s="100"/>
      <c r="CL671" s="100"/>
      <c r="CM671" s="100"/>
      <c r="CN671" s="100"/>
      <c r="CO671" s="100"/>
      <c r="CP671" s="100"/>
      <c r="CQ671" s="100"/>
      <c r="CR671" s="100"/>
      <c r="CS671" s="100"/>
      <c r="CT671" s="100"/>
      <c r="CU671" s="100"/>
    </row>
    <row r="672" spans="6:99" s="36" customFormat="1" ht="11.1" customHeight="1" x14ac:dyDescent="0.25">
      <c r="F672" s="33"/>
      <c r="G672" s="33"/>
      <c r="H672" s="33"/>
      <c r="I672" s="34"/>
      <c r="J672" s="34"/>
      <c r="K672" s="14"/>
      <c r="L672" s="32"/>
      <c r="M672" s="14"/>
      <c r="N672" s="14"/>
      <c r="O672" s="2"/>
      <c r="P672"/>
      <c r="Q672" s="2"/>
      <c r="R672"/>
      <c r="S672"/>
      <c r="T672"/>
      <c r="U672" s="2"/>
      <c r="V672" s="2"/>
      <c r="W672" s="2"/>
      <c r="X672" s="2"/>
      <c r="Y672" s="2"/>
      <c r="Z672" s="11"/>
      <c r="AA672" s="15"/>
      <c r="AB672" s="15"/>
      <c r="AC672" s="15"/>
      <c r="AD672" s="35"/>
      <c r="AE672" s="99"/>
      <c r="AF672" s="99"/>
      <c r="AG672" s="35"/>
      <c r="AH672" s="35"/>
      <c r="AI672" s="35"/>
      <c r="AJ672" s="1"/>
      <c r="AK672" s="1"/>
      <c r="AL672" s="1"/>
      <c r="AM672" s="1"/>
      <c r="AN672" s="1"/>
      <c r="AO672" s="1"/>
      <c r="AP672"/>
      <c r="AQ672"/>
      <c r="AR672"/>
      <c r="AS672"/>
      <c r="AT672" s="50"/>
      <c r="AU672" s="97"/>
      <c r="AV672" s="97"/>
      <c r="AW672" s="97"/>
      <c r="AX672" s="97"/>
      <c r="AY672" s="97"/>
      <c r="BD672" s="35"/>
      <c r="BE672" s="35"/>
      <c r="BV672" s="98"/>
      <c r="BW672" s="98"/>
      <c r="BX672" s="98"/>
      <c r="BY672" s="112"/>
      <c r="BZ672" s="112"/>
      <c r="CA672" s="112"/>
      <c r="CB672" s="98"/>
      <c r="CC672" s="98"/>
      <c r="CD672" s="98"/>
      <c r="CE672" s="98"/>
      <c r="CG672" s="100"/>
      <c r="CH672" s="100"/>
      <c r="CI672" s="100"/>
      <c r="CJ672" s="100"/>
      <c r="CK672" s="100"/>
      <c r="CL672" s="100"/>
      <c r="CM672" s="100"/>
      <c r="CN672" s="100"/>
      <c r="CO672" s="100"/>
      <c r="CP672" s="100"/>
      <c r="CQ672" s="100"/>
      <c r="CR672" s="100"/>
      <c r="CS672" s="100"/>
      <c r="CT672" s="100"/>
      <c r="CU672" s="100"/>
    </row>
    <row r="673" spans="6:99" s="36" customFormat="1" ht="11.1" customHeight="1" x14ac:dyDescent="0.25">
      <c r="F673" s="33"/>
      <c r="G673" s="33"/>
      <c r="H673" s="33"/>
      <c r="I673" s="34"/>
      <c r="J673" s="34"/>
      <c r="K673" s="14"/>
      <c r="L673" s="32"/>
      <c r="M673" s="14"/>
      <c r="N673" s="14"/>
      <c r="O673" s="2"/>
      <c r="P673"/>
      <c r="Q673" s="2"/>
      <c r="R673"/>
      <c r="S673"/>
      <c r="T673"/>
      <c r="U673" s="2"/>
      <c r="V673" s="2"/>
      <c r="W673" s="2"/>
      <c r="X673" s="2"/>
      <c r="Y673" s="2"/>
      <c r="Z673" s="11"/>
      <c r="AA673" s="15"/>
      <c r="AB673" s="15"/>
      <c r="AC673" s="15"/>
      <c r="AD673" s="35"/>
      <c r="AE673" s="99"/>
      <c r="AF673" s="99"/>
      <c r="AG673" s="35"/>
      <c r="AH673" s="35"/>
      <c r="AI673" s="35"/>
      <c r="AJ673" s="1"/>
      <c r="AK673" s="1"/>
      <c r="AL673" s="1"/>
      <c r="AM673" s="1"/>
      <c r="AN673" s="1"/>
      <c r="AO673" s="1"/>
      <c r="AP673"/>
      <c r="AQ673"/>
      <c r="AR673"/>
      <c r="AS673"/>
      <c r="AT673" s="50"/>
      <c r="AU673" s="97"/>
      <c r="AV673" s="97"/>
      <c r="AW673" s="97"/>
      <c r="AX673" s="97"/>
      <c r="AY673" s="97"/>
      <c r="BD673" s="35"/>
      <c r="BE673" s="35"/>
      <c r="BV673" s="98"/>
      <c r="BW673" s="98"/>
      <c r="BX673" s="98"/>
      <c r="BY673" s="112"/>
      <c r="BZ673" s="112"/>
      <c r="CA673" s="112"/>
      <c r="CB673" s="98"/>
      <c r="CC673" s="98"/>
      <c r="CD673" s="98"/>
      <c r="CE673" s="98"/>
      <c r="CG673" s="100"/>
      <c r="CH673" s="100"/>
      <c r="CI673" s="100"/>
      <c r="CJ673" s="100"/>
      <c r="CK673" s="100"/>
      <c r="CL673" s="100"/>
      <c r="CM673" s="100"/>
      <c r="CN673" s="100"/>
      <c r="CO673" s="100"/>
      <c r="CP673" s="100"/>
      <c r="CQ673" s="100"/>
      <c r="CR673" s="100"/>
      <c r="CS673" s="100"/>
      <c r="CT673" s="100"/>
      <c r="CU673" s="100"/>
    </row>
    <row r="674" spans="6:99" s="36" customFormat="1" ht="11.1" customHeight="1" x14ac:dyDescent="0.25">
      <c r="F674" s="33"/>
      <c r="G674" s="33"/>
      <c r="H674" s="33"/>
      <c r="I674" s="34"/>
      <c r="J674" s="34"/>
      <c r="K674" s="14"/>
      <c r="L674" s="32"/>
      <c r="M674" s="14"/>
      <c r="N674" s="14"/>
      <c r="O674" s="2"/>
      <c r="P674"/>
      <c r="Q674" s="2"/>
      <c r="R674"/>
      <c r="S674"/>
      <c r="T674"/>
      <c r="U674" s="2"/>
      <c r="V674" s="2"/>
      <c r="W674" s="2"/>
      <c r="X674" s="2"/>
      <c r="Y674" s="2"/>
      <c r="Z674" s="11"/>
      <c r="AA674" s="15"/>
      <c r="AB674" s="15"/>
      <c r="AC674" s="15"/>
      <c r="AD674" s="35"/>
      <c r="AE674" s="99"/>
      <c r="AF674" s="99"/>
      <c r="AG674" s="35"/>
      <c r="AH674" s="35"/>
      <c r="AI674" s="35"/>
      <c r="AJ674" s="1"/>
      <c r="AK674" s="1"/>
      <c r="AL674" s="1"/>
      <c r="AM674" s="1"/>
      <c r="AN674" s="1"/>
      <c r="AO674" s="1"/>
      <c r="AP674"/>
      <c r="AQ674"/>
      <c r="AR674"/>
      <c r="AS674"/>
      <c r="AT674" s="50"/>
      <c r="AU674" s="97"/>
      <c r="AV674" s="97"/>
      <c r="AW674" s="97"/>
      <c r="AX674" s="97"/>
      <c r="AY674" s="97"/>
      <c r="BD674" s="35"/>
      <c r="BE674" s="35"/>
      <c r="BV674" s="98"/>
      <c r="BW674" s="98"/>
      <c r="BX674" s="98"/>
      <c r="BY674" s="112"/>
      <c r="BZ674" s="112"/>
      <c r="CA674" s="112"/>
      <c r="CB674" s="98"/>
      <c r="CC674" s="98"/>
      <c r="CD674" s="98"/>
      <c r="CE674" s="98"/>
      <c r="CG674" s="100"/>
      <c r="CH674" s="100"/>
      <c r="CI674" s="100"/>
      <c r="CJ674" s="100"/>
      <c r="CK674" s="100"/>
      <c r="CL674" s="100"/>
      <c r="CM674" s="100"/>
      <c r="CN674" s="100"/>
      <c r="CO674" s="100"/>
      <c r="CP674" s="100"/>
      <c r="CQ674" s="100"/>
      <c r="CR674" s="100"/>
      <c r="CS674" s="100"/>
      <c r="CT674" s="100"/>
      <c r="CU674" s="100"/>
    </row>
    <row r="675" spans="6:99" s="36" customFormat="1" ht="11.1" customHeight="1" x14ac:dyDescent="0.25">
      <c r="F675" s="33"/>
      <c r="G675" s="33"/>
      <c r="H675" s="33"/>
      <c r="I675" s="34"/>
      <c r="J675" s="34"/>
      <c r="K675" s="14"/>
      <c r="L675" s="32"/>
      <c r="M675" s="14"/>
      <c r="N675" s="14"/>
      <c r="O675" s="2"/>
      <c r="P675"/>
      <c r="Q675" s="2"/>
      <c r="R675"/>
      <c r="S675"/>
      <c r="T675"/>
      <c r="U675" s="2"/>
      <c r="V675" s="2"/>
      <c r="W675" s="2"/>
      <c r="X675" s="2"/>
      <c r="Y675" s="2"/>
      <c r="Z675" s="11"/>
      <c r="AA675" s="15"/>
      <c r="AB675" s="15"/>
      <c r="AC675" s="15"/>
      <c r="AD675" s="35"/>
      <c r="AE675" s="99"/>
      <c r="AF675" s="99"/>
      <c r="AG675" s="35"/>
      <c r="AH675" s="35"/>
      <c r="AI675" s="35"/>
      <c r="AJ675" s="1"/>
      <c r="AK675" s="1"/>
      <c r="AL675" s="1"/>
      <c r="AM675" s="1"/>
      <c r="AN675" s="1"/>
      <c r="AO675" s="1"/>
      <c r="AP675"/>
      <c r="AQ675"/>
      <c r="AR675"/>
      <c r="AS675"/>
      <c r="AT675" s="50"/>
      <c r="AU675" s="97"/>
      <c r="AV675" s="97"/>
      <c r="AW675" s="97"/>
      <c r="AX675" s="97"/>
      <c r="AY675" s="97"/>
      <c r="BD675" s="35"/>
      <c r="BE675" s="35"/>
      <c r="BV675" s="98"/>
      <c r="BW675" s="98"/>
      <c r="BX675" s="98"/>
      <c r="BY675" s="112"/>
      <c r="BZ675" s="112"/>
      <c r="CA675" s="112"/>
      <c r="CB675" s="98"/>
      <c r="CC675" s="98"/>
      <c r="CD675" s="98"/>
      <c r="CE675" s="98"/>
      <c r="CG675" s="100"/>
      <c r="CH675" s="100"/>
      <c r="CI675" s="100"/>
      <c r="CJ675" s="100"/>
      <c r="CK675" s="100"/>
      <c r="CL675" s="100"/>
      <c r="CM675" s="100"/>
      <c r="CN675" s="100"/>
      <c r="CO675" s="100"/>
      <c r="CP675" s="100"/>
      <c r="CQ675" s="100"/>
      <c r="CR675" s="100"/>
      <c r="CS675" s="100"/>
      <c r="CT675" s="100"/>
      <c r="CU675" s="100"/>
    </row>
    <row r="676" spans="6:99" s="36" customFormat="1" ht="11.1" customHeight="1" x14ac:dyDescent="0.25">
      <c r="F676" s="33"/>
      <c r="G676" s="33"/>
      <c r="H676" s="33"/>
      <c r="I676" s="34"/>
      <c r="J676" s="34"/>
      <c r="K676" s="14"/>
      <c r="L676" s="32"/>
      <c r="M676" s="14"/>
      <c r="N676" s="14"/>
      <c r="O676" s="2"/>
      <c r="P676"/>
      <c r="Q676" s="2"/>
      <c r="R676"/>
      <c r="S676"/>
      <c r="T676"/>
      <c r="U676" s="2"/>
      <c r="V676" s="2"/>
      <c r="W676" s="2"/>
      <c r="X676" s="2"/>
      <c r="Y676" s="2"/>
      <c r="Z676" s="11"/>
      <c r="AA676" s="15"/>
      <c r="AB676" s="15"/>
      <c r="AC676" s="15"/>
      <c r="AD676" s="35"/>
      <c r="AE676" s="99"/>
      <c r="AF676" s="99"/>
      <c r="AG676" s="35"/>
      <c r="AH676" s="35"/>
      <c r="AI676" s="35"/>
      <c r="AJ676" s="1"/>
      <c r="AK676" s="1"/>
      <c r="AL676" s="1"/>
      <c r="AM676" s="1"/>
      <c r="AN676" s="1"/>
      <c r="AO676" s="1"/>
      <c r="AP676"/>
      <c r="AQ676"/>
      <c r="AR676"/>
      <c r="AS676"/>
      <c r="AT676" s="50"/>
      <c r="AU676" s="97"/>
      <c r="AV676" s="97"/>
      <c r="AW676" s="97"/>
      <c r="AX676" s="97"/>
      <c r="AY676" s="97"/>
      <c r="BD676" s="35"/>
      <c r="BE676" s="35"/>
      <c r="BV676" s="98"/>
      <c r="BW676" s="98"/>
      <c r="BX676" s="98"/>
      <c r="BY676" s="112"/>
      <c r="BZ676" s="112"/>
      <c r="CA676" s="112"/>
      <c r="CB676" s="98"/>
      <c r="CC676" s="98"/>
      <c r="CD676" s="98"/>
      <c r="CE676" s="98"/>
      <c r="CG676" s="100"/>
      <c r="CH676" s="100"/>
      <c r="CI676" s="100"/>
      <c r="CJ676" s="100"/>
      <c r="CK676" s="100"/>
      <c r="CL676" s="100"/>
      <c r="CM676" s="100"/>
      <c r="CN676" s="100"/>
      <c r="CO676" s="100"/>
      <c r="CP676" s="100"/>
      <c r="CQ676" s="100"/>
      <c r="CR676" s="100"/>
      <c r="CS676" s="100"/>
      <c r="CT676" s="100"/>
      <c r="CU676" s="100"/>
    </row>
    <row r="677" spans="6:99" s="36" customFormat="1" ht="11.1" customHeight="1" x14ac:dyDescent="0.25">
      <c r="F677" s="33"/>
      <c r="G677" s="33"/>
      <c r="H677" s="33"/>
      <c r="I677" s="34"/>
      <c r="J677" s="34"/>
      <c r="K677" s="14"/>
      <c r="L677" s="32"/>
      <c r="M677" s="14"/>
      <c r="N677" s="14"/>
      <c r="O677" s="2"/>
      <c r="P677"/>
      <c r="Q677" s="2"/>
      <c r="R677"/>
      <c r="S677"/>
      <c r="T677"/>
      <c r="U677" s="2"/>
      <c r="V677" s="2"/>
      <c r="W677" s="2"/>
      <c r="X677" s="2"/>
      <c r="Y677" s="2"/>
      <c r="Z677" s="11"/>
      <c r="AA677" s="15"/>
      <c r="AB677" s="15"/>
      <c r="AC677" s="15"/>
      <c r="AD677" s="35"/>
      <c r="AE677" s="99"/>
      <c r="AF677" s="99"/>
      <c r="AG677" s="35"/>
      <c r="AH677" s="35"/>
      <c r="AI677" s="35"/>
      <c r="AJ677" s="1"/>
      <c r="AK677" s="1"/>
      <c r="AL677" s="1"/>
      <c r="AM677" s="1"/>
      <c r="AN677" s="1"/>
      <c r="AO677" s="1"/>
      <c r="AP677"/>
      <c r="AQ677"/>
      <c r="AR677"/>
      <c r="AS677"/>
      <c r="AT677" s="50"/>
      <c r="AU677" s="97"/>
      <c r="AV677" s="97"/>
      <c r="AW677" s="97"/>
      <c r="AX677" s="97"/>
      <c r="AY677" s="97"/>
      <c r="BD677" s="35"/>
      <c r="BE677" s="35"/>
      <c r="BV677" s="98"/>
      <c r="BW677" s="98"/>
      <c r="BX677" s="98"/>
      <c r="BY677" s="112"/>
      <c r="BZ677" s="112"/>
      <c r="CA677" s="112"/>
      <c r="CB677" s="98"/>
      <c r="CC677" s="98"/>
      <c r="CD677" s="98"/>
      <c r="CE677" s="98"/>
      <c r="CG677" s="100"/>
      <c r="CH677" s="100"/>
      <c r="CI677" s="100"/>
      <c r="CJ677" s="100"/>
      <c r="CK677" s="100"/>
      <c r="CL677" s="100"/>
      <c r="CM677" s="100"/>
      <c r="CN677" s="100"/>
      <c r="CO677" s="100"/>
      <c r="CP677" s="100"/>
      <c r="CQ677" s="100"/>
      <c r="CR677" s="100"/>
      <c r="CS677" s="100"/>
      <c r="CT677" s="100"/>
      <c r="CU677" s="100"/>
    </row>
    <row r="678" spans="6:99" s="36" customFormat="1" ht="11.1" customHeight="1" x14ac:dyDescent="0.25">
      <c r="F678" s="33"/>
      <c r="G678" s="33"/>
      <c r="H678" s="33"/>
      <c r="I678" s="34"/>
      <c r="J678" s="34"/>
      <c r="K678" s="14"/>
      <c r="L678" s="32"/>
      <c r="M678" s="14"/>
      <c r="N678" s="14"/>
      <c r="O678" s="2"/>
      <c r="P678"/>
      <c r="Q678" s="2"/>
      <c r="R678"/>
      <c r="S678"/>
      <c r="T678"/>
      <c r="U678" s="2"/>
      <c r="V678" s="2"/>
      <c r="W678" s="2"/>
      <c r="X678" s="2"/>
      <c r="Y678" s="2"/>
      <c r="Z678" s="11"/>
      <c r="AA678" s="15"/>
      <c r="AB678" s="15"/>
      <c r="AC678" s="15"/>
      <c r="AD678" s="35"/>
      <c r="AE678" s="99"/>
      <c r="AF678" s="99"/>
      <c r="AG678" s="35"/>
      <c r="AH678" s="35"/>
      <c r="AI678" s="35"/>
      <c r="AJ678" s="1"/>
      <c r="AK678" s="1"/>
      <c r="AL678" s="1"/>
      <c r="AM678" s="1"/>
      <c r="AN678" s="1"/>
      <c r="AO678" s="1"/>
      <c r="AP678"/>
      <c r="AQ678"/>
      <c r="AR678"/>
      <c r="AS678"/>
      <c r="AT678" s="50"/>
      <c r="AU678" s="97"/>
      <c r="AV678" s="97"/>
      <c r="AW678" s="97"/>
      <c r="AX678" s="97"/>
      <c r="AY678" s="97"/>
      <c r="BD678" s="35"/>
      <c r="BE678" s="35"/>
      <c r="BV678" s="98"/>
      <c r="BW678" s="98"/>
      <c r="BX678" s="98"/>
      <c r="BY678" s="112"/>
      <c r="BZ678" s="112"/>
      <c r="CA678" s="112"/>
      <c r="CB678" s="98"/>
      <c r="CC678" s="98"/>
      <c r="CD678" s="98"/>
      <c r="CE678" s="98"/>
      <c r="CG678" s="100"/>
      <c r="CH678" s="100"/>
      <c r="CI678" s="100"/>
      <c r="CJ678" s="100"/>
      <c r="CK678" s="100"/>
      <c r="CL678" s="100"/>
      <c r="CM678" s="100"/>
      <c r="CN678" s="100"/>
      <c r="CO678" s="100"/>
      <c r="CP678" s="100"/>
      <c r="CQ678" s="100"/>
      <c r="CR678" s="100"/>
      <c r="CS678" s="100"/>
      <c r="CT678" s="100"/>
      <c r="CU678" s="100"/>
    </row>
    <row r="679" spans="6:99" s="36" customFormat="1" ht="11.1" customHeight="1" x14ac:dyDescent="0.25">
      <c r="F679" s="33"/>
      <c r="G679" s="33"/>
      <c r="H679" s="33"/>
      <c r="I679" s="34"/>
      <c r="J679" s="34"/>
      <c r="K679" s="14"/>
      <c r="L679" s="32"/>
      <c r="M679" s="14"/>
      <c r="N679" s="14"/>
      <c r="O679" s="2"/>
      <c r="P679"/>
      <c r="Q679" s="2"/>
      <c r="R679"/>
      <c r="S679"/>
      <c r="T679"/>
      <c r="U679" s="2"/>
      <c r="V679" s="2"/>
      <c r="W679" s="2"/>
      <c r="X679" s="2"/>
      <c r="Y679" s="2"/>
      <c r="Z679" s="11"/>
      <c r="AA679" s="15"/>
      <c r="AB679" s="15"/>
      <c r="AC679" s="15"/>
      <c r="AD679" s="35"/>
      <c r="AE679" s="99"/>
      <c r="AF679" s="99"/>
      <c r="AG679" s="35"/>
      <c r="AH679" s="35"/>
      <c r="AI679" s="35"/>
      <c r="AJ679" s="1"/>
      <c r="AK679" s="1"/>
      <c r="AL679" s="1"/>
      <c r="AM679" s="1"/>
      <c r="AN679" s="1"/>
      <c r="AO679" s="1"/>
      <c r="AP679"/>
      <c r="AQ679"/>
      <c r="AR679"/>
      <c r="AS679"/>
      <c r="AT679" s="50"/>
      <c r="AU679" s="97"/>
      <c r="AV679" s="97"/>
      <c r="AW679" s="97"/>
      <c r="AX679" s="97"/>
      <c r="AY679" s="97"/>
      <c r="BD679" s="35"/>
      <c r="BE679" s="35"/>
      <c r="BV679" s="98"/>
      <c r="BW679" s="98"/>
      <c r="BX679" s="98"/>
      <c r="BY679" s="112"/>
      <c r="BZ679" s="112"/>
      <c r="CA679" s="112"/>
      <c r="CB679" s="98"/>
      <c r="CC679" s="98"/>
      <c r="CD679" s="98"/>
      <c r="CE679" s="98"/>
      <c r="CG679" s="100"/>
      <c r="CH679" s="100"/>
      <c r="CI679" s="100"/>
      <c r="CJ679" s="100"/>
      <c r="CK679" s="100"/>
      <c r="CL679" s="100"/>
      <c r="CM679" s="100"/>
      <c r="CN679" s="100"/>
      <c r="CO679" s="100"/>
      <c r="CP679" s="100"/>
      <c r="CQ679" s="100"/>
      <c r="CR679" s="100"/>
      <c r="CS679" s="100"/>
      <c r="CT679" s="100"/>
      <c r="CU679" s="100"/>
    </row>
    <row r="680" spans="6:99" s="36" customFormat="1" ht="11.1" customHeight="1" x14ac:dyDescent="0.25">
      <c r="F680" s="33"/>
      <c r="G680" s="33"/>
      <c r="H680" s="33"/>
      <c r="I680" s="34"/>
      <c r="J680" s="34"/>
      <c r="K680" s="14"/>
      <c r="L680" s="32"/>
      <c r="M680" s="14"/>
      <c r="N680" s="14"/>
      <c r="O680" s="2"/>
      <c r="P680"/>
      <c r="Q680" s="2"/>
      <c r="R680"/>
      <c r="S680"/>
      <c r="T680"/>
      <c r="U680" s="2"/>
      <c r="V680" s="2"/>
      <c r="W680" s="2"/>
      <c r="X680" s="2"/>
      <c r="Y680" s="2"/>
      <c r="Z680" s="11"/>
      <c r="AA680" s="15"/>
      <c r="AB680" s="15"/>
      <c r="AC680" s="15"/>
      <c r="AD680" s="35"/>
      <c r="AE680" s="99"/>
      <c r="AF680" s="99"/>
      <c r="AG680" s="35"/>
      <c r="AH680" s="35"/>
      <c r="AI680" s="35"/>
      <c r="AJ680" s="1"/>
      <c r="AK680" s="1"/>
      <c r="AL680" s="1"/>
      <c r="AM680" s="1"/>
      <c r="AN680" s="1"/>
      <c r="AO680" s="1"/>
      <c r="AP680"/>
      <c r="AQ680"/>
      <c r="AR680"/>
      <c r="AS680"/>
      <c r="AT680" s="50"/>
      <c r="AU680" s="97"/>
      <c r="AV680" s="97"/>
      <c r="AW680" s="97"/>
      <c r="AX680" s="97"/>
      <c r="AY680" s="97"/>
      <c r="BD680" s="35"/>
      <c r="BE680" s="35"/>
      <c r="BV680" s="98"/>
      <c r="BW680" s="98"/>
      <c r="BX680" s="98"/>
      <c r="BY680" s="112"/>
      <c r="BZ680" s="112"/>
      <c r="CA680" s="112"/>
      <c r="CB680" s="98"/>
      <c r="CC680" s="98"/>
      <c r="CD680" s="98"/>
      <c r="CE680" s="98"/>
      <c r="CG680" s="100"/>
      <c r="CH680" s="100"/>
      <c r="CI680" s="100"/>
      <c r="CJ680" s="100"/>
      <c r="CK680" s="100"/>
      <c r="CL680" s="100"/>
      <c r="CM680" s="100"/>
      <c r="CN680" s="100"/>
      <c r="CO680" s="100"/>
      <c r="CP680" s="100"/>
      <c r="CQ680" s="100"/>
      <c r="CR680" s="100"/>
      <c r="CS680" s="100"/>
      <c r="CT680" s="100"/>
      <c r="CU680" s="100"/>
    </row>
    <row r="681" spans="6:99" s="36" customFormat="1" ht="11.1" customHeight="1" x14ac:dyDescent="0.25">
      <c r="F681" s="33"/>
      <c r="G681" s="33"/>
      <c r="H681" s="33"/>
      <c r="I681" s="34"/>
      <c r="J681" s="34"/>
      <c r="K681" s="14"/>
      <c r="L681" s="32"/>
      <c r="M681" s="14"/>
      <c r="N681" s="14"/>
      <c r="O681" s="2"/>
      <c r="P681"/>
      <c r="Q681" s="2"/>
      <c r="R681"/>
      <c r="S681"/>
      <c r="T681"/>
      <c r="U681" s="2"/>
      <c r="V681" s="2"/>
      <c r="W681" s="2"/>
      <c r="X681" s="2"/>
      <c r="Y681" s="2"/>
      <c r="Z681" s="11"/>
      <c r="AA681" s="15"/>
      <c r="AB681" s="15"/>
      <c r="AC681" s="15"/>
      <c r="AD681" s="35"/>
      <c r="AE681" s="99"/>
      <c r="AF681" s="99"/>
      <c r="AG681" s="35"/>
      <c r="AH681" s="35"/>
      <c r="AI681" s="35"/>
      <c r="AJ681" s="1"/>
      <c r="AK681" s="1"/>
      <c r="AL681" s="1"/>
      <c r="AM681" s="1"/>
      <c r="AN681" s="1"/>
      <c r="AO681" s="1"/>
      <c r="AP681"/>
      <c r="AQ681"/>
      <c r="AR681"/>
      <c r="AS681"/>
      <c r="AT681" s="50"/>
      <c r="AU681" s="97"/>
      <c r="AV681" s="97"/>
      <c r="AW681" s="97"/>
      <c r="AX681" s="97"/>
      <c r="AY681" s="97"/>
      <c r="BD681" s="35"/>
      <c r="BE681" s="35"/>
      <c r="BV681" s="98"/>
      <c r="BW681" s="98"/>
      <c r="BX681" s="98"/>
      <c r="BY681" s="112"/>
      <c r="BZ681" s="112"/>
      <c r="CA681" s="112"/>
      <c r="CB681" s="98"/>
      <c r="CC681" s="98"/>
      <c r="CD681" s="98"/>
      <c r="CE681" s="98"/>
      <c r="CG681" s="100"/>
      <c r="CH681" s="100"/>
      <c r="CI681" s="100"/>
      <c r="CJ681" s="100"/>
      <c r="CK681" s="100"/>
      <c r="CL681" s="100"/>
      <c r="CM681" s="100"/>
      <c r="CN681" s="100"/>
      <c r="CO681" s="100"/>
      <c r="CP681" s="100"/>
      <c r="CQ681" s="100"/>
      <c r="CR681" s="100"/>
      <c r="CS681" s="100"/>
      <c r="CT681" s="100"/>
      <c r="CU681" s="100"/>
    </row>
    <row r="682" spans="6:99" s="36" customFormat="1" ht="11.1" customHeight="1" x14ac:dyDescent="0.25">
      <c r="F682" s="33"/>
      <c r="G682" s="33"/>
      <c r="H682" s="33"/>
      <c r="I682" s="34"/>
      <c r="J682" s="34"/>
      <c r="K682" s="14"/>
      <c r="L682" s="32"/>
      <c r="M682" s="14"/>
      <c r="N682" s="14"/>
      <c r="O682" s="2"/>
      <c r="P682"/>
      <c r="Q682" s="2"/>
      <c r="R682"/>
      <c r="S682"/>
      <c r="T682"/>
      <c r="U682" s="2"/>
      <c r="V682" s="2"/>
      <c r="W682" s="2"/>
      <c r="X682" s="2"/>
      <c r="Y682" s="2"/>
      <c r="Z682" s="11"/>
      <c r="AA682" s="15"/>
      <c r="AB682" s="15"/>
      <c r="AC682" s="15"/>
      <c r="AD682" s="35"/>
      <c r="AE682" s="99"/>
      <c r="AF682" s="99"/>
      <c r="AG682" s="35"/>
      <c r="AH682" s="35"/>
      <c r="AI682" s="35"/>
      <c r="AJ682" s="1"/>
      <c r="AK682" s="1"/>
      <c r="AL682" s="1"/>
      <c r="AM682" s="1"/>
      <c r="AN682" s="1"/>
      <c r="AO682" s="1"/>
      <c r="AP682"/>
      <c r="AQ682"/>
      <c r="AR682"/>
      <c r="AS682"/>
      <c r="AT682" s="50"/>
      <c r="AU682" s="97"/>
      <c r="AV682" s="97"/>
      <c r="AW682" s="97"/>
      <c r="AX682" s="97"/>
      <c r="AY682" s="97"/>
      <c r="BD682" s="35"/>
      <c r="BE682" s="35"/>
      <c r="BV682" s="98"/>
      <c r="BW682" s="98"/>
      <c r="BX682" s="98"/>
      <c r="BY682" s="112"/>
      <c r="BZ682" s="112"/>
      <c r="CA682" s="112"/>
      <c r="CB682" s="98"/>
      <c r="CC682" s="98"/>
      <c r="CD682" s="98"/>
      <c r="CE682" s="98"/>
      <c r="CG682" s="100"/>
      <c r="CH682" s="100"/>
      <c r="CI682" s="100"/>
      <c r="CJ682" s="100"/>
      <c r="CK682" s="100"/>
      <c r="CL682" s="100"/>
      <c r="CM682" s="100"/>
      <c r="CN682" s="100"/>
      <c r="CO682" s="100"/>
      <c r="CP682" s="100"/>
      <c r="CQ682" s="100"/>
      <c r="CR682" s="100"/>
      <c r="CS682" s="100"/>
      <c r="CT682" s="100"/>
      <c r="CU682" s="100"/>
    </row>
    <row r="683" spans="6:99" s="36" customFormat="1" ht="11.1" customHeight="1" x14ac:dyDescent="0.25">
      <c r="F683" s="33"/>
      <c r="G683" s="33"/>
      <c r="H683" s="33"/>
      <c r="I683" s="34"/>
      <c r="J683" s="34"/>
      <c r="K683" s="14"/>
      <c r="L683" s="32"/>
      <c r="M683" s="14"/>
      <c r="N683" s="14"/>
      <c r="O683" s="2"/>
      <c r="P683"/>
      <c r="Q683" s="2"/>
      <c r="R683"/>
      <c r="S683"/>
      <c r="T683"/>
      <c r="U683" s="2"/>
      <c r="V683" s="2"/>
      <c r="W683" s="2"/>
      <c r="X683" s="2"/>
      <c r="Y683" s="2"/>
      <c r="Z683" s="11"/>
      <c r="AA683" s="15"/>
      <c r="AB683" s="15"/>
      <c r="AC683" s="15"/>
      <c r="AD683" s="35"/>
      <c r="AE683" s="99"/>
      <c r="AF683" s="99"/>
      <c r="AG683" s="35"/>
      <c r="AH683" s="35"/>
      <c r="AI683" s="35"/>
      <c r="AJ683" s="1"/>
      <c r="AK683" s="1"/>
      <c r="AL683" s="1"/>
      <c r="AM683" s="1"/>
      <c r="AN683" s="1"/>
      <c r="AO683" s="1"/>
      <c r="AP683"/>
      <c r="AQ683"/>
      <c r="AR683"/>
      <c r="AS683"/>
      <c r="AT683" s="50"/>
      <c r="AU683" s="97"/>
      <c r="AV683" s="97"/>
      <c r="AW683" s="97"/>
      <c r="AX683" s="97"/>
      <c r="AY683" s="97"/>
      <c r="BD683" s="35"/>
      <c r="BE683" s="35"/>
      <c r="BV683" s="98"/>
      <c r="BW683" s="98"/>
      <c r="BX683" s="98"/>
      <c r="BY683" s="112"/>
      <c r="BZ683" s="112"/>
      <c r="CA683" s="112"/>
      <c r="CB683" s="98"/>
      <c r="CC683" s="98"/>
      <c r="CD683" s="98"/>
      <c r="CE683" s="98"/>
      <c r="CG683" s="100"/>
      <c r="CH683" s="100"/>
      <c r="CI683" s="100"/>
      <c r="CJ683" s="100"/>
      <c r="CK683" s="100"/>
      <c r="CL683" s="100"/>
      <c r="CM683" s="100"/>
      <c r="CN683" s="100"/>
      <c r="CO683" s="100"/>
      <c r="CP683" s="100"/>
      <c r="CQ683" s="100"/>
      <c r="CR683" s="100"/>
      <c r="CS683" s="100"/>
      <c r="CT683" s="100"/>
      <c r="CU683" s="100"/>
    </row>
    <row r="684" spans="6:99" s="36" customFormat="1" ht="11.1" customHeight="1" x14ac:dyDescent="0.25">
      <c r="F684" s="33"/>
      <c r="G684" s="33"/>
      <c r="H684" s="33"/>
      <c r="I684" s="34"/>
      <c r="J684" s="34"/>
      <c r="K684" s="14"/>
      <c r="L684" s="32"/>
      <c r="M684" s="14"/>
      <c r="N684" s="14"/>
      <c r="O684" s="2"/>
      <c r="P684"/>
      <c r="Q684" s="2"/>
      <c r="R684"/>
      <c r="S684"/>
      <c r="T684"/>
      <c r="U684" s="2"/>
      <c r="V684" s="2"/>
      <c r="W684" s="2"/>
      <c r="X684" s="2"/>
      <c r="Y684" s="2"/>
      <c r="Z684" s="11"/>
      <c r="AA684" s="15"/>
      <c r="AB684" s="15"/>
      <c r="AC684" s="15"/>
      <c r="AD684" s="35"/>
      <c r="AE684" s="99"/>
      <c r="AF684" s="99"/>
      <c r="AG684" s="35"/>
      <c r="AH684" s="35"/>
      <c r="AI684" s="35"/>
      <c r="AJ684" s="1"/>
      <c r="AK684" s="1"/>
      <c r="AL684" s="1"/>
      <c r="AM684" s="1"/>
      <c r="AN684" s="1"/>
      <c r="AO684" s="1"/>
      <c r="AP684"/>
      <c r="AQ684"/>
      <c r="AR684"/>
      <c r="AS684"/>
      <c r="AT684" s="50"/>
      <c r="AU684" s="97"/>
      <c r="AV684" s="97"/>
      <c r="AW684" s="97"/>
      <c r="AX684" s="97"/>
      <c r="AY684" s="97"/>
      <c r="BD684" s="35"/>
      <c r="BE684" s="35"/>
      <c r="BV684" s="98"/>
      <c r="BW684" s="98"/>
      <c r="BX684" s="98"/>
      <c r="BY684" s="112"/>
      <c r="BZ684" s="112"/>
      <c r="CA684" s="112"/>
      <c r="CB684" s="98"/>
      <c r="CC684" s="98"/>
      <c r="CD684" s="98"/>
      <c r="CE684" s="98"/>
      <c r="CG684" s="100"/>
      <c r="CH684" s="100"/>
      <c r="CI684" s="100"/>
      <c r="CJ684" s="100"/>
      <c r="CK684" s="100"/>
      <c r="CL684" s="100"/>
      <c r="CM684" s="100"/>
      <c r="CN684" s="100"/>
      <c r="CO684" s="100"/>
      <c r="CP684" s="100"/>
      <c r="CQ684" s="100"/>
      <c r="CR684" s="100"/>
      <c r="CS684" s="100"/>
      <c r="CT684" s="100"/>
      <c r="CU684" s="100"/>
    </row>
    <row r="685" spans="6:99" s="36" customFormat="1" ht="11.1" customHeight="1" x14ac:dyDescent="0.25">
      <c r="F685" s="33"/>
      <c r="G685" s="33"/>
      <c r="H685" s="33"/>
      <c r="I685" s="34"/>
      <c r="J685" s="34"/>
      <c r="K685" s="14"/>
      <c r="L685" s="32"/>
      <c r="M685" s="14"/>
      <c r="N685" s="14"/>
      <c r="O685" s="2"/>
      <c r="P685"/>
      <c r="Q685" s="2"/>
      <c r="R685"/>
      <c r="S685"/>
      <c r="T685"/>
      <c r="U685" s="2"/>
      <c r="V685" s="2"/>
      <c r="W685" s="2"/>
      <c r="X685" s="2"/>
      <c r="Y685" s="2"/>
      <c r="Z685" s="11"/>
      <c r="AA685" s="15"/>
      <c r="AB685" s="15"/>
      <c r="AC685" s="15"/>
      <c r="AD685" s="35"/>
      <c r="AE685" s="99"/>
      <c r="AF685" s="99"/>
      <c r="AG685" s="35"/>
      <c r="AH685" s="35"/>
      <c r="AI685" s="35"/>
      <c r="AJ685" s="1"/>
      <c r="AK685" s="1"/>
      <c r="AL685" s="1"/>
      <c r="AM685" s="1"/>
      <c r="AN685" s="1"/>
      <c r="AO685" s="1"/>
      <c r="AP685"/>
      <c r="AQ685"/>
      <c r="AR685"/>
      <c r="AS685"/>
      <c r="AT685" s="50"/>
      <c r="AU685" s="97"/>
      <c r="AV685" s="97"/>
      <c r="AW685" s="97"/>
      <c r="AX685" s="97"/>
      <c r="AY685" s="97"/>
      <c r="BD685" s="35"/>
      <c r="BE685" s="35"/>
      <c r="BV685" s="98"/>
      <c r="BW685" s="98"/>
      <c r="BX685" s="98"/>
      <c r="BY685" s="112"/>
      <c r="BZ685" s="112"/>
      <c r="CA685" s="112"/>
      <c r="CB685" s="98"/>
      <c r="CC685" s="98"/>
      <c r="CD685" s="98"/>
      <c r="CE685" s="98"/>
      <c r="CG685" s="100"/>
      <c r="CH685" s="100"/>
      <c r="CI685" s="100"/>
      <c r="CJ685" s="100"/>
      <c r="CK685" s="100"/>
      <c r="CL685" s="100"/>
      <c r="CM685" s="100"/>
      <c r="CN685" s="100"/>
      <c r="CO685" s="100"/>
      <c r="CP685" s="100"/>
      <c r="CQ685" s="100"/>
      <c r="CR685" s="100"/>
      <c r="CS685" s="100"/>
      <c r="CT685" s="100"/>
      <c r="CU685" s="100"/>
    </row>
    <row r="686" spans="6:99" s="36" customFormat="1" ht="11.1" customHeight="1" x14ac:dyDescent="0.25">
      <c r="F686" s="33"/>
      <c r="G686" s="33"/>
      <c r="H686" s="33"/>
      <c r="I686" s="34"/>
      <c r="J686" s="34"/>
      <c r="K686" s="14"/>
      <c r="L686" s="32"/>
      <c r="M686" s="14"/>
      <c r="N686" s="14"/>
      <c r="O686" s="2"/>
      <c r="P686"/>
      <c r="Q686" s="2"/>
      <c r="R686"/>
      <c r="S686"/>
      <c r="T686"/>
      <c r="U686" s="2"/>
      <c r="V686" s="2"/>
      <c r="W686" s="2"/>
      <c r="X686" s="2"/>
      <c r="Y686" s="2"/>
      <c r="Z686" s="11"/>
      <c r="AA686" s="15"/>
      <c r="AB686" s="15"/>
      <c r="AC686" s="15"/>
      <c r="AD686" s="35"/>
      <c r="AE686" s="99"/>
      <c r="AF686" s="99"/>
      <c r="AG686" s="35"/>
      <c r="AH686" s="35"/>
      <c r="AI686" s="35"/>
      <c r="AJ686" s="1"/>
      <c r="AK686" s="1"/>
      <c r="AL686" s="1"/>
      <c r="AM686" s="1"/>
      <c r="AN686" s="1"/>
      <c r="AO686" s="1"/>
      <c r="AP686"/>
      <c r="AQ686"/>
      <c r="AR686"/>
      <c r="AS686"/>
      <c r="AT686" s="50"/>
      <c r="AU686" s="97"/>
      <c r="AV686" s="97"/>
      <c r="AW686" s="97"/>
      <c r="AX686" s="97"/>
      <c r="AY686" s="97"/>
      <c r="BD686" s="35"/>
      <c r="BE686" s="35"/>
      <c r="BV686" s="98"/>
      <c r="BW686" s="98"/>
      <c r="BX686" s="98"/>
      <c r="BY686" s="112"/>
      <c r="BZ686" s="112"/>
      <c r="CA686" s="112"/>
      <c r="CB686" s="98"/>
      <c r="CC686" s="98"/>
      <c r="CD686" s="98"/>
      <c r="CE686" s="98"/>
      <c r="CG686" s="100"/>
      <c r="CH686" s="100"/>
      <c r="CI686" s="100"/>
      <c r="CJ686" s="100"/>
      <c r="CK686" s="100"/>
      <c r="CL686" s="100"/>
      <c r="CM686" s="100"/>
      <c r="CN686" s="100"/>
      <c r="CO686" s="100"/>
      <c r="CP686" s="100"/>
      <c r="CQ686" s="100"/>
      <c r="CR686" s="100"/>
      <c r="CS686" s="100"/>
      <c r="CT686" s="100"/>
      <c r="CU686" s="100"/>
    </row>
    <row r="687" spans="6:99" s="36" customFormat="1" ht="11.1" customHeight="1" x14ac:dyDescent="0.25">
      <c r="F687" s="33"/>
      <c r="G687" s="33"/>
      <c r="H687" s="33"/>
      <c r="I687" s="34"/>
      <c r="J687" s="34"/>
      <c r="K687" s="14"/>
      <c r="L687" s="32"/>
      <c r="M687" s="14"/>
      <c r="N687" s="14"/>
      <c r="O687" s="2"/>
      <c r="P687"/>
      <c r="Q687" s="2"/>
      <c r="R687"/>
      <c r="S687"/>
      <c r="T687"/>
      <c r="U687" s="2"/>
      <c r="V687" s="2"/>
      <c r="W687" s="2"/>
      <c r="X687" s="2"/>
      <c r="Y687" s="2"/>
      <c r="Z687" s="11"/>
      <c r="AA687" s="15"/>
      <c r="AB687" s="15"/>
      <c r="AC687" s="15"/>
      <c r="AD687" s="35"/>
      <c r="AE687" s="99"/>
      <c r="AF687" s="99"/>
      <c r="AG687" s="35"/>
      <c r="AH687" s="35"/>
      <c r="AI687" s="35"/>
      <c r="AJ687" s="1"/>
      <c r="AK687" s="1"/>
      <c r="AL687" s="1"/>
      <c r="AM687" s="1"/>
      <c r="AN687" s="1"/>
      <c r="AO687" s="1"/>
      <c r="AP687"/>
      <c r="AQ687"/>
      <c r="AR687"/>
      <c r="AS687"/>
      <c r="AT687" s="50"/>
      <c r="AU687" s="97"/>
      <c r="AV687" s="97"/>
      <c r="AW687" s="97"/>
      <c r="AX687" s="97"/>
      <c r="AY687" s="97"/>
      <c r="BD687" s="35"/>
      <c r="BE687" s="35"/>
      <c r="BV687" s="98"/>
      <c r="BW687" s="98"/>
      <c r="BX687" s="98"/>
      <c r="BY687" s="112"/>
      <c r="BZ687" s="112"/>
      <c r="CA687" s="112"/>
      <c r="CB687" s="98"/>
      <c r="CC687" s="98"/>
      <c r="CD687" s="98"/>
      <c r="CE687" s="98"/>
      <c r="CG687" s="100"/>
      <c r="CH687" s="100"/>
      <c r="CI687" s="100"/>
      <c r="CJ687" s="100"/>
      <c r="CK687" s="100"/>
      <c r="CL687" s="100"/>
      <c r="CM687" s="100"/>
      <c r="CN687" s="100"/>
      <c r="CO687" s="100"/>
      <c r="CP687" s="100"/>
      <c r="CQ687" s="100"/>
      <c r="CR687" s="100"/>
      <c r="CS687" s="100"/>
      <c r="CT687" s="100"/>
      <c r="CU687" s="100"/>
    </row>
    <row r="688" spans="6:99" s="36" customFormat="1" ht="11.1" customHeight="1" x14ac:dyDescent="0.25">
      <c r="F688" s="33"/>
      <c r="G688" s="33"/>
      <c r="H688" s="33"/>
      <c r="I688" s="34"/>
      <c r="J688" s="34"/>
      <c r="K688" s="14"/>
      <c r="L688" s="32"/>
      <c r="M688" s="14"/>
      <c r="N688" s="14"/>
      <c r="O688" s="2"/>
      <c r="P688"/>
      <c r="Q688" s="2"/>
      <c r="R688"/>
      <c r="S688"/>
      <c r="T688"/>
      <c r="U688" s="2"/>
      <c r="V688" s="2"/>
      <c r="W688" s="2"/>
      <c r="X688" s="2"/>
      <c r="Y688" s="2"/>
      <c r="Z688" s="11"/>
      <c r="AA688" s="15"/>
      <c r="AB688" s="15"/>
      <c r="AC688" s="15"/>
      <c r="AD688" s="35"/>
      <c r="AE688" s="99"/>
      <c r="AF688" s="99"/>
      <c r="AG688" s="35"/>
      <c r="AH688" s="35"/>
      <c r="AI688" s="35"/>
      <c r="AJ688" s="1"/>
      <c r="AK688" s="1"/>
      <c r="AL688" s="1"/>
      <c r="AM688" s="1"/>
      <c r="AN688" s="1"/>
      <c r="AO688" s="1"/>
      <c r="AP688"/>
      <c r="AQ688"/>
      <c r="AR688"/>
      <c r="AS688"/>
      <c r="AT688" s="50"/>
      <c r="AU688" s="97"/>
      <c r="AV688" s="97"/>
      <c r="AW688" s="97"/>
      <c r="AX688" s="97"/>
      <c r="AY688" s="97"/>
      <c r="BD688" s="35"/>
      <c r="BE688" s="35"/>
      <c r="BV688" s="98"/>
      <c r="BW688" s="98"/>
      <c r="BX688" s="98"/>
      <c r="BY688" s="112"/>
      <c r="BZ688" s="112"/>
      <c r="CA688" s="112"/>
      <c r="CB688" s="98"/>
      <c r="CC688" s="98"/>
      <c r="CD688" s="98"/>
      <c r="CE688" s="98"/>
      <c r="CG688" s="100"/>
      <c r="CH688" s="100"/>
      <c r="CI688" s="100"/>
      <c r="CJ688" s="100"/>
      <c r="CK688" s="100"/>
      <c r="CL688" s="100"/>
      <c r="CM688" s="100"/>
      <c r="CN688" s="100"/>
      <c r="CO688" s="100"/>
      <c r="CP688" s="100"/>
      <c r="CQ688" s="100"/>
      <c r="CR688" s="100"/>
      <c r="CS688" s="100"/>
      <c r="CT688" s="100"/>
      <c r="CU688" s="100"/>
    </row>
    <row r="689" spans="6:99" s="36" customFormat="1" ht="11.1" customHeight="1" x14ac:dyDescent="0.25">
      <c r="F689" s="33"/>
      <c r="G689" s="33"/>
      <c r="H689" s="33"/>
      <c r="I689" s="34"/>
      <c r="J689" s="34"/>
      <c r="K689" s="14"/>
      <c r="L689" s="32"/>
      <c r="M689" s="14"/>
      <c r="N689" s="14"/>
      <c r="O689" s="2"/>
      <c r="P689"/>
      <c r="Q689" s="2"/>
      <c r="R689"/>
      <c r="S689"/>
      <c r="T689"/>
      <c r="U689" s="2"/>
      <c r="V689" s="2"/>
      <c r="W689" s="2"/>
      <c r="X689" s="2"/>
      <c r="Y689" s="2"/>
      <c r="Z689" s="11"/>
      <c r="AA689" s="15"/>
      <c r="AB689" s="15"/>
      <c r="AC689" s="15"/>
      <c r="AD689" s="35"/>
      <c r="AE689" s="99"/>
      <c r="AF689" s="99"/>
      <c r="AG689" s="35"/>
      <c r="AH689" s="35"/>
      <c r="AI689" s="35"/>
      <c r="AJ689" s="1"/>
      <c r="AK689" s="1"/>
      <c r="AL689" s="1"/>
      <c r="AM689" s="1"/>
      <c r="AN689" s="1"/>
      <c r="AO689" s="1"/>
      <c r="AP689"/>
      <c r="AQ689"/>
      <c r="AR689"/>
      <c r="AS689"/>
      <c r="AT689" s="50"/>
      <c r="AU689" s="97"/>
      <c r="AV689" s="97"/>
      <c r="AW689" s="97"/>
      <c r="AX689" s="97"/>
      <c r="AY689" s="97"/>
      <c r="BD689" s="35"/>
      <c r="BE689" s="35"/>
      <c r="BV689" s="98"/>
      <c r="BW689" s="98"/>
      <c r="BX689" s="98"/>
      <c r="BY689" s="112"/>
      <c r="BZ689" s="112"/>
      <c r="CA689" s="112"/>
      <c r="CB689" s="98"/>
      <c r="CC689" s="98"/>
      <c r="CD689" s="98"/>
      <c r="CE689" s="98"/>
      <c r="CG689" s="100"/>
      <c r="CH689" s="100"/>
      <c r="CI689" s="100"/>
      <c r="CJ689" s="100"/>
      <c r="CK689" s="100"/>
      <c r="CL689" s="100"/>
      <c r="CM689" s="100"/>
      <c r="CN689" s="100"/>
      <c r="CO689" s="100"/>
      <c r="CP689" s="100"/>
      <c r="CQ689" s="100"/>
      <c r="CR689" s="100"/>
      <c r="CS689" s="100"/>
      <c r="CT689" s="100"/>
      <c r="CU689" s="100"/>
    </row>
    <row r="690" spans="6:99" s="36" customFormat="1" ht="11.1" customHeight="1" x14ac:dyDescent="0.25">
      <c r="F690" s="33"/>
      <c r="G690" s="33"/>
      <c r="H690" s="33"/>
      <c r="I690" s="34"/>
      <c r="J690" s="34"/>
      <c r="K690" s="14"/>
      <c r="L690" s="32"/>
      <c r="M690" s="14"/>
      <c r="N690" s="14"/>
      <c r="O690" s="2"/>
      <c r="P690"/>
      <c r="Q690" s="2"/>
      <c r="R690"/>
      <c r="S690"/>
      <c r="T690"/>
      <c r="U690" s="2"/>
      <c r="V690" s="2"/>
      <c r="W690" s="2"/>
      <c r="X690" s="2"/>
      <c r="Y690" s="2"/>
      <c r="Z690" s="11"/>
      <c r="AA690" s="15"/>
      <c r="AB690" s="15"/>
      <c r="AC690" s="15"/>
      <c r="AD690" s="35"/>
      <c r="AE690" s="99"/>
      <c r="AF690" s="99"/>
      <c r="AG690" s="35"/>
      <c r="AH690" s="35"/>
      <c r="AI690" s="35"/>
      <c r="AJ690" s="1"/>
      <c r="AK690" s="1"/>
      <c r="AL690" s="1"/>
      <c r="AM690" s="1"/>
      <c r="AN690" s="1"/>
      <c r="AO690" s="1"/>
      <c r="AP690"/>
      <c r="AQ690"/>
      <c r="AR690"/>
      <c r="AS690"/>
      <c r="AT690" s="50"/>
      <c r="AU690" s="97"/>
      <c r="AV690" s="97"/>
      <c r="AW690" s="97"/>
      <c r="AX690" s="97"/>
      <c r="AY690" s="97"/>
      <c r="BD690" s="35"/>
      <c r="BE690" s="35"/>
      <c r="BV690" s="98"/>
      <c r="BW690" s="98"/>
      <c r="BX690" s="98"/>
      <c r="BY690" s="112"/>
      <c r="BZ690" s="112"/>
      <c r="CA690" s="112"/>
      <c r="CB690" s="98"/>
      <c r="CC690" s="98"/>
      <c r="CD690" s="98"/>
      <c r="CE690" s="98"/>
      <c r="CG690" s="100"/>
      <c r="CH690" s="100"/>
      <c r="CI690" s="100"/>
      <c r="CJ690" s="100"/>
      <c r="CK690" s="100"/>
      <c r="CL690" s="100"/>
      <c r="CM690" s="100"/>
      <c r="CN690" s="100"/>
      <c r="CO690" s="100"/>
      <c r="CP690" s="100"/>
      <c r="CQ690" s="100"/>
      <c r="CR690" s="100"/>
      <c r="CS690" s="100"/>
      <c r="CT690" s="100"/>
      <c r="CU690" s="100"/>
    </row>
    <row r="691" spans="6:99" s="36" customFormat="1" ht="11.1" customHeight="1" x14ac:dyDescent="0.25">
      <c r="F691" s="33"/>
      <c r="G691" s="33"/>
      <c r="H691" s="33"/>
      <c r="I691" s="34"/>
      <c r="J691" s="34"/>
      <c r="K691" s="14"/>
      <c r="L691" s="32"/>
      <c r="M691" s="14"/>
      <c r="N691" s="14"/>
      <c r="O691" s="2"/>
      <c r="P691"/>
      <c r="Q691" s="2"/>
      <c r="R691"/>
      <c r="S691"/>
      <c r="T691"/>
      <c r="U691" s="2"/>
      <c r="V691" s="2"/>
      <c r="W691" s="2"/>
      <c r="X691" s="2"/>
      <c r="Y691" s="2"/>
      <c r="Z691" s="11"/>
      <c r="AA691" s="15"/>
      <c r="AB691" s="15"/>
      <c r="AC691" s="15"/>
      <c r="AD691" s="35"/>
      <c r="AE691" s="99"/>
      <c r="AF691" s="99"/>
      <c r="AG691" s="35"/>
      <c r="AH691" s="35"/>
      <c r="AI691" s="35"/>
      <c r="AJ691" s="1"/>
      <c r="AK691" s="1"/>
      <c r="AL691" s="1"/>
      <c r="AM691" s="1"/>
      <c r="AN691" s="1"/>
      <c r="AO691" s="1"/>
      <c r="AP691"/>
      <c r="AQ691"/>
      <c r="AR691"/>
      <c r="AS691"/>
      <c r="AT691" s="50"/>
      <c r="AU691" s="97"/>
      <c r="AV691" s="97"/>
      <c r="AW691" s="97"/>
      <c r="AX691" s="97"/>
      <c r="AY691" s="97"/>
      <c r="BD691" s="35"/>
      <c r="BE691" s="35"/>
      <c r="BV691" s="98"/>
      <c r="BW691" s="98"/>
      <c r="BX691" s="98"/>
      <c r="BY691" s="112"/>
      <c r="BZ691" s="112"/>
      <c r="CA691" s="112"/>
      <c r="CB691" s="98"/>
      <c r="CC691" s="98"/>
      <c r="CD691" s="98"/>
      <c r="CE691" s="98"/>
      <c r="CG691" s="100"/>
      <c r="CH691" s="100"/>
      <c r="CI691" s="100"/>
      <c r="CJ691" s="100"/>
      <c r="CK691" s="100"/>
      <c r="CL691" s="100"/>
      <c r="CM691" s="100"/>
      <c r="CN691" s="100"/>
      <c r="CO691" s="100"/>
      <c r="CP691" s="100"/>
      <c r="CQ691" s="100"/>
      <c r="CR691" s="100"/>
      <c r="CS691" s="100"/>
      <c r="CT691" s="100"/>
      <c r="CU691" s="100"/>
    </row>
    <row r="692" spans="6:99" s="36" customFormat="1" ht="11.1" customHeight="1" x14ac:dyDescent="0.25">
      <c r="F692" s="33"/>
      <c r="G692" s="33"/>
      <c r="H692" s="33"/>
      <c r="I692" s="34"/>
      <c r="J692" s="34"/>
      <c r="K692" s="14"/>
      <c r="L692" s="32"/>
      <c r="M692" s="14"/>
      <c r="N692" s="14"/>
      <c r="O692" s="2"/>
      <c r="P692"/>
      <c r="Q692" s="2"/>
      <c r="R692"/>
      <c r="S692"/>
      <c r="T692"/>
      <c r="U692" s="2"/>
      <c r="V692" s="2"/>
      <c r="W692" s="2"/>
      <c r="X692" s="2"/>
      <c r="Y692" s="2"/>
      <c r="Z692" s="11"/>
      <c r="AA692" s="15"/>
      <c r="AB692" s="15"/>
      <c r="AC692" s="15"/>
      <c r="AD692" s="35"/>
      <c r="AE692" s="99"/>
      <c r="AF692" s="99"/>
      <c r="AG692" s="35"/>
      <c r="AH692" s="35"/>
      <c r="AI692" s="35"/>
      <c r="AJ692" s="1"/>
      <c r="AK692" s="1"/>
      <c r="AL692" s="1"/>
      <c r="AM692" s="1"/>
      <c r="AN692" s="1"/>
      <c r="AO692" s="1"/>
      <c r="AP692"/>
      <c r="AQ692"/>
      <c r="AR692"/>
      <c r="AS692"/>
      <c r="AT692" s="50"/>
      <c r="AU692" s="97"/>
      <c r="AV692" s="97"/>
      <c r="AW692" s="97"/>
      <c r="AX692" s="97"/>
      <c r="AY692" s="97"/>
      <c r="BD692" s="35"/>
      <c r="BE692" s="35"/>
      <c r="BV692" s="98"/>
      <c r="BW692" s="98"/>
      <c r="BX692" s="98"/>
      <c r="BY692" s="112"/>
      <c r="BZ692" s="112"/>
      <c r="CA692" s="112"/>
      <c r="CB692" s="98"/>
      <c r="CC692" s="98"/>
      <c r="CD692" s="98"/>
      <c r="CE692" s="98"/>
      <c r="CG692" s="100"/>
      <c r="CH692" s="100"/>
      <c r="CI692" s="100"/>
      <c r="CJ692" s="100"/>
      <c r="CK692" s="100"/>
      <c r="CL692" s="100"/>
      <c r="CM692" s="100"/>
      <c r="CN692" s="100"/>
      <c r="CO692" s="100"/>
      <c r="CP692" s="100"/>
      <c r="CQ692" s="100"/>
      <c r="CR692" s="100"/>
      <c r="CS692" s="100"/>
      <c r="CT692" s="100"/>
      <c r="CU692" s="100"/>
    </row>
    <row r="693" spans="6:99" s="36" customFormat="1" ht="11.1" customHeight="1" x14ac:dyDescent="0.25">
      <c r="F693" s="33"/>
      <c r="G693" s="33"/>
      <c r="H693" s="33"/>
      <c r="I693" s="34"/>
      <c r="J693" s="34"/>
      <c r="K693" s="14"/>
      <c r="L693" s="32"/>
      <c r="M693" s="14"/>
      <c r="N693" s="14"/>
      <c r="O693" s="2"/>
      <c r="P693"/>
      <c r="Q693" s="2"/>
      <c r="R693"/>
      <c r="S693"/>
      <c r="T693"/>
      <c r="U693" s="2"/>
      <c r="V693" s="2"/>
      <c r="W693" s="2"/>
      <c r="X693" s="2"/>
      <c r="Y693" s="2"/>
      <c r="Z693" s="11"/>
      <c r="AA693" s="15"/>
      <c r="AB693" s="15"/>
      <c r="AC693" s="15"/>
      <c r="AD693" s="35"/>
      <c r="AE693" s="99"/>
      <c r="AF693" s="99"/>
      <c r="AG693" s="35"/>
      <c r="AH693" s="35"/>
      <c r="AI693" s="35"/>
      <c r="AJ693" s="1"/>
      <c r="AK693" s="1"/>
      <c r="AL693" s="1"/>
      <c r="AM693" s="1"/>
      <c r="AN693" s="1"/>
      <c r="AO693" s="1"/>
      <c r="AP693"/>
      <c r="AQ693"/>
      <c r="AR693"/>
      <c r="AS693"/>
      <c r="AT693" s="50"/>
      <c r="AU693" s="97"/>
      <c r="AV693" s="97"/>
      <c r="AW693" s="97"/>
      <c r="AX693" s="97"/>
      <c r="AY693" s="97"/>
      <c r="BD693" s="35"/>
      <c r="BE693" s="35"/>
      <c r="BV693" s="98"/>
      <c r="BW693" s="98"/>
      <c r="BX693" s="98"/>
      <c r="BY693" s="112"/>
      <c r="BZ693" s="112"/>
      <c r="CA693" s="112"/>
      <c r="CB693" s="98"/>
      <c r="CC693" s="98"/>
      <c r="CD693" s="98"/>
      <c r="CE693" s="98"/>
      <c r="CG693" s="100"/>
      <c r="CH693" s="100"/>
      <c r="CI693" s="100"/>
      <c r="CJ693" s="100"/>
      <c r="CK693" s="100"/>
      <c r="CL693" s="100"/>
      <c r="CM693" s="100"/>
      <c r="CN693" s="100"/>
      <c r="CO693" s="100"/>
      <c r="CP693" s="100"/>
      <c r="CQ693" s="100"/>
      <c r="CR693" s="100"/>
      <c r="CS693" s="100"/>
      <c r="CT693" s="100"/>
      <c r="CU693" s="100"/>
    </row>
    <row r="694" spans="6:99" s="36" customFormat="1" ht="11.1" customHeight="1" x14ac:dyDescent="0.25">
      <c r="F694" s="33"/>
      <c r="G694" s="33"/>
      <c r="H694" s="33"/>
      <c r="I694" s="34"/>
      <c r="J694" s="34"/>
      <c r="K694" s="14"/>
      <c r="L694" s="32"/>
      <c r="M694" s="14"/>
      <c r="N694" s="14"/>
      <c r="O694" s="2"/>
      <c r="P694"/>
      <c r="Q694" s="2"/>
      <c r="R694"/>
      <c r="S694"/>
      <c r="T694"/>
      <c r="U694" s="2"/>
      <c r="V694" s="2"/>
      <c r="W694" s="2"/>
      <c r="X694" s="2"/>
      <c r="Y694" s="2"/>
      <c r="Z694" s="11"/>
      <c r="AA694" s="15"/>
      <c r="AB694" s="15"/>
      <c r="AC694" s="15"/>
      <c r="AD694" s="35"/>
      <c r="AE694" s="99"/>
      <c r="AF694" s="99"/>
      <c r="AG694" s="35"/>
      <c r="AH694" s="35"/>
      <c r="AI694" s="35"/>
      <c r="AJ694" s="1"/>
      <c r="AK694" s="1"/>
      <c r="AL694" s="1"/>
      <c r="AM694" s="1"/>
      <c r="AN694" s="1"/>
      <c r="AO694" s="1"/>
      <c r="AP694"/>
      <c r="AQ694"/>
      <c r="AR694"/>
      <c r="AS694"/>
      <c r="AT694" s="50"/>
      <c r="AU694" s="97"/>
      <c r="AV694" s="97"/>
      <c r="AW694" s="97"/>
      <c r="AX694" s="97"/>
      <c r="AY694" s="97"/>
      <c r="BD694" s="35"/>
      <c r="BE694" s="35"/>
      <c r="BV694" s="98"/>
      <c r="BW694" s="98"/>
      <c r="BX694" s="98"/>
      <c r="BY694" s="112"/>
      <c r="BZ694" s="112"/>
      <c r="CA694" s="112"/>
      <c r="CB694" s="98"/>
      <c r="CC694" s="98"/>
      <c r="CD694" s="98"/>
      <c r="CE694" s="98"/>
      <c r="CG694" s="100"/>
      <c r="CH694" s="100"/>
      <c r="CI694" s="100"/>
      <c r="CJ694" s="100"/>
      <c r="CK694" s="100"/>
      <c r="CL694" s="100"/>
      <c r="CM694" s="100"/>
      <c r="CN694" s="100"/>
      <c r="CO694" s="100"/>
      <c r="CP694" s="100"/>
      <c r="CQ694" s="100"/>
      <c r="CR694" s="100"/>
      <c r="CS694" s="100"/>
      <c r="CT694" s="100"/>
      <c r="CU694" s="100"/>
    </row>
    <row r="695" spans="6:99" s="36" customFormat="1" ht="11.1" customHeight="1" x14ac:dyDescent="0.25">
      <c r="F695" s="33"/>
      <c r="G695" s="33"/>
      <c r="H695" s="33"/>
      <c r="I695" s="34"/>
      <c r="J695" s="34"/>
      <c r="K695" s="14"/>
      <c r="L695" s="32"/>
      <c r="M695" s="14"/>
      <c r="N695" s="14"/>
      <c r="O695" s="2"/>
      <c r="P695"/>
      <c r="Q695" s="2"/>
      <c r="R695"/>
      <c r="S695"/>
      <c r="T695"/>
      <c r="U695" s="2"/>
      <c r="V695" s="2"/>
      <c r="W695" s="2"/>
      <c r="X695" s="2"/>
      <c r="Y695" s="2"/>
      <c r="Z695" s="11"/>
      <c r="AA695" s="15"/>
      <c r="AB695" s="15"/>
      <c r="AC695" s="15"/>
      <c r="AD695" s="35"/>
      <c r="AE695" s="99"/>
      <c r="AF695" s="99"/>
      <c r="AG695" s="35"/>
      <c r="AH695" s="35"/>
      <c r="AI695" s="35"/>
      <c r="AJ695" s="1"/>
      <c r="AK695" s="1"/>
      <c r="AL695" s="1"/>
      <c r="AM695" s="1"/>
      <c r="AN695" s="1"/>
      <c r="AO695" s="1"/>
      <c r="AP695"/>
      <c r="AQ695"/>
      <c r="AR695"/>
      <c r="AS695"/>
      <c r="AT695" s="50"/>
      <c r="AU695" s="97"/>
      <c r="AV695" s="97"/>
      <c r="AW695" s="97"/>
      <c r="AX695" s="97"/>
      <c r="AY695" s="97"/>
      <c r="BD695" s="35"/>
      <c r="BE695" s="35"/>
      <c r="BV695" s="98"/>
      <c r="BW695" s="98"/>
      <c r="BX695" s="98"/>
      <c r="BY695" s="112"/>
      <c r="BZ695" s="112"/>
      <c r="CA695" s="112"/>
      <c r="CB695" s="98"/>
      <c r="CC695" s="98"/>
      <c r="CD695" s="98"/>
      <c r="CE695" s="98"/>
      <c r="CG695" s="100"/>
      <c r="CH695" s="100"/>
      <c r="CI695" s="100"/>
      <c r="CJ695" s="100"/>
      <c r="CK695" s="100"/>
      <c r="CL695" s="100"/>
      <c r="CM695" s="100"/>
      <c r="CN695" s="100"/>
      <c r="CO695" s="100"/>
      <c r="CP695" s="100"/>
      <c r="CQ695" s="100"/>
      <c r="CR695" s="100"/>
      <c r="CS695" s="100"/>
      <c r="CT695" s="100"/>
      <c r="CU695" s="100"/>
    </row>
    <row r="696" spans="6:99" s="36" customFormat="1" ht="11.1" customHeight="1" x14ac:dyDescent="0.25">
      <c r="F696" s="33"/>
      <c r="G696" s="33"/>
      <c r="H696" s="33"/>
      <c r="I696" s="34"/>
      <c r="J696" s="34"/>
      <c r="K696" s="14"/>
      <c r="L696" s="32"/>
      <c r="M696" s="14"/>
      <c r="N696" s="14"/>
      <c r="O696" s="2"/>
      <c r="P696"/>
      <c r="Q696" s="2"/>
      <c r="R696"/>
      <c r="S696"/>
      <c r="T696"/>
      <c r="U696" s="2"/>
      <c r="V696" s="2"/>
      <c r="W696" s="2"/>
      <c r="X696" s="2"/>
      <c r="Y696" s="2"/>
      <c r="Z696" s="11"/>
      <c r="AA696" s="15"/>
      <c r="AB696" s="15"/>
      <c r="AC696" s="15"/>
      <c r="AD696" s="35"/>
      <c r="AE696" s="99"/>
      <c r="AF696" s="99"/>
      <c r="AG696" s="35"/>
      <c r="AH696" s="35"/>
      <c r="AI696" s="35"/>
      <c r="AJ696" s="1"/>
      <c r="AK696" s="1"/>
      <c r="AL696" s="1"/>
      <c r="AM696" s="1"/>
      <c r="AN696" s="1"/>
      <c r="AO696" s="1"/>
      <c r="AP696"/>
      <c r="AQ696"/>
      <c r="AR696"/>
      <c r="AS696"/>
      <c r="AT696" s="50"/>
      <c r="AU696" s="97"/>
      <c r="AV696" s="97"/>
      <c r="AW696" s="97"/>
      <c r="AX696" s="97"/>
      <c r="AY696" s="97"/>
      <c r="BD696" s="35"/>
      <c r="BE696" s="35"/>
      <c r="BV696" s="98"/>
      <c r="BW696" s="98"/>
      <c r="BX696" s="98"/>
      <c r="BY696" s="112"/>
      <c r="BZ696" s="112"/>
      <c r="CA696" s="112"/>
      <c r="CB696" s="98"/>
      <c r="CC696" s="98"/>
      <c r="CD696" s="98"/>
      <c r="CE696" s="98"/>
      <c r="CG696" s="100"/>
      <c r="CH696" s="100"/>
      <c r="CI696" s="100"/>
      <c r="CJ696" s="100"/>
      <c r="CK696" s="100"/>
      <c r="CL696" s="100"/>
      <c r="CM696" s="100"/>
      <c r="CN696" s="100"/>
      <c r="CO696" s="100"/>
      <c r="CP696" s="100"/>
      <c r="CQ696" s="100"/>
      <c r="CR696" s="100"/>
      <c r="CS696" s="100"/>
      <c r="CT696" s="100"/>
      <c r="CU696" s="100"/>
    </row>
    <row r="697" spans="6:99" s="36" customFormat="1" ht="11.1" customHeight="1" x14ac:dyDescent="0.25">
      <c r="F697" s="33"/>
      <c r="G697" s="33"/>
      <c r="H697" s="33"/>
      <c r="I697" s="34"/>
      <c r="J697" s="34"/>
      <c r="K697" s="14"/>
      <c r="L697" s="32"/>
      <c r="M697" s="14"/>
      <c r="N697" s="14"/>
      <c r="O697" s="2"/>
      <c r="P697"/>
      <c r="Q697" s="2"/>
      <c r="R697"/>
      <c r="S697"/>
      <c r="T697"/>
      <c r="U697" s="2"/>
      <c r="V697" s="2"/>
      <c r="W697" s="2"/>
      <c r="X697" s="2"/>
      <c r="Y697" s="2"/>
      <c r="Z697" s="11"/>
      <c r="AA697" s="15"/>
      <c r="AB697" s="15"/>
      <c r="AC697" s="15"/>
      <c r="AD697" s="35"/>
      <c r="AE697" s="99"/>
      <c r="AF697" s="99"/>
      <c r="AG697" s="35"/>
      <c r="AH697" s="35"/>
      <c r="AI697" s="35"/>
      <c r="AJ697" s="1"/>
      <c r="AK697" s="1"/>
      <c r="AL697" s="1"/>
      <c r="AM697" s="1"/>
      <c r="AN697" s="1"/>
      <c r="AO697" s="1"/>
      <c r="AP697"/>
      <c r="AQ697"/>
      <c r="AR697"/>
      <c r="AS697"/>
      <c r="AT697" s="50"/>
      <c r="AU697" s="97"/>
      <c r="AV697" s="97"/>
      <c r="AW697" s="97"/>
      <c r="AX697" s="97"/>
      <c r="AY697" s="97"/>
      <c r="BD697" s="35"/>
      <c r="BE697" s="35"/>
      <c r="BV697" s="98"/>
      <c r="BW697" s="98"/>
      <c r="BX697" s="98"/>
      <c r="BY697" s="112"/>
      <c r="BZ697" s="112"/>
      <c r="CA697" s="112"/>
      <c r="CB697" s="98"/>
      <c r="CC697" s="98"/>
      <c r="CD697" s="98"/>
      <c r="CE697" s="98"/>
      <c r="CG697" s="100"/>
      <c r="CH697" s="100"/>
      <c r="CI697" s="100"/>
      <c r="CJ697" s="100"/>
      <c r="CK697" s="100"/>
      <c r="CL697" s="100"/>
      <c r="CM697" s="100"/>
      <c r="CN697" s="100"/>
      <c r="CO697" s="100"/>
      <c r="CP697" s="100"/>
      <c r="CQ697" s="100"/>
      <c r="CR697" s="100"/>
      <c r="CS697" s="100"/>
      <c r="CT697" s="100"/>
      <c r="CU697" s="100"/>
    </row>
    <row r="698" spans="6:99" s="36" customFormat="1" ht="11.1" customHeight="1" x14ac:dyDescent="0.25">
      <c r="F698" s="33"/>
      <c r="G698" s="33"/>
      <c r="H698" s="33"/>
      <c r="I698" s="34"/>
      <c r="J698" s="34"/>
      <c r="K698" s="14"/>
      <c r="L698" s="32"/>
      <c r="M698" s="14"/>
      <c r="N698" s="14"/>
      <c r="O698" s="2"/>
      <c r="P698"/>
      <c r="Q698" s="2"/>
      <c r="R698"/>
      <c r="S698"/>
      <c r="T698"/>
      <c r="U698" s="2"/>
      <c r="V698" s="2"/>
      <c r="W698" s="2"/>
      <c r="X698" s="2"/>
      <c r="Y698" s="2"/>
      <c r="Z698" s="11"/>
      <c r="AA698" s="15"/>
      <c r="AB698" s="15"/>
      <c r="AC698" s="15"/>
      <c r="AD698" s="35"/>
      <c r="AE698" s="99"/>
      <c r="AF698" s="99"/>
      <c r="AG698" s="35"/>
      <c r="AH698" s="35"/>
      <c r="AI698" s="35"/>
      <c r="AJ698" s="1"/>
      <c r="AK698" s="1"/>
      <c r="AL698" s="1"/>
      <c r="AM698" s="1"/>
      <c r="AN698" s="1"/>
      <c r="AO698" s="1"/>
      <c r="AP698"/>
      <c r="AQ698"/>
      <c r="AR698"/>
      <c r="AS698"/>
      <c r="AT698" s="50"/>
      <c r="AU698" s="97"/>
      <c r="AV698" s="97"/>
      <c r="AW698" s="97"/>
      <c r="AX698" s="97"/>
      <c r="AY698" s="97"/>
      <c r="BD698" s="35"/>
      <c r="BE698" s="35"/>
      <c r="BV698" s="98"/>
      <c r="BW698" s="98"/>
      <c r="BX698" s="98"/>
      <c r="BY698" s="112"/>
      <c r="BZ698" s="112"/>
      <c r="CA698" s="112"/>
      <c r="CB698" s="98"/>
      <c r="CC698" s="98"/>
      <c r="CD698" s="98"/>
      <c r="CE698" s="98"/>
      <c r="CG698" s="100"/>
      <c r="CH698" s="100"/>
      <c r="CI698" s="100"/>
      <c r="CJ698" s="100"/>
      <c r="CK698" s="100"/>
      <c r="CL698" s="100"/>
      <c r="CM698" s="100"/>
      <c r="CN698" s="100"/>
      <c r="CO698" s="100"/>
      <c r="CP698" s="100"/>
      <c r="CQ698" s="100"/>
      <c r="CR698" s="100"/>
      <c r="CS698" s="100"/>
      <c r="CT698" s="100"/>
      <c r="CU698" s="100"/>
    </row>
    <row r="699" spans="6:99" s="36" customFormat="1" ht="11.1" customHeight="1" x14ac:dyDescent="0.25">
      <c r="F699" s="33"/>
      <c r="G699" s="33"/>
      <c r="H699" s="33"/>
      <c r="I699" s="34"/>
      <c r="J699" s="34"/>
      <c r="K699" s="14"/>
      <c r="L699" s="32"/>
      <c r="M699" s="14"/>
      <c r="N699" s="14"/>
      <c r="O699" s="2"/>
      <c r="P699"/>
      <c r="Q699" s="2"/>
      <c r="R699"/>
      <c r="S699"/>
      <c r="T699"/>
      <c r="U699" s="2"/>
      <c r="V699" s="2"/>
      <c r="W699" s="2"/>
      <c r="X699" s="2"/>
      <c r="Y699" s="2"/>
      <c r="Z699" s="11"/>
      <c r="AA699" s="15"/>
      <c r="AB699" s="15"/>
      <c r="AC699" s="15"/>
      <c r="AD699" s="35"/>
      <c r="AE699" s="99"/>
      <c r="AF699" s="99"/>
      <c r="AG699" s="35"/>
      <c r="AH699" s="35"/>
      <c r="AI699" s="35"/>
      <c r="AJ699" s="1"/>
      <c r="AK699" s="1"/>
      <c r="AL699" s="1"/>
      <c r="AM699" s="1"/>
      <c r="AN699" s="1"/>
      <c r="AO699" s="1"/>
      <c r="AP699"/>
      <c r="AQ699"/>
      <c r="AR699"/>
      <c r="AS699"/>
      <c r="AT699" s="50"/>
      <c r="AU699" s="97"/>
      <c r="AV699" s="97"/>
      <c r="AW699" s="97"/>
      <c r="AX699" s="97"/>
      <c r="AY699" s="97"/>
      <c r="BD699" s="35"/>
      <c r="BE699" s="35"/>
      <c r="BV699" s="98"/>
      <c r="BW699" s="98"/>
      <c r="BX699" s="98"/>
      <c r="BY699" s="112"/>
      <c r="BZ699" s="112"/>
      <c r="CA699" s="112"/>
      <c r="CB699" s="98"/>
      <c r="CC699" s="98"/>
      <c r="CD699" s="98"/>
      <c r="CE699" s="98"/>
      <c r="CG699" s="100"/>
      <c r="CH699" s="100"/>
      <c r="CI699" s="100"/>
      <c r="CJ699" s="100"/>
      <c r="CK699" s="100"/>
      <c r="CL699" s="100"/>
      <c r="CM699" s="100"/>
      <c r="CN699" s="100"/>
      <c r="CO699" s="100"/>
      <c r="CP699" s="100"/>
      <c r="CQ699" s="100"/>
      <c r="CR699" s="100"/>
      <c r="CS699" s="100"/>
      <c r="CT699" s="100"/>
      <c r="CU699" s="100"/>
    </row>
    <row r="700" spans="6:99" s="36" customFormat="1" ht="11.1" customHeight="1" x14ac:dyDescent="0.25">
      <c r="F700" s="33"/>
      <c r="G700" s="33"/>
      <c r="H700" s="33"/>
      <c r="I700" s="34"/>
      <c r="J700" s="34"/>
      <c r="K700" s="14"/>
      <c r="L700" s="32"/>
      <c r="M700" s="14"/>
      <c r="N700" s="14"/>
      <c r="O700" s="2"/>
      <c r="P700"/>
      <c r="Q700" s="2"/>
      <c r="R700"/>
      <c r="S700"/>
      <c r="T700"/>
      <c r="U700" s="2"/>
      <c r="V700" s="2"/>
      <c r="W700" s="2"/>
      <c r="X700" s="2"/>
      <c r="Y700" s="2"/>
      <c r="Z700" s="11"/>
      <c r="AA700" s="15"/>
      <c r="AB700" s="15"/>
      <c r="AC700" s="15"/>
      <c r="AD700" s="35"/>
      <c r="AE700" s="99"/>
      <c r="AF700" s="99"/>
      <c r="AG700" s="35"/>
      <c r="AH700" s="35"/>
      <c r="AI700" s="35"/>
      <c r="AJ700" s="1"/>
      <c r="AK700" s="1"/>
      <c r="AL700" s="1"/>
      <c r="AM700" s="1"/>
      <c r="AN700" s="1"/>
      <c r="AO700" s="1"/>
      <c r="AP700"/>
      <c r="AQ700"/>
      <c r="AR700"/>
      <c r="AS700"/>
      <c r="AT700" s="50"/>
      <c r="AU700" s="97"/>
      <c r="AV700" s="97"/>
      <c r="AW700" s="97"/>
      <c r="AX700" s="97"/>
      <c r="AY700" s="97"/>
      <c r="BD700" s="35"/>
      <c r="BE700" s="35"/>
      <c r="BV700" s="98"/>
      <c r="BW700" s="98"/>
      <c r="BX700" s="98"/>
      <c r="BY700" s="112"/>
      <c r="BZ700" s="112"/>
      <c r="CA700" s="112"/>
      <c r="CB700" s="98"/>
      <c r="CC700" s="98"/>
      <c r="CD700" s="98"/>
      <c r="CE700" s="98"/>
      <c r="CG700" s="100"/>
      <c r="CH700" s="100"/>
      <c r="CI700" s="100"/>
      <c r="CJ700" s="100"/>
      <c r="CK700" s="100"/>
      <c r="CL700" s="100"/>
      <c r="CM700" s="100"/>
      <c r="CN700" s="100"/>
      <c r="CO700" s="100"/>
      <c r="CP700" s="100"/>
      <c r="CQ700" s="100"/>
      <c r="CR700" s="100"/>
      <c r="CS700" s="100"/>
      <c r="CT700" s="100"/>
      <c r="CU700" s="100"/>
    </row>
    <row r="701" spans="6:99" s="36" customFormat="1" ht="11.1" customHeight="1" x14ac:dyDescent="0.25">
      <c r="F701" s="33"/>
      <c r="G701" s="33"/>
      <c r="H701" s="33"/>
      <c r="I701" s="34"/>
      <c r="J701" s="34"/>
      <c r="K701" s="14"/>
      <c r="L701" s="32"/>
      <c r="M701" s="14"/>
      <c r="N701" s="14"/>
      <c r="O701" s="2"/>
      <c r="P701"/>
      <c r="Q701" s="2"/>
      <c r="R701"/>
      <c r="S701"/>
      <c r="T701"/>
      <c r="U701" s="2"/>
      <c r="V701" s="2"/>
      <c r="W701" s="2"/>
      <c r="X701" s="2"/>
      <c r="Y701" s="2"/>
      <c r="Z701" s="11"/>
      <c r="AA701" s="15"/>
      <c r="AB701" s="15"/>
      <c r="AC701" s="15"/>
      <c r="AD701" s="35"/>
      <c r="AE701" s="99"/>
      <c r="AF701" s="99"/>
      <c r="AG701" s="35"/>
      <c r="AH701" s="35"/>
      <c r="AI701" s="35"/>
      <c r="AJ701" s="1"/>
      <c r="AK701" s="1"/>
      <c r="AL701" s="1"/>
      <c r="AM701" s="1"/>
      <c r="AN701" s="1"/>
      <c r="AO701" s="1"/>
      <c r="AP701"/>
      <c r="AQ701"/>
      <c r="AR701"/>
      <c r="AS701"/>
      <c r="AT701" s="50"/>
      <c r="AU701" s="97"/>
      <c r="AV701" s="97"/>
      <c r="AW701" s="97"/>
      <c r="AX701" s="97"/>
      <c r="AY701" s="97"/>
      <c r="BD701" s="35"/>
      <c r="BE701" s="35"/>
      <c r="BV701" s="98"/>
      <c r="BW701" s="98"/>
      <c r="BX701" s="98"/>
      <c r="BY701" s="112"/>
      <c r="BZ701" s="112"/>
      <c r="CA701" s="112"/>
      <c r="CB701" s="98"/>
      <c r="CC701" s="98"/>
      <c r="CD701" s="98"/>
      <c r="CE701" s="98"/>
      <c r="CG701" s="100"/>
      <c r="CH701" s="100"/>
      <c r="CI701" s="100"/>
      <c r="CJ701" s="100"/>
      <c r="CK701" s="100"/>
      <c r="CL701" s="100"/>
      <c r="CM701" s="100"/>
      <c r="CN701" s="100"/>
      <c r="CO701" s="100"/>
      <c r="CP701" s="100"/>
      <c r="CQ701" s="100"/>
      <c r="CR701" s="100"/>
      <c r="CS701" s="100"/>
      <c r="CT701" s="100"/>
      <c r="CU701" s="100"/>
    </row>
    <row r="702" spans="6:99" s="36" customFormat="1" ht="11.1" customHeight="1" x14ac:dyDescent="0.25">
      <c r="F702" s="33"/>
      <c r="G702" s="33"/>
      <c r="H702" s="33"/>
      <c r="I702" s="34"/>
      <c r="J702" s="34"/>
      <c r="K702" s="14"/>
      <c r="L702" s="32"/>
      <c r="M702" s="14"/>
      <c r="N702" s="14"/>
      <c r="O702" s="2"/>
      <c r="P702"/>
      <c r="Q702" s="2"/>
      <c r="R702"/>
      <c r="S702"/>
      <c r="T702"/>
      <c r="U702" s="2"/>
      <c r="V702" s="2"/>
      <c r="W702" s="2"/>
      <c r="X702" s="2"/>
      <c r="Y702" s="2"/>
      <c r="Z702" s="11"/>
      <c r="AA702" s="15"/>
      <c r="AB702" s="15"/>
      <c r="AC702" s="15"/>
      <c r="AD702" s="35"/>
      <c r="AE702" s="99"/>
      <c r="AF702" s="99"/>
      <c r="AG702" s="35"/>
      <c r="AH702" s="35"/>
      <c r="AI702" s="35"/>
      <c r="AJ702" s="1"/>
      <c r="AK702" s="1"/>
      <c r="AL702" s="1"/>
      <c r="AM702" s="1"/>
      <c r="AN702" s="1"/>
      <c r="AO702" s="1"/>
      <c r="AP702"/>
      <c r="AQ702"/>
      <c r="AR702"/>
      <c r="AS702"/>
      <c r="AT702" s="50"/>
      <c r="AU702" s="97"/>
      <c r="AV702" s="97"/>
      <c r="AW702" s="97"/>
      <c r="AX702" s="97"/>
      <c r="AY702" s="97"/>
      <c r="BD702" s="35"/>
      <c r="BE702" s="35"/>
      <c r="BV702" s="98"/>
      <c r="BW702" s="98"/>
      <c r="BX702" s="98"/>
      <c r="BY702" s="112"/>
      <c r="BZ702" s="112"/>
      <c r="CA702" s="112"/>
      <c r="CB702" s="98"/>
      <c r="CC702" s="98"/>
      <c r="CD702" s="98"/>
      <c r="CE702" s="98"/>
      <c r="CG702" s="100"/>
      <c r="CH702" s="100"/>
      <c r="CI702" s="100"/>
      <c r="CJ702" s="100"/>
      <c r="CK702" s="100"/>
      <c r="CL702" s="100"/>
      <c r="CM702" s="100"/>
      <c r="CN702" s="100"/>
      <c r="CO702" s="100"/>
      <c r="CP702" s="100"/>
      <c r="CQ702" s="100"/>
      <c r="CR702" s="100"/>
      <c r="CS702" s="100"/>
      <c r="CT702" s="100"/>
      <c r="CU702" s="100"/>
    </row>
    <row r="703" spans="6:99" s="36" customFormat="1" ht="11.1" customHeight="1" x14ac:dyDescent="0.25">
      <c r="F703" s="33"/>
      <c r="G703" s="33"/>
      <c r="H703" s="33"/>
      <c r="I703" s="34"/>
      <c r="J703" s="34"/>
      <c r="K703" s="14"/>
      <c r="L703" s="32"/>
      <c r="M703" s="14"/>
      <c r="N703" s="14"/>
      <c r="O703" s="2"/>
      <c r="P703"/>
      <c r="Q703" s="2"/>
      <c r="R703"/>
      <c r="S703"/>
      <c r="T703"/>
      <c r="U703" s="2"/>
      <c r="V703" s="2"/>
      <c r="W703" s="2"/>
      <c r="X703" s="2"/>
      <c r="Y703" s="2"/>
      <c r="Z703" s="11"/>
      <c r="AA703" s="15"/>
      <c r="AB703" s="15"/>
      <c r="AC703" s="15"/>
      <c r="AD703" s="35"/>
      <c r="AE703" s="99"/>
      <c r="AF703" s="99"/>
      <c r="AG703" s="35"/>
      <c r="AH703" s="35"/>
      <c r="AI703" s="35"/>
      <c r="AJ703" s="1"/>
      <c r="AK703" s="1"/>
      <c r="AL703" s="1"/>
      <c r="AM703" s="1"/>
      <c r="AN703" s="1"/>
      <c r="AO703" s="1"/>
      <c r="AP703"/>
      <c r="AQ703"/>
      <c r="AR703"/>
      <c r="AS703"/>
      <c r="AT703" s="50"/>
      <c r="AU703" s="97"/>
      <c r="AV703" s="97"/>
      <c r="AW703" s="97"/>
      <c r="AX703" s="97"/>
      <c r="AY703" s="97"/>
      <c r="BD703" s="35"/>
      <c r="BE703" s="35"/>
      <c r="BV703" s="98"/>
      <c r="BW703" s="98"/>
      <c r="BX703" s="98"/>
      <c r="BY703" s="112"/>
      <c r="BZ703" s="112"/>
      <c r="CA703" s="112"/>
      <c r="CB703" s="98"/>
      <c r="CC703" s="98"/>
      <c r="CD703" s="98"/>
      <c r="CE703" s="98"/>
      <c r="CG703" s="100"/>
      <c r="CH703" s="100"/>
      <c r="CI703" s="100"/>
      <c r="CJ703" s="100"/>
      <c r="CK703" s="100"/>
      <c r="CL703" s="100"/>
      <c r="CM703" s="100"/>
      <c r="CN703" s="100"/>
      <c r="CO703" s="100"/>
      <c r="CP703" s="100"/>
      <c r="CQ703" s="100"/>
      <c r="CR703" s="100"/>
      <c r="CS703" s="100"/>
      <c r="CT703" s="100"/>
      <c r="CU703" s="100"/>
    </row>
    <row r="704" spans="6:99" s="36" customFormat="1" ht="11.1" customHeight="1" x14ac:dyDescent="0.25">
      <c r="F704" s="33"/>
      <c r="G704" s="33"/>
      <c r="H704" s="33"/>
      <c r="I704" s="34"/>
      <c r="J704" s="34"/>
      <c r="K704" s="14"/>
      <c r="L704" s="32"/>
      <c r="M704" s="14"/>
      <c r="N704" s="14"/>
      <c r="O704" s="2"/>
      <c r="P704"/>
      <c r="Q704" s="2"/>
      <c r="R704"/>
      <c r="S704"/>
      <c r="T704"/>
      <c r="U704" s="2"/>
      <c r="V704" s="2"/>
      <c r="W704" s="2"/>
      <c r="X704" s="2"/>
      <c r="Y704" s="2"/>
      <c r="Z704" s="11"/>
      <c r="AA704" s="15"/>
      <c r="AB704" s="15"/>
      <c r="AC704" s="15"/>
      <c r="AD704" s="35"/>
      <c r="AE704" s="99"/>
      <c r="AF704" s="99"/>
      <c r="AG704" s="35"/>
      <c r="AH704" s="35"/>
      <c r="AI704" s="35"/>
      <c r="AJ704" s="1"/>
      <c r="AK704" s="1"/>
      <c r="AL704" s="1"/>
      <c r="AM704" s="1"/>
      <c r="AN704" s="1"/>
      <c r="AO704" s="1"/>
      <c r="AP704"/>
      <c r="AQ704"/>
      <c r="AR704"/>
      <c r="AS704"/>
      <c r="AT704" s="50"/>
      <c r="AU704" s="97"/>
      <c r="AV704" s="97"/>
      <c r="AW704" s="97"/>
      <c r="AX704" s="97"/>
      <c r="AY704" s="97"/>
      <c r="BD704" s="35"/>
      <c r="BE704" s="35"/>
      <c r="BV704" s="98"/>
      <c r="BW704" s="98"/>
      <c r="BX704" s="98"/>
      <c r="BY704" s="112"/>
      <c r="BZ704" s="112"/>
      <c r="CA704" s="112"/>
      <c r="CB704" s="98"/>
      <c r="CC704" s="98"/>
      <c r="CD704" s="98"/>
      <c r="CE704" s="98"/>
      <c r="CG704" s="100"/>
      <c r="CH704" s="100"/>
      <c r="CI704" s="100"/>
      <c r="CJ704" s="100"/>
      <c r="CK704" s="100"/>
      <c r="CL704" s="100"/>
      <c r="CM704" s="100"/>
      <c r="CN704" s="100"/>
      <c r="CO704" s="100"/>
      <c r="CP704" s="100"/>
      <c r="CQ704" s="100"/>
      <c r="CR704" s="100"/>
      <c r="CS704" s="100"/>
      <c r="CT704" s="100"/>
      <c r="CU704" s="100"/>
    </row>
    <row r="705" spans="6:99" s="36" customFormat="1" ht="11.1" customHeight="1" x14ac:dyDescent="0.25">
      <c r="F705" s="33"/>
      <c r="G705" s="33"/>
      <c r="H705" s="33"/>
      <c r="I705" s="34"/>
      <c r="J705" s="34"/>
      <c r="K705" s="14"/>
      <c r="L705" s="32"/>
      <c r="M705" s="14"/>
      <c r="N705" s="14"/>
      <c r="O705" s="2"/>
      <c r="P705"/>
      <c r="Q705" s="2"/>
      <c r="R705"/>
      <c r="S705"/>
      <c r="T705"/>
      <c r="U705" s="2"/>
      <c r="V705" s="2"/>
      <c r="W705" s="2"/>
      <c r="X705" s="2"/>
      <c r="Y705" s="2"/>
      <c r="Z705" s="11"/>
      <c r="AA705" s="15"/>
      <c r="AB705" s="15"/>
      <c r="AC705" s="15"/>
      <c r="AD705" s="35"/>
      <c r="AE705" s="99"/>
      <c r="AF705" s="99"/>
      <c r="AG705" s="35"/>
      <c r="AH705" s="35"/>
      <c r="AI705" s="35"/>
      <c r="AJ705" s="1"/>
      <c r="AK705" s="1"/>
      <c r="AL705" s="1"/>
      <c r="AM705" s="1"/>
      <c r="AN705" s="1"/>
      <c r="AO705" s="1"/>
      <c r="AP705"/>
      <c r="AQ705"/>
      <c r="AR705"/>
      <c r="AS705"/>
      <c r="AT705" s="50"/>
      <c r="AU705" s="97"/>
      <c r="AV705" s="97"/>
      <c r="AW705" s="97"/>
      <c r="AX705" s="97"/>
      <c r="AY705" s="97"/>
      <c r="BD705" s="35"/>
      <c r="BE705" s="35"/>
      <c r="BV705" s="98"/>
      <c r="BW705" s="98"/>
      <c r="BX705" s="98"/>
      <c r="BY705" s="112"/>
      <c r="BZ705" s="112"/>
      <c r="CA705" s="112"/>
      <c r="CB705" s="98"/>
      <c r="CC705" s="98"/>
      <c r="CD705" s="98"/>
      <c r="CE705" s="98"/>
      <c r="CG705" s="100"/>
      <c r="CH705" s="100"/>
      <c r="CI705" s="100"/>
      <c r="CJ705" s="100"/>
      <c r="CK705" s="100"/>
      <c r="CL705" s="100"/>
      <c r="CM705" s="100"/>
      <c r="CN705" s="100"/>
      <c r="CO705" s="100"/>
      <c r="CP705" s="100"/>
      <c r="CQ705" s="100"/>
      <c r="CR705" s="100"/>
      <c r="CS705" s="100"/>
      <c r="CT705" s="100"/>
      <c r="CU705" s="100"/>
    </row>
    <row r="706" spans="6:99" s="36" customFormat="1" ht="11.1" customHeight="1" x14ac:dyDescent="0.25">
      <c r="F706" s="33"/>
      <c r="G706" s="33"/>
      <c r="H706" s="33"/>
      <c r="I706" s="34"/>
      <c r="J706" s="34"/>
      <c r="K706" s="14"/>
      <c r="L706" s="32"/>
      <c r="M706" s="14"/>
      <c r="N706" s="14"/>
      <c r="O706" s="2"/>
      <c r="P706"/>
      <c r="Q706" s="2"/>
      <c r="R706"/>
      <c r="S706"/>
      <c r="T706"/>
      <c r="U706" s="2"/>
      <c r="V706" s="2"/>
      <c r="W706" s="2"/>
      <c r="X706" s="2"/>
      <c r="Y706" s="2"/>
      <c r="Z706" s="11"/>
      <c r="AA706" s="15"/>
      <c r="AB706" s="15"/>
      <c r="AC706" s="15"/>
      <c r="AD706" s="35"/>
      <c r="AE706" s="99"/>
      <c r="AF706" s="99"/>
      <c r="AG706" s="35"/>
      <c r="AH706" s="35"/>
      <c r="AI706" s="35"/>
      <c r="AJ706" s="1"/>
      <c r="AK706" s="1"/>
      <c r="AL706" s="1"/>
      <c r="AM706" s="1"/>
      <c r="AN706" s="1"/>
      <c r="AO706" s="1"/>
      <c r="AP706"/>
      <c r="AQ706"/>
      <c r="AR706"/>
      <c r="AS706"/>
      <c r="AT706" s="50"/>
      <c r="AU706" s="97"/>
      <c r="AV706" s="97"/>
      <c r="AW706" s="97"/>
      <c r="AX706" s="97"/>
      <c r="AY706" s="97"/>
      <c r="BD706" s="35"/>
      <c r="BE706" s="35"/>
      <c r="BV706" s="98"/>
      <c r="BW706" s="98"/>
      <c r="BX706" s="98"/>
      <c r="BY706" s="112"/>
      <c r="BZ706" s="112"/>
      <c r="CA706" s="112"/>
      <c r="CB706" s="98"/>
      <c r="CC706" s="98"/>
      <c r="CD706" s="98"/>
      <c r="CE706" s="98"/>
      <c r="CG706" s="100"/>
      <c r="CH706" s="100"/>
      <c r="CI706" s="100"/>
      <c r="CJ706" s="100"/>
      <c r="CK706" s="100"/>
      <c r="CL706" s="100"/>
      <c r="CM706" s="100"/>
      <c r="CN706" s="100"/>
      <c r="CO706" s="100"/>
      <c r="CP706" s="100"/>
      <c r="CQ706" s="100"/>
      <c r="CR706" s="100"/>
      <c r="CS706" s="100"/>
      <c r="CT706" s="100"/>
      <c r="CU706" s="100"/>
    </row>
    <row r="707" spans="6:99" s="36" customFormat="1" ht="11.1" customHeight="1" x14ac:dyDescent="0.25">
      <c r="F707" s="33"/>
      <c r="G707" s="33"/>
      <c r="H707" s="33"/>
      <c r="I707" s="34"/>
      <c r="J707" s="34"/>
      <c r="K707" s="14"/>
      <c r="L707" s="32"/>
      <c r="M707" s="14"/>
      <c r="N707" s="14"/>
      <c r="O707" s="2"/>
      <c r="P707"/>
      <c r="Q707" s="2"/>
      <c r="R707"/>
      <c r="S707"/>
      <c r="T707"/>
      <c r="U707" s="2"/>
      <c r="V707" s="2"/>
      <c r="W707" s="2"/>
      <c r="X707" s="2"/>
      <c r="Y707" s="2"/>
      <c r="Z707" s="11"/>
      <c r="AA707" s="15"/>
      <c r="AB707" s="15"/>
      <c r="AC707" s="15"/>
      <c r="AD707" s="35"/>
      <c r="AE707" s="99"/>
      <c r="AF707" s="99"/>
      <c r="AG707" s="35"/>
      <c r="AH707" s="35"/>
      <c r="AI707" s="35"/>
      <c r="AJ707" s="1"/>
      <c r="AK707" s="1"/>
      <c r="AL707" s="1"/>
      <c r="AM707" s="1"/>
      <c r="AN707" s="1"/>
      <c r="AO707" s="1"/>
      <c r="AP707"/>
      <c r="AQ707"/>
      <c r="AR707"/>
      <c r="AS707"/>
      <c r="AT707" s="50"/>
      <c r="AU707" s="97"/>
      <c r="AV707" s="97"/>
      <c r="AW707" s="97"/>
      <c r="AX707" s="97"/>
      <c r="AY707" s="97"/>
      <c r="BD707" s="35"/>
      <c r="BE707" s="35"/>
      <c r="BV707" s="98"/>
      <c r="BW707" s="98"/>
      <c r="BX707" s="98"/>
      <c r="BY707" s="112"/>
      <c r="BZ707" s="112"/>
      <c r="CA707" s="112"/>
      <c r="CB707" s="98"/>
      <c r="CC707" s="98"/>
      <c r="CD707" s="98"/>
      <c r="CE707" s="98"/>
      <c r="CG707" s="100"/>
      <c r="CH707" s="100"/>
      <c r="CI707" s="100"/>
      <c r="CJ707" s="100"/>
      <c r="CK707" s="100"/>
      <c r="CL707" s="100"/>
      <c r="CM707" s="100"/>
      <c r="CN707" s="100"/>
      <c r="CO707" s="100"/>
      <c r="CP707" s="100"/>
      <c r="CQ707" s="100"/>
      <c r="CR707" s="100"/>
      <c r="CS707" s="100"/>
      <c r="CT707" s="100"/>
      <c r="CU707" s="100"/>
    </row>
    <row r="708" spans="6:99" s="36" customFormat="1" ht="11.1" customHeight="1" x14ac:dyDescent="0.25">
      <c r="F708" s="33"/>
      <c r="G708" s="33"/>
      <c r="H708" s="33"/>
      <c r="I708" s="34"/>
      <c r="J708" s="34"/>
      <c r="K708" s="14"/>
      <c r="L708" s="32"/>
      <c r="M708" s="14"/>
      <c r="N708" s="14"/>
      <c r="O708" s="2"/>
      <c r="P708"/>
      <c r="Q708" s="2"/>
      <c r="R708"/>
      <c r="S708"/>
      <c r="T708"/>
      <c r="U708" s="2"/>
      <c r="V708" s="2"/>
      <c r="W708" s="2"/>
      <c r="X708" s="2"/>
      <c r="Y708" s="2"/>
      <c r="Z708" s="11"/>
      <c r="AA708" s="15"/>
      <c r="AB708" s="15"/>
      <c r="AC708" s="15"/>
      <c r="AD708" s="35"/>
      <c r="AE708" s="99"/>
      <c r="AF708" s="99"/>
      <c r="AG708" s="35"/>
      <c r="AH708" s="35"/>
      <c r="AI708" s="35"/>
      <c r="AJ708" s="1"/>
      <c r="AK708" s="1"/>
      <c r="AL708" s="1"/>
      <c r="AM708" s="1"/>
      <c r="AN708" s="1"/>
      <c r="AO708" s="1"/>
      <c r="AP708"/>
      <c r="AQ708"/>
      <c r="AR708"/>
      <c r="AS708"/>
      <c r="AT708" s="50"/>
      <c r="AU708" s="97"/>
      <c r="AV708" s="97"/>
      <c r="AW708" s="97"/>
      <c r="AX708" s="97"/>
      <c r="AY708" s="97"/>
      <c r="BD708" s="35"/>
      <c r="BE708" s="35"/>
      <c r="BV708" s="98"/>
      <c r="BW708" s="98"/>
      <c r="BX708" s="98"/>
      <c r="BY708" s="112"/>
      <c r="BZ708" s="112"/>
      <c r="CA708" s="112"/>
      <c r="CB708" s="98"/>
      <c r="CC708" s="98"/>
      <c r="CD708" s="98"/>
      <c r="CE708" s="98"/>
      <c r="CG708" s="100"/>
      <c r="CH708" s="100"/>
      <c r="CI708" s="100"/>
      <c r="CJ708" s="100"/>
      <c r="CK708" s="100"/>
      <c r="CL708" s="100"/>
      <c r="CM708" s="100"/>
      <c r="CN708" s="100"/>
      <c r="CO708" s="100"/>
      <c r="CP708" s="100"/>
      <c r="CQ708" s="100"/>
      <c r="CR708" s="100"/>
      <c r="CS708" s="100"/>
      <c r="CT708" s="100"/>
      <c r="CU708" s="100"/>
    </row>
    <row r="709" spans="6:99" s="36" customFormat="1" ht="11.1" customHeight="1" x14ac:dyDescent="0.25">
      <c r="F709" s="33"/>
      <c r="G709" s="33"/>
      <c r="H709" s="33"/>
      <c r="I709" s="34"/>
      <c r="J709" s="34"/>
      <c r="K709" s="14"/>
      <c r="L709" s="32"/>
      <c r="M709" s="14"/>
      <c r="N709" s="14"/>
      <c r="O709" s="2"/>
      <c r="P709"/>
      <c r="Q709" s="2"/>
      <c r="R709"/>
      <c r="S709"/>
      <c r="T709"/>
      <c r="U709" s="2"/>
      <c r="V709" s="2"/>
      <c r="W709" s="2"/>
      <c r="X709" s="2"/>
      <c r="Y709" s="2"/>
      <c r="Z709" s="11"/>
      <c r="AA709" s="15"/>
      <c r="AB709" s="15"/>
      <c r="AC709" s="15"/>
      <c r="AD709" s="35"/>
      <c r="AE709" s="99"/>
      <c r="AF709" s="99"/>
      <c r="AG709" s="35"/>
      <c r="AH709" s="35"/>
      <c r="AI709" s="35"/>
      <c r="AJ709" s="1"/>
      <c r="AK709" s="1"/>
      <c r="AL709" s="1"/>
      <c r="AM709" s="1"/>
      <c r="AN709" s="1"/>
      <c r="AO709" s="1"/>
      <c r="AP709"/>
      <c r="AQ709"/>
      <c r="AR709"/>
      <c r="AS709"/>
      <c r="AT709" s="50"/>
      <c r="AU709" s="97"/>
      <c r="AV709" s="97"/>
      <c r="AW709" s="97"/>
      <c r="AX709" s="97"/>
      <c r="AY709" s="97"/>
      <c r="BD709" s="35"/>
      <c r="BE709" s="35"/>
      <c r="BV709" s="98"/>
      <c r="BW709" s="98"/>
      <c r="BX709" s="98"/>
      <c r="BY709" s="112"/>
      <c r="BZ709" s="112"/>
      <c r="CA709" s="112"/>
      <c r="CB709" s="98"/>
      <c r="CC709" s="98"/>
      <c r="CD709" s="98"/>
      <c r="CE709" s="98"/>
      <c r="CG709" s="100"/>
      <c r="CH709" s="100"/>
      <c r="CI709" s="100"/>
      <c r="CJ709" s="100"/>
      <c r="CK709" s="100"/>
      <c r="CL709" s="100"/>
      <c r="CM709" s="100"/>
      <c r="CN709" s="100"/>
      <c r="CO709" s="100"/>
      <c r="CP709" s="100"/>
      <c r="CQ709" s="100"/>
      <c r="CR709" s="100"/>
      <c r="CS709" s="100"/>
      <c r="CT709" s="100"/>
      <c r="CU709" s="100"/>
    </row>
    <row r="710" spans="6:99" s="36" customFormat="1" ht="11.1" customHeight="1" x14ac:dyDescent="0.25">
      <c r="F710" s="33"/>
      <c r="G710" s="33"/>
      <c r="H710" s="33"/>
      <c r="I710" s="34"/>
      <c r="J710" s="34"/>
      <c r="K710" s="14"/>
      <c r="L710" s="32"/>
      <c r="M710" s="14"/>
      <c r="N710" s="14"/>
      <c r="O710" s="2"/>
      <c r="P710"/>
      <c r="Q710" s="2"/>
      <c r="R710"/>
      <c r="S710"/>
      <c r="T710"/>
      <c r="U710" s="2"/>
      <c r="V710" s="2"/>
      <c r="W710" s="2"/>
      <c r="X710" s="2"/>
      <c r="Y710" s="2"/>
      <c r="Z710" s="11"/>
      <c r="AA710" s="15"/>
      <c r="AB710" s="15"/>
      <c r="AC710" s="15"/>
      <c r="AD710" s="35"/>
      <c r="AE710" s="99"/>
      <c r="AF710" s="99"/>
      <c r="AG710" s="35"/>
      <c r="AH710" s="35"/>
      <c r="AI710" s="35"/>
      <c r="AJ710" s="1"/>
      <c r="AK710" s="1"/>
      <c r="AL710" s="1"/>
      <c r="AM710" s="1"/>
      <c r="AN710" s="1"/>
      <c r="AO710" s="1"/>
      <c r="AP710"/>
      <c r="AQ710"/>
      <c r="AR710"/>
      <c r="AS710"/>
      <c r="AT710" s="50"/>
      <c r="AU710" s="97"/>
      <c r="AV710" s="97"/>
      <c r="AW710" s="97"/>
      <c r="AX710" s="97"/>
      <c r="AY710" s="97"/>
      <c r="BD710" s="35"/>
      <c r="BE710" s="35"/>
      <c r="BV710" s="98"/>
      <c r="BW710" s="98"/>
      <c r="BX710" s="98"/>
      <c r="BY710" s="112"/>
      <c r="BZ710" s="112"/>
      <c r="CA710" s="112"/>
      <c r="CB710" s="98"/>
      <c r="CC710" s="98"/>
      <c r="CD710" s="98"/>
      <c r="CE710" s="98"/>
      <c r="CG710" s="100"/>
      <c r="CH710" s="100"/>
      <c r="CI710" s="100"/>
      <c r="CJ710" s="100"/>
      <c r="CK710" s="100"/>
      <c r="CL710" s="100"/>
      <c r="CM710" s="100"/>
      <c r="CN710" s="100"/>
      <c r="CO710" s="100"/>
      <c r="CP710" s="100"/>
      <c r="CQ710" s="100"/>
      <c r="CR710" s="100"/>
      <c r="CS710" s="100"/>
      <c r="CT710" s="100"/>
      <c r="CU710" s="100"/>
    </row>
    <row r="711" spans="6:99" s="36" customFormat="1" ht="11.1" customHeight="1" x14ac:dyDescent="0.25">
      <c r="F711" s="33"/>
      <c r="G711" s="33"/>
      <c r="H711" s="33"/>
      <c r="I711" s="34"/>
      <c r="J711" s="34"/>
      <c r="K711" s="14"/>
      <c r="L711" s="32"/>
      <c r="M711" s="14"/>
      <c r="N711" s="14"/>
      <c r="O711" s="2"/>
      <c r="P711"/>
      <c r="Q711" s="2"/>
      <c r="R711"/>
      <c r="S711"/>
      <c r="T711"/>
      <c r="U711" s="2"/>
      <c r="V711" s="2"/>
      <c r="W711" s="2"/>
      <c r="X711" s="2"/>
      <c r="Y711" s="2"/>
      <c r="Z711" s="11"/>
      <c r="AA711" s="15"/>
      <c r="AB711" s="15"/>
      <c r="AC711" s="15"/>
      <c r="AD711" s="35"/>
      <c r="AE711" s="99"/>
      <c r="AF711" s="99"/>
      <c r="AG711" s="35"/>
      <c r="AH711" s="35"/>
      <c r="AI711" s="35"/>
      <c r="AJ711" s="1"/>
      <c r="AK711" s="1"/>
      <c r="AL711" s="1"/>
      <c r="AM711" s="1"/>
      <c r="AN711" s="1"/>
      <c r="AO711" s="1"/>
      <c r="AP711"/>
      <c r="AQ711"/>
      <c r="AR711"/>
      <c r="AS711"/>
      <c r="AT711" s="50"/>
      <c r="AU711" s="97"/>
      <c r="AV711" s="97"/>
      <c r="AW711" s="97"/>
      <c r="AX711" s="97"/>
      <c r="AY711" s="97"/>
      <c r="BD711" s="35"/>
      <c r="BE711" s="35"/>
      <c r="BV711" s="98"/>
      <c r="BW711" s="98"/>
      <c r="BX711" s="98"/>
      <c r="BY711" s="112"/>
      <c r="BZ711" s="112"/>
      <c r="CA711" s="112"/>
      <c r="CB711" s="98"/>
      <c r="CC711" s="98"/>
      <c r="CD711" s="98"/>
      <c r="CE711" s="98"/>
      <c r="CG711" s="100"/>
      <c r="CH711" s="100"/>
      <c r="CI711" s="100"/>
      <c r="CJ711" s="100"/>
      <c r="CK711" s="100"/>
      <c r="CL711" s="100"/>
      <c r="CM711" s="100"/>
      <c r="CN711" s="100"/>
      <c r="CO711" s="100"/>
      <c r="CP711" s="100"/>
      <c r="CQ711" s="100"/>
      <c r="CR711" s="100"/>
      <c r="CS711" s="100"/>
      <c r="CT711" s="100"/>
      <c r="CU711" s="100"/>
    </row>
    <row r="712" spans="6:99" s="36" customFormat="1" ht="11.1" customHeight="1" x14ac:dyDescent="0.25">
      <c r="F712" s="33"/>
      <c r="G712" s="33"/>
      <c r="H712" s="33"/>
      <c r="I712" s="34"/>
      <c r="J712" s="34"/>
      <c r="K712" s="14"/>
      <c r="L712" s="32"/>
      <c r="M712" s="14"/>
      <c r="N712" s="14"/>
      <c r="O712" s="2"/>
      <c r="P712"/>
      <c r="Q712" s="2"/>
      <c r="R712"/>
      <c r="S712"/>
      <c r="T712"/>
      <c r="U712" s="2"/>
      <c r="V712" s="2"/>
      <c r="W712" s="2"/>
      <c r="X712" s="2"/>
      <c r="Y712" s="2"/>
      <c r="Z712" s="11"/>
      <c r="AA712" s="15"/>
      <c r="AB712" s="15"/>
      <c r="AC712" s="15"/>
      <c r="AD712" s="35"/>
      <c r="AE712" s="99"/>
      <c r="AF712" s="99"/>
      <c r="AG712" s="35"/>
      <c r="AH712" s="35"/>
      <c r="AI712" s="35"/>
      <c r="AJ712" s="1"/>
      <c r="AK712" s="1"/>
      <c r="AL712" s="1"/>
      <c r="AM712" s="1"/>
      <c r="AN712" s="1"/>
      <c r="AO712" s="1"/>
      <c r="AP712"/>
      <c r="AQ712"/>
      <c r="AR712"/>
      <c r="AS712"/>
      <c r="AT712" s="50"/>
      <c r="AU712" s="97"/>
      <c r="AV712" s="97"/>
      <c r="AW712" s="97"/>
      <c r="AX712" s="97"/>
      <c r="AY712" s="97"/>
      <c r="BD712" s="35"/>
      <c r="BE712" s="35"/>
      <c r="BV712" s="98"/>
      <c r="BW712" s="98"/>
      <c r="BX712" s="98"/>
      <c r="BY712" s="112"/>
      <c r="BZ712" s="112"/>
      <c r="CA712" s="112"/>
      <c r="CB712" s="98"/>
      <c r="CC712" s="98"/>
      <c r="CD712" s="98"/>
      <c r="CE712" s="98"/>
      <c r="CG712" s="100"/>
      <c r="CH712" s="100"/>
      <c r="CI712" s="100"/>
      <c r="CJ712" s="100"/>
      <c r="CK712" s="100"/>
      <c r="CL712" s="100"/>
      <c r="CM712" s="100"/>
      <c r="CN712" s="100"/>
      <c r="CO712" s="100"/>
      <c r="CP712" s="100"/>
      <c r="CQ712" s="100"/>
      <c r="CR712" s="100"/>
      <c r="CS712" s="100"/>
      <c r="CT712" s="100"/>
      <c r="CU712" s="100"/>
    </row>
    <row r="713" spans="6:99" s="36" customFormat="1" ht="11.1" customHeight="1" x14ac:dyDescent="0.25">
      <c r="F713" s="33"/>
      <c r="G713" s="33"/>
      <c r="H713" s="33"/>
      <c r="I713" s="34"/>
      <c r="J713" s="34"/>
      <c r="K713" s="14"/>
      <c r="L713" s="32"/>
      <c r="M713" s="14"/>
      <c r="N713" s="14"/>
      <c r="O713" s="2"/>
      <c r="P713"/>
      <c r="Q713" s="2"/>
      <c r="R713"/>
      <c r="S713"/>
      <c r="T713"/>
      <c r="U713" s="2"/>
      <c r="V713" s="2"/>
      <c r="W713" s="2"/>
      <c r="X713" s="2"/>
      <c r="Y713" s="2"/>
      <c r="Z713" s="11"/>
      <c r="AA713" s="15"/>
      <c r="AB713" s="15"/>
      <c r="AC713" s="15"/>
      <c r="AD713" s="35"/>
      <c r="AE713" s="99"/>
      <c r="AF713" s="99"/>
      <c r="AG713" s="35"/>
      <c r="AH713" s="35"/>
      <c r="AI713" s="35"/>
      <c r="AJ713" s="1"/>
      <c r="AK713" s="1"/>
      <c r="AL713" s="1"/>
      <c r="AM713" s="1"/>
      <c r="AN713" s="1"/>
      <c r="AO713" s="1"/>
      <c r="AP713"/>
      <c r="AQ713"/>
      <c r="AR713"/>
      <c r="AS713"/>
      <c r="AT713" s="50"/>
      <c r="AU713" s="97"/>
      <c r="AV713" s="97"/>
      <c r="AW713" s="97"/>
      <c r="AX713" s="97"/>
      <c r="AY713" s="97"/>
      <c r="BD713" s="35"/>
      <c r="BE713" s="35"/>
      <c r="BV713" s="98"/>
      <c r="BW713" s="98"/>
      <c r="BX713" s="98"/>
      <c r="BY713" s="112"/>
      <c r="BZ713" s="112"/>
      <c r="CA713" s="112"/>
      <c r="CB713" s="98"/>
      <c r="CC713" s="98"/>
      <c r="CD713" s="98"/>
      <c r="CE713" s="98"/>
      <c r="CG713" s="100"/>
      <c r="CH713" s="100"/>
      <c r="CI713" s="100"/>
      <c r="CJ713" s="100"/>
      <c r="CK713" s="100"/>
      <c r="CL713" s="100"/>
      <c r="CM713" s="100"/>
      <c r="CN713" s="100"/>
      <c r="CO713" s="100"/>
      <c r="CP713" s="100"/>
      <c r="CQ713" s="100"/>
      <c r="CR713" s="100"/>
      <c r="CS713" s="100"/>
      <c r="CT713" s="100"/>
      <c r="CU713" s="100"/>
    </row>
    <row r="714" spans="6:99" s="36" customFormat="1" ht="11.1" customHeight="1" x14ac:dyDescent="0.25">
      <c r="F714" s="33"/>
      <c r="G714" s="33"/>
      <c r="H714" s="33"/>
      <c r="I714" s="34"/>
      <c r="J714" s="34"/>
      <c r="K714" s="14"/>
      <c r="L714" s="32"/>
      <c r="M714" s="14"/>
      <c r="N714" s="14"/>
      <c r="O714" s="2"/>
      <c r="P714"/>
      <c r="Q714" s="2"/>
      <c r="R714"/>
      <c r="S714"/>
      <c r="T714"/>
      <c r="U714" s="2"/>
      <c r="V714" s="2"/>
      <c r="W714" s="2"/>
      <c r="X714" s="2"/>
      <c r="Y714" s="2"/>
      <c r="Z714" s="11"/>
      <c r="AA714" s="15"/>
      <c r="AB714" s="15"/>
      <c r="AC714" s="15"/>
      <c r="AD714" s="35"/>
      <c r="AE714" s="99"/>
      <c r="AF714" s="99"/>
      <c r="AG714" s="35"/>
      <c r="AH714" s="35"/>
      <c r="AI714" s="35"/>
      <c r="AJ714" s="1"/>
      <c r="AK714" s="1"/>
      <c r="AL714" s="1"/>
      <c r="AM714" s="1"/>
      <c r="AN714" s="1"/>
      <c r="AO714" s="1"/>
      <c r="AP714"/>
      <c r="AQ714"/>
      <c r="AR714"/>
      <c r="AS714"/>
      <c r="AT714" s="50"/>
      <c r="AU714" s="97"/>
      <c r="AV714" s="97"/>
      <c r="AW714" s="97"/>
      <c r="AX714" s="97"/>
      <c r="AY714" s="97"/>
      <c r="BD714" s="35"/>
      <c r="BE714" s="35"/>
      <c r="BV714" s="98"/>
      <c r="BW714" s="98"/>
      <c r="BX714" s="98"/>
      <c r="BY714" s="112"/>
      <c r="BZ714" s="112"/>
      <c r="CA714" s="112"/>
      <c r="CB714" s="98"/>
      <c r="CC714" s="98"/>
      <c r="CD714" s="98"/>
      <c r="CE714" s="98"/>
      <c r="CG714" s="100"/>
      <c r="CH714" s="100"/>
      <c r="CI714" s="100"/>
      <c r="CJ714" s="100"/>
      <c r="CK714" s="100"/>
      <c r="CL714" s="100"/>
      <c r="CM714" s="100"/>
      <c r="CN714" s="100"/>
      <c r="CO714" s="100"/>
      <c r="CP714" s="100"/>
      <c r="CQ714" s="100"/>
      <c r="CR714" s="100"/>
      <c r="CS714" s="100"/>
      <c r="CT714" s="100"/>
      <c r="CU714" s="100"/>
    </row>
    <row r="715" spans="6:99" s="36" customFormat="1" ht="11.1" customHeight="1" x14ac:dyDescent="0.25">
      <c r="F715" s="33"/>
      <c r="G715" s="33"/>
      <c r="H715" s="33"/>
      <c r="I715" s="34"/>
      <c r="J715" s="34"/>
      <c r="K715" s="14"/>
      <c r="L715" s="32"/>
      <c r="M715" s="14"/>
      <c r="N715" s="14"/>
      <c r="O715" s="2"/>
      <c r="P715"/>
      <c r="Q715" s="2"/>
      <c r="R715"/>
      <c r="S715"/>
      <c r="T715"/>
      <c r="U715" s="2"/>
      <c r="V715" s="2"/>
      <c r="W715" s="2"/>
      <c r="X715" s="2"/>
      <c r="Y715" s="2"/>
      <c r="Z715" s="11"/>
      <c r="AA715" s="15"/>
      <c r="AB715" s="15"/>
      <c r="AC715" s="15"/>
      <c r="AD715" s="35"/>
      <c r="AE715" s="99"/>
      <c r="AF715" s="99"/>
      <c r="AG715" s="35"/>
      <c r="AH715" s="35"/>
      <c r="AI715" s="35"/>
      <c r="AJ715" s="1"/>
      <c r="AK715" s="1"/>
      <c r="AL715" s="1"/>
      <c r="AM715" s="1"/>
      <c r="AN715" s="1"/>
      <c r="AO715" s="1"/>
      <c r="AP715"/>
      <c r="AQ715"/>
      <c r="AR715"/>
      <c r="AS715"/>
      <c r="AT715" s="50"/>
      <c r="AU715" s="97"/>
      <c r="AV715" s="97"/>
      <c r="AW715" s="97"/>
      <c r="AX715" s="97"/>
      <c r="AY715" s="97"/>
      <c r="BD715" s="35"/>
      <c r="BE715" s="35"/>
      <c r="BV715" s="98"/>
      <c r="BW715" s="98"/>
      <c r="BX715" s="98"/>
      <c r="BY715" s="112"/>
      <c r="BZ715" s="112"/>
      <c r="CA715" s="112"/>
      <c r="CB715" s="98"/>
      <c r="CC715" s="98"/>
      <c r="CD715" s="98"/>
      <c r="CE715" s="98"/>
      <c r="CG715" s="100"/>
      <c r="CH715" s="100"/>
      <c r="CI715" s="100"/>
      <c r="CJ715" s="100"/>
      <c r="CK715" s="100"/>
      <c r="CL715" s="100"/>
      <c r="CM715" s="100"/>
      <c r="CN715" s="100"/>
      <c r="CO715" s="100"/>
      <c r="CP715" s="100"/>
      <c r="CQ715" s="100"/>
      <c r="CR715" s="100"/>
      <c r="CS715" s="100"/>
      <c r="CT715" s="100"/>
      <c r="CU715" s="100"/>
    </row>
    <row r="716" spans="6:99" s="36" customFormat="1" ht="11.1" customHeight="1" x14ac:dyDescent="0.25">
      <c r="F716" s="33"/>
      <c r="G716" s="33"/>
      <c r="H716" s="33"/>
      <c r="I716" s="34"/>
      <c r="J716" s="34"/>
      <c r="K716" s="14"/>
      <c r="L716" s="32"/>
      <c r="M716" s="14"/>
      <c r="N716" s="14"/>
      <c r="O716" s="2"/>
      <c r="P716"/>
      <c r="Q716" s="2"/>
      <c r="R716"/>
      <c r="S716"/>
      <c r="T716"/>
      <c r="U716" s="2"/>
      <c r="V716" s="2"/>
      <c r="W716" s="2"/>
      <c r="X716" s="2"/>
      <c r="Y716" s="2"/>
      <c r="Z716" s="11"/>
      <c r="AA716" s="15"/>
      <c r="AB716" s="15"/>
      <c r="AC716" s="15"/>
      <c r="AD716" s="35"/>
      <c r="AE716" s="99"/>
      <c r="AF716" s="99"/>
      <c r="AG716" s="35"/>
      <c r="AH716" s="35"/>
      <c r="AI716" s="35"/>
      <c r="AJ716" s="1"/>
      <c r="AK716" s="1"/>
      <c r="AL716" s="1"/>
      <c r="AM716" s="1"/>
      <c r="AN716" s="1"/>
      <c r="AO716" s="1"/>
      <c r="AP716"/>
      <c r="AQ716"/>
      <c r="AR716"/>
      <c r="AS716"/>
      <c r="AT716" s="50"/>
      <c r="AU716" s="97"/>
      <c r="AV716" s="97"/>
      <c r="AW716" s="97"/>
      <c r="AX716" s="97"/>
      <c r="AY716" s="97"/>
      <c r="BD716" s="35"/>
      <c r="BE716" s="35"/>
      <c r="BV716" s="98"/>
      <c r="BW716" s="98"/>
      <c r="BX716" s="98"/>
      <c r="BY716" s="112"/>
      <c r="BZ716" s="112"/>
      <c r="CA716" s="112"/>
      <c r="CB716" s="98"/>
      <c r="CC716" s="98"/>
      <c r="CD716" s="98"/>
      <c r="CE716" s="98"/>
      <c r="CG716" s="100"/>
      <c r="CH716" s="100"/>
      <c r="CI716" s="100"/>
      <c r="CJ716" s="100"/>
      <c r="CK716" s="100"/>
      <c r="CL716" s="100"/>
      <c r="CM716" s="100"/>
      <c r="CN716" s="100"/>
      <c r="CO716" s="100"/>
      <c r="CP716" s="100"/>
      <c r="CQ716" s="100"/>
      <c r="CR716" s="100"/>
      <c r="CS716" s="100"/>
      <c r="CT716" s="100"/>
      <c r="CU716" s="100"/>
    </row>
    <row r="717" spans="6:99" s="36" customFormat="1" ht="11.1" customHeight="1" x14ac:dyDescent="0.25">
      <c r="F717" s="33"/>
      <c r="G717" s="33"/>
      <c r="H717" s="33"/>
      <c r="I717" s="34"/>
      <c r="J717" s="34"/>
      <c r="K717" s="14"/>
      <c r="L717" s="32"/>
      <c r="M717" s="14"/>
      <c r="N717" s="14"/>
      <c r="O717" s="2"/>
      <c r="P717"/>
      <c r="Q717" s="2"/>
      <c r="R717"/>
      <c r="S717"/>
      <c r="T717"/>
      <c r="U717" s="2"/>
      <c r="V717" s="2"/>
      <c r="W717" s="2"/>
      <c r="X717" s="2"/>
      <c r="Y717" s="2"/>
      <c r="Z717" s="11"/>
      <c r="AA717" s="15"/>
      <c r="AB717" s="15"/>
      <c r="AC717" s="15"/>
      <c r="AD717" s="35"/>
      <c r="AE717" s="99"/>
      <c r="AF717" s="99"/>
      <c r="AG717" s="35"/>
      <c r="AH717" s="35"/>
      <c r="AI717" s="35"/>
      <c r="AJ717" s="1"/>
      <c r="AK717" s="1"/>
      <c r="AL717" s="1"/>
      <c r="AM717" s="1"/>
      <c r="AN717" s="1"/>
      <c r="AO717" s="1"/>
      <c r="AP717"/>
      <c r="AQ717"/>
      <c r="AR717"/>
      <c r="AS717"/>
      <c r="AT717" s="50"/>
      <c r="AU717" s="97"/>
      <c r="AV717" s="97"/>
      <c r="AW717" s="97"/>
      <c r="AX717" s="97"/>
      <c r="AY717" s="97"/>
      <c r="BD717" s="35"/>
      <c r="BE717" s="35"/>
      <c r="BV717" s="98"/>
      <c r="BW717" s="98"/>
      <c r="BX717" s="98"/>
      <c r="BY717" s="112"/>
      <c r="BZ717" s="112"/>
      <c r="CA717" s="112"/>
      <c r="CB717" s="98"/>
      <c r="CC717" s="98"/>
      <c r="CD717" s="98"/>
      <c r="CE717" s="98"/>
      <c r="CG717" s="100"/>
      <c r="CH717" s="100"/>
      <c r="CI717" s="100"/>
      <c r="CJ717" s="100"/>
      <c r="CK717" s="100"/>
      <c r="CL717" s="100"/>
      <c r="CM717" s="100"/>
      <c r="CN717" s="100"/>
      <c r="CO717" s="100"/>
      <c r="CP717" s="100"/>
      <c r="CQ717" s="100"/>
      <c r="CR717" s="100"/>
      <c r="CS717" s="100"/>
      <c r="CT717" s="100"/>
      <c r="CU717" s="100"/>
    </row>
    <row r="718" spans="6:99" s="36" customFormat="1" ht="11.1" customHeight="1" x14ac:dyDescent="0.25">
      <c r="F718" s="33"/>
      <c r="G718" s="33"/>
      <c r="H718" s="33"/>
      <c r="I718" s="34"/>
      <c r="J718" s="34"/>
      <c r="K718" s="14"/>
      <c r="L718" s="32"/>
      <c r="M718" s="14"/>
      <c r="N718" s="14"/>
      <c r="O718" s="2"/>
      <c r="P718"/>
      <c r="Q718" s="2"/>
      <c r="R718"/>
      <c r="S718"/>
      <c r="T718"/>
      <c r="U718" s="2"/>
      <c r="V718" s="2"/>
      <c r="W718" s="2"/>
      <c r="X718" s="2"/>
      <c r="Y718" s="2"/>
      <c r="Z718" s="11"/>
      <c r="AA718" s="15"/>
      <c r="AB718" s="15"/>
      <c r="AC718" s="15"/>
      <c r="AD718" s="35"/>
      <c r="AE718" s="99"/>
      <c r="AF718" s="99"/>
      <c r="AG718" s="35"/>
      <c r="AH718" s="35"/>
      <c r="AI718" s="35"/>
      <c r="AJ718" s="1"/>
      <c r="AK718" s="1"/>
      <c r="AL718" s="1"/>
      <c r="AM718" s="1"/>
      <c r="AN718" s="1"/>
      <c r="AO718" s="1"/>
      <c r="AP718"/>
      <c r="AQ718"/>
      <c r="AR718"/>
      <c r="AS718"/>
      <c r="AT718" s="50"/>
      <c r="AU718" s="97"/>
      <c r="AV718" s="97"/>
      <c r="AW718" s="97"/>
      <c r="AX718" s="97"/>
      <c r="AY718" s="97"/>
      <c r="BD718" s="35"/>
      <c r="BE718" s="35"/>
      <c r="BV718" s="98"/>
      <c r="BW718" s="98"/>
      <c r="BX718" s="98"/>
      <c r="BY718" s="112"/>
      <c r="BZ718" s="112"/>
      <c r="CA718" s="112"/>
      <c r="CB718" s="98"/>
      <c r="CC718" s="98"/>
      <c r="CD718" s="98"/>
      <c r="CE718" s="98"/>
      <c r="CG718" s="100"/>
      <c r="CH718" s="100"/>
      <c r="CI718" s="100"/>
      <c r="CJ718" s="100"/>
      <c r="CK718" s="100"/>
      <c r="CL718" s="100"/>
      <c r="CM718" s="100"/>
      <c r="CN718" s="100"/>
      <c r="CO718" s="100"/>
      <c r="CP718" s="100"/>
      <c r="CQ718" s="100"/>
      <c r="CR718" s="100"/>
      <c r="CS718" s="100"/>
      <c r="CT718" s="100"/>
      <c r="CU718" s="100"/>
    </row>
    <row r="719" spans="6:99" s="36" customFormat="1" ht="11.1" customHeight="1" x14ac:dyDescent="0.25">
      <c r="F719" s="33"/>
      <c r="G719" s="33"/>
      <c r="H719" s="33"/>
      <c r="I719" s="34"/>
      <c r="J719" s="34"/>
      <c r="K719" s="14"/>
      <c r="L719" s="32"/>
      <c r="M719" s="14"/>
      <c r="N719" s="14"/>
      <c r="O719" s="2"/>
      <c r="P719"/>
      <c r="Q719" s="2"/>
      <c r="R719"/>
      <c r="S719"/>
      <c r="T719"/>
      <c r="U719" s="2"/>
      <c r="V719" s="2"/>
      <c r="W719" s="2"/>
      <c r="X719" s="2"/>
      <c r="Y719" s="2"/>
      <c r="Z719" s="11"/>
      <c r="AA719" s="15"/>
      <c r="AB719" s="15"/>
      <c r="AC719" s="15"/>
      <c r="AD719" s="35"/>
      <c r="AE719" s="99"/>
      <c r="AF719" s="99"/>
      <c r="AG719" s="35"/>
      <c r="AH719" s="35"/>
      <c r="AI719" s="35"/>
      <c r="AJ719" s="1"/>
      <c r="AK719" s="1"/>
      <c r="AL719" s="1"/>
      <c r="AM719" s="1"/>
      <c r="AN719" s="1"/>
      <c r="AO719" s="1"/>
      <c r="AP719"/>
      <c r="AQ719"/>
      <c r="AR719"/>
      <c r="AS719"/>
      <c r="AT719" s="50"/>
      <c r="AU719" s="97"/>
      <c r="AV719" s="97"/>
      <c r="AW719" s="97"/>
      <c r="AX719" s="97"/>
      <c r="AY719" s="97"/>
      <c r="BD719" s="35"/>
      <c r="BE719" s="35"/>
      <c r="BV719" s="98"/>
      <c r="BW719" s="98"/>
      <c r="BX719" s="98"/>
      <c r="BY719" s="112"/>
      <c r="BZ719" s="112"/>
      <c r="CA719" s="112"/>
      <c r="CB719" s="98"/>
      <c r="CC719" s="98"/>
      <c r="CD719" s="98"/>
      <c r="CE719" s="98"/>
      <c r="CG719" s="100"/>
      <c r="CH719" s="100"/>
      <c r="CI719" s="100"/>
      <c r="CJ719" s="100"/>
      <c r="CK719" s="100"/>
      <c r="CL719" s="100"/>
      <c r="CM719" s="100"/>
      <c r="CN719" s="100"/>
      <c r="CO719" s="100"/>
      <c r="CP719" s="100"/>
      <c r="CQ719" s="100"/>
      <c r="CR719" s="100"/>
      <c r="CS719" s="100"/>
      <c r="CT719" s="100"/>
      <c r="CU719" s="100"/>
    </row>
    <row r="720" spans="6:99" s="36" customFormat="1" ht="11.1" customHeight="1" x14ac:dyDescent="0.25">
      <c r="F720" s="33"/>
      <c r="G720" s="33"/>
      <c r="H720" s="33"/>
      <c r="I720" s="34"/>
      <c r="J720" s="34"/>
      <c r="K720" s="14"/>
      <c r="L720" s="32"/>
      <c r="M720" s="14"/>
      <c r="N720" s="14"/>
      <c r="O720" s="2"/>
      <c r="P720"/>
      <c r="Q720" s="2"/>
      <c r="R720"/>
      <c r="S720"/>
      <c r="T720"/>
      <c r="U720" s="2"/>
      <c r="V720" s="2"/>
      <c r="W720" s="2"/>
      <c r="X720" s="2"/>
      <c r="Y720" s="2"/>
      <c r="Z720" s="11"/>
      <c r="AA720" s="15"/>
      <c r="AB720" s="15"/>
      <c r="AC720" s="15"/>
      <c r="AD720" s="35"/>
      <c r="AE720" s="99"/>
      <c r="AF720" s="99"/>
      <c r="AG720" s="35"/>
      <c r="AH720" s="35"/>
      <c r="AI720" s="35"/>
      <c r="AJ720" s="1"/>
      <c r="AK720" s="1"/>
      <c r="AL720" s="1"/>
      <c r="AM720" s="1"/>
      <c r="AN720" s="1"/>
      <c r="AO720" s="1"/>
      <c r="AP720"/>
      <c r="AQ720"/>
      <c r="AR720"/>
      <c r="AS720"/>
      <c r="AT720" s="50"/>
      <c r="AU720" s="97"/>
      <c r="AV720" s="97"/>
      <c r="AW720" s="97"/>
      <c r="AX720" s="97"/>
      <c r="AY720" s="97"/>
      <c r="BD720" s="35"/>
      <c r="BE720" s="35"/>
      <c r="BV720" s="98"/>
      <c r="BW720" s="98"/>
      <c r="BX720" s="98"/>
      <c r="BY720" s="112"/>
      <c r="BZ720" s="112"/>
      <c r="CA720" s="112"/>
      <c r="CB720" s="98"/>
      <c r="CC720" s="98"/>
      <c r="CD720" s="98"/>
      <c r="CE720" s="98"/>
      <c r="CG720" s="100"/>
      <c r="CH720" s="100"/>
      <c r="CI720" s="100"/>
      <c r="CJ720" s="100"/>
      <c r="CK720" s="100"/>
      <c r="CL720" s="100"/>
      <c r="CM720" s="100"/>
      <c r="CN720" s="100"/>
      <c r="CO720" s="100"/>
      <c r="CP720" s="100"/>
      <c r="CQ720" s="100"/>
      <c r="CR720" s="100"/>
      <c r="CS720" s="100"/>
      <c r="CT720" s="100"/>
      <c r="CU720" s="100"/>
    </row>
    <row r="721" spans="6:99" s="36" customFormat="1" ht="11.1" customHeight="1" x14ac:dyDescent="0.25">
      <c r="F721" s="33"/>
      <c r="G721" s="33"/>
      <c r="H721" s="33"/>
      <c r="I721" s="34"/>
      <c r="J721" s="34"/>
      <c r="K721" s="14"/>
      <c r="L721" s="32"/>
      <c r="M721" s="14"/>
      <c r="N721" s="14"/>
      <c r="O721" s="2"/>
      <c r="P721"/>
      <c r="Q721" s="2"/>
      <c r="R721"/>
      <c r="S721"/>
      <c r="T721"/>
      <c r="U721" s="2"/>
      <c r="V721" s="2"/>
      <c r="W721" s="2"/>
      <c r="X721" s="2"/>
      <c r="Y721" s="2"/>
      <c r="Z721" s="11"/>
      <c r="AA721" s="15"/>
      <c r="AB721" s="15"/>
      <c r="AC721" s="15"/>
      <c r="AD721" s="35"/>
      <c r="AE721" s="99"/>
      <c r="AF721" s="99"/>
      <c r="AG721" s="35"/>
      <c r="AH721" s="35"/>
      <c r="AI721" s="35"/>
      <c r="AJ721" s="1"/>
      <c r="AK721" s="1"/>
      <c r="AL721" s="1"/>
      <c r="AM721" s="1"/>
      <c r="AN721" s="1"/>
      <c r="AO721" s="1"/>
      <c r="AP721"/>
      <c r="AQ721"/>
      <c r="AR721"/>
      <c r="AS721"/>
      <c r="AT721" s="50"/>
      <c r="AU721" s="97"/>
      <c r="AV721" s="97"/>
      <c r="AW721" s="97"/>
      <c r="AX721" s="97"/>
      <c r="AY721" s="97"/>
      <c r="BD721" s="35"/>
      <c r="BE721" s="35"/>
      <c r="BV721" s="98"/>
      <c r="BW721" s="98"/>
      <c r="BX721" s="98"/>
      <c r="BY721" s="112"/>
      <c r="BZ721" s="112"/>
      <c r="CA721" s="112"/>
      <c r="CB721" s="98"/>
      <c r="CC721" s="98"/>
      <c r="CD721" s="98"/>
      <c r="CE721" s="98"/>
      <c r="CG721" s="100"/>
      <c r="CH721" s="100"/>
      <c r="CI721" s="100"/>
      <c r="CJ721" s="100"/>
      <c r="CK721" s="100"/>
      <c r="CL721" s="100"/>
      <c r="CM721" s="100"/>
      <c r="CN721" s="100"/>
      <c r="CO721" s="100"/>
      <c r="CP721" s="100"/>
      <c r="CQ721" s="100"/>
      <c r="CR721" s="100"/>
      <c r="CS721" s="100"/>
      <c r="CT721" s="100"/>
      <c r="CU721" s="100"/>
    </row>
    <row r="722" spans="6:99" s="36" customFormat="1" ht="11.1" customHeight="1" x14ac:dyDescent="0.25">
      <c r="F722" s="33"/>
      <c r="G722" s="33"/>
      <c r="H722" s="33"/>
      <c r="I722" s="34"/>
      <c r="J722" s="34"/>
      <c r="K722" s="14"/>
      <c r="L722" s="32"/>
      <c r="M722" s="14"/>
      <c r="N722" s="14"/>
      <c r="O722" s="2"/>
      <c r="P722"/>
      <c r="Q722" s="2"/>
      <c r="R722"/>
      <c r="S722"/>
      <c r="T722"/>
      <c r="U722" s="2"/>
      <c r="V722" s="2"/>
      <c r="W722" s="2"/>
      <c r="X722" s="2"/>
      <c r="Y722" s="2"/>
      <c r="Z722" s="11"/>
      <c r="AA722" s="15"/>
      <c r="AB722" s="15"/>
      <c r="AC722" s="15"/>
      <c r="AD722" s="35"/>
      <c r="AE722" s="99"/>
      <c r="AF722" s="99"/>
      <c r="AG722" s="35"/>
      <c r="AH722" s="35"/>
      <c r="AI722" s="35"/>
      <c r="AJ722" s="1"/>
      <c r="AK722" s="1"/>
      <c r="AL722" s="1"/>
      <c r="AM722" s="1"/>
      <c r="AN722" s="1"/>
      <c r="AO722" s="1"/>
      <c r="AP722"/>
      <c r="AQ722"/>
      <c r="AR722"/>
      <c r="AS722"/>
      <c r="AT722" s="50"/>
      <c r="AU722" s="97"/>
      <c r="AV722" s="97"/>
      <c r="AW722" s="97"/>
      <c r="AX722" s="97"/>
      <c r="AY722" s="97"/>
      <c r="BD722" s="35"/>
      <c r="BE722" s="35"/>
      <c r="BV722" s="98"/>
      <c r="BW722" s="98"/>
      <c r="BX722" s="98"/>
      <c r="BY722" s="112"/>
      <c r="BZ722" s="112"/>
      <c r="CA722" s="112"/>
      <c r="CB722" s="98"/>
      <c r="CC722" s="98"/>
      <c r="CD722" s="98"/>
      <c r="CE722" s="98"/>
      <c r="CG722" s="100"/>
      <c r="CH722" s="100"/>
      <c r="CI722" s="100"/>
      <c r="CJ722" s="100"/>
      <c r="CK722" s="100"/>
      <c r="CL722" s="100"/>
      <c r="CM722" s="100"/>
      <c r="CN722" s="100"/>
      <c r="CO722" s="100"/>
      <c r="CP722" s="100"/>
      <c r="CQ722" s="100"/>
      <c r="CR722" s="100"/>
      <c r="CS722" s="100"/>
      <c r="CT722" s="100"/>
      <c r="CU722" s="100"/>
    </row>
    <row r="723" spans="6:99" s="36" customFormat="1" ht="11.1" customHeight="1" x14ac:dyDescent="0.25">
      <c r="F723" s="33"/>
      <c r="G723" s="33"/>
      <c r="H723" s="33"/>
      <c r="I723" s="34"/>
      <c r="J723" s="34"/>
      <c r="K723" s="14"/>
      <c r="L723" s="32"/>
      <c r="M723" s="14"/>
      <c r="N723" s="14"/>
      <c r="O723" s="2"/>
      <c r="P723"/>
      <c r="Q723" s="2"/>
      <c r="R723"/>
      <c r="S723"/>
      <c r="T723"/>
      <c r="U723" s="2"/>
      <c r="V723" s="2"/>
      <c r="W723" s="2"/>
      <c r="X723" s="2"/>
      <c r="Y723" s="2"/>
      <c r="Z723" s="11"/>
      <c r="AA723" s="15"/>
      <c r="AB723" s="15"/>
      <c r="AC723" s="15"/>
      <c r="AD723" s="35"/>
      <c r="AE723" s="99"/>
      <c r="AF723" s="99"/>
      <c r="AG723" s="35"/>
      <c r="AH723" s="35"/>
      <c r="AI723" s="35"/>
      <c r="AJ723" s="1"/>
      <c r="AK723" s="1"/>
      <c r="AL723" s="1"/>
      <c r="AM723" s="1"/>
      <c r="AN723" s="1"/>
      <c r="AO723" s="1"/>
      <c r="AP723"/>
      <c r="AQ723"/>
      <c r="AR723"/>
      <c r="AS723"/>
      <c r="AT723" s="50"/>
      <c r="AU723" s="97"/>
      <c r="AV723" s="97"/>
      <c r="AW723" s="97"/>
      <c r="AX723" s="97"/>
      <c r="AY723" s="97"/>
      <c r="BD723" s="35"/>
      <c r="BE723" s="35"/>
      <c r="BV723" s="98"/>
      <c r="BW723" s="98"/>
      <c r="BX723" s="98"/>
      <c r="BY723" s="112"/>
      <c r="BZ723" s="112"/>
      <c r="CA723" s="112"/>
      <c r="CB723" s="98"/>
      <c r="CC723" s="98"/>
      <c r="CD723" s="98"/>
      <c r="CE723" s="98"/>
      <c r="CG723" s="100"/>
      <c r="CH723" s="100"/>
      <c r="CI723" s="100"/>
      <c r="CJ723" s="100"/>
      <c r="CK723" s="100"/>
      <c r="CL723" s="100"/>
      <c r="CM723" s="100"/>
      <c r="CN723" s="100"/>
      <c r="CO723" s="100"/>
      <c r="CP723" s="100"/>
      <c r="CQ723" s="100"/>
      <c r="CR723" s="100"/>
      <c r="CS723" s="100"/>
      <c r="CT723" s="100"/>
      <c r="CU723" s="100"/>
    </row>
    <row r="724" spans="6:99" s="36" customFormat="1" ht="11.1" customHeight="1" x14ac:dyDescent="0.25">
      <c r="F724" s="33"/>
      <c r="G724" s="33"/>
      <c r="H724" s="33"/>
      <c r="I724" s="34"/>
      <c r="J724" s="34"/>
      <c r="K724" s="14"/>
      <c r="L724" s="32"/>
      <c r="M724" s="14"/>
      <c r="N724" s="14"/>
      <c r="O724" s="2"/>
      <c r="P724"/>
      <c r="Q724" s="2"/>
      <c r="R724"/>
      <c r="S724"/>
      <c r="T724"/>
      <c r="U724" s="2"/>
      <c r="V724" s="2"/>
      <c r="W724" s="2"/>
      <c r="X724" s="2"/>
      <c r="Y724" s="2"/>
      <c r="Z724" s="11"/>
      <c r="AA724" s="15"/>
      <c r="AB724" s="15"/>
      <c r="AC724" s="15"/>
      <c r="AD724" s="35"/>
      <c r="AE724" s="99"/>
      <c r="AF724" s="99"/>
      <c r="AG724" s="35"/>
      <c r="AH724" s="35"/>
      <c r="AI724" s="35"/>
      <c r="AJ724" s="1"/>
      <c r="AK724" s="1"/>
      <c r="AL724" s="1"/>
      <c r="AM724" s="1"/>
      <c r="AN724" s="1"/>
      <c r="AO724" s="1"/>
      <c r="AP724"/>
      <c r="AQ724"/>
      <c r="AR724"/>
      <c r="AS724"/>
      <c r="AT724" s="50"/>
      <c r="AU724" s="97"/>
      <c r="AV724" s="97"/>
      <c r="AW724" s="97"/>
      <c r="AX724" s="97"/>
      <c r="AY724" s="97"/>
      <c r="BD724" s="35"/>
      <c r="BE724" s="35"/>
      <c r="BV724" s="98"/>
      <c r="BW724" s="98"/>
      <c r="BX724" s="98"/>
      <c r="BY724" s="112"/>
      <c r="BZ724" s="112"/>
      <c r="CA724" s="112"/>
      <c r="CB724" s="98"/>
      <c r="CC724" s="98"/>
      <c r="CD724" s="98"/>
      <c r="CE724" s="98"/>
      <c r="CG724" s="100"/>
      <c r="CH724" s="100"/>
      <c r="CI724" s="100"/>
      <c r="CJ724" s="100"/>
      <c r="CK724" s="100"/>
      <c r="CL724" s="100"/>
      <c r="CM724" s="100"/>
      <c r="CN724" s="100"/>
      <c r="CO724" s="100"/>
      <c r="CP724" s="100"/>
      <c r="CQ724" s="100"/>
      <c r="CR724" s="100"/>
      <c r="CS724" s="100"/>
      <c r="CT724" s="100"/>
      <c r="CU724" s="100"/>
    </row>
    <row r="725" spans="6:99" s="36" customFormat="1" ht="11.1" customHeight="1" x14ac:dyDescent="0.25">
      <c r="F725" s="33"/>
      <c r="G725" s="33"/>
      <c r="H725" s="33"/>
      <c r="I725" s="34"/>
      <c r="J725" s="34"/>
      <c r="K725" s="14"/>
      <c r="L725" s="32"/>
      <c r="M725" s="14"/>
      <c r="N725" s="14"/>
      <c r="O725" s="2"/>
      <c r="P725"/>
      <c r="Q725" s="2"/>
      <c r="R725"/>
      <c r="S725"/>
      <c r="T725"/>
      <c r="U725" s="2"/>
      <c r="V725" s="2"/>
      <c r="W725" s="2"/>
      <c r="X725" s="2"/>
      <c r="Y725" s="2"/>
      <c r="Z725" s="11"/>
      <c r="AA725" s="15"/>
      <c r="AB725" s="15"/>
      <c r="AC725" s="15"/>
      <c r="AD725" s="35"/>
      <c r="AE725" s="99"/>
      <c r="AF725" s="99"/>
      <c r="AG725" s="35"/>
      <c r="AH725" s="35"/>
      <c r="AI725" s="35"/>
      <c r="AJ725" s="1"/>
      <c r="AK725" s="1"/>
      <c r="AL725" s="1"/>
      <c r="AM725" s="1"/>
      <c r="AN725" s="1"/>
      <c r="AO725" s="1"/>
      <c r="AP725"/>
      <c r="AQ725"/>
      <c r="AR725"/>
      <c r="AS725"/>
      <c r="AT725" s="50"/>
      <c r="AU725" s="97"/>
      <c r="AV725" s="97"/>
      <c r="AW725" s="97"/>
      <c r="AX725" s="97"/>
      <c r="AY725" s="97"/>
      <c r="BD725" s="35"/>
      <c r="BE725" s="35"/>
      <c r="BV725" s="98"/>
      <c r="BW725" s="98"/>
      <c r="BX725" s="98"/>
      <c r="BY725" s="112"/>
      <c r="BZ725" s="112"/>
      <c r="CA725" s="112"/>
      <c r="CB725" s="98"/>
      <c r="CC725" s="98"/>
      <c r="CD725" s="98"/>
      <c r="CE725" s="98"/>
      <c r="CG725" s="100"/>
      <c r="CH725" s="100"/>
      <c r="CI725" s="100"/>
      <c r="CJ725" s="100"/>
      <c r="CK725" s="100"/>
      <c r="CL725" s="100"/>
      <c r="CM725" s="100"/>
      <c r="CN725" s="100"/>
      <c r="CO725" s="100"/>
      <c r="CP725" s="100"/>
      <c r="CQ725" s="100"/>
      <c r="CR725" s="100"/>
      <c r="CS725" s="100"/>
      <c r="CT725" s="100"/>
      <c r="CU725" s="100"/>
    </row>
    <row r="726" spans="6:99" s="36" customFormat="1" ht="11.1" customHeight="1" x14ac:dyDescent="0.25">
      <c r="F726" s="33"/>
      <c r="G726" s="33"/>
      <c r="H726" s="33"/>
      <c r="I726" s="34"/>
      <c r="J726" s="34"/>
      <c r="K726" s="14"/>
      <c r="L726" s="32"/>
      <c r="M726" s="14"/>
      <c r="N726" s="14"/>
      <c r="O726" s="2"/>
      <c r="P726"/>
      <c r="Q726" s="2"/>
      <c r="R726"/>
      <c r="S726"/>
      <c r="T726"/>
      <c r="U726" s="2"/>
      <c r="V726" s="2"/>
      <c r="W726" s="2"/>
      <c r="X726" s="2"/>
      <c r="Y726" s="2"/>
      <c r="Z726" s="11"/>
      <c r="AA726" s="15"/>
      <c r="AB726" s="15"/>
      <c r="AC726" s="15"/>
      <c r="AD726" s="35"/>
      <c r="AE726" s="99"/>
      <c r="AF726" s="99"/>
      <c r="AG726" s="35"/>
      <c r="AH726" s="35"/>
      <c r="AI726" s="35"/>
      <c r="AJ726" s="1"/>
      <c r="AK726" s="1"/>
      <c r="AL726" s="1"/>
      <c r="AM726" s="1"/>
      <c r="AN726" s="1"/>
      <c r="AO726" s="1"/>
      <c r="AP726"/>
      <c r="AQ726"/>
      <c r="AR726"/>
      <c r="AS726"/>
      <c r="AT726" s="50"/>
      <c r="AU726" s="97"/>
      <c r="AV726" s="97"/>
      <c r="AW726" s="97"/>
      <c r="AX726" s="97"/>
      <c r="AY726" s="97"/>
      <c r="BD726" s="35"/>
      <c r="BE726" s="35"/>
      <c r="BV726" s="98"/>
      <c r="BW726" s="98"/>
      <c r="BX726" s="98"/>
      <c r="BY726" s="112"/>
      <c r="BZ726" s="112"/>
      <c r="CA726" s="112"/>
      <c r="CB726" s="98"/>
      <c r="CC726" s="98"/>
      <c r="CD726" s="98"/>
      <c r="CE726" s="98"/>
      <c r="CG726" s="100"/>
      <c r="CH726" s="100"/>
      <c r="CI726" s="100"/>
      <c r="CJ726" s="100"/>
      <c r="CK726" s="100"/>
      <c r="CL726" s="100"/>
      <c r="CM726" s="100"/>
      <c r="CN726" s="100"/>
      <c r="CO726" s="100"/>
      <c r="CP726" s="100"/>
      <c r="CQ726" s="100"/>
      <c r="CR726" s="100"/>
      <c r="CS726" s="100"/>
      <c r="CT726" s="100"/>
      <c r="CU726" s="100"/>
    </row>
    <row r="727" spans="6:99" s="36" customFormat="1" ht="11.1" customHeight="1" x14ac:dyDescent="0.25">
      <c r="F727" s="33"/>
      <c r="G727" s="33"/>
      <c r="H727" s="33"/>
      <c r="I727" s="34"/>
      <c r="J727" s="34"/>
      <c r="K727" s="14"/>
      <c r="L727" s="32"/>
      <c r="M727" s="14"/>
      <c r="N727" s="14"/>
      <c r="O727" s="2"/>
      <c r="P727"/>
      <c r="Q727" s="2"/>
      <c r="R727"/>
      <c r="S727"/>
      <c r="T727"/>
      <c r="U727" s="2"/>
      <c r="V727" s="2"/>
      <c r="W727" s="2"/>
      <c r="X727" s="2"/>
      <c r="Y727" s="2"/>
      <c r="Z727" s="11"/>
      <c r="AA727" s="15"/>
      <c r="AB727" s="15"/>
      <c r="AC727" s="15"/>
      <c r="AD727" s="35"/>
      <c r="AE727" s="99"/>
      <c r="AF727" s="99"/>
      <c r="AG727" s="35"/>
      <c r="AH727" s="35"/>
      <c r="AI727" s="35"/>
      <c r="AJ727" s="1"/>
      <c r="AK727" s="1"/>
      <c r="AL727" s="1"/>
      <c r="AM727" s="1"/>
      <c r="AN727" s="1"/>
      <c r="AO727" s="1"/>
      <c r="AP727"/>
      <c r="AQ727"/>
      <c r="AR727"/>
      <c r="AS727"/>
      <c r="AT727" s="50"/>
      <c r="AU727" s="97"/>
      <c r="AV727" s="97"/>
      <c r="AW727" s="97"/>
      <c r="AX727" s="97"/>
      <c r="AY727" s="97"/>
      <c r="BD727" s="35"/>
      <c r="BE727" s="35"/>
      <c r="BV727" s="98"/>
      <c r="BW727" s="98"/>
      <c r="BX727" s="98"/>
      <c r="BY727" s="112"/>
      <c r="BZ727" s="112"/>
      <c r="CA727" s="112"/>
      <c r="CB727" s="98"/>
      <c r="CC727" s="98"/>
      <c r="CD727" s="98"/>
      <c r="CE727" s="98"/>
      <c r="CG727" s="100"/>
      <c r="CH727" s="100"/>
      <c r="CI727" s="100"/>
      <c r="CJ727" s="100"/>
      <c r="CK727" s="100"/>
      <c r="CL727" s="100"/>
      <c r="CM727" s="100"/>
      <c r="CN727" s="100"/>
      <c r="CO727" s="100"/>
      <c r="CP727" s="100"/>
      <c r="CQ727" s="100"/>
      <c r="CR727" s="100"/>
      <c r="CS727" s="100"/>
      <c r="CT727" s="100"/>
      <c r="CU727" s="100"/>
    </row>
    <row r="728" spans="6:99" s="36" customFormat="1" ht="11.1" customHeight="1" x14ac:dyDescent="0.25">
      <c r="F728" s="33"/>
      <c r="G728" s="33"/>
      <c r="H728" s="33"/>
      <c r="I728" s="34"/>
      <c r="J728" s="34"/>
      <c r="K728" s="14"/>
      <c r="L728" s="32"/>
      <c r="M728" s="14"/>
      <c r="N728" s="14"/>
      <c r="O728" s="2"/>
      <c r="P728"/>
      <c r="Q728" s="2"/>
      <c r="R728"/>
      <c r="S728"/>
      <c r="T728"/>
      <c r="U728" s="2"/>
      <c r="V728" s="2"/>
      <c r="W728" s="2"/>
      <c r="X728" s="2"/>
      <c r="Y728" s="2"/>
      <c r="Z728" s="11"/>
      <c r="AA728" s="15"/>
      <c r="AB728" s="15"/>
      <c r="AC728" s="15"/>
      <c r="AD728" s="35"/>
      <c r="AE728" s="99"/>
      <c r="AF728" s="99"/>
      <c r="AG728" s="35"/>
      <c r="AH728" s="35"/>
      <c r="AI728" s="35"/>
      <c r="AJ728" s="1"/>
      <c r="AK728" s="1"/>
      <c r="AL728" s="1"/>
      <c r="AM728" s="1"/>
      <c r="AN728" s="1"/>
      <c r="AO728" s="1"/>
      <c r="AP728"/>
      <c r="AQ728"/>
      <c r="AR728"/>
      <c r="AS728"/>
      <c r="AT728" s="50"/>
      <c r="AU728" s="97"/>
      <c r="AV728" s="97"/>
      <c r="AW728" s="97"/>
      <c r="AX728" s="97"/>
      <c r="AY728" s="97"/>
      <c r="BD728" s="35"/>
      <c r="BE728" s="35"/>
      <c r="BV728" s="98"/>
      <c r="BW728" s="98"/>
      <c r="BX728" s="98"/>
      <c r="BY728" s="112"/>
      <c r="BZ728" s="112"/>
      <c r="CA728" s="112"/>
      <c r="CB728" s="98"/>
      <c r="CC728" s="98"/>
      <c r="CD728" s="98"/>
      <c r="CE728" s="98"/>
      <c r="CG728" s="100"/>
      <c r="CH728" s="100"/>
      <c r="CI728" s="100"/>
      <c r="CJ728" s="100"/>
      <c r="CK728" s="100"/>
      <c r="CL728" s="100"/>
      <c r="CM728" s="100"/>
      <c r="CN728" s="100"/>
      <c r="CO728" s="100"/>
      <c r="CP728" s="100"/>
      <c r="CQ728" s="100"/>
      <c r="CR728" s="100"/>
      <c r="CS728" s="100"/>
      <c r="CT728" s="100"/>
      <c r="CU728" s="100"/>
    </row>
    <row r="729" spans="6:99" s="36" customFormat="1" ht="11.1" customHeight="1" x14ac:dyDescent="0.25">
      <c r="F729" s="33"/>
      <c r="G729" s="33"/>
      <c r="H729" s="33"/>
      <c r="I729" s="34"/>
      <c r="J729" s="34"/>
      <c r="K729" s="14"/>
      <c r="L729" s="32"/>
      <c r="M729" s="14"/>
      <c r="N729" s="14"/>
      <c r="O729" s="2"/>
      <c r="P729"/>
      <c r="Q729" s="2"/>
      <c r="R729"/>
      <c r="S729"/>
      <c r="T729"/>
      <c r="U729" s="2"/>
      <c r="V729" s="2"/>
      <c r="W729" s="2"/>
      <c r="X729" s="2"/>
      <c r="Y729" s="2"/>
      <c r="Z729" s="11"/>
      <c r="AA729" s="15"/>
      <c r="AB729" s="15"/>
      <c r="AC729" s="15"/>
      <c r="AD729" s="35"/>
      <c r="AE729" s="99"/>
      <c r="AF729" s="99"/>
      <c r="AG729" s="35"/>
      <c r="AH729" s="35"/>
      <c r="AI729" s="35"/>
      <c r="AJ729" s="1"/>
      <c r="AK729" s="1"/>
      <c r="AL729" s="1"/>
      <c r="AM729" s="1"/>
      <c r="AN729" s="1"/>
      <c r="AO729" s="1"/>
      <c r="AP729"/>
      <c r="AQ729"/>
      <c r="AR729"/>
      <c r="AS729"/>
      <c r="AT729" s="50"/>
      <c r="AU729" s="97"/>
      <c r="AV729" s="97"/>
      <c r="AW729" s="97"/>
      <c r="AX729" s="97"/>
      <c r="AY729" s="97"/>
      <c r="BD729" s="35"/>
      <c r="BE729" s="35"/>
      <c r="BV729" s="98"/>
      <c r="BW729" s="98"/>
      <c r="BX729" s="98"/>
      <c r="BY729" s="112"/>
      <c r="BZ729" s="112"/>
      <c r="CA729" s="112"/>
      <c r="CB729" s="98"/>
      <c r="CC729" s="98"/>
      <c r="CD729" s="98"/>
      <c r="CE729" s="98"/>
      <c r="CG729" s="100"/>
      <c r="CH729" s="100"/>
      <c r="CI729" s="100"/>
      <c r="CJ729" s="100"/>
      <c r="CK729" s="100"/>
      <c r="CL729" s="100"/>
      <c r="CM729" s="100"/>
      <c r="CN729" s="100"/>
      <c r="CO729" s="100"/>
      <c r="CP729" s="100"/>
      <c r="CQ729" s="100"/>
      <c r="CR729" s="100"/>
      <c r="CS729" s="100"/>
      <c r="CT729" s="100"/>
      <c r="CU729" s="100"/>
    </row>
    <row r="730" spans="6:99" s="36" customFormat="1" ht="11.1" customHeight="1" x14ac:dyDescent="0.25">
      <c r="F730" s="33"/>
      <c r="G730" s="33"/>
      <c r="H730" s="33"/>
      <c r="I730" s="34"/>
      <c r="J730" s="34"/>
      <c r="K730" s="14"/>
      <c r="L730" s="32"/>
      <c r="M730" s="14"/>
      <c r="N730" s="14"/>
      <c r="O730" s="2"/>
      <c r="P730"/>
      <c r="Q730" s="2"/>
      <c r="R730"/>
      <c r="S730"/>
      <c r="T730"/>
      <c r="U730" s="2"/>
      <c r="V730" s="2"/>
      <c r="W730" s="2"/>
      <c r="X730" s="2"/>
      <c r="Y730" s="2"/>
      <c r="Z730" s="11"/>
      <c r="AA730" s="15"/>
      <c r="AB730" s="15"/>
      <c r="AC730" s="15"/>
      <c r="AD730" s="35"/>
      <c r="AE730" s="99"/>
      <c r="AF730" s="99"/>
      <c r="AG730" s="35"/>
      <c r="AH730" s="35"/>
      <c r="AI730" s="35"/>
      <c r="AJ730" s="1"/>
      <c r="AK730" s="1"/>
      <c r="AL730" s="1"/>
      <c r="AM730" s="1"/>
      <c r="AN730" s="1"/>
      <c r="AO730" s="1"/>
      <c r="AP730"/>
      <c r="AQ730"/>
      <c r="AR730"/>
      <c r="AS730"/>
      <c r="AT730" s="50"/>
      <c r="AU730" s="97"/>
      <c r="AV730" s="97"/>
      <c r="AW730" s="97"/>
      <c r="AX730" s="97"/>
      <c r="AY730" s="97"/>
      <c r="BD730" s="35"/>
      <c r="BE730" s="35"/>
      <c r="BV730" s="98"/>
      <c r="BW730" s="98"/>
      <c r="BX730" s="98"/>
      <c r="BY730" s="112"/>
      <c r="BZ730" s="112"/>
      <c r="CA730" s="112"/>
      <c r="CB730" s="98"/>
      <c r="CC730" s="98"/>
      <c r="CD730" s="98"/>
      <c r="CE730" s="98"/>
      <c r="CG730" s="100"/>
      <c r="CH730" s="100"/>
      <c r="CI730" s="100"/>
      <c r="CJ730" s="100"/>
      <c r="CK730" s="100"/>
      <c r="CL730" s="100"/>
      <c r="CM730" s="100"/>
      <c r="CN730" s="100"/>
      <c r="CO730" s="100"/>
      <c r="CP730" s="100"/>
      <c r="CQ730" s="100"/>
      <c r="CR730" s="100"/>
      <c r="CS730" s="100"/>
      <c r="CT730" s="100"/>
      <c r="CU730" s="100"/>
    </row>
    <row r="731" spans="6:99" s="36" customFormat="1" ht="11.1" customHeight="1" x14ac:dyDescent="0.25">
      <c r="F731" s="33"/>
      <c r="G731" s="33"/>
      <c r="H731" s="33"/>
      <c r="I731" s="34"/>
      <c r="J731" s="34"/>
      <c r="K731" s="14"/>
      <c r="L731" s="32"/>
      <c r="M731" s="14"/>
      <c r="N731" s="14"/>
      <c r="O731" s="2"/>
      <c r="P731"/>
      <c r="Q731" s="2"/>
      <c r="R731"/>
      <c r="S731"/>
      <c r="T731"/>
      <c r="U731" s="2"/>
      <c r="V731" s="2"/>
      <c r="W731" s="2"/>
      <c r="X731" s="2"/>
      <c r="Y731" s="2"/>
      <c r="Z731" s="11"/>
      <c r="AA731" s="15"/>
      <c r="AB731" s="15"/>
      <c r="AC731" s="15"/>
      <c r="AD731" s="35"/>
      <c r="AE731" s="99"/>
      <c r="AF731" s="99"/>
      <c r="AG731" s="35"/>
      <c r="AH731" s="35"/>
      <c r="AI731" s="35"/>
      <c r="AJ731" s="1"/>
      <c r="AK731" s="1"/>
      <c r="AL731" s="1"/>
      <c r="AM731" s="1"/>
      <c r="AN731" s="1"/>
      <c r="AO731" s="1"/>
      <c r="AP731"/>
      <c r="AQ731"/>
      <c r="AR731"/>
      <c r="AS731"/>
      <c r="AT731" s="50"/>
      <c r="AU731" s="97"/>
      <c r="AV731" s="97"/>
      <c r="AW731" s="97"/>
      <c r="AX731" s="97"/>
      <c r="AY731" s="97"/>
      <c r="BD731" s="35"/>
      <c r="BE731" s="35"/>
      <c r="BV731" s="98"/>
      <c r="BW731" s="98"/>
      <c r="BX731" s="98"/>
      <c r="BY731" s="112"/>
      <c r="BZ731" s="112"/>
      <c r="CA731" s="112"/>
      <c r="CB731" s="98"/>
      <c r="CC731" s="98"/>
      <c r="CD731" s="98"/>
      <c r="CE731" s="98"/>
      <c r="CG731" s="100"/>
      <c r="CH731" s="100"/>
      <c r="CI731" s="100"/>
      <c r="CJ731" s="100"/>
      <c r="CK731" s="100"/>
      <c r="CL731" s="100"/>
      <c r="CM731" s="100"/>
      <c r="CN731" s="100"/>
      <c r="CO731" s="100"/>
      <c r="CP731" s="100"/>
      <c r="CQ731" s="100"/>
      <c r="CR731" s="100"/>
      <c r="CS731" s="100"/>
      <c r="CT731" s="100"/>
      <c r="CU731" s="100"/>
    </row>
    <row r="732" spans="6:99" s="36" customFormat="1" ht="11.1" customHeight="1" x14ac:dyDescent="0.25">
      <c r="F732" s="33"/>
      <c r="G732" s="33"/>
      <c r="H732" s="33"/>
      <c r="I732" s="34"/>
      <c r="J732" s="34"/>
      <c r="K732" s="14"/>
      <c r="L732" s="32"/>
      <c r="M732" s="14"/>
      <c r="N732" s="14"/>
      <c r="O732" s="2"/>
      <c r="P732"/>
      <c r="Q732" s="2"/>
      <c r="R732"/>
      <c r="S732"/>
      <c r="T732"/>
      <c r="U732" s="2"/>
      <c r="V732" s="2"/>
      <c r="W732" s="2"/>
      <c r="X732" s="2"/>
      <c r="Y732" s="2"/>
      <c r="Z732" s="11"/>
      <c r="AA732" s="15"/>
      <c r="AB732" s="15"/>
      <c r="AC732" s="15"/>
      <c r="AD732" s="35"/>
      <c r="AE732" s="99"/>
      <c r="AF732" s="99"/>
      <c r="AG732" s="35"/>
      <c r="AH732" s="35"/>
      <c r="AI732" s="35"/>
      <c r="AJ732" s="1"/>
      <c r="AK732" s="1"/>
      <c r="AL732" s="1"/>
      <c r="AM732" s="1"/>
      <c r="AN732" s="1"/>
      <c r="AO732" s="1"/>
      <c r="AP732"/>
      <c r="AQ732"/>
      <c r="AR732"/>
      <c r="AS732"/>
      <c r="AT732" s="50"/>
      <c r="AU732" s="97"/>
      <c r="AV732" s="97"/>
      <c r="AW732" s="97"/>
      <c r="AX732" s="97"/>
      <c r="AY732" s="97"/>
      <c r="BD732" s="35"/>
      <c r="BE732" s="35"/>
      <c r="BV732" s="98"/>
      <c r="BW732" s="98"/>
      <c r="BX732" s="98"/>
      <c r="BY732" s="112"/>
      <c r="BZ732" s="112"/>
      <c r="CA732" s="112"/>
      <c r="CB732" s="98"/>
      <c r="CC732" s="98"/>
      <c r="CD732" s="98"/>
      <c r="CE732" s="98"/>
      <c r="CG732" s="100"/>
      <c r="CH732" s="100"/>
      <c r="CI732" s="100"/>
      <c r="CJ732" s="100"/>
      <c r="CK732" s="100"/>
      <c r="CL732" s="100"/>
      <c r="CM732" s="100"/>
      <c r="CN732" s="100"/>
      <c r="CO732" s="100"/>
      <c r="CP732" s="100"/>
      <c r="CQ732" s="100"/>
      <c r="CR732" s="100"/>
      <c r="CS732" s="100"/>
      <c r="CT732" s="100"/>
      <c r="CU732" s="100"/>
    </row>
    <row r="733" spans="6:99" s="36" customFormat="1" ht="11.1" customHeight="1" x14ac:dyDescent="0.25">
      <c r="F733" s="33"/>
      <c r="G733" s="33"/>
      <c r="H733" s="33"/>
      <c r="I733" s="34"/>
      <c r="J733" s="34"/>
      <c r="K733" s="14"/>
      <c r="L733" s="32"/>
      <c r="M733" s="14"/>
      <c r="N733" s="14"/>
      <c r="O733" s="2"/>
      <c r="P733"/>
      <c r="Q733" s="2"/>
      <c r="R733"/>
      <c r="S733"/>
      <c r="T733"/>
      <c r="U733" s="2"/>
      <c r="V733" s="2"/>
      <c r="W733" s="2"/>
      <c r="X733" s="2"/>
      <c r="Y733" s="2"/>
      <c r="Z733" s="11"/>
      <c r="AA733" s="15"/>
      <c r="AB733" s="15"/>
      <c r="AC733" s="15"/>
      <c r="AD733" s="35"/>
      <c r="AE733" s="99"/>
      <c r="AF733" s="99"/>
      <c r="AG733" s="35"/>
      <c r="AH733" s="35"/>
      <c r="AI733" s="35"/>
      <c r="AJ733" s="1"/>
      <c r="AK733" s="1"/>
      <c r="AL733" s="1"/>
      <c r="AM733" s="1"/>
      <c r="AN733" s="1"/>
      <c r="AO733" s="1"/>
      <c r="AP733"/>
      <c r="AQ733"/>
      <c r="AR733"/>
      <c r="AS733"/>
      <c r="AT733" s="50"/>
      <c r="AU733" s="97"/>
      <c r="AV733" s="97"/>
      <c r="AW733" s="97"/>
      <c r="AX733" s="97"/>
      <c r="AY733" s="97"/>
      <c r="BD733" s="35"/>
      <c r="BE733" s="35"/>
      <c r="BV733" s="98"/>
      <c r="BW733" s="98"/>
      <c r="BX733" s="98"/>
      <c r="BY733" s="112"/>
      <c r="BZ733" s="112"/>
      <c r="CA733" s="112"/>
      <c r="CB733" s="98"/>
      <c r="CC733" s="98"/>
      <c r="CD733" s="98"/>
      <c r="CE733" s="98"/>
      <c r="CG733" s="100"/>
      <c r="CH733" s="100"/>
      <c r="CI733" s="100"/>
      <c r="CJ733" s="100"/>
      <c r="CK733" s="100"/>
      <c r="CL733" s="100"/>
      <c r="CM733" s="100"/>
      <c r="CN733" s="100"/>
      <c r="CO733" s="100"/>
      <c r="CP733" s="100"/>
      <c r="CQ733" s="100"/>
      <c r="CR733" s="100"/>
      <c r="CS733" s="100"/>
      <c r="CT733" s="100"/>
      <c r="CU733" s="100"/>
    </row>
    <row r="734" spans="6:99" s="36" customFormat="1" ht="11.1" customHeight="1" x14ac:dyDescent="0.25">
      <c r="F734" s="33"/>
      <c r="G734" s="33"/>
      <c r="H734" s="33"/>
      <c r="I734" s="34"/>
      <c r="J734" s="34"/>
      <c r="K734" s="14"/>
      <c r="L734" s="32"/>
      <c r="M734" s="14"/>
      <c r="N734" s="14"/>
      <c r="O734" s="2"/>
      <c r="P734"/>
      <c r="Q734" s="2"/>
      <c r="R734"/>
      <c r="S734"/>
      <c r="T734"/>
      <c r="U734" s="2"/>
      <c r="V734" s="2"/>
      <c r="W734" s="2"/>
      <c r="X734" s="2"/>
      <c r="Y734" s="2"/>
      <c r="Z734" s="11"/>
      <c r="AA734" s="15"/>
      <c r="AB734" s="15"/>
      <c r="AC734" s="15"/>
      <c r="AD734" s="35"/>
      <c r="AE734" s="99"/>
      <c r="AF734" s="99"/>
      <c r="AG734" s="35"/>
      <c r="AH734" s="35"/>
      <c r="AI734" s="35"/>
      <c r="AJ734" s="1"/>
      <c r="AK734" s="1"/>
      <c r="AL734" s="1"/>
      <c r="AM734" s="1"/>
      <c r="AN734" s="1"/>
      <c r="AO734" s="1"/>
      <c r="AP734"/>
      <c r="AQ734"/>
      <c r="AR734"/>
      <c r="AS734"/>
      <c r="AT734" s="50"/>
      <c r="AU734" s="97"/>
      <c r="AV734" s="97"/>
      <c r="AW734" s="97"/>
      <c r="AX734" s="97"/>
      <c r="AY734" s="97"/>
      <c r="BD734" s="35"/>
      <c r="BE734" s="35"/>
      <c r="BV734" s="98"/>
      <c r="BW734" s="98"/>
      <c r="BX734" s="98"/>
      <c r="BY734" s="112"/>
      <c r="BZ734" s="112"/>
      <c r="CA734" s="112"/>
      <c r="CB734" s="98"/>
      <c r="CC734" s="98"/>
      <c r="CD734" s="98"/>
      <c r="CE734" s="98"/>
      <c r="CG734" s="100"/>
      <c r="CH734" s="100"/>
      <c r="CI734" s="100"/>
      <c r="CJ734" s="100"/>
      <c r="CK734" s="100"/>
      <c r="CL734" s="100"/>
      <c r="CM734" s="100"/>
      <c r="CN734" s="100"/>
      <c r="CO734" s="100"/>
      <c r="CP734" s="100"/>
      <c r="CQ734" s="100"/>
      <c r="CR734" s="100"/>
      <c r="CS734" s="100"/>
      <c r="CT734" s="100"/>
      <c r="CU734" s="100"/>
    </row>
    <row r="735" spans="6:99" s="36" customFormat="1" ht="11.1" customHeight="1" x14ac:dyDescent="0.25">
      <c r="F735" s="33"/>
      <c r="G735" s="33"/>
      <c r="H735" s="33"/>
      <c r="I735" s="34"/>
      <c r="J735" s="34"/>
      <c r="K735" s="14"/>
      <c r="L735" s="32"/>
      <c r="M735" s="14"/>
      <c r="N735" s="14"/>
      <c r="O735" s="2"/>
      <c r="P735"/>
      <c r="Q735" s="2"/>
      <c r="R735"/>
      <c r="S735"/>
      <c r="T735"/>
      <c r="U735" s="2"/>
      <c r="V735" s="2"/>
      <c r="W735" s="2"/>
      <c r="X735" s="2"/>
      <c r="Y735" s="2"/>
      <c r="Z735" s="11"/>
      <c r="AA735" s="15"/>
      <c r="AB735" s="15"/>
      <c r="AC735" s="15"/>
      <c r="AD735" s="35"/>
      <c r="AE735" s="99"/>
      <c r="AF735" s="99"/>
      <c r="AG735" s="35"/>
      <c r="AH735" s="35"/>
      <c r="AI735" s="35"/>
      <c r="AJ735" s="1"/>
      <c r="AK735" s="1"/>
      <c r="AL735" s="1"/>
      <c r="AM735" s="1"/>
      <c r="AN735" s="1"/>
      <c r="AO735" s="1"/>
      <c r="AP735"/>
      <c r="AQ735"/>
      <c r="AR735"/>
      <c r="AS735"/>
      <c r="AT735" s="50"/>
      <c r="AU735" s="97"/>
      <c r="AV735" s="97"/>
      <c r="AW735" s="97"/>
      <c r="AX735" s="97"/>
      <c r="AY735" s="97"/>
      <c r="BD735" s="35"/>
      <c r="BE735" s="35"/>
      <c r="BV735" s="98"/>
      <c r="BW735" s="98"/>
      <c r="BX735" s="98"/>
      <c r="BY735" s="112"/>
      <c r="BZ735" s="112"/>
      <c r="CA735" s="112"/>
      <c r="CB735" s="98"/>
      <c r="CC735" s="98"/>
      <c r="CD735" s="98"/>
      <c r="CE735" s="98"/>
      <c r="CG735" s="100"/>
      <c r="CH735" s="100"/>
      <c r="CI735" s="100"/>
      <c r="CJ735" s="100"/>
      <c r="CK735" s="100"/>
      <c r="CL735" s="100"/>
      <c r="CM735" s="100"/>
      <c r="CN735" s="100"/>
      <c r="CO735" s="100"/>
      <c r="CP735" s="100"/>
      <c r="CQ735" s="100"/>
      <c r="CR735" s="100"/>
      <c r="CS735" s="100"/>
      <c r="CT735" s="100"/>
      <c r="CU735" s="100"/>
    </row>
    <row r="736" spans="6:99" s="36" customFormat="1" ht="11.1" customHeight="1" x14ac:dyDescent="0.25">
      <c r="F736" s="33"/>
      <c r="G736" s="33"/>
      <c r="H736" s="33"/>
      <c r="I736" s="34"/>
      <c r="J736" s="34"/>
      <c r="K736" s="14"/>
      <c r="L736" s="32"/>
      <c r="M736" s="14"/>
      <c r="N736" s="14"/>
      <c r="O736" s="2"/>
      <c r="P736"/>
      <c r="Q736" s="2"/>
      <c r="R736"/>
      <c r="S736"/>
      <c r="T736"/>
      <c r="U736" s="2"/>
      <c r="V736" s="2"/>
      <c r="W736" s="2"/>
      <c r="X736" s="2"/>
      <c r="Y736" s="2"/>
      <c r="Z736" s="11"/>
      <c r="AA736" s="15"/>
      <c r="AB736" s="15"/>
      <c r="AC736" s="15"/>
      <c r="AD736" s="35"/>
      <c r="AE736" s="99"/>
      <c r="AF736" s="99"/>
      <c r="AG736" s="35"/>
      <c r="AH736" s="35"/>
      <c r="AI736" s="35"/>
      <c r="AJ736" s="1"/>
      <c r="AK736" s="1"/>
      <c r="AL736" s="1"/>
      <c r="AM736" s="1"/>
      <c r="AN736" s="1"/>
      <c r="AO736" s="1"/>
      <c r="AP736"/>
      <c r="AQ736"/>
      <c r="AR736"/>
      <c r="AS736"/>
      <c r="AT736" s="50"/>
      <c r="AU736" s="97"/>
      <c r="AV736" s="97"/>
      <c r="AW736" s="97"/>
      <c r="AX736" s="97"/>
      <c r="AY736" s="97"/>
      <c r="BD736" s="35"/>
      <c r="BE736" s="35"/>
      <c r="BV736" s="98"/>
      <c r="BW736" s="98"/>
      <c r="BX736" s="98"/>
      <c r="BY736" s="112"/>
      <c r="BZ736" s="112"/>
      <c r="CA736" s="112"/>
      <c r="CB736" s="98"/>
      <c r="CC736" s="98"/>
      <c r="CD736" s="98"/>
      <c r="CE736" s="98"/>
      <c r="CG736" s="100"/>
      <c r="CH736" s="100"/>
      <c r="CI736" s="100"/>
      <c r="CJ736" s="100"/>
      <c r="CK736" s="100"/>
      <c r="CL736" s="100"/>
      <c r="CM736" s="100"/>
      <c r="CN736" s="100"/>
      <c r="CO736" s="100"/>
      <c r="CP736" s="100"/>
      <c r="CQ736" s="100"/>
      <c r="CR736" s="100"/>
      <c r="CS736" s="100"/>
      <c r="CT736" s="100"/>
      <c r="CU736" s="100"/>
    </row>
    <row r="737" spans="6:99" s="36" customFormat="1" ht="11.1" customHeight="1" x14ac:dyDescent="0.25">
      <c r="F737" s="33"/>
      <c r="G737" s="33"/>
      <c r="H737" s="33"/>
      <c r="I737" s="34"/>
      <c r="J737" s="34"/>
      <c r="K737" s="14"/>
      <c r="L737" s="32"/>
      <c r="M737" s="14"/>
      <c r="N737" s="14"/>
      <c r="O737" s="2"/>
      <c r="P737"/>
      <c r="Q737" s="2"/>
      <c r="R737"/>
      <c r="S737"/>
      <c r="T737"/>
      <c r="U737" s="2"/>
      <c r="V737" s="2"/>
      <c r="W737" s="2"/>
      <c r="X737" s="2"/>
      <c r="Y737" s="2"/>
      <c r="Z737" s="11"/>
      <c r="AA737" s="15"/>
      <c r="AB737" s="15"/>
      <c r="AC737" s="15"/>
      <c r="AD737" s="35"/>
      <c r="AE737" s="99"/>
      <c r="AF737" s="99"/>
      <c r="AG737" s="35"/>
      <c r="AH737" s="35"/>
      <c r="AI737" s="35"/>
      <c r="AJ737" s="1"/>
      <c r="AK737" s="1"/>
      <c r="AL737" s="1"/>
      <c r="AM737" s="1"/>
      <c r="AN737" s="1"/>
      <c r="AO737" s="1"/>
      <c r="AP737"/>
      <c r="AQ737"/>
      <c r="AR737"/>
      <c r="AS737"/>
      <c r="AT737" s="50"/>
      <c r="AU737" s="97"/>
      <c r="AV737" s="97"/>
      <c r="AW737" s="97"/>
      <c r="AX737" s="97"/>
      <c r="AY737" s="97"/>
      <c r="BD737" s="35"/>
      <c r="BE737" s="35"/>
      <c r="BV737" s="98"/>
      <c r="BW737" s="98"/>
      <c r="BX737" s="98"/>
      <c r="BY737" s="112"/>
      <c r="BZ737" s="112"/>
      <c r="CA737" s="112"/>
      <c r="CB737" s="98"/>
      <c r="CC737" s="98"/>
      <c r="CD737" s="98"/>
      <c r="CE737" s="98"/>
      <c r="CG737" s="100"/>
      <c r="CH737" s="100"/>
      <c r="CI737" s="100"/>
      <c r="CJ737" s="100"/>
      <c r="CK737" s="100"/>
      <c r="CL737" s="100"/>
      <c r="CM737" s="100"/>
      <c r="CN737" s="100"/>
      <c r="CO737" s="100"/>
      <c r="CP737" s="100"/>
      <c r="CQ737" s="100"/>
      <c r="CR737" s="100"/>
      <c r="CS737" s="100"/>
      <c r="CT737" s="100"/>
      <c r="CU737" s="100"/>
    </row>
    <row r="738" spans="6:99" s="36" customFormat="1" ht="11.1" customHeight="1" x14ac:dyDescent="0.25">
      <c r="F738" s="33"/>
      <c r="G738" s="33"/>
      <c r="H738" s="33"/>
      <c r="I738" s="34"/>
      <c r="J738" s="34"/>
      <c r="K738" s="14"/>
      <c r="L738" s="32"/>
      <c r="M738" s="14"/>
      <c r="N738" s="14"/>
      <c r="O738" s="2"/>
      <c r="P738"/>
      <c r="Q738" s="2"/>
      <c r="R738"/>
      <c r="S738"/>
      <c r="T738"/>
      <c r="U738" s="2"/>
      <c r="V738" s="2"/>
      <c r="W738" s="2"/>
      <c r="X738" s="2"/>
      <c r="Y738" s="2"/>
      <c r="Z738" s="11"/>
      <c r="AA738" s="15"/>
      <c r="AB738" s="15"/>
      <c r="AC738" s="15"/>
      <c r="AD738" s="35"/>
      <c r="AE738" s="99"/>
      <c r="AF738" s="99"/>
      <c r="AG738" s="35"/>
      <c r="AH738" s="35"/>
      <c r="AI738" s="35"/>
      <c r="AJ738" s="1"/>
      <c r="AK738" s="1"/>
      <c r="AL738" s="1"/>
      <c r="AM738" s="1"/>
      <c r="AN738" s="1"/>
      <c r="AO738" s="1"/>
      <c r="AP738"/>
      <c r="AQ738"/>
      <c r="AR738"/>
      <c r="AS738"/>
      <c r="AT738" s="50"/>
      <c r="AU738" s="97"/>
      <c r="AV738" s="97"/>
      <c r="AW738" s="97"/>
      <c r="AX738" s="97"/>
      <c r="AY738" s="97"/>
      <c r="BD738" s="35"/>
      <c r="BE738" s="35"/>
      <c r="BV738" s="98"/>
      <c r="BW738" s="98"/>
      <c r="BX738" s="98"/>
      <c r="BY738" s="112"/>
      <c r="BZ738" s="112"/>
      <c r="CA738" s="112"/>
      <c r="CB738" s="98"/>
      <c r="CC738" s="98"/>
      <c r="CD738" s="98"/>
      <c r="CE738" s="98"/>
      <c r="CG738" s="100"/>
      <c r="CH738" s="100"/>
      <c r="CI738" s="100"/>
      <c r="CJ738" s="100"/>
      <c r="CK738" s="100"/>
      <c r="CL738" s="100"/>
      <c r="CM738" s="100"/>
      <c r="CN738" s="100"/>
      <c r="CO738" s="100"/>
      <c r="CP738" s="100"/>
      <c r="CQ738" s="100"/>
      <c r="CR738" s="100"/>
      <c r="CS738" s="100"/>
      <c r="CT738" s="100"/>
      <c r="CU738" s="100"/>
    </row>
    <row r="739" spans="6:99" s="36" customFormat="1" ht="11.1" customHeight="1" x14ac:dyDescent="0.25">
      <c r="F739" s="33"/>
      <c r="G739" s="33"/>
      <c r="H739" s="33"/>
      <c r="I739" s="34"/>
      <c r="J739" s="34"/>
      <c r="K739" s="14"/>
      <c r="L739" s="32"/>
      <c r="M739" s="14"/>
      <c r="N739" s="14"/>
      <c r="O739" s="2"/>
      <c r="P739"/>
      <c r="Q739" s="2"/>
      <c r="R739"/>
      <c r="S739"/>
      <c r="T739"/>
      <c r="U739" s="2"/>
      <c r="V739" s="2"/>
      <c r="W739" s="2"/>
      <c r="X739" s="2"/>
      <c r="Y739" s="2"/>
      <c r="Z739" s="11"/>
      <c r="AA739" s="15"/>
      <c r="AB739" s="15"/>
      <c r="AC739" s="15"/>
      <c r="AD739" s="35"/>
      <c r="AE739" s="99"/>
      <c r="AF739" s="99"/>
      <c r="AG739" s="35"/>
      <c r="AH739" s="35"/>
      <c r="AI739" s="35"/>
      <c r="AJ739" s="1"/>
      <c r="AK739" s="1"/>
      <c r="AL739" s="1"/>
      <c r="AM739" s="1"/>
      <c r="AN739" s="1"/>
      <c r="AO739" s="1"/>
      <c r="AP739"/>
      <c r="AQ739"/>
      <c r="AR739"/>
      <c r="AS739"/>
      <c r="AT739" s="50"/>
      <c r="AU739" s="97"/>
      <c r="AV739" s="97"/>
      <c r="AW739" s="97"/>
      <c r="AX739" s="97"/>
      <c r="AY739" s="97"/>
      <c r="BD739" s="35"/>
      <c r="BE739" s="35"/>
      <c r="BV739" s="98"/>
      <c r="BW739" s="98"/>
      <c r="BX739" s="98"/>
      <c r="BY739" s="112"/>
      <c r="BZ739" s="112"/>
      <c r="CA739" s="112"/>
      <c r="CB739" s="98"/>
      <c r="CC739" s="98"/>
      <c r="CD739" s="98"/>
      <c r="CE739" s="98"/>
      <c r="CG739" s="100"/>
      <c r="CH739" s="100"/>
      <c r="CI739" s="100"/>
      <c r="CJ739" s="100"/>
      <c r="CK739" s="100"/>
      <c r="CL739" s="100"/>
      <c r="CM739" s="100"/>
      <c r="CN739" s="100"/>
      <c r="CO739" s="100"/>
      <c r="CP739" s="100"/>
      <c r="CQ739" s="100"/>
      <c r="CR739" s="100"/>
      <c r="CS739" s="100"/>
      <c r="CT739" s="100"/>
      <c r="CU739" s="100"/>
    </row>
    <row r="740" spans="6:99" s="36" customFormat="1" ht="11.1" customHeight="1" x14ac:dyDescent="0.25">
      <c r="F740" s="33"/>
      <c r="G740" s="33"/>
      <c r="H740" s="33"/>
      <c r="I740" s="34"/>
      <c r="J740" s="34"/>
      <c r="K740" s="14"/>
      <c r="L740" s="32"/>
      <c r="M740" s="14"/>
      <c r="N740" s="14"/>
      <c r="O740" s="2"/>
      <c r="P740"/>
      <c r="Q740" s="2"/>
      <c r="R740"/>
      <c r="S740"/>
      <c r="T740"/>
      <c r="U740" s="2"/>
      <c r="V740" s="2"/>
      <c r="W740" s="2"/>
      <c r="X740" s="2"/>
      <c r="Y740" s="2"/>
      <c r="Z740" s="11"/>
      <c r="AA740" s="15"/>
      <c r="AB740" s="15"/>
      <c r="AC740" s="15"/>
      <c r="AD740" s="35"/>
      <c r="AE740" s="99"/>
      <c r="AF740" s="99"/>
      <c r="AG740" s="35"/>
      <c r="AH740" s="35"/>
      <c r="AI740" s="35"/>
      <c r="AJ740" s="1"/>
      <c r="AK740" s="1"/>
      <c r="AL740" s="1"/>
      <c r="AM740" s="1"/>
      <c r="AN740" s="1"/>
      <c r="AO740" s="1"/>
      <c r="AP740"/>
      <c r="AQ740"/>
      <c r="AR740"/>
      <c r="AS740"/>
      <c r="AT740" s="50"/>
      <c r="AU740" s="97"/>
      <c r="AV740" s="97"/>
      <c r="AW740" s="97"/>
      <c r="AX740" s="97"/>
      <c r="AY740" s="97"/>
      <c r="BD740" s="35"/>
      <c r="BE740" s="35"/>
      <c r="BV740" s="98"/>
      <c r="BW740" s="98"/>
      <c r="BX740" s="98"/>
      <c r="BY740" s="112"/>
      <c r="BZ740" s="112"/>
      <c r="CA740" s="112"/>
      <c r="CB740" s="98"/>
      <c r="CC740" s="98"/>
      <c r="CD740" s="98"/>
      <c r="CE740" s="98"/>
      <c r="CG740" s="100"/>
      <c r="CH740" s="100"/>
      <c r="CI740" s="100"/>
      <c r="CJ740" s="100"/>
      <c r="CK740" s="100"/>
      <c r="CL740" s="100"/>
      <c r="CM740" s="100"/>
      <c r="CN740" s="100"/>
      <c r="CO740" s="100"/>
      <c r="CP740" s="100"/>
      <c r="CQ740" s="100"/>
      <c r="CR740" s="100"/>
      <c r="CS740" s="100"/>
      <c r="CT740" s="100"/>
      <c r="CU740" s="100"/>
    </row>
    <row r="741" spans="6:99" s="36" customFormat="1" ht="11.1" customHeight="1" x14ac:dyDescent="0.25">
      <c r="F741" s="33"/>
      <c r="G741" s="33"/>
      <c r="H741" s="33"/>
      <c r="I741" s="34"/>
      <c r="J741" s="34"/>
      <c r="K741" s="14"/>
      <c r="L741" s="32"/>
      <c r="M741" s="14"/>
      <c r="N741" s="14"/>
      <c r="O741" s="2"/>
      <c r="P741"/>
      <c r="Q741" s="2"/>
      <c r="R741"/>
      <c r="S741"/>
      <c r="T741"/>
      <c r="U741" s="2"/>
      <c r="V741" s="2"/>
      <c r="W741" s="2"/>
      <c r="X741" s="2"/>
      <c r="Y741" s="2"/>
      <c r="Z741" s="11"/>
      <c r="AA741" s="15"/>
      <c r="AB741" s="15"/>
      <c r="AC741" s="15"/>
      <c r="AD741" s="35"/>
      <c r="AE741" s="99"/>
      <c r="AF741" s="99"/>
      <c r="AG741" s="35"/>
      <c r="AH741" s="35"/>
      <c r="AI741" s="35"/>
      <c r="AJ741" s="1"/>
      <c r="AK741" s="1"/>
      <c r="AL741" s="1"/>
      <c r="AM741" s="1"/>
      <c r="AN741" s="1"/>
      <c r="AO741" s="1"/>
      <c r="AP741"/>
      <c r="AQ741"/>
      <c r="AR741"/>
      <c r="AS741"/>
      <c r="AT741" s="50"/>
      <c r="AU741" s="97"/>
      <c r="AV741" s="97"/>
      <c r="AW741" s="97"/>
      <c r="AX741" s="97"/>
      <c r="AY741" s="97"/>
      <c r="BD741" s="35"/>
      <c r="BE741" s="35"/>
      <c r="BV741" s="98"/>
      <c r="BW741" s="98"/>
      <c r="BX741" s="98"/>
      <c r="BY741" s="112"/>
      <c r="BZ741" s="112"/>
      <c r="CA741" s="112"/>
      <c r="CB741" s="98"/>
      <c r="CC741" s="98"/>
      <c r="CD741" s="98"/>
      <c r="CE741" s="98"/>
      <c r="CG741" s="100"/>
      <c r="CH741" s="100"/>
      <c r="CI741" s="100"/>
      <c r="CJ741" s="100"/>
      <c r="CK741" s="100"/>
      <c r="CL741" s="100"/>
      <c r="CM741" s="100"/>
      <c r="CN741" s="100"/>
      <c r="CO741" s="100"/>
      <c r="CP741" s="100"/>
      <c r="CQ741" s="100"/>
      <c r="CR741" s="100"/>
      <c r="CS741" s="100"/>
      <c r="CT741" s="100"/>
      <c r="CU741" s="100"/>
    </row>
    <row r="742" spans="6:99" s="36" customFormat="1" ht="11.1" customHeight="1" x14ac:dyDescent="0.25">
      <c r="F742" s="33"/>
      <c r="G742" s="33"/>
      <c r="H742" s="33"/>
      <c r="I742" s="34"/>
      <c r="J742" s="34"/>
      <c r="K742" s="14"/>
      <c r="L742" s="32"/>
      <c r="M742" s="14"/>
      <c r="N742" s="14"/>
      <c r="O742" s="2"/>
      <c r="P742"/>
      <c r="Q742" s="2"/>
      <c r="R742"/>
      <c r="S742"/>
      <c r="T742"/>
      <c r="U742" s="2"/>
      <c r="V742" s="2"/>
      <c r="W742" s="2"/>
      <c r="X742" s="2"/>
      <c r="Y742" s="2"/>
      <c r="Z742" s="11"/>
      <c r="AA742" s="15"/>
      <c r="AB742" s="15"/>
      <c r="AC742" s="15"/>
      <c r="AD742" s="35"/>
      <c r="AE742" s="99"/>
      <c r="AF742" s="99"/>
      <c r="AG742" s="35"/>
      <c r="AH742" s="35"/>
      <c r="AI742" s="35"/>
      <c r="AJ742" s="1"/>
      <c r="AK742" s="1"/>
      <c r="AL742" s="1"/>
      <c r="AM742" s="1"/>
      <c r="AN742" s="1"/>
      <c r="AO742" s="1"/>
      <c r="AP742"/>
      <c r="AQ742"/>
      <c r="AR742"/>
      <c r="AS742"/>
      <c r="AT742" s="50"/>
      <c r="AU742" s="97"/>
      <c r="AV742" s="97"/>
      <c r="AW742" s="97"/>
      <c r="AX742" s="97"/>
      <c r="AY742" s="97"/>
      <c r="BD742" s="35"/>
      <c r="BE742" s="35"/>
      <c r="BV742" s="98"/>
      <c r="BW742" s="98"/>
      <c r="BX742" s="98"/>
      <c r="BY742" s="112"/>
      <c r="BZ742" s="112"/>
      <c r="CA742" s="112"/>
      <c r="CB742" s="98"/>
      <c r="CC742" s="98"/>
      <c r="CD742" s="98"/>
      <c r="CE742" s="98"/>
      <c r="CG742" s="100"/>
      <c r="CH742" s="100"/>
      <c r="CI742" s="100"/>
      <c r="CJ742" s="100"/>
      <c r="CK742" s="100"/>
      <c r="CL742" s="100"/>
      <c r="CM742" s="100"/>
      <c r="CN742" s="100"/>
      <c r="CO742" s="100"/>
      <c r="CP742" s="100"/>
      <c r="CQ742" s="100"/>
      <c r="CR742" s="100"/>
      <c r="CS742" s="100"/>
      <c r="CT742" s="100"/>
      <c r="CU742" s="100"/>
    </row>
    <row r="743" spans="6:99" s="36" customFormat="1" ht="11.1" customHeight="1" x14ac:dyDescent="0.25">
      <c r="F743" s="33"/>
      <c r="G743" s="33"/>
      <c r="H743" s="33"/>
      <c r="I743" s="34"/>
      <c r="J743" s="34"/>
      <c r="K743" s="14"/>
      <c r="L743" s="32"/>
      <c r="M743" s="14"/>
      <c r="N743" s="14"/>
      <c r="O743" s="2"/>
      <c r="P743"/>
      <c r="Q743" s="2"/>
      <c r="R743"/>
      <c r="S743"/>
      <c r="T743"/>
      <c r="U743" s="2"/>
      <c r="V743" s="2"/>
      <c r="W743" s="2"/>
      <c r="X743" s="2"/>
      <c r="Y743" s="2"/>
      <c r="Z743" s="11"/>
      <c r="AA743" s="15"/>
      <c r="AB743" s="15"/>
      <c r="AC743" s="15"/>
      <c r="AD743" s="35"/>
      <c r="AE743" s="99"/>
      <c r="AF743" s="99"/>
      <c r="AG743" s="35"/>
      <c r="AH743" s="35"/>
      <c r="AI743" s="35"/>
      <c r="AJ743" s="1"/>
      <c r="AK743" s="1"/>
      <c r="AL743" s="1"/>
      <c r="AM743" s="1"/>
      <c r="AN743" s="1"/>
      <c r="AO743" s="1"/>
      <c r="AP743"/>
      <c r="AQ743"/>
      <c r="AR743"/>
      <c r="AS743"/>
      <c r="AT743" s="50"/>
      <c r="AU743" s="97"/>
      <c r="AV743" s="97"/>
      <c r="AW743" s="97"/>
      <c r="AX743" s="97"/>
      <c r="AY743" s="97"/>
      <c r="BD743" s="35"/>
      <c r="BE743" s="35"/>
      <c r="BV743" s="98"/>
      <c r="BW743" s="98"/>
      <c r="BX743" s="98"/>
      <c r="BY743" s="112"/>
      <c r="BZ743" s="112"/>
      <c r="CA743" s="112"/>
      <c r="CB743" s="98"/>
      <c r="CC743" s="98"/>
      <c r="CD743" s="98"/>
      <c r="CE743" s="98"/>
      <c r="CG743" s="100"/>
      <c r="CH743" s="100"/>
      <c r="CI743" s="100"/>
      <c r="CJ743" s="100"/>
      <c r="CK743" s="100"/>
      <c r="CL743" s="100"/>
      <c r="CM743" s="100"/>
      <c r="CN743" s="100"/>
      <c r="CO743" s="100"/>
      <c r="CP743" s="100"/>
      <c r="CQ743" s="100"/>
      <c r="CR743" s="100"/>
      <c r="CS743" s="100"/>
      <c r="CT743" s="100"/>
      <c r="CU743" s="100"/>
    </row>
    <row r="744" spans="6:99" s="36" customFormat="1" ht="11.1" customHeight="1" x14ac:dyDescent="0.25">
      <c r="F744" s="33"/>
      <c r="G744" s="33"/>
      <c r="H744" s="33"/>
      <c r="I744" s="34"/>
      <c r="J744" s="34"/>
      <c r="K744" s="14"/>
      <c r="L744" s="32"/>
      <c r="M744" s="14"/>
      <c r="N744" s="14"/>
      <c r="O744" s="2"/>
      <c r="P744"/>
      <c r="Q744" s="2"/>
      <c r="R744"/>
      <c r="S744"/>
      <c r="T744"/>
      <c r="U744" s="2"/>
      <c r="V744" s="2"/>
      <c r="W744" s="2"/>
      <c r="X744" s="2"/>
      <c r="Y744" s="2"/>
      <c r="Z744" s="11"/>
      <c r="AA744" s="15"/>
      <c r="AB744" s="15"/>
      <c r="AC744" s="15"/>
      <c r="AD744" s="35"/>
      <c r="AE744" s="99"/>
      <c r="AF744" s="99"/>
      <c r="AG744" s="35"/>
      <c r="AH744" s="35"/>
      <c r="AI744" s="35"/>
      <c r="AJ744" s="1"/>
      <c r="AK744" s="1"/>
      <c r="AL744" s="1"/>
      <c r="AM744" s="1"/>
      <c r="AN744" s="1"/>
      <c r="AO744" s="1"/>
      <c r="AP744"/>
      <c r="AQ744"/>
      <c r="AR744"/>
      <c r="AS744"/>
      <c r="AT744" s="50"/>
      <c r="AU744" s="97"/>
      <c r="AV744" s="97"/>
      <c r="AW744" s="97"/>
      <c r="AX744" s="97"/>
      <c r="AY744" s="97"/>
      <c r="BD744" s="35"/>
      <c r="BE744" s="35"/>
      <c r="BV744" s="98"/>
      <c r="BW744" s="98"/>
      <c r="BX744" s="98"/>
      <c r="BY744" s="112"/>
      <c r="BZ744" s="112"/>
      <c r="CA744" s="112"/>
      <c r="CB744" s="98"/>
      <c r="CC744" s="98"/>
      <c r="CD744" s="98"/>
      <c r="CE744" s="98"/>
      <c r="CG744" s="100"/>
      <c r="CH744" s="100"/>
      <c r="CI744" s="100"/>
      <c r="CJ744" s="100"/>
      <c r="CK744" s="100"/>
      <c r="CL744" s="100"/>
      <c r="CM744" s="100"/>
      <c r="CN744" s="100"/>
      <c r="CO744" s="100"/>
      <c r="CP744" s="100"/>
      <c r="CQ744" s="100"/>
      <c r="CR744" s="100"/>
      <c r="CS744" s="100"/>
      <c r="CT744" s="100"/>
      <c r="CU744" s="100"/>
    </row>
    <row r="745" spans="6:99" s="36" customFormat="1" ht="11.1" customHeight="1" x14ac:dyDescent="0.25">
      <c r="F745" s="33"/>
      <c r="G745" s="33"/>
      <c r="H745" s="33"/>
      <c r="I745" s="34"/>
      <c r="J745" s="34"/>
      <c r="K745" s="14"/>
      <c r="L745" s="32"/>
      <c r="M745" s="14"/>
      <c r="N745" s="14"/>
      <c r="O745" s="2"/>
      <c r="P745"/>
      <c r="Q745" s="2"/>
      <c r="R745"/>
      <c r="S745"/>
      <c r="T745"/>
      <c r="U745" s="2"/>
      <c r="V745" s="2"/>
      <c r="W745" s="2"/>
      <c r="X745" s="2"/>
      <c r="Y745" s="2"/>
      <c r="Z745" s="11"/>
      <c r="AA745" s="15"/>
      <c r="AB745" s="15"/>
      <c r="AC745" s="15"/>
      <c r="AD745" s="35"/>
      <c r="AE745" s="99"/>
      <c r="AF745" s="99"/>
      <c r="AG745" s="35"/>
      <c r="AH745" s="35"/>
      <c r="AI745" s="35"/>
      <c r="AJ745" s="1"/>
      <c r="AK745" s="1"/>
      <c r="AL745" s="1"/>
      <c r="AM745" s="1"/>
      <c r="AN745" s="1"/>
      <c r="AO745" s="1"/>
      <c r="AP745"/>
      <c r="AQ745"/>
      <c r="AR745"/>
      <c r="AS745"/>
      <c r="AT745" s="50"/>
      <c r="AU745" s="97"/>
      <c r="AV745" s="97"/>
      <c r="AW745" s="97"/>
      <c r="AX745" s="97"/>
      <c r="AY745" s="97"/>
      <c r="BD745" s="35"/>
      <c r="BE745" s="35"/>
      <c r="BV745" s="98"/>
      <c r="BW745" s="98"/>
      <c r="BX745" s="98"/>
      <c r="BY745" s="112"/>
      <c r="BZ745" s="112"/>
      <c r="CA745" s="112"/>
      <c r="CB745" s="98"/>
      <c r="CC745" s="98"/>
      <c r="CD745" s="98"/>
      <c r="CE745" s="98"/>
      <c r="CG745" s="100"/>
      <c r="CH745" s="100"/>
      <c r="CI745" s="100"/>
      <c r="CJ745" s="100"/>
      <c r="CK745" s="100"/>
      <c r="CL745" s="100"/>
      <c r="CM745" s="100"/>
      <c r="CN745" s="100"/>
      <c r="CO745" s="100"/>
      <c r="CP745" s="100"/>
      <c r="CQ745" s="100"/>
      <c r="CR745" s="100"/>
      <c r="CS745" s="100"/>
      <c r="CT745" s="100"/>
      <c r="CU745" s="100"/>
    </row>
    <row r="746" spans="6:99" s="36" customFormat="1" ht="11.1" customHeight="1" x14ac:dyDescent="0.25">
      <c r="F746" s="33"/>
      <c r="G746" s="33"/>
      <c r="H746" s="33"/>
      <c r="I746" s="34"/>
      <c r="J746" s="34"/>
      <c r="K746" s="14"/>
      <c r="L746" s="32"/>
      <c r="M746" s="14"/>
      <c r="N746" s="14"/>
      <c r="O746" s="2"/>
      <c r="P746"/>
      <c r="Q746" s="2"/>
      <c r="R746"/>
      <c r="S746"/>
      <c r="T746"/>
      <c r="U746" s="2"/>
      <c r="V746" s="2"/>
      <c r="W746" s="2"/>
      <c r="X746" s="2"/>
      <c r="Y746" s="2"/>
      <c r="Z746" s="11"/>
      <c r="AA746" s="15"/>
      <c r="AB746" s="15"/>
      <c r="AC746" s="15"/>
      <c r="AD746" s="35"/>
      <c r="AE746" s="99"/>
      <c r="AF746" s="99"/>
      <c r="AG746" s="35"/>
      <c r="AH746" s="35"/>
      <c r="AI746" s="35"/>
      <c r="AJ746" s="1"/>
      <c r="AK746" s="1"/>
      <c r="AL746" s="1"/>
      <c r="AM746" s="1"/>
      <c r="AN746" s="1"/>
      <c r="AO746" s="1"/>
      <c r="AP746"/>
      <c r="AQ746"/>
      <c r="AR746"/>
      <c r="AS746"/>
      <c r="AT746" s="50"/>
      <c r="AU746" s="97"/>
      <c r="AV746" s="97"/>
      <c r="AW746" s="97"/>
      <c r="AX746" s="97"/>
      <c r="AY746" s="97"/>
      <c r="BD746" s="35"/>
      <c r="BE746" s="35"/>
      <c r="BV746" s="98"/>
      <c r="BW746" s="98"/>
      <c r="BX746" s="98"/>
      <c r="BY746" s="112"/>
      <c r="BZ746" s="112"/>
      <c r="CA746" s="112"/>
      <c r="CB746" s="98"/>
      <c r="CC746" s="98"/>
      <c r="CD746" s="98"/>
      <c r="CE746" s="98"/>
      <c r="CG746" s="100"/>
      <c r="CH746" s="100"/>
      <c r="CI746" s="100"/>
      <c r="CJ746" s="100"/>
      <c r="CK746" s="100"/>
      <c r="CL746" s="100"/>
      <c r="CM746" s="100"/>
      <c r="CN746" s="100"/>
      <c r="CO746" s="100"/>
      <c r="CP746" s="100"/>
      <c r="CQ746" s="100"/>
      <c r="CR746" s="100"/>
      <c r="CS746" s="100"/>
      <c r="CT746" s="100"/>
      <c r="CU746" s="100"/>
    </row>
    <row r="747" spans="6:99" s="36" customFormat="1" ht="11.1" customHeight="1" x14ac:dyDescent="0.25">
      <c r="F747" s="33"/>
      <c r="G747" s="33"/>
      <c r="H747" s="33"/>
      <c r="I747" s="34"/>
      <c r="J747" s="34"/>
      <c r="K747" s="14"/>
      <c r="L747" s="32"/>
      <c r="M747" s="14"/>
      <c r="N747" s="14"/>
      <c r="O747" s="2"/>
      <c r="P747"/>
      <c r="Q747" s="2"/>
      <c r="R747"/>
      <c r="S747"/>
      <c r="T747"/>
      <c r="U747" s="2"/>
      <c r="V747" s="2"/>
      <c r="W747" s="2"/>
      <c r="X747" s="2"/>
      <c r="Y747" s="2"/>
      <c r="Z747" s="11"/>
      <c r="AA747" s="15"/>
      <c r="AB747" s="15"/>
      <c r="AC747" s="15"/>
      <c r="AD747" s="35"/>
      <c r="AE747" s="99"/>
      <c r="AF747" s="99"/>
      <c r="AG747" s="35"/>
      <c r="AH747" s="35"/>
      <c r="AI747" s="35"/>
      <c r="AJ747" s="1"/>
      <c r="AK747" s="1"/>
      <c r="AL747" s="1"/>
      <c r="AM747" s="1"/>
      <c r="AN747" s="1"/>
      <c r="AO747" s="1"/>
      <c r="AP747"/>
      <c r="AQ747"/>
      <c r="AR747"/>
      <c r="AS747"/>
      <c r="AT747" s="50"/>
      <c r="AU747" s="97"/>
      <c r="AV747" s="97"/>
      <c r="AW747" s="97"/>
      <c r="AX747" s="97"/>
      <c r="AY747" s="97"/>
      <c r="BD747" s="35"/>
      <c r="BE747" s="35"/>
      <c r="BV747" s="98"/>
      <c r="BW747" s="98"/>
      <c r="BX747" s="98"/>
      <c r="BY747" s="112"/>
      <c r="BZ747" s="112"/>
      <c r="CA747" s="112"/>
      <c r="CB747" s="98"/>
      <c r="CC747" s="98"/>
      <c r="CD747" s="98"/>
      <c r="CE747" s="98"/>
      <c r="CG747" s="100"/>
      <c r="CH747" s="100"/>
      <c r="CI747" s="100"/>
      <c r="CJ747" s="100"/>
      <c r="CK747" s="100"/>
      <c r="CL747" s="100"/>
      <c r="CM747" s="100"/>
      <c r="CN747" s="100"/>
      <c r="CO747" s="100"/>
      <c r="CP747" s="100"/>
      <c r="CQ747" s="100"/>
      <c r="CR747" s="100"/>
      <c r="CS747" s="100"/>
      <c r="CT747" s="100"/>
      <c r="CU747" s="100"/>
    </row>
    <row r="748" spans="6:99" s="36" customFormat="1" ht="11.1" customHeight="1" x14ac:dyDescent="0.25">
      <c r="F748" s="33"/>
      <c r="G748" s="33"/>
      <c r="H748" s="33"/>
      <c r="I748" s="34"/>
      <c r="J748" s="34"/>
      <c r="K748" s="14"/>
      <c r="L748" s="32"/>
      <c r="M748" s="14"/>
      <c r="N748" s="14"/>
      <c r="O748" s="2"/>
      <c r="P748"/>
      <c r="Q748" s="2"/>
      <c r="R748"/>
      <c r="S748"/>
      <c r="T748"/>
      <c r="U748" s="2"/>
      <c r="V748" s="2"/>
      <c r="W748" s="2"/>
      <c r="X748" s="2"/>
      <c r="Y748" s="2"/>
      <c r="Z748" s="11"/>
      <c r="AA748" s="15"/>
      <c r="AB748" s="15"/>
      <c r="AC748" s="15"/>
      <c r="AD748" s="35"/>
      <c r="AE748" s="99"/>
      <c r="AF748" s="99"/>
      <c r="AG748" s="35"/>
      <c r="AH748" s="35"/>
      <c r="AI748" s="35"/>
      <c r="AJ748" s="1"/>
      <c r="AK748" s="1"/>
      <c r="AL748" s="1"/>
      <c r="AM748" s="1"/>
      <c r="AN748" s="1"/>
      <c r="AO748" s="1"/>
      <c r="AP748"/>
      <c r="AQ748"/>
      <c r="AR748"/>
      <c r="AS748"/>
      <c r="AT748" s="50"/>
      <c r="AU748" s="97"/>
      <c r="AV748" s="97"/>
      <c r="AW748" s="97"/>
      <c r="AX748" s="97"/>
      <c r="AY748" s="97"/>
      <c r="BD748" s="35"/>
      <c r="BE748" s="35"/>
      <c r="BV748" s="98"/>
      <c r="BW748" s="98"/>
      <c r="BX748" s="98"/>
      <c r="BY748" s="112"/>
      <c r="BZ748" s="112"/>
      <c r="CA748" s="112"/>
      <c r="CB748" s="98"/>
      <c r="CC748" s="98"/>
      <c r="CD748" s="98"/>
      <c r="CE748" s="98"/>
      <c r="CG748" s="100"/>
      <c r="CH748" s="100"/>
      <c r="CI748" s="100"/>
      <c r="CJ748" s="100"/>
      <c r="CK748" s="100"/>
      <c r="CL748" s="100"/>
      <c r="CM748" s="100"/>
      <c r="CN748" s="100"/>
      <c r="CO748" s="100"/>
      <c r="CP748" s="100"/>
      <c r="CQ748" s="100"/>
      <c r="CR748" s="100"/>
      <c r="CS748" s="100"/>
      <c r="CT748" s="100"/>
      <c r="CU748" s="100"/>
    </row>
    <row r="749" spans="6:99" s="36" customFormat="1" ht="11.1" customHeight="1" x14ac:dyDescent="0.25">
      <c r="F749" s="33"/>
      <c r="G749" s="33"/>
      <c r="H749" s="33"/>
      <c r="I749" s="34"/>
      <c r="J749" s="34"/>
      <c r="K749" s="14"/>
      <c r="L749" s="32"/>
      <c r="M749" s="14"/>
      <c r="N749" s="14"/>
      <c r="O749" s="2"/>
      <c r="P749"/>
      <c r="Q749" s="2"/>
      <c r="R749"/>
      <c r="S749"/>
      <c r="T749"/>
      <c r="U749" s="2"/>
      <c r="V749" s="2"/>
      <c r="W749" s="2"/>
      <c r="X749" s="2"/>
      <c r="Y749" s="2"/>
      <c r="Z749" s="11"/>
      <c r="AA749" s="15"/>
      <c r="AB749" s="15"/>
      <c r="AC749" s="15"/>
      <c r="AD749" s="35"/>
      <c r="AE749" s="99"/>
      <c r="AF749" s="99"/>
      <c r="AG749" s="35"/>
      <c r="AH749" s="35"/>
      <c r="AI749" s="35"/>
      <c r="AJ749" s="1"/>
      <c r="AK749" s="1"/>
      <c r="AL749" s="1"/>
      <c r="AM749" s="1"/>
      <c r="AN749" s="1"/>
      <c r="AO749" s="1"/>
      <c r="AP749"/>
      <c r="AQ749"/>
      <c r="AR749"/>
      <c r="AS749"/>
      <c r="AT749" s="50"/>
      <c r="AU749" s="97"/>
      <c r="AV749" s="97"/>
      <c r="AW749" s="97"/>
      <c r="AX749" s="97"/>
      <c r="AY749" s="97"/>
      <c r="BD749" s="35"/>
      <c r="BE749" s="35"/>
      <c r="BV749" s="98"/>
      <c r="BW749" s="98"/>
      <c r="BX749" s="98"/>
      <c r="BY749" s="112"/>
      <c r="BZ749" s="112"/>
      <c r="CA749" s="112"/>
      <c r="CB749" s="98"/>
      <c r="CC749" s="98"/>
      <c r="CD749" s="98"/>
      <c r="CE749" s="98"/>
      <c r="CG749" s="100"/>
      <c r="CH749" s="100"/>
      <c r="CI749" s="100"/>
      <c r="CJ749" s="100"/>
      <c r="CK749" s="100"/>
      <c r="CL749" s="100"/>
      <c r="CM749" s="100"/>
      <c r="CN749" s="100"/>
      <c r="CO749" s="100"/>
      <c r="CP749" s="100"/>
      <c r="CQ749" s="100"/>
      <c r="CR749" s="100"/>
      <c r="CS749" s="100"/>
      <c r="CT749" s="100"/>
      <c r="CU749" s="100"/>
    </row>
    <row r="750" spans="6:99" s="36" customFormat="1" ht="11.1" customHeight="1" x14ac:dyDescent="0.25">
      <c r="F750" s="33"/>
      <c r="G750" s="33"/>
      <c r="H750" s="33"/>
      <c r="I750" s="34"/>
      <c r="J750" s="34"/>
      <c r="K750" s="14"/>
      <c r="L750" s="32"/>
      <c r="M750" s="14"/>
      <c r="N750" s="14"/>
      <c r="O750" s="2"/>
      <c r="P750"/>
      <c r="Q750" s="2"/>
      <c r="R750"/>
      <c r="S750"/>
      <c r="T750"/>
      <c r="U750" s="2"/>
      <c r="V750" s="2"/>
      <c r="W750" s="2"/>
      <c r="X750" s="2"/>
      <c r="Y750" s="2"/>
      <c r="Z750" s="11"/>
      <c r="AA750" s="15"/>
      <c r="AB750" s="15"/>
      <c r="AC750" s="15"/>
      <c r="AD750" s="35"/>
      <c r="AE750" s="99"/>
      <c r="AF750" s="99"/>
      <c r="AG750" s="35"/>
      <c r="AH750" s="35"/>
      <c r="AI750" s="35"/>
      <c r="AJ750" s="1"/>
      <c r="AK750" s="1"/>
      <c r="AL750" s="1"/>
      <c r="AM750" s="1"/>
      <c r="AN750" s="1"/>
      <c r="AO750" s="1"/>
      <c r="AP750"/>
      <c r="AQ750"/>
      <c r="AR750"/>
      <c r="AS750"/>
      <c r="AT750" s="50"/>
      <c r="AU750" s="97"/>
      <c r="AV750" s="97"/>
      <c r="AW750" s="97"/>
      <c r="AX750" s="97"/>
      <c r="AY750" s="97"/>
      <c r="BD750" s="35"/>
      <c r="BE750" s="35"/>
      <c r="BV750" s="98"/>
      <c r="BW750" s="98"/>
      <c r="BX750" s="98"/>
      <c r="BY750" s="112"/>
      <c r="BZ750" s="112"/>
      <c r="CA750" s="112"/>
      <c r="CB750" s="98"/>
      <c r="CC750" s="98"/>
      <c r="CD750" s="98"/>
      <c r="CE750" s="98"/>
      <c r="CG750" s="100"/>
      <c r="CH750" s="100"/>
      <c r="CI750" s="100"/>
      <c r="CJ750" s="100"/>
      <c r="CK750" s="100"/>
      <c r="CL750" s="100"/>
      <c r="CM750" s="100"/>
      <c r="CN750" s="100"/>
      <c r="CO750" s="100"/>
      <c r="CP750" s="100"/>
      <c r="CQ750" s="100"/>
      <c r="CR750" s="100"/>
      <c r="CS750" s="100"/>
      <c r="CT750" s="100"/>
      <c r="CU750" s="100"/>
    </row>
    <row r="751" spans="6:99" s="36" customFormat="1" ht="11.1" customHeight="1" x14ac:dyDescent="0.25">
      <c r="F751" s="33"/>
      <c r="G751" s="33"/>
      <c r="H751" s="33"/>
      <c r="I751" s="34"/>
      <c r="J751" s="34"/>
      <c r="K751" s="14"/>
      <c r="L751" s="32"/>
      <c r="M751" s="14"/>
      <c r="N751" s="14"/>
      <c r="O751" s="2"/>
      <c r="P751"/>
      <c r="Q751" s="2"/>
      <c r="R751"/>
      <c r="S751"/>
      <c r="T751"/>
      <c r="U751" s="2"/>
      <c r="V751" s="2"/>
      <c r="W751" s="2"/>
      <c r="X751" s="2"/>
      <c r="Y751" s="2"/>
      <c r="Z751" s="11"/>
      <c r="AA751" s="15"/>
      <c r="AB751" s="15"/>
      <c r="AC751" s="15"/>
      <c r="AD751" s="35"/>
      <c r="AE751" s="99"/>
      <c r="AF751" s="99"/>
      <c r="AG751" s="35"/>
      <c r="AH751" s="35"/>
      <c r="AI751" s="35"/>
      <c r="AJ751" s="1"/>
      <c r="AK751" s="1"/>
      <c r="AL751" s="1"/>
      <c r="AM751" s="1"/>
      <c r="AN751" s="1"/>
      <c r="AO751" s="1"/>
      <c r="AP751"/>
      <c r="AQ751"/>
      <c r="AR751"/>
      <c r="AS751"/>
      <c r="AT751" s="50"/>
      <c r="AU751" s="97"/>
      <c r="AV751" s="97"/>
      <c r="AW751" s="97"/>
      <c r="AX751" s="97"/>
      <c r="AY751" s="97"/>
      <c r="BD751" s="35"/>
      <c r="BE751" s="35"/>
      <c r="BV751" s="98"/>
      <c r="BW751" s="98"/>
      <c r="BX751" s="98"/>
      <c r="BY751" s="112"/>
      <c r="BZ751" s="112"/>
      <c r="CA751" s="112"/>
      <c r="CB751" s="98"/>
      <c r="CC751" s="98"/>
      <c r="CD751" s="98"/>
      <c r="CE751" s="98"/>
      <c r="CG751" s="100"/>
      <c r="CH751" s="100"/>
      <c r="CI751" s="100"/>
      <c r="CJ751" s="100"/>
      <c r="CK751" s="100"/>
      <c r="CL751" s="100"/>
      <c r="CM751" s="100"/>
      <c r="CN751" s="100"/>
      <c r="CO751" s="100"/>
      <c r="CP751" s="100"/>
      <c r="CQ751" s="100"/>
      <c r="CR751" s="100"/>
      <c r="CS751" s="100"/>
      <c r="CT751" s="100"/>
      <c r="CU751" s="100"/>
    </row>
    <row r="752" spans="6:99" s="36" customFormat="1" ht="11.1" customHeight="1" x14ac:dyDescent="0.25">
      <c r="F752" s="33"/>
      <c r="G752" s="33"/>
      <c r="H752" s="33"/>
      <c r="I752" s="34"/>
      <c r="J752" s="34"/>
      <c r="K752" s="14"/>
      <c r="L752" s="32"/>
      <c r="M752" s="14"/>
      <c r="N752" s="14"/>
      <c r="O752" s="2"/>
      <c r="P752"/>
      <c r="Q752" s="2"/>
      <c r="R752"/>
      <c r="S752"/>
      <c r="T752"/>
      <c r="U752" s="2"/>
      <c r="V752" s="2"/>
      <c r="W752" s="2"/>
      <c r="X752" s="2"/>
      <c r="Y752" s="2"/>
      <c r="Z752" s="11"/>
      <c r="AA752" s="15"/>
      <c r="AB752" s="15"/>
      <c r="AC752" s="15"/>
      <c r="AD752" s="35"/>
      <c r="AE752" s="99"/>
      <c r="AF752" s="99"/>
      <c r="AG752" s="35"/>
      <c r="AH752" s="35"/>
      <c r="AI752" s="35"/>
      <c r="AJ752" s="1"/>
      <c r="AK752" s="1"/>
      <c r="AL752" s="1"/>
      <c r="AM752" s="1"/>
      <c r="AN752" s="1"/>
      <c r="AO752" s="1"/>
      <c r="AP752"/>
      <c r="AQ752"/>
      <c r="AR752"/>
      <c r="AS752"/>
      <c r="AT752" s="50"/>
      <c r="AU752" s="97"/>
      <c r="AV752" s="97"/>
      <c r="AW752" s="97"/>
      <c r="AX752" s="97"/>
      <c r="AY752" s="97"/>
      <c r="BD752" s="35"/>
      <c r="BE752" s="35"/>
      <c r="BV752" s="98"/>
      <c r="BW752" s="98"/>
      <c r="BX752" s="98"/>
      <c r="BY752" s="112"/>
      <c r="BZ752" s="112"/>
      <c r="CA752" s="112"/>
      <c r="CB752" s="98"/>
      <c r="CC752" s="98"/>
      <c r="CD752" s="98"/>
      <c r="CE752" s="98"/>
      <c r="CG752" s="100"/>
      <c r="CH752" s="100"/>
      <c r="CI752" s="100"/>
      <c r="CJ752" s="100"/>
      <c r="CK752" s="100"/>
      <c r="CL752" s="100"/>
      <c r="CM752" s="100"/>
      <c r="CN752" s="100"/>
      <c r="CO752" s="100"/>
      <c r="CP752" s="100"/>
      <c r="CQ752" s="100"/>
      <c r="CR752" s="100"/>
      <c r="CS752" s="100"/>
      <c r="CT752" s="100"/>
      <c r="CU752" s="100"/>
    </row>
    <row r="753" spans="6:99" s="36" customFormat="1" ht="11.1" customHeight="1" x14ac:dyDescent="0.25">
      <c r="F753" s="33"/>
      <c r="G753" s="33"/>
      <c r="H753" s="33"/>
      <c r="I753" s="34"/>
      <c r="J753" s="34"/>
      <c r="K753" s="14"/>
      <c r="L753" s="32"/>
      <c r="M753" s="14"/>
      <c r="N753" s="14"/>
      <c r="O753" s="2"/>
      <c r="P753"/>
      <c r="Q753" s="2"/>
      <c r="R753"/>
      <c r="S753"/>
      <c r="T753"/>
      <c r="U753" s="2"/>
      <c r="V753" s="2"/>
      <c r="W753" s="2"/>
      <c r="X753" s="2"/>
      <c r="Y753" s="2"/>
      <c r="Z753" s="11"/>
      <c r="AA753" s="15"/>
      <c r="AB753" s="15"/>
      <c r="AC753" s="15"/>
      <c r="AD753" s="35"/>
      <c r="AE753" s="99"/>
      <c r="AF753" s="99"/>
      <c r="AG753" s="35"/>
      <c r="AH753" s="35"/>
      <c r="AI753" s="35"/>
      <c r="AJ753" s="1"/>
      <c r="AK753" s="1"/>
      <c r="AL753" s="1"/>
      <c r="AM753" s="1"/>
      <c r="AN753" s="1"/>
      <c r="AO753" s="1"/>
      <c r="AP753"/>
      <c r="AQ753"/>
      <c r="AR753"/>
      <c r="AS753"/>
      <c r="AT753" s="50"/>
      <c r="AU753" s="97"/>
      <c r="AV753" s="97"/>
      <c r="AW753" s="97"/>
      <c r="AX753" s="97"/>
      <c r="AY753" s="97"/>
      <c r="BD753" s="35"/>
      <c r="BE753" s="35"/>
      <c r="BV753" s="98"/>
      <c r="BW753" s="98"/>
      <c r="BX753" s="98"/>
      <c r="BY753" s="112"/>
      <c r="BZ753" s="112"/>
      <c r="CA753" s="112"/>
      <c r="CB753" s="98"/>
      <c r="CC753" s="98"/>
      <c r="CD753" s="98"/>
      <c r="CE753" s="98"/>
      <c r="CG753" s="100"/>
      <c r="CH753" s="100"/>
      <c r="CI753" s="100"/>
      <c r="CJ753" s="100"/>
      <c r="CK753" s="100"/>
      <c r="CL753" s="100"/>
      <c r="CM753" s="100"/>
      <c r="CN753" s="100"/>
      <c r="CO753" s="100"/>
      <c r="CP753" s="100"/>
      <c r="CQ753" s="100"/>
      <c r="CR753" s="100"/>
      <c r="CS753" s="100"/>
      <c r="CT753" s="100"/>
      <c r="CU753" s="100"/>
    </row>
    <row r="754" spans="6:99" s="36" customFormat="1" ht="11.1" customHeight="1" x14ac:dyDescent="0.25">
      <c r="F754" s="33"/>
      <c r="G754" s="33"/>
      <c r="H754" s="33"/>
      <c r="I754" s="34"/>
      <c r="J754" s="34"/>
      <c r="K754" s="14"/>
      <c r="L754" s="32"/>
      <c r="M754" s="14"/>
      <c r="N754" s="14"/>
      <c r="O754" s="2"/>
      <c r="P754"/>
      <c r="Q754" s="2"/>
      <c r="R754"/>
      <c r="S754"/>
      <c r="T754"/>
      <c r="U754" s="2"/>
      <c r="V754" s="2"/>
      <c r="W754" s="2"/>
      <c r="X754" s="2"/>
      <c r="Y754" s="2"/>
      <c r="Z754" s="11"/>
      <c r="AA754" s="15"/>
      <c r="AB754" s="15"/>
      <c r="AC754" s="15"/>
      <c r="AD754" s="35"/>
      <c r="AE754" s="99"/>
      <c r="AF754" s="99"/>
      <c r="AG754" s="35"/>
      <c r="AH754" s="35"/>
      <c r="AI754" s="35"/>
      <c r="AJ754" s="1"/>
      <c r="AK754" s="1"/>
      <c r="AL754" s="1"/>
      <c r="AM754" s="1"/>
      <c r="AN754" s="1"/>
      <c r="AO754" s="1"/>
      <c r="AP754"/>
      <c r="AQ754"/>
      <c r="AR754"/>
      <c r="AS754"/>
      <c r="AT754" s="50"/>
      <c r="AU754" s="97"/>
      <c r="AV754" s="97"/>
      <c r="AW754" s="97"/>
      <c r="AX754" s="97"/>
      <c r="AY754" s="97"/>
      <c r="BD754" s="35"/>
      <c r="BE754" s="35"/>
      <c r="BV754" s="98"/>
      <c r="BW754" s="98"/>
      <c r="BX754" s="98"/>
      <c r="BY754" s="112"/>
      <c r="BZ754" s="112"/>
      <c r="CA754" s="112"/>
      <c r="CB754" s="98"/>
      <c r="CC754" s="98"/>
      <c r="CD754" s="98"/>
      <c r="CE754" s="98"/>
      <c r="CG754" s="100"/>
      <c r="CH754" s="100"/>
      <c r="CI754" s="100"/>
      <c r="CJ754" s="100"/>
      <c r="CK754" s="100"/>
      <c r="CL754" s="100"/>
      <c r="CM754" s="100"/>
      <c r="CN754" s="100"/>
      <c r="CO754" s="100"/>
      <c r="CP754" s="100"/>
      <c r="CQ754" s="100"/>
      <c r="CR754" s="100"/>
      <c r="CS754" s="100"/>
      <c r="CT754" s="100"/>
      <c r="CU754" s="100"/>
    </row>
    <row r="755" spans="6:99" s="36" customFormat="1" ht="11.1" customHeight="1" x14ac:dyDescent="0.25">
      <c r="F755" s="33"/>
      <c r="G755" s="33"/>
      <c r="H755" s="33"/>
      <c r="I755" s="34"/>
      <c r="J755" s="34"/>
      <c r="K755" s="14"/>
      <c r="L755" s="32"/>
      <c r="M755" s="14"/>
      <c r="N755" s="14"/>
      <c r="O755" s="2"/>
      <c r="P755"/>
      <c r="Q755" s="2"/>
      <c r="R755"/>
      <c r="S755"/>
      <c r="T755"/>
      <c r="U755" s="2"/>
      <c r="V755" s="2"/>
      <c r="W755" s="2"/>
      <c r="X755" s="2"/>
      <c r="Y755" s="2"/>
      <c r="Z755" s="11"/>
      <c r="AA755" s="15"/>
      <c r="AB755" s="15"/>
      <c r="AC755" s="15"/>
      <c r="AD755" s="35"/>
      <c r="AE755" s="99"/>
      <c r="AF755" s="99"/>
      <c r="AG755" s="35"/>
      <c r="AH755" s="35"/>
      <c r="AI755" s="35"/>
      <c r="AJ755" s="1"/>
      <c r="AK755" s="1"/>
      <c r="AL755" s="1"/>
      <c r="AM755" s="1"/>
      <c r="AN755" s="1"/>
      <c r="AO755" s="1"/>
      <c r="AP755"/>
      <c r="AQ755"/>
      <c r="AR755"/>
      <c r="AS755"/>
      <c r="AT755" s="50"/>
      <c r="AU755" s="97"/>
      <c r="AV755" s="97"/>
      <c r="AW755" s="97"/>
      <c r="AX755" s="97"/>
      <c r="AY755" s="97"/>
      <c r="BD755" s="35"/>
      <c r="BE755" s="35"/>
      <c r="BV755" s="98"/>
      <c r="BW755" s="98"/>
      <c r="BX755" s="98"/>
      <c r="BY755" s="112"/>
      <c r="BZ755" s="112"/>
      <c r="CA755" s="112"/>
      <c r="CB755" s="98"/>
      <c r="CC755" s="98"/>
      <c r="CD755" s="98"/>
      <c r="CE755" s="98"/>
      <c r="CG755" s="100"/>
      <c r="CH755" s="100"/>
      <c r="CI755" s="100"/>
      <c r="CJ755" s="100"/>
      <c r="CK755" s="100"/>
      <c r="CL755" s="100"/>
      <c r="CM755" s="100"/>
      <c r="CN755" s="100"/>
      <c r="CO755" s="100"/>
      <c r="CP755" s="100"/>
      <c r="CQ755" s="100"/>
      <c r="CR755" s="100"/>
      <c r="CS755" s="100"/>
      <c r="CT755" s="100"/>
      <c r="CU755" s="100"/>
    </row>
    <row r="756" spans="6:99" s="36" customFormat="1" ht="11.1" customHeight="1" x14ac:dyDescent="0.25">
      <c r="F756" s="33"/>
      <c r="G756" s="33"/>
      <c r="H756" s="33"/>
      <c r="I756" s="34"/>
      <c r="J756" s="34"/>
      <c r="K756" s="14"/>
      <c r="L756" s="32"/>
      <c r="M756" s="14"/>
      <c r="N756" s="14"/>
      <c r="O756" s="2"/>
      <c r="P756"/>
      <c r="Q756" s="2"/>
      <c r="R756"/>
      <c r="S756"/>
      <c r="T756"/>
      <c r="U756" s="2"/>
      <c r="V756" s="2"/>
      <c r="W756" s="2"/>
      <c r="X756" s="2"/>
      <c r="Y756" s="2"/>
      <c r="Z756" s="11"/>
      <c r="AA756" s="15"/>
      <c r="AB756" s="15"/>
      <c r="AC756" s="15"/>
      <c r="AD756" s="35"/>
      <c r="AE756" s="99"/>
      <c r="AF756" s="99"/>
      <c r="AG756" s="35"/>
      <c r="AH756" s="35"/>
      <c r="AI756" s="35"/>
      <c r="AJ756" s="1"/>
      <c r="AK756" s="1"/>
      <c r="AL756" s="1"/>
      <c r="AM756" s="1"/>
      <c r="AN756" s="1"/>
      <c r="AO756" s="1"/>
      <c r="AP756"/>
      <c r="AQ756"/>
      <c r="AR756"/>
      <c r="AS756"/>
      <c r="AT756" s="50"/>
      <c r="AU756" s="97"/>
      <c r="AV756" s="97"/>
      <c r="AW756" s="97"/>
      <c r="AX756" s="97"/>
      <c r="AY756" s="97"/>
      <c r="BD756" s="35"/>
      <c r="BE756" s="35"/>
      <c r="BV756" s="98"/>
      <c r="BW756" s="98"/>
      <c r="BX756" s="98"/>
      <c r="BY756" s="112"/>
      <c r="BZ756" s="112"/>
      <c r="CA756" s="112"/>
      <c r="CB756" s="98"/>
      <c r="CC756" s="98"/>
      <c r="CD756" s="98"/>
      <c r="CE756" s="98"/>
      <c r="CG756" s="100"/>
      <c r="CH756" s="100"/>
      <c r="CI756" s="100"/>
      <c r="CJ756" s="100"/>
      <c r="CK756" s="100"/>
      <c r="CL756" s="100"/>
      <c r="CM756" s="100"/>
      <c r="CN756" s="100"/>
      <c r="CO756" s="100"/>
      <c r="CP756" s="100"/>
      <c r="CQ756" s="100"/>
      <c r="CR756" s="100"/>
      <c r="CS756" s="100"/>
      <c r="CT756" s="100"/>
      <c r="CU756" s="100"/>
    </row>
    <row r="757" spans="6:99" s="36" customFormat="1" ht="11.1" customHeight="1" x14ac:dyDescent="0.25">
      <c r="F757" s="33"/>
      <c r="G757" s="33"/>
      <c r="H757" s="33"/>
      <c r="I757" s="34"/>
      <c r="J757" s="34"/>
      <c r="K757" s="14"/>
      <c r="L757" s="32"/>
      <c r="M757" s="14"/>
      <c r="N757" s="14"/>
      <c r="O757" s="2"/>
      <c r="P757"/>
      <c r="Q757" s="2"/>
      <c r="R757"/>
      <c r="S757"/>
      <c r="T757"/>
      <c r="U757" s="2"/>
      <c r="V757" s="2"/>
      <c r="W757" s="2"/>
      <c r="X757" s="2"/>
      <c r="Y757" s="2"/>
      <c r="Z757" s="11"/>
      <c r="AA757" s="15"/>
      <c r="AB757" s="15"/>
      <c r="AC757" s="15"/>
      <c r="AD757" s="35"/>
      <c r="AE757" s="99"/>
      <c r="AF757" s="99"/>
      <c r="AG757" s="35"/>
      <c r="AH757" s="35"/>
      <c r="AI757" s="35"/>
      <c r="AJ757" s="1"/>
      <c r="AK757" s="1"/>
      <c r="AL757" s="1"/>
      <c r="AM757" s="1"/>
      <c r="AN757" s="1"/>
      <c r="AO757" s="1"/>
      <c r="AP757"/>
      <c r="AQ757"/>
      <c r="AR757"/>
      <c r="AS757"/>
      <c r="AT757" s="50"/>
      <c r="AU757" s="97"/>
      <c r="AV757" s="97"/>
      <c r="AW757" s="97"/>
      <c r="AX757" s="97"/>
      <c r="AY757" s="97"/>
      <c r="BD757" s="35"/>
      <c r="BE757" s="35"/>
      <c r="BV757" s="98"/>
      <c r="BW757" s="98"/>
      <c r="BX757" s="98"/>
      <c r="BY757" s="112"/>
      <c r="BZ757" s="112"/>
      <c r="CA757" s="112"/>
      <c r="CB757" s="98"/>
      <c r="CC757" s="98"/>
      <c r="CD757" s="98"/>
      <c r="CE757" s="98"/>
      <c r="CG757" s="100"/>
      <c r="CH757" s="100"/>
      <c r="CI757" s="100"/>
      <c r="CJ757" s="100"/>
      <c r="CK757" s="100"/>
      <c r="CL757" s="100"/>
      <c r="CM757" s="100"/>
      <c r="CN757" s="100"/>
      <c r="CO757" s="100"/>
      <c r="CP757" s="100"/>
      <c r="CQ757" s="100"/>
      <c r="CR757" s="100"/>
      <c r="CS757" s="100"/>
      <c r="CT757" s="100"/>
      <c r="CU757" s="100"/>
    </row>
    <row r="758" spans="6:99" s="36" customFormat="1" ht="11.1" customHeight="1" x14ac:dyDescent="0.25">
      <c r="F758" s="33"/>
      <c r="G758" s="33"/>
      <c r="H758" s="33"/>
      <c r="I758" s="34"/>
      <c r="J758" s="34"/>
      <c r="K758" s="14"/>
      <c r="L758" s="32"/>
      <c r="M758" s="14"/>
      <c r="N758" s="14"/>
      <c r="O758" s="2"/>
      <c r="P758"/>
      <c r="Q758" s="2"/>
      <c r="R758"/>
      <c r="S758"/>
      <c r="T758"/>
      <c r="U758" s="2"/>
      <c r="V758" s="2"/>
      <c r="W758" s="2"/>
      <c r="X758" s="2"/>
      <c r="Y758" s="2"/>
      <c r="Z758" s="11"/>
      <c r="AA758" s="15"/>
      <c r="AB758" s="15"/>
      <c r="AC758" s="15"/>
      <c r="AD758" s="35"/>
      <c r="AE758" s="99"/>
      <c r="AF758" s="99"/>
      <c r="AG758" s="35"/>
      <c r="AH758" s="35"/>
      <c r="AI758" s="35"/>
      <c r="AJ758" s="1"/>
      <c r="AK758" s="1"/>
      <c r="AL758" s="1"/>
      <c r="AM758" s="1"/>
      <c r="AN758" s="1"/>
      <c r="AO758" s="1"/>
      <c r="AP758"/>
      <c r="AQ758"/>
      <c r="AR758"/>
      <c r="AS758"/>
      <c r="AT758" s="50"/>
      <c r="AU758" s="97"/>
      <c r="AV758" s="97"/>
      <c r="AW758" s="97"/>
      <c r="AX758" s="97"/>
      <c r="AY758" s="97"/>
      <c r="BD758" s="35"/>
      <c r="BE758" s="35"/>
      <c r="BV758" s="98"/>
      <c r="BW758" s="98"/>
      <c r="BX758" s="98"/>
      <c r="BY758" s="112"/>
      <c r="BZ758" s="112"/>
      <c r="CA758" s="112"/>
      <c r="CB758" s="98"/>
      <c r="CC758" s="98"/>
      <c r="CD758" s="98"/>
      <c r="CE758" s="98"/>
      <c r="CG758" s="100"/>
      <c r="CH758" s="100"/>
      <c r="CI758" s="100"/>
      <c r="CJ758" s="100"/>
      <c r="CK758" s="100"/>
      <c r="CL758" s="100"/>
      <c r="CM758" s="100"/>
      <c r="CN758" s="100"/>
      <c r="CO758" s="100"/>
      <c r="CP758" s="100"/>
      <c r="CQ758" s="100"/>
      <c r="CR758" s="100"/>
      <c r="CS758" s="100"/>
      <c r="CT758" s="100"/>
      <c r="CU758" s="100"/>
    </row>
    <row r="759" spans="6:99" s="36" customFormat="1" ht="11.1" customHeight="1" x14ac:dyDescent="0.25">
      <c r="F759" s="33"/>
      <c r="G759" s="33"/>
      <c r="H759" s="33"/>
      <c r="I759" s="34"/>
      <c r="J759" s="34"/>
      <c r="K759" s="14"/>
      <c r="L759" s="32"/>
      <c r="M759" s="14"/>
      <c r="N759" s="14"/>
      <c r="O759" s="2"/>
      <c r="P759"/>
      <c r="Q759" s="2"/>
      <c r="R759"/>
      <c r="S759"/>
      <c r="T759"/>
      <c r="U759" s="2"/>
      <c r="V759" s="2"/>
      <c r="W759" s="2"/>
      <c r="X759" s="2"/>
      <c r="Y759" s="2"/>
      <c r="Z759" s="11"/>
      <c r="AA759" s="15"/>
      <c r="AB759" s="15"/>
      <c r="AC759" s="15"/>
      <c r="AD759" s="35"/>
      <c r="AE759" s="99"/>
      <c r="AF759" s="99"/>
      <c r="AG759" s="35"/>
      <c r="AH759" s="35"/>
      <c r="AI759" s="35"/>
      <c r="AJ759" s="1"/>
      <c r="AK759" s="1"/>
      <c r="AL759" s="1"/>
      <c r="AM759" s="1"/>
      <c r="AN759" s="1"/>
      <c r="AO759" s="1"/>
      <c r="AP759"/>
      <c r="AQ759"/>
      <c r="AR759"/>
      <c r="AS759"/>
      <c r="AT759" s="50"/>
      <c r="AU759" s="97"/>
      <c r="AV759" s="97"/>
      <c r="AW759" s="97"/>
      <c r="AX759" s="97"/>
      <c r="AY759" s="97"/>
      <c r="BD759" s="35"/>
      <c r="BE759" s="35"/>
      <c r="BV759" s="98"/>
      <c r="BW759" s="98"/>
      <c r="BX759" s="98"/>
      <c r="BY759" s="112"/>
      <c r="BZ759" s="112"/>
      <c r="CA759" s="112"/>
      <c r="CB759" s="98"/>
      <c r="CC759" s="98"/>
      <c r="CD759" s="98"/>
      <c r="CE759" s="98"/>
      <c r="CG759" s="100"/>
      <c r="CH759" s="100"/>
      <c r="CI759" s="100"/>
      <c r="CJ759" s="100"/>
      <c r="CK759" s="100"/>
      <c r="CL759" s="100"/>
      <c r="CM759" s="100"/>
      <c r="CN759" s="100"/>
      <c r="CO759" s="100"/>
      <c r="CP759" s="100"/>
      <c r="CQ759" s="100"/>
      <c r="CR759" s="100"/>
      <c r="CS759" s="100"/>
      <c r="CT759" s="100"/>
      <c r="CU759" s="100"/>
    </row>
    <row r="760" spans="6:99" s="36" customFormat="1" ht="11.1" customHeight="1" x14ac:dyDescent="0.25">
      <c r="F760" s="33"/>
      <c r="G760" s="33"/>
      <c r="H760" s="33"/>
      <c r="I760" s="34"/>
      <c r="J760" s="34"/>
      <c r="K760" s="14"/>
      <c r="L760" s="32"/>
      <c r="M760" s="14"/>
      <c r="N760" s="14"/>
      <c r="O760" s="2"/>
      <c r="P760"/>
      <c r="Q760" s="2"/>
      <c r="R760"/>
      <c r="S760"/>
      <c r="T760"/>
      <c r="U760" s="2"/>
      <c r="V760" s="2"/>
      <c r="W760" s="2"/>
      <c r="X760" s="2"/>
      <c r="Y760" s="2"/>
      <c r="Z760" s="11"/>
      <c r="AA760" s="15"/>
      <c r="AB760" s="15"/>
      <c r="AC760" s="15"/>
      <c r="AD760" s="35"/>
      <c r="AE760" s="99"/>
      <c r="AF760" s="99"/>
      <c r="AG760" s="35"/>
      <c r="AH760" s="35"/>
      <c r="AI760" s="35"/>
      <c r="AJ760" s="1"/>
      <c r="AK760" s="1"/>
      <c r="AL760" s="1"/>
      <c r="AM760" s="1"/>
      <c r="AN760" s="1"/>
      <c r="AO760" s="1"/>
      <c r="AP760"/>
      <c r="AQ760"/>
      <c r="AR760"/>
      <c r="AS760"/>
      <c r="AT760" s="50"/>
      <c r="AU760" s="97"/>
      <c r="AV760" s="97"/>
      <c r="AW760" s="97"/>
      <c r="AX760" s="97"/>
      <c r="AY760" s="97"/>
      <c r="BD760" s="35"/>
      <c r="BE760" s="35"/>
      <c r="BV760" s="98"/>
      <c r="BW760" s="98"/>
      <c r="BX760" s="98"/>
      <c r="BY760" s="112"/>
      <c r="BZ760" s="112"/>
      <c r="CA760" s="112"/>
      <c r="CB760" s="98"/>
      <c r="CC760" s="98"/>
      <c r="CD760" s="98"/>
      <c r="CE760" s="98"/>
      <c r="CG760" s="100"/>
      <c r="CH760" s="100"/>
      <c r="CI760" s="100"/>
      <c r="CJ760" s="100"/>
      <c r="CK760" s="100"/>
      <c r="CL760" s="100"/>
      <c r="CM760" s="100"/>
      <c r="CN760" s="100"/>
      <c r="CO760" s="100"/>
      <c r="CP760" s="100"/>
      <c r="CQ760" s="100"/>
      <c r="CR760" s="100"/>
      <c r="CS760" s="100"/>
      <c r="CT760" s="100"/>
      <c r="CU760" s="100"/>
    </row>
    <row r="761" spans="6:99" s="36" customFormat="1" ht="11.1" customHeight="1" x14ac:dyDescent="0.25">
      <c r="F761" s="33"/>
      <c r="G761" s="33"/>
      <c r="H761" s="33"/>
      <c r="I761" s="34"/>
      <c r="J761" s="34"/>
      <c r="K761" s="14"/>
      <c r="L761" s="32"/>
      <c r="M761" s="14"/>
      <c r="N761" s="14"/>
      <c r="O761" s="2"/>
      <c r="P761"/>
      <c r="Q761" s="2"/>
      <c r="R761"/>
      <c r="S761"/>
      <c r="T761"/>
      <c r="U761" s="2"/>
      <c r="V761" s="2"/>
      <c r="W761" s="2"/>
      <c r="X761" s="2"/>
      <c r="Y761" s="2"/>
      <c r="Z761" s="11"/>
      <c r="AA761" s="15"/>
      <c r="AB761" s="15"/>
      <c r="AC761" s="15"/>
      <c r="AD761" s="35"/>
      <c r="AE761" s="99"/>
      <c r="AF761" s="99"/>
      <c r="AG761" s="35"/>
      <c r="AH761" s="35"/>
      <c r="AI761" s="35"/>
      <c r="AJ761" s="1"/>
      <c r="AK761" s="1"/>
      <c r="AL761" s="1"/>
      <c r="AM761" s="1"/>
      <c r="AN761" s="1"/>
      <c r="AO761" s="1"/>
      <c r="AP761"/>
      <c r="AQ761"/>
      <c r="AR761"/>
      <c r="AS761"/>
      <c r="AT761" s="50"/>
      <c r="AU761" s="97"/>
      <c r="AV761" s="97"/>
      <c r="AW761" s="97"/>
      <c r="AX761" s="97"/>
      <c r="AY761" s="97"/>
      <c r="BD761" s="35"/>
      <c r="BE761" s="35"/>
      <c r="BV761" s="98"/>
      <c r="BW761" s="98"/>
      <c r="BX761" s="98"/>
      <c r="BY761" s="112"/>
      <c r="BZ761" s="112"/>
      <c r="CA761" s="112"/>
      <c r="CB761" s="98"/>
      <c r="CC761" s="98"/>
      <c r="CD761" s="98"/>
      <c r="CE761" s="98"/>
      <c r="CG761" s="100"/>
      <c r="CH761" s="100"/>
      <c r="CI761" s="100"/>
      <c r="CJ761" s="100"/>
      <c r="CK761" s="100"/>
      <c r="CL761" s="100"/>
      <c r="CM761" s="100"/>
      <c r="CN761" s="100"/>
      <c r="CO761" s="100"/>
      <c r="CP761" s="100"/>
      <c r="CQ761" s="100"/>
      <c r="CR761" s="100"/>
      <c r="CS761" s="100"/>
      <c r="CT761" s="100"/>
      <c r="CU761" s="100"/>
    </row>
    <row r="762" spans="6:99" s="36" customFormat="1" ht="11.1" customHeight="1" x14ac:dyDescent="0.25">
      <c r="F762" s="33"/>
      <c r="G762" s="33"/>
      <c r="H762" s="33"/>
      <c r="I762" s="34"/>
      <c r="J762" s="34"/>
      <c r="K762" s="14"/>
      <c r="L762" s="32"/>
      <c r="M762" s="14"/>
      <c r="N762" s="14"/>
      <c r="O762" s="2"/>
      <c r="P762"/>
      <c r="Q762" s="2"/>
      <c r="R762"/>
      <c r="S762"/>
      <c r="T762"/>
      <c r="U762" s="2"/>
      <c r="V762" s="2"/>
      <c r="W762" s="2"/>
      <c r="X762" s="2"/>
      <c r="Y762" s="2"/>
      <c r="Z762" s="11"/>
      <c r="AA762" s="15"/>
      <c r="AB762" s="15"/>
      <c r="AC762" s="15"/>
      <c r="AD762" s="35"/>
      <c r="AE762" s="99"/>
      <c r="AF762" s="99"/>
      <c r="AG762" s="35"/>
      <c r="AH762" s="35"/>
      <c r="AI762" s="35"/>
      <c r="AJ762" s="1"/>
      <c r="AK762" s="1"/>
      <c r="AL762" s="1"/>
      <c r="AM762" s="1"/>
      <c r="AN762" s="1"/>
      <c r="AO762" s="1"/>
      <c r="AP762"/>
      <c r="AQ762"/>
      <c r="AR762"/>
      <c r="AS762"/>
      <c r="AT762" s="50"/>
      <c r="AU762" s="97"/>
      <c r="AV762" s="97"/>
      <c r="AW762" s="97"/>
      <c r="AX762" s="97"/>
      <c r="AY762" s="97"/>
      <c r="BD762" s="35"/>
      <c r="BE762" s="35"/>
      <c r="BV762" s="98"/>
      <c r="BW762" s="98"/>
      <c r="BX762" s="98"/>
      <c r="BY762" s="112"/>
      <c r="BZ762" s="112"/>
      <c r="CA762" s="112"/>
      <c r="CB762" s="98"/>
      <c r="CC762" s="98"/>
      <c r="CD762" s="98"/>
      <c r="CE762" s="98"/>
      <c r="CG762" s="100"/>
      <c r="CH762" s="100"/>
      <c r="CI762" s="100"/>
      <c r="CJ762" s="100"/>
      <c r="CK762" s="100"/>
      <c r="CL762" s="100"/>
      <c r="CM762" s="100"/>
      <c r="CN762" s="100"/>
      <c r="CO762" s="100"/>
      <c r="CP762" s="100"/>
      <c r="CQ762" s="100"/>
      <c r="CR762" s="100"/>
      <c r="CS762" s="100"/>
      <c r="CT762" s="100"/>
      <c r="CU762" s="100"/>
    </row>
    <row r="763" spans="6:99" s="36" customFormat="1" ht="11.1" customHeight="1" x14ac:dyDescent="0.25">
      <c r="F763" s="33"/>
      <c r="G763" s="33"/>
      <c r="H763" s="33"/>
      <c r="I763" s="34"/>
      <c r="J763" s="34"/>
      <c r="K763" s="14"/>
      <c r="L763" s="32"/>
      <c r="M763" s="14"/>
      <c r="N763" s="14"/>
      <c r="O763" s="2"/>
      <c r="P763"/>
      <c r="Q763" s="2"/>
      <c r="R763"/>
      <c r="S763"/>
      <c r="T763"/>
      <c r="U763" s="2"/>
      <c r="V763" s="2"/>
      <c r="W763" s="2"/>
      <c r="X763" s="2"/>
      <c r="Y763" s="2"/>
      <c r="Z763" s="11"/>
      <c r="AA763" s="15"/>
      <c r="AB763" s="15"/>
      <c r="AC763" s="15"/>
      <c r="AD763" s="35"/>
      <c r="AE763" s="99"/>
      <c r="AF763" s="99"/>
      <c r="AG763" s="35"/>
      <c r="AH763" s="35"/>
      <c r="AI763" s="35"/>
      <c r="AJ763" s="1"/>
      <c r="AK763" s="1"/>
      <c r="AL763" s="1"/>
      <c r="AM763" s="1"/>
      <c r="AN763" s="1"/>
      <c r="AO763" s="1"/>
      <c r="AP763"/>
      <c r="AQ763"/>
      <c r="AR763"/>
      <c r="AS763"/>
      <c r="AT763" s="50"/>
      <c r="AU763" s="97"/>
      <c r="AV763" s="97"/>
      <c r="AW763" s="97"/>
      <c r="AX763" s="97"/>
      <c r="AY763" s="97"/>
      <c r="BD763" s="35"/>
      <c r="BE763" s="35"/>
      <c r="BV763" s="98"/>
      <c r="BW763" s="98"/>
      <c r="BX763" s="98"/>
      <c r="BY763" s="112"/>
      <c r="BZ763" s="112"/>
      <c r="CA763" s="112"/>
      <c r="CB763" s="98"/>
      <c r="CC763" s="98"/>
      <c r="CD763" s="98"/>
      <c r="CE763" s="98"/>
      <c r="CG763" s="100"/>
      <c r="CH763" s="100"/>
      <c r="CI763" s="100"/>
      <c r="CJ763" s="100"/>
      <c r="CK763" s="100"/>
      <c r="CL763" s="100"/>
      <c r="CM763" s="100"/>
      <c r="CN763" s="100"/>
      <c r="CO763" s="100"/>
      <c r="CP763" s="100"/>
      <c r="CQ763" s="100"/>
      <c r="CR763" s="100"/>
      <c r="CS763" s="100"/>
      <c r="CT763" s="100"/>
      <c r="CU763" s="100"/>
    </row>
    <row r="764" spans="6:99" s="36" customFormat="1" ht="11.1" customHeight="1" x14ac:dyDescent="0.25">
      <c r="F764" s="33"/>
      <c r="G764" s="33"/>
      <c r="H764" s="33"/>
      <c r="I764" s="34"/>
      <c r="J764" s="34"/>
      <c r="K764" s="14"/>
      <c r="L764" s="32"/>
      <c r="M764" s="14"/>
      <c r="N764" s="14"/>
      <c r="O764" s="2"/>
      <c r="P764"/>
      <c r="Q764" s="2"/>
      <c r="R764"/>
      <c r="S764"/>
      <c r="T764"/>
      <c r="U764" s="2"/>
      <c r="V764" s="2"/>
      <c r="W764" s="2"/>
      <c r="X764" s="2"/>
      <c r="Y764" s="2"/>
      <c r="Z764" s="11"/>
      <c r="AA764" s="15"/>
      <c r="AB764" s="15"/>
      <c r="AC764" s="15"/>
      <c r="AD764" s="35"/>
      <c r="AE764" s="99"/>
      <c r="AF764" s="99"/>
      <c r="AG764" s="35"/>
      <c r="AH764" s="35"/>
      <c r="AI764" s="35"/>
      <c r="AJ764" s="1"/>
      <c r="AK764" s="1"/>
      <c r="AL764" s="1"/>
      <c r="AM764" s="1"/>
      <c r="AN764" s="1"/>
      <c r="AO764" s="1"/>
      <c r="AP764"/>
      <c r="AQ764"/>
      <c r="AR764"/>
      <c r="AS764"/>
      <c r="AT764" s="50"/>
      <c r="AU764" s="97"/>
      <c r="AV764" s="97"/>
      <c r="AW764" s="97"/>
      <c r="AX764" s="97"/>
      <c r="AY764" s="97"/>
      <c r="BD764" s="35"/>
      <c r="BE764" s="35"/>
      <c r="BV764" s="98"/>
      <c r="BW764" s="98"/>
      <c r="BX764" s="98"/>
      <c r="BY764" s="112"/>
      <c r="BZ764" s="112"/>
      <c r="CA764" s="112"/>
      <c r="CB764" s="98"/>
      <c r="CC764" s="98"/>
      <c r="CD764" s="98"/>
      <c r="CE764" s="98"/>
      <c r="CG764" s="100"/>
      <c r="CH764" s="100"/>
      <c r="CI764" s="100"/>
      <c r="CJ764" s="100"/>
      <c r="CK764" s="100"/>
      <c r="CL764" s="100"/>
      <c r="CM764" s="100"/>
      <c r="CN764" s="100"/>
      <c r="CO764" s="100"/>
      <c r="CP764" s="100"/>
      <c r="CQ764" s="100"/>
      <c r="CR764" s="100"/>
      <c r="CS764" s="100"/>
      <c r="CT764" s="100"/>
      <c r="CU764" s="100"/>
    </row>
    <row r="765" spans="6:99" s="36" customFormat="1" ht="11.1" customHeight="1" x14ac:dyDescent="0.25">
      <c r="F765" s="33"/>
      <c r="G765" s="33"/>
      <c r="H765" s="33"/>
      <c r="I765" s="34"/>
      <c r="J765" s="34"/>
      <c r="K765" s="14"/>
      <c r="L765" s="32"/>
      <c r="M765" s="14"/>
      <c r="N765" s="14"/>
      <c r="O765" s="2"/>
      <c r="P765"/>
      <c r="Q765" s="2"/>
      <c r="R765"/>
      <c r="S765"/>
      <c r="T765"/>
      <c r="U765" s="2"/>
      <c r="V765" s="2"/>
      <c r="W765" s="2"/>
      <c r="X765" s="2"/>
      <c r="Y765" s="2"/>
      <c r="Z765" s="11"/>
      <c r="AA765" s="15"/>
      <c r="AB765" s="15"/>
      <c r="AC765" s="15"/>
      <c r="AD765" s="35"/>
      <c r="AE765" s="99"/>
      <c r="AF765" s="99"/>
      <c r="AG765" s="35"/>
      <c r="AH765" s="35"/>
      <c r="AI765" s="35"/>
      <c r="AJ765" s="1"/>
      <c r="AK765" s="1"/>
      <c r="AL765" s="1"/>
      <c r="AM765" s="1"/>
      <c r="AN765" s="1"/>
      <c r="AO765" s="1"/>
      <c r="AP765"/>
      <c r="AQ765"/>
      <c r="AR765"/>
      <c r="AS765"/>
      <c r="AT765" s="50"/>
      <c r="AU765" s="97"/>
      <c r="AV765" s="97"/>
      <c r="AW765" s="97"/>
      <c r="AX765" s="97"/>
      <c r="AY765" s="97"/>
      <c r="BD765" s="35"/>
      <c r="BE765" s="35"/>
      <c r="BV765" s="98"/>
      <c r="BW765" s="98"/>
      <c r="BX765" s="98"/>
      <c r="BY765" s="112"/>
      <c r="BZ765" s="112"/>
      <c r="CA765" s="112"/>
      <c r="CB765" s="98"/>
      <c r="CC765" s="98"/>
      <c r="CD765" s="98"/>
      <c r="CE765" s="98"/>
      <c r="CG765" s="100"/>
      <c r="CH765" s="100"/>
      <c r="CI765" s="100"/>
      <c r="CJ765" s="100"/>
      <c r="CK765" s="100"/>
      <c r="CL765" s="100"/>
      <c r="CM765" s="100"/>
      <c r="CN765" s="100"/>
      <c r="CO765" s="100"/>
      <c r="CP765" s="100"/>
      <c r="CQ765" s="100"/>
      <c r="CR765" s="100"/>
      <c r="CS765" s="100"/>
      <c r="CT765" s="100"/>
      <c r="CU765" s="100"/>
    </row>
    <row r="766" spans="6:99" s="36" customFormat="1" ht="11.1" customHeight="1" x14ac:dyDescent="0.25">
      <c r="F766" s="33"/>
      <c r="G766" s="33"/>
      <c r="H766" s="33"/>
      <c r="I766" s="34"/>
      <c r="J766" s="34"/>
      <c r="K766" s="14"/>
      <c r="L766" s="32"/>
      <c r="M766" s="14"/>
      <c r="N766" s="14"/>
      <c r="O766" s="2"/>
      <c r="P766"/>
      <c r="Q766" s="2"/>
      <c r="R766"/>
      <c r="S766"/>
      <c r="T766"/>
      <c r="U766" s="2"/>
      <c r="V766" s="2"/>
      <c r="W766" s="2"/>
      <c r="X766" s="2"/>
      <c r="Y766" s="2"/>
      <c r="Z766" s="11"/>
      <c r="AA766" s="15"/>
      <c r="AB766" s="15"/>
      <c r="AC766" s="15"/>
      <c r="AD766" s="35"/>
      <c r="AE766" s="99"/>
      <c r="AF766" s="99"/>
      <c r="AG766" s="35"/>
      <c r="AH766" s="35"/>
      <c r="AI766" s="35"/>
      <c r="AJ766" s="1"/>
      <c r="AK766" s="1"/>
      <c r="AL766" s="1"/>
      <c r="AM766" s="1"/>
      <c r="AN766" s="1"/>
      <c r="AO766" s="1"/>
      <c r="AP766"/>
      <c r="AQ766"/>
      <c r="AR766"/>
      <c r="AS766"/>
      <c r="AT766" s="50"/>
      <c r="AU766" s="97"/>
      <c r="AV766" s="97"/>
      <c r="AW766" s="97"/>
      <c r="AX766" s="97"/>
      <c r="AY766" s="97"/>
      <c r="BD766" s="35"/>
      <c r="BE766" s="35"/>
      <c r="BV766" s="98"/>
      <c r="BW766" s="98"/>
      <c r="BX766" s="98"/>
      <c r="BY766" s="112"/>
      <c r="BZ766" s="112"/>
      <c r="CA766" s="112"/>
      <c r="CB766" s="98"/>
      <c r="CC766" s="98"/>
      <c r="CD766" s="98"/>
      <c r="CE766" s="98"/>
      <c r="CG766" s="100"/>
      <c r="CH766" s="100"/>
      <c r="CI766" s="100"/>
      <c r="CJ766" s="100"/>
      <c r="CK766" s="100"/>
      <c r="CL766" s="100"/>
      <c r="CM766" s="100"/>
      <c r="CN766" s="100"/>
      <c r="CO766" s="100"/>
      <c r="CP766" s="100"/>
      <c r="CQ766" s="100"/>
      <c r="CR766" s="100"/>
      <c r="CS766" s="100"/>
      <c r="CT766" s="100"/>
      <c r="CU766" s="100"/>
    </row>
    <row r="767" spans="6:99" s="36" customFormat="1" ht="11.1" customHeight="1" x14ac:dyDescent="0.25">
      <c r="F767" s="33"/>
      <c r="G767" s="33"/>
      <c r="H767" s="33"/>
      <c r="I767" s="34"/>
      <c r="J767" s="34"/>
      <c r="K767" s="14"/>
      <c r="L767" s="32"/>
      <c r="M767" s="14"/>
      <c r="N767" s="14"/>
      <c r="O767" s="2"/>
      <c r="P767"/>
      <c r="Q767" s="2"/>
      <c r="R767"/>
      <c r="S767"/>
      <c r="T767"/>
      <c r="U767" s="2"/>
      <c r="V767" s="2"/>
      <c r="W767" s="2"/>
      <c r="X767" s="2"/>
      <c r="Y767" s="2"/>
      <c r="Z767" s="11"/>
      <c r="AA767" s="15"/>
      <c r="AB767" s="15"/>
      <c r="AC767" s="15"/>
      <c r="AD767" s="35"/>
      <c r="AE767" s="99"/>
      <c r="AF767" s="99"/>
      <c r="AG767" s="35"/>
      <c r="AH767" s="35"/>
      <c r="AI767" s="35"/>
      <c r="AJ767" s="1"/>
      <c r="AK767" s="1"/>
      <c r="AL767" s="1"/>
      <c r="AM767" s="1"/>
      <c r="AN767" s="1"/>
      <c r="AO767" s="1"/>
      <c r="AP767"/>
      <c r="AQ767"/>
      <c r="AR767"/>
      <c r="AS767"/>
      <c r="AT767" s="50"/>
      <c r="AU767" s="97"/>
      <c r="AV767" s="97"/>
      <c r="AW767" s="97"/>
      <c r="AX767" s="97"/>
      <c r="AY767" s="97"/>
      <c r="BD767" s="35"/>
      <c r="BE767" s="35"/>
      <c r="BV767" s="98"/>
      <c r="BW767" s="98"/>
      <c r="BX767" s="98"/>
      <c r="BY767" s="112"/>
      <c r="BZ767" s="112"/>
      <c r="CA767" s="112"/>
      <c r="CB767" s="98"/>
      <c r="CC767" s="98"/>
      <c r="CD767" s="98"/>
      <c r="CE767" s="98"/>
      <c r="CG767" s="100"/>
      <c r="CH767" s="100"/>
      <c r="CI767" s="100"/>
      <c r="CJ767" s="100"/>
      <c r="CK767" s="100"/>
      <c r="CL767" s="100"/>
      <c r="CM767" s="100"/>
      <c r="CN767" s="100"/>
      <c r="CO767" s="100"/>
      <c r="CP767" s="100"/>
      <c r="CQ767" s="100"/>
      <c r="CR767" s="100"/>
      <c r="CS767" s="100"/>
      <c r="CT767" s="100"/>
      <c r="CU767" s="100"/>
    </row>
    <row r="768" spans="6:99" s="36" customFormat="1" ht="11.1" customHeight="1" x14ac:dyDescent="0.25">
      <c r="F768" s="33"/>
      <c r="G768" s="33"/>
      <c r="H768" s="33"/>
      <c r="I768" s="34"/>
      <c r="J768" s="34"/>
      <c r="K768" s="14"/>
      <c r="L768" s="32"/>
      <c r="M768" s="14"/>
      <c r="N768" s="14"/>
      <c r="O768" s="2"/>
      <c r="P768"/>
      <c r="Q768" s="2"/>
      <c r="R768"/>
      <c r="S768"/>
      <c r="T768"/>
      <c r="U768" s="2"/>
      <c r="V768" s="2"/>
      <c r="W768" s="2"/>
      <c r="X768" s="2"/>
      <c r="Y768" s="2"/>
      <c r="Z768" s="11"/>
      <c r="AA768" s="15"/>
      <c r="AB768" s="15"/>
      <c r="AC768" s="15"/>
      <c r="AD768" s="35"/>
      <c r="AE768" s="99"/>
      <c r="AF768" s="99"/>
      <c r="AG768" s="35"/>
      <c r="AH768" s="35"/>
      <c r="AI768" s="35"/>
      <c r="AJ768" s="1"/>
      <c r="AK768" s="1"/>
      <c r="AL768" s="1"/>
      <c r="AM768" s="1"/>
      <c r="AN768" s="1"/>
      <c r="AO768" s="1"/>
      <c r="AP768"/>
      <c r="AQ768"/>
      <c r="AR768"/>
      <c r="AS768"/>
      <c r="AT768" s="50"/>
      <c r="AU768" s="97"/>
      <c r="AV768" s="97"/>
      <c r="AW768" s="97"/>
      <c r="AX768" s="97"/>
      <c r="AY768" s="97"/>
      <c r="BD768" s="35"/>
      <c r="BE768" s="35"/>
      <c r="BV768" s="98"/>
      <c r="BW768" s="98"/>
      <c r="BX768" s="98"/>
      <c r="BY768" s="112"/>
      <c r="BZ768" s="112"/>
      <c r="CA768" s="112"/>
      <c r="CB768" s="98"/>
      <c r="CC768" s="98"/>
      <c r="CD768" s="98"/>
      <c r="CE768" s="98"/>
      <c r="CG768" s="100"/>
      <c r="CH768" s="100"/>
      <c r="CI768" s="100"/>
      <c r="CJ768" s="100"/>
      <c r="CK768" s="100"/>
      <c r="CL768" s="100"/>
      <c r="CM768" s="100"/>
      <c r="CN768" s="100"/>
      <c r="CO768" s="100"/>
      <c r="CP768" s="100"/>
      <c r="CQ768" s="100"/>
      <c r="CR768" s="100"/>
      <c r="CS768" s="100"/>
      <c r="CT768" s="100"/>
      <c r="CU768" s="100"/>
    </row>
    <row r="769" spans="6:99" s="36" customFormat="1" ht="11.1" customHeight="1" x14ac:dyDescent="0.25">
      <c r="F769" s="33"/>
      <c r="G769" s="33"/>
      <c r="H769" s="33"/>
      <c r="I769" s="34"/>
      <c r="J769" s="34"/>
      <c r="K769" s="14"/>
      <c r="L769" s="32"/>
      <c r="M769" s="14"/>
      <c r="N769" s="14"/>
      <c r="O769" s="2"/>
      <c r="P769"/>
      <c r="Q769" s="2"/>
      <c r="R769"/>
      <c r="S769"/>
      <c r="T769"/>
      <c r="U769" s="2"/>
      <c r="V769" s="2"/>
      <c r="W769" s="2"/>
      <c r="X769" s="2"/>
      <c r="Y769" s="2"/>
      <c r="Z769" s="11"/>
      <c r="AA769" s="15"/>
      <c r="AB769" s="15"/>
      <c r="AC769" s="15"/>
      <c r="AD769" s="35"/>
      <c r="AE769" s="99"/>
      <c r="AF769" s="99"/>
      <c r="AG769" s="35"/>
      <c r="AH769" s="35"/>
      <c r="AI769" s="35"/>
      <c r="AJ769" s="1"/>
      <c r="AK769" s="1"/>
      <c r="AL769" s="1"/>
      <c r="AM769" s="1"/>
      <c r="AN769" s="1"/>
      <c r="AO769" s="1"/>
      <c r="AP769"/>
      <c r="AQ769"/>
      <c r="AR769"/>
      <c r="AS769"/>
      <c r="AT769" s="50"/>
      <c r="AU769" s="97"/>
      <c r="AV769" s="97"/>
      <c r="AW769" s="97"/>
      <c r="AX769" s="97"/>
      <c r="AY769" s="97"/>
      <c r="BD769" s="35"/>
      <c r="BE769" s="35"/>
      <c r="BV769" s="98"/>
      <c r="BW769" s="98"/>
      <c r="BX769" s="98"/>
      <c r="BY769" s="112"/>
      <c r="BZ769" s="112"/>
      <c r="CA769" s="112"/>
      <c r="CB769" s="98"/>
      <c r="CC769" s="98"/>
      <c r="CD769" s="98"/>
      <c r="CE769" s="98"/>
      <c r="CG769" s="100"/>
      <c r="CH769" s="100"/>
      <c r="CI769" s="100"/>
      <c r="CJ769" s="100"/>
      <c r="CK769" s="100"/>
      <c r="CL769" s="100"/>
      <c r="CM769" s="100"/>
      <c r="CN769" s="100"/>
      <c r="CO769" s="100"/>
      <c r="CP769" s="100"/>
      <c r="CQ769" s="100"/>
      <c r="CR769" s="100"/>
      <c r="CS769" s="100"/>
      <c r="CT769" s="100"/>
      <c r="CU769" s="100"/>
    </row>
    <row r="770" spans="6:99" s="36" customFormat="1" ht="11.1" customHeight="1" x14ac:dyDescent="0.25">
      <c r="F770" s="33"/>
      <c r="G770" s="33"/>
      <c r="H770" s="33"/>
      <c r="I770" s="34"/>
      <c r="J770" s="34"/>
      <c r="K770" s="14"/>
      <c r="L770" s="32"/>
      <c r="M770" s="14"/>
      <c r="N770" s="14"/>
      <c r="O770" s="2"/>
      <c r="P770"/>
      <c r="Q770" s="2"/>
      <c r="R770"/>
      <c r="S770"/>
      <c r="T770"/>
      <c r="U770" s="2"/>
      <c r="V770" s="2"/>
      <c r="W770" s="2"/>
      <c r="X770" s="2"/>
      <c r="Y770" s="2"/>
      <c r="Z770" s="11"/>
      <c r="AA770" s="15"/>
      <c r="AB770" s="15"/>
      <c r="AC770" s="15"/>
      <c r="AD770" s="35"/>
      <c r="AE770" s="99"/>
      <c r="AF770" s="99"/>
      <c r="AG770" s="35"/>
      <c r="AH770" s="35"/>
      <c r="AI770" s="35"/>
      <c r="AJ770" s="1"/>
      <c r="AK770" s="1"/>
      <c r="AL770" s="1"/>
      <c r="AM770" s="1"/>
      <c r="AN770" s="1"/>
      <c r="AO770" s="1"/>
      <c r="AP770"/>
      <c r="AQ770"/>
      <c r="AR770"/>
      <c r="AS770"/>
      <c r="AT770" s="50"/>
      <c r="AU770" s="97"/>
      <c r="AV770" s="97"/>
      <c r="AW770" s="97"/>
      <c r="AX770" s="97"/>
      <c r="AY770" s="97"/>
      <c r="BD770" s="35"/>
      <c r="BE770" s="35"/>
      <c r="BV770" s="98"/>
      <c r="BW770" s="98"/>
      <c r="BX770" s="98"/>
      <c r="BY770" s="112"/>
      <c r="BZ770" s="112"/>
      <c r="CA770" s="112"/>
      <c r="CB770" s="98"/>
      <c r="CC770" s="98"/>
      <c r="CD770" s="98"/>
      <c r="CE770" s="98"/>
      <c r="CG770" s="100"/>
      <c r="CH770" s="100"/>
      <c r="CI770" s="100"/>
      <c r="CJ770" s="100"/>
      <c r="CK770" s="100"/>
      <c r="CL770" s="100"/>
      <c r="CM770" s="100"/>
      <c r="CN770" s="100"/>
      <c r="CO770" s="100"/>
      <c r="CP770" s="100"/>
      <c r="CQ770" s="100"/>
      <c r="CR770" s="100"/>
      <c r="CS770" s="100"/>
      <c r="CT770" s="100"/>
      <c r="CU770" s="100"/>
    </row>
    <row r="771" spans="6:99" s="36" customFormat="1" ht="11.1" customHeight="1" x14ac:dyDescent="0.25">
      <c r="F771" s="33"/>
      <c r="G771" s="33"/>
      <c r="H771" s="33"/>
      <c r="I771" s="34"/>
      <c r="J771" s="34"/>
      <c r="K771" s="14"/>
      <c r="L771" s="32"/>
      <c r="M771" s="14"/>
      <c r="N771" s="14"/>
      <c r="O771" s="2"/>
      <c r="P771"/>
      <c r="Q771" s="2"/>
      <c r="R771"/>
      <c r="S771"/>
      <c r="T771"/>
      <c r="U771" s="2"/>
      <c r="V771" s="2"/>
      <c r="W771" s="2"/>
      <c r="X771" s="2"/>
      <c r="Y771" s="2"/>
      <c r="Z771" s="11"/>
      <c r="AA771" s="15"/>
      <c r="AB771" s="15"/>
      <c r="AC771" s="15"/>
      <c r="AD771" s="35"/>
      <c r="AE771" s="99"/>
      <c r="AF771" s="99"/>
      <c r="AG771" s="35"/>
      <c r="AH771" s="35"/>
      <c r="AI771" s="35"/>
      <c r="AJ771" s="1"/>
      <c r="AK771" s="1"/>
      <c r="AL771" s="1"/>
      <c r="AM771" s="1"/>
      <c r="AN771" s="1"/>
      <c r="AO771" s="1"/>
      <c r="AP771"/>
      <c r="AQ771"/>
      <c r="AR771"/>
      <c r="AS771"/>
      <c r="AT771" s="50"/>
      <c r="AU771" s="97"/>
      <c r="AV771" s="97"/>
      <c r="AW771" s="97"/>
      <c r="AX771" s="97"/>
      <c r="AY771" s="97"/>
      <c r="BD771" s="35"/>
      <c r="BE771" s="35"/>
      <c r="BV771" s="98"/>
      <c r="BW771" s="98"/>
      <c r="BX771" s="98"/>
      <c r="BY771" s="112"/>
      <c r="BZ771" s="112"/>
      <c r="CA771" s="112"/>
      <c r="CB771" s="98"/>
      <c r="CC771" s="98"/>
      <c r="CD771" s="98"/>
      <c r="CE771" s="98"/>
      <c r="CG771" s="100"/>
      <c r="CH771" s="100"/>
      <c r="CI771" s="100"/>
      <c r="CJ771" s="100"/>
      <c r="CK771" s="100"/>
      <c r="CL771" s="100"/>
      <c r="CM771" s="100"/>
      <c r="CN771" s="100"/>
      <c r="CO771" s="100"/>
      <c r="CP771" s="100"/>
      <c r="CQ771" s="100"/>
      <c r="CR771" s="100"/>
      <c r="CS771" s="100"/>
      <c r="CT771" s="100"/>
      <c r="CU771" s="100"/>
    </row>
    <row r="772" spans="6:99" s="36" customFormat="1" ht="11.1" customHeight="1" x14ac:dyDescent="0.25">
      <c r="F772" s="33"/>
      <c r="G772" s="33"/>
      <c r="H772" s="33"/>
      <c r="I772" s="34"/>
      <c r="J772" s="34"/>
      <c r="K772" s="14"/>
      <c r="L772" s="32"/>
      <c r="M772" s="14"/>
      <c r="N772" s="14"/>
      <c r="O772" s="2"/>
      <c r="P772"/>
      <c r="Q772" s="2"/>
      <c r="R772"/>
      <c r="S772"/>
      <c r="T772"/>
      <c r="U772" s="2"/>
      <c r="V772" s="2"/>
      <c r="W772" s="2"/>
      <c r="X772" s="2"/>
      <c r="Y772" s="2"/>
      <c r="Z772" s="11"/>
      <c r="AA772" s="15"/>
      <c r="AB772" s="15"/>
      <c r="AC772" s="15"/>
      <c r="AD772" s="35"/>
      <c r="AE772" s="99"/>
      <c r="AF772" s="99"/>
      <c r="AG772" s="35"/>
      <c r="AH772" s="35"/>
      <c r="AI772" s="35"/>
      <c r="AJ772" s="1"/>
      <c r="AK772" s="1"/>
      <c r="AL772" s="1"/>
      <c r="AM772" s="1"/>
      <c r="AN772" s="1"/>
      <c r="AO772" s="1"/>
      <c r="AP772"/>
      <c r="AQ772"/>
      <c r="AR772"/>
      <c r="AS772"/>
      <c r="AT772" s="50"/>
      <c r="AU772" s="97"/>
      <c r="AV772" s="97"/>
      <c r="AW772" s="97"/>
      <c r="AX772" s="97"/>
      <c r="AY772" s="97"/>
      <c r="BD772" s="35"/>
      <c r="BE772" s="35"/>
      <c r="BV772" s="98"/>
      <c r="BW772" s="98"/>
      <c r="BX772" s="98"/>
      <c r="BY772" s="112"/>
      <c r="BZ772" s="112"/>
      <c r="CA772" s="112"/>
      <c r="CB772" s="98"/>
      <c r="CC772" s="98"/>
      <c r="CD772" s="98"/>
      <c r="CE772" s="98"/>
      <c r="CG772" s="100"/>
      <c r="CH772" s="100"/>
      <c r="CI772" s="100"/>
      <c r="CJ772" s="100"/>
      <c r="CK772" s="100"/>
      <c r="CL772" s="100"/>
      <c r="CM772" s="100"/>
      <c r="CN772" s="100"/>
      <c r="CO772" s="100"/>
      <c r="CP772" s="100"/>
      <c r="CQ772" s="100"/>
      <c r="CR772" s="100"/>
      <c r="CS772" s="100"/>
      <c r="CT772" s="100"/>
      <c r="CU772" s="100"/>
    </row>
    <row r="773" spans="6:99" s="36" customFormat="1" ht="11.1" customHeight="1" x14ac:dyDescent="0.25">
      <c r="F773" s="33"/>
      <c r="G773" s="33"/>
      <c r="H773" s="33"/>
      <c r="I773" s="34"/>
      <c r="J773" s="34"/>
      <c r="K773" s="14"/>
      <c r="L773" s="32"/>
      <c r="M773" s="14"/>
      <c r="N773" s="14"/>
      <c r="O773" s="2"/>
      <c r="P773"/>
      <c r="Q773" s="2"/>
      <c r="R773"/>
      <c r="S773"/>
      <c r="T773"/>
      <c r="U773" s="2"/>
      <c r="V773" s="2"/>
      <c r="W773" s="2"/>
      <c r="X773" s="2"/>
      <c r="Y773" s="2"/>
      <c r="Z773" s="11"/>
      <c r="AA773" s="15"/>
      <c r="AB773" s="15"/>
      <c r="AC773" s="15"/>
      <c r="AD773" s="35"/>
      <c r="AE773" s="99"/>
      <c r="AF773" s="99"/>
      <c r="AG773" s="35"/>
      <c r="AH773" s="35"/>
      <c r="AI773" s="35"/>
      <c r="AJ773" s="1"/>
      <c r="AK773" s="1"/>
      <c r="AL773" s="1"/>
      <c r="AM773" s="1"/>
      <c r="AN773" s="1"/>
      <c r="AO773" s="1"/>
      <c r="AP773"/>
      <c r="AQ773"/>
      <c r="AR773"/>
      <c r="AS773"/>
      <c r="AT773" s="50"/>
      <c r="AU773" s="97"/>
      <c r="AV773" s="97"/>
      <c r="AW773" s="97"/>
      <c r="AX773" s="97"/>
      <c r="AY773" s="97"/>
      <c r="BD773" s="35"/>
      <c r="BE773" s="35"/>
      <c r="BV773" s="98"/>
      <c r="BW773" s="98"/>
      <c r="BX773" s="98"/>
      <c r="BY773" s="112"/>
      <c r="BZ773" s="112"/>
      <c r="CA773" s="112"/>
      <c r="CB773" s="98"/>
      <c r="CC773" s="98"/>
      <c r="CD773" s="98"/>
      <c r="CE773" s="98"/>
      <c r="CG773" s="100"/>
      <c r="CH773" s="100"/>
      <c r="CI773" s="100"/>
      <c r="CJ773" s="100"/>
      <c r="CK773" s="100"/>
      <c r="CL773" s="100"/>
      <c r="CM773" s="100"/>
      <c r="CN773" s="100"/>
      <c r="CO773" s="100"/>
      <c r="CP773" s="100"/>
      <c r="CQ773" s="100"/>
      <c r="CR773" s="100"/>
      <c r="CS773" s="100"/>
      <c r="CT773" s="100"/>
      <c r="CU773" s="100"/>
    </row>
    <row r="774" spans="6:99" s="36" customFormat="1" ht="11.1" customHeight="1" x14ac:dyDescent="0.25">
      <c r="F774" s="33"/>
      <c r="G774" s="33"/>
      <c r="H774" s="33"/>
      <c r="I774" s="34"/>
      <c r="J774" s="34"/>
      <c r="K774" s="14"/>
      <c r="L774" s="32"/>
      <c r="M774" s="14"/>
      <c r="N774" s="14"/>
      <c r="O774" s="2"/>
      <c r="P774"/>
      <c r="Q774" s="2"/>
      <c r="R774"/>
      <c r="S774"/>
      <c r="T774"/>
      <c r="U774" s="2"/>
      <c r="V774" s="2"/>
      <c r="W774" s="2"/>
      <c r="X774" s="2"/>
      <c r="Y774" s="2"/>
      <c r="Z774" s="11"/>
      <c r="AA774" s="15"/>
      <c r="AB774" s="15"/>
      <c r="AC774" s="15"/>
      <c r="AD774" s="35"/>
      <c r="AE774" s="99"/>
      <c r="AF774" s="99"/>
      <c r="AG774" s="35"/>
      <c r="AH774" s="35"/>
      <c r="AI774" s="35"/>
      <c r="AJ774" s="1"/>
      <c r="AK774" s="1"/>
      <c r="AL774" s="1"/>
      <c r="AM774" s="1"/>
      <c r="AN774" s="1"/>
      <c r="AO774" s="1"/>
      <c r="AP774"/>
      <c r="AQ774"/>
      <c r="AR774"/>
      <c r="AS774"/>
      <c r="AT774" s="50"/>
      <c r="AU774" s="97"/>
      <c r="AV774" s="97"/>
      <c r="AW774" s="97"/>
      <c r="AX774" s="97"/>
      <c r="AY774" s="97"/>
      <c r="BD774" s="35"/>
      <c r="BE774" s="35"/>
      <c r="BV774" s="98"/>
      <c r="BW774" s="98"/>
      <c r="BX774" s="98"/>
      <c r="BY774" s="112"/>
      <c r="BZ774" s="112"/>
      <c r="CA774" s="112"/>
      <c r="CB774" s="98"/>
      <c r="CC774" s="98"/>
      <c r="CD774" s="98"/>
      <c r="CE774" s="98"/>
      <c r="CG774" s="100"/>
      <c r="CH774" s="100"/>
      <c r="CI774" s="100"/>
      <c r="CJ774" s="100"/>
      <c r="CK774" s="100"/>
      <c r="CL774" s="100"/>
      <c r="CM774" s="100"/>
      <c r="CN774" s="100"/>
      <c r="CO774" s="100"/>
      <c r="CP774" s="100"/>
      <c r="CQ774" s="100"/>
      <c r="CR774" s="100"/>
      <c r="CS774" s="100"/>
      <c r="CT774" s="100"/>
      <c r="CU774" s="100"/>
    </row>
    <row r="775" spans="6:99" s="36" customFormat="1" ht="11.1" customHeight="1" x14ac:dyDescent="0.25">
      <c r="F775" s="33"/>
      <c r="G775" s="33"/>
      <c r="H775" s="33"/>
      <c r="I775" s="34"/>
      <c r="J775" s="34"/>
      <c r="K775" s="14"/>
      <c r="L775" s="32"/>
      <c r="M775" s="14"/>
      <c r="N775" s="14"/>
      <c r="O775" s="2"/>
      <c r="P775"/>
      <c r="Q775" s="2"/>
      <c r="R775"/>
      <c r="S775"/>
      <c r="T775"/>
      <c r="U775" s="2"/>
      <c r="V775" s="2"/>
      <c r="W775" s="2"/>
      <c r="X775" s="2"/>
      <c r="Y775" s="2"/>
      <c r="Z775" s="11"/>
      <c r="AA775" s="15"/>
      <c r="AB775" s="15"/>
      <c r="AC775" s="15"/>
      <c r="AD775" s="35"/>
      <c r="AE775" s="99"/>
      <c r="AF775" s="99"/>
      <c r="AG775" s="35"/>
      <c r="AH775" s="35"/>
      <c r="AI775" s="35"/>
      <c r="AJ775" s="1"/>
      <c r="AK775" s="1"/>
      <c r="AL775" s="1"/>
      <c r="AM775" s="1"/>
      <c r="AN775" s="1"/>
      <c r="AO775" s="1"/>
      <c r="AP775"/>
      <c r="AQ775"/>
      <c r="AR775"/>
      <c r="AS775"/>
      <c r="AT775" s="50"/>
      <c r="AU775" s="97"/>
      <c r="AV775" s="97"/>
      <c r="AW775" s="97"/>
      <c r="AX775" s="97"/>
      <c r="AY775" s="97"/>
      <c r="BD775" s="35"/>
      <c r="BE775" s="35"/>
      <c r="BV775" s="98"/>
      <c r="BW775" s="98"/>
      <c r="BX775" s="98"/>
      <c r="BY775" s="112"/>
      <c r="BZ775" s="112"/>
      <c r="CA775" s="112"/>
      <c r="CB775" s="98"/>
      <c r="CC775" s="98"/>
      <c r="CD775" s="98"/>
      <c r="CE775" s="98"/>
      <c r="CG775" s="100"/>
      <c r="CH775" s="100"/>
      <c r="CI775" s="100"/>
      <c r="CJ775" s="100"/>
      <c r="CK775" s="100"/>
      <c r="CL775" s="100"/>
      <c r="CM775" s="100"/>
      <c r="CN775" s="100"/>
      <c r="CO775" s="100"/>
      <c r="CP775" s="100"/>
      <c r="CQ775" s="100"/>
      <c r="CR775" s="100"/>
      <c r="CS775" s="100"/>
      <c r="CT775" s="100"/>
      <c r="CU775" s="100"/>
    </row>
    <row r="776" spans="6:99" s="36" customFormat="1" ht="11.1" customHeight="1" x14ac:dyDescent="0.25">
      <c r="F776" s="33"/>
      <c r="G776" s="33"/>
      <c r="H776" s="33"/>
      <c r="I776" s="34"/>
      <c r="J776" s="34"/>
      <c r="K776" s="14"/>
      <c r="L776" s="32"/>
      <c r="M776" s="14"/>
      <c r="N776" s="14"/>
      <c r="O776" s="2"/>
      <c r="P776"/>
      <c r="Q776" s="2"/>
      <c r="R776"/>
      <c r="S776"/>
      <c r="T776"/>
      <c r="U776" s="2"/>
      <c r="V776" s="2"/>
      <c r="W776" s="2"/>
      <c r="X776" s="2"/>
      <c r="Y776" s="2"/>
      <c r="Z776" s="11"/>
      <c r="AA776" s="15"/>
      <c r="AB776" s="15"/>
      <c r="AC776" s="15"/>
      <c r="AD776" s="35"/>
      <c r="AE776" s="99"/>
      <c r="AF776" s="99"/>
      <c r="AG776" s="35"/>
      <c r="AH776" s="35"/>
      <c r="AI776" s="35"/>
      <c r="AJ776" s="1"/>
      <c r="AK776" s="1"/>
      <c r="AL776" s="1"/>
      <c r="AM776" s="1"/>
      <c r="AN776" s="1"/>
      <c r="AO776" s="1"/>
      <c r="AP776"/>
      <c r="AQ776"/>
      <c r="AR776"/>
      <c r="AS776"/>
      <c r="AT776" s="50"/>
      <c r="AU776" s="97"/>
      <c r="AV776" s="97"/>
      <c r="AW776" s="97"/>
      <c r="AX776" s="97"/>
      <c r="AY776" s="97"/>
      <c r="BD776" s="35"/>
      <c r="BE776" s="35"/>
      <c r="BV776" s="98"/>
      <c r="BW776" s="98"/>
      <c r="BX776" s="98"/>
      <c r="BY776" s="112"/>
      <c r="BZ776" s="112"/>
      <c r="CA776" s="112"/>
      <c r="CB776" s="98"/>
      <c r="CC776" s="98"/>
      <c r="CD776" s="98"/>
      <c r="CE776" s="98"/>
      <c r="CG776" s="100"/>
      <c r="CH776" s="100"/>
      <c r="CI776" s="100"/>
      <c r="CJ776" s="100"/>
      <c r="CK776" s="100"/>
      <c r="CL776" s="100"/>
      <c r="CM776" s="100"/>
      <c r="CN776" s="100"/>
      <c r="CO776" s="100"/>
      <c r="CP776" s="100"/>
      <c r="CQ776" s="100"/>
      <c r="CR776" s="100"/>
      <c r="CS776" s="100"/>
      <c r="CT776" s="100"/>
      <c r="CU776" s="100"/>
    </row>
    <row r="777" spans="6:99" s="36" customFormat="1" ht="11.1" customHeight="1" x14ac:dyDescent="0.25">
      <c r="F777" s="33"/>
      <c r="G777" s="33"/>
      <c r="H777" s="33"/>
      <c r="I777" s="34"/>
      <c r="J777" s="34"/>
      <c r="K777" s="14"/>
      <c r="L777" s="32"/>
      <c r="M777" s="14"/>
      <c r="N777" s="14"/>
      <c r="O777" s="2"/>
      <c r="P777"/>
      <c r="Q777" s="2"/>
      <c r="R777"/>
      <c r="S777"/>
      <c r="T777"/>
      <c r="U777" s="2"/>
      <c r="V777" s="2"/>
      <c r="W777" s="2"/>
      <c r="X777" s="2"/>
      <c r="Y777" s="2"/>
      <c r="Z777" s="11"/>
      <c r="AA777" s="15"/>
      <c r="AB777" s="15"/>
      <c r="AC777" s="15"/>
      <c r="AD777" s="35"/>
      <c r="AE777" s="99"/>
      <c r="AF777" s="99"/>
      <c r="AG777" s="35"/>
      <c r="AH777" s="35"/>
      <c r="AI777" s="35"/>
      <c r="AJ777" s="1"/>
      <c r="AK777" s="1"/>
      <c r="AL777" s="1"/>
      <c r="AM777" s="1"/>
      <c r="AN777" s="1"/>
      <c r="AO777" s="1"/>
      <c r="AP777"/>
      <c r="AQ777"/>
      <c r="AR777"/>
      <c r="AS777"/>
      <c r="AT777" s="50"/>
      <c r="AU777" s="97"/>
      <c r="AV777" s="97"/>
      <c r="AW777" s="97"/>
      <c r="AX777" s="97"/>
      <c r="AY777" s="97"/>
      <c r="BD777" s="35"/>
      <c r="BE777" s="35"/>
      <c r="BV777" s="98"/>
      <c r="BW777" s="98"/>
      <c r="BX777" s="98"/>
      <c r="BY777" s="112"/>
      <c r="BZ777" s="112"/>
      <c r="CA777" s="112"/>
      <c r="CB777" s="98"/>
      <c r="CC777" s="98"/>
      <c r="CD777" s="98"/>
      <c r="CE777" s="98"/>
      <c r="CG777" s="100"/>
      <c r="CH777" s="100"/>
      <c r="CI777" s="100"/>
      <c r="CJ777" s="100"/>
      <c r="CK777" s="100"/>
      <c r="CL777" s="100"/>
      <c r="CM777" s="100"/>
      <c r="CN777" s="100"/>
      <c r="CO777" s="100"/>
      <c r="CP777" s="100"/>
      <c r="CQ777" s="100"/>
      <c r="CR777" s="100"/>
      <c r="CS777" s="100"/>
      <c r="CT777" s="100"/>
      <c r="CU777" s="100"/>
    </row>
    <row r="778" spans="6:99" s="36" customFormat="1" ht="11.1" customHeight="1" x14ac:dyDescent="0.25">
      <c r="F778" s="33"/>
      <c r="G778" s="33"/>
      <c r="H778" s="33"/>
      <c r="I778" s="34"/>
      <c r="J778" s="34"/>
      <c r="K778" s="14"/>
      <c r="L778" s="32"/>
      <c r="M778" s="14"/>
      <c r="N778" s="14"/>
      <c r="O778" s="2"/>
      <c r="P778"/>
      <c r="Q778" s="2"/>
      <c r="R778"/>
      <c r="S778"/>
      <c r="T778"/>
      <c r="U778" s="2"/>
      <c r="V778" s="2"/>
      <c r="W778" s="2"/>
      <c r="X778" s="2"/>
      <c r="Y778" s="2"/>
      <c r="Z778" s="11"/>
      <c r="AA778" s="15"/>
      <c r="AB778" s="15"/>
      <c r="AC778" s="15"/>
      <c r="AD778" s="35"/>
      <c r="AE778" s="99"/>
      <c r="AF778" s="99"/>
      <c r="AG778" s="35"/>
      <c r="AH778" s="35"/>
      <c r="AI778" s="35"/>
      <c r="AJ778" s="1"/>
      <c r="AK778" s="1"/>
      <c r="AL778" s="1"/>
      <c r="AM778" s="1"/>
      <c r="AN778" s="1"/>
      <c r="AO778" s="1"/>
      <c r="AP778"/>
      <c r="AQ778"/>
      <c r="AR778"/>
      <c r="AS778"/>
      <c r="AT778" s="50"/>
      <c r="AU778" s="97"/>
      <c r="AV778" s="97"/>
      <c r="AW778" s="97"/>
      <c r="AX778" s="97"/>
      <c r="AY778" s="97"/>
      <c r="BD778" s="35"/>
      <c r="BE778" s="35"/>
      <c r="BV778" s="98"/>
      <c r="BW778" s="98"/>
      <c r="BX778" s="98"/>
      <c r="BY778" s="112"/>
      <c r="BZ778" s="112"/>
      <c r="CA778" s="112"/>
      <c r="CB778" s="98"/>
      <c r="CC778" s="98"/>
      <c r="CD778" s="98"/>
      <c r="CE778" s="98"/>
      <c r="CG778" s="100"/>
      <c r="CH778" s="100"/>
      <c r="CI778" s="100"/>
      <c r="CJ778" s="100"/>
      <c r="CK778" s="100"/>
      <c r="CL778" s="100"/>
      <c r="CM778" s="100"/>
      <c r="CN778" s="100"/>
      <c r="CO778" s="100"/>
      <c r="CP778" s="100"/>
      <c r="CQ778" s="100"/>
      <c r="CR778" s="100"/>
      <c r="CS778" s="100"/>
      <c r="CT778" s="100"/>
      <c r="CU778" s="100"/>
    </row>
    <row r="779" spans="6:99" s="36" customFormat="1" ht="11.1" customHeight="1" x14ac:dyDescent="0.25">
      <c r="F779" s="33"/>
      <c r="G779" s="33"/>
      <c r="H779" s="33"/>
      <c r="I779" s="34"/>
      <c r="J779" s="34"/>
      <c r="K779" s="14"/>
      <c r="L779" s="32"/>
      <c r="M779" s="14"/>
      <c r="N779" s="14"/>
      <c r="O779" s="2"/>
      <c r="P779"/>
      <c r="Q779" s="2"/>
      <c r="R779"/>
      <c r="S779"/>
      <c r="T779"/>
      <c r="U779" s="2"/>
      <c r="V779" s="2"/>
      <c r="W779" s="2"/>
      <c r="X779" s="2"/>
      <c r="Y779" s="2"/>
      <c r="Z779" s="11"/>
      <c r="AA779" s="15"/>
      <c r="AB779" s="15"/>
      <c r="AC779" s="15"/>
      <c r="AD779" s="35"/>
      <c r="AE779" s="99"/>
      <c r="AF779" s="99"/>
      <c r="AG779" s="35"/>
      <c r="AH779" s="35"/>
      <c r="AI779" s="35"/>
      <c r="AJ779" s="1"/>
      <c r="AK779" s="1"/>
      <c r="AL779" s="1"/>
      <c r="AM779" s="1"/>
      <c r="AN779" s="1"/>
      <c r="AO779" s="1"/>
      <c r="AP779"/>
      <c r="AQ779"/>
      <c r="AR779"/>
      <c r="AS779"/>
      <c r="AT779" s="50"/>
      <c r="AU779" s="97"/>
      <c r="AV779" s="97"/>
      <c r="AW779" s="97"/>
      <c r="AX779" s="97"/>
      <c r="AY779" s="97"/>
      <c r="BD779" s="35"/>
      <c r="BE779" s="35"/>
      <c r="BV779" s="98"/>
      <c r="BW779" s="98"/>
      <c r="BX779" s="98"/>
      <c r="BY779" s="112"/>
      <c r="BZ779" s="112"/>
      <c r="CA779" s="112"/>
      <c r="CB779" s="98"/>
      <c r="CC779" s="98"/>
      <c r="CD779" s="98"/>
      <c r="CE779" s="98"/>
      <c r="CG779" s="100"/>
      <c r="CH779" s="100"/>
      <c r="CI779" s="100"/>
      <c r="CJ779" s="100"/>
      <c r="CK779" s="100"/>
      <c r="CL779" s="100"/>
      <c r="CM779" s="100"/>
      <c r="CN779" s="100"/>
      <c r="CO779" s="100"/>
      <c r="CP779" s="100"/>
      <c r="CQ779" s="100"/>
      <c r="CR779" s="100"/>
      <c r="CS779" s="100"/>
      <c r="CT779" s="100"/>
      <c r="CU779" s="100"/>
    </row>
    <row r="780" spans="6:99" s="36" customFormat="1" ht="11.1" customHeight="1" x14ac:dyDescent="0.25">
      <c r="F780" s="33"/>
      <c r="G780" s="33"/>
      <c r="H780" s="33"/>
      <c r="I780" s="34"/>
      <c r="J780" s="34"/>
      <c r="K780" s="14"/>
      <c r="L780" s="32"/>
      <c r="M780" s="14"/>
      <c r="N780" s="14"/>
      <c r="O780" s="2"/>
      <c r="P780"/>
      <c r="Q780" s="2"/>
      <c r="R780"/>
      <c r="S780"/>
      <c r="T780"/>
      <c r="U780" s="2"/>
      <c r="V780" s="2"/>
      <c r="W780" s="2"/>
      <c r="X780" s="2"/>
      <c r="Y780" s="2"/>
      <c r="Z780" s="11"/>
      <c r="AA780" s="15"/>
      <c r="AB780" s="15"/>
      <c r="AC780" s="15"/>
      <c r="AD780" s="35"/>
      <c r="AE780" s="99"/>
      <c r="AF780" s="99"/>
      <c r="AG780" s="35"/>
      <c r="AH780" s="35"/>
      <c r="AI780" s="35"/>
      <c r="AJ780" s="1"/>
      <c r="AK780" s="1"/>
      <c r="AL780" s="1"/>
      <c r="AM780" s="1"/>
      <c r="AN780" s="1"/>
      <c r="AO780" s="1"/>
      <c r="AP780"/>
      <c r="AQ780"/>
      <c r="AR780"/>
      <c r="AS780"/>
      <c r="AT780" s="50"/>
      <c r="AU780" s="97"/>
      <c r="AV780" s="97"/>
      <c r="AW780" s="97"/>
      <c r="AX780" s="97"/>
      <c r="AY780" s="97"/>
      <c r="BD780" s="35"/>
      <c r="BE780" s="35"/>
      <c r="BV780" s="98"/>
      <c r="BW780" s="98"/>
      <c r="BX780" s="98"/>
      <c r="BY780" s="112"/>
      <c r="BZ780" s="112"/>
      <c r="CA780" s="112"/>
      <c r="CB780" s="98"/>
      <c r="CC780" s="98"/>
      <c r="CD780" s="98"/>
      <c r="CE780" s="98"/>
      <c r="CG780" s="100"/>
      <c r="CH780" s="100"/>
      <c r="CI780" s="100"/>
      <c r="CJ780" s="100"/>
      <c r="CK780" s="100"/>
      <c r="CL780" s="100"/>
      <c r="CM780" s="100"/>
      <c r="CN780" s="100"/>
      <c r="CO780" s="100"/>
      <c r="CP780" s="100"/>
      <c r="CQ780" s="100"/>
      <c r="CR780" s="100"/>
      <c r="CS780" s="100"/>
      <c r="CT780" s="100"/>
      <c r="CU780" s="100"/>
    </row>
    <row r="781" spans="6:99" s="36" customFormat="1" ht="11.1" customHeight="1" x14ac:dyDescent="0.25">
      <c r="F781" s="33"/>
      <c r="G781" s="33"/>
      <c r="H781" s="33"/>
      <c r="I781" s="34"/>
      <c r="J781" s="34"/>
      <c r="K781" s="14"/>
      <c r="L781" s="32"/>
      <c r="M781" s="14"/>
      <c r="N781" s="14"/>
      <c r="O781" s="2"/>
      <c r="P781"/>
      <c r="Q781" s="2"/>
      <c r="R781"/>
      <c r="S781"/>
      <c r="T781"/>
      <c r="U781" s="2"/>
      <c r="V781" s="2"/>
      <c r="W781" s="2"/>
      <c r="X781" s="2"/>
      <c r="Y781" s="2"/>
      <c r="Z781" s="11"/>
      <c r="AA781" s="15"/>
      <c r="AB781" s="15"/>
      <c r="AC781" s="15"/>
      <c r="AD781" s="35"/>
      <c r="AE781" s="99"/>
      <c r="AF781" s="99"/>
      <c r="AG781" s="35"/>
      <c r="AH781" s="35"/>
      <c r="AI781" s="35"/>
      <c r="AJ781" s="1"/>
      <c r="AK781" s="1"/>
      <c r="AL781" s="1"/>
      <c r="AM781" s="1"/>
      <c r="AN781" s="1"/>
      <c r="AO781" s="1"/>
      <c r="AP781"/>
      <c r="AQ781"/>
      <c r="AR781"/>
      <c r="AS781"/>
      <c r="AT781" s="50"/>
      <c r="AU781" s="97"/>
      <c r="AV781" s="97"/>
      <c r="AW781" s="97"/>
      <c r="AX781" s="97"/>
      <c r="AY781" s="97"/>
      <c r="BD781" s="35"/>
      <c r="BE781" s="35"/>
      <c r="BV781" s="98"/>
      <c r="BW781" s="98"/>
      <c r="BX781" s="98"/>
      <c r="BY781" s="112"/>
      <c r="BZ781" s="112"/>
      <c r="CA781" s="112"/>
      <c r="CB781" s="98"/>
      <c r="CC781" s="98"/>
      <c r="CD781" s="98"/>
      <c r="CE781" s="98"/>
      <c r="CG781" s="100"/>
      <c r="CH781" s="100"/>
      <c r="CI781" s="100"/>
      <c r="CJ781" s="100"/>
      <c r="CK781" s="100"/>
      <c r="CL781" s="100"/>
      <c r="CM781" s="100"/>
      <c r="CN781" s="100"/>
      <c r="CO781" s="100"/>
      <c r="CP781" s="100"/>
      <c r="CQ781" s="100"/>
      <c r="CR781" s="100"/>
      <c r="CS781" s="100"/>
      <c r="CT781" s="100"/>
      <c r="CU781" s="100"/>
    </row>
    <row r="782" spans="6:99" s="36" customFormat="1" ht="11.1" customHeight="1" x14ac:dyDescent="0.25">
      <c r="F782" s="33"/>
      <c r="G782" s="33"/>
      <c r="H782" s="33"/>
      <c r="I782" s="34"/>
      <c r="J782" s="34"/>
      <c r="K782" s="14"/>
      <c r="L782" s="32"/>
      <c r="M782" s="14"/>
      <c r="N782" s="14"/>
      <c r="O782" s="2"/>
      <c r="P782"/>
      <c r="Q782" s="2"/>
      <c r="R782"/>
      <c r="S782"/>
      <c r="T782"/>
      <c r="U782" s="2"/>
      <c r="V782" s="2"/>
      <c r="W782" s="2"/>
      <c r="X782" s="2"/>
      <c r="Y782" s="2"/>
      <c r="Z782" s="11"/>
      <c r="AA782" s="15"/>
      <c r="AB782" s="15"/>
      <c r="AC782" s="15"/>
      <c r="AD782" s="35"/>
      <c r="AE782" s="99"/>
      <c r="AF782" s="99"/>
      <c r="AG782" s="35"/>
      <c r="AH782" s="35"/>
      <c r="AI782" s="35"/>
      <c r="AJ782" s="1"/>
      <c r="AK782" s="1"/>
      <c r="AL782" s="1"/>
      <c r="AM782" s="1"/>
      <c r="AN782" s="1"/>
      <c r="AO782" s="1"/>
      <c r="AP782"/>
      <c r="AQ782"/>
      <c r="AR782"/>
      <c r="AS782"/>
      <c r="AT782" s="50"/>
      <c r="AU782" s="97"/>
      <c r="AV782" s="97"/>
      <c r="AW782" s="97"/>
      <c r="AX782" s="97"/>
      <c r="AY782" s="97"/>
      <c r="BD782" s="35"/>
      <c r="BE782" s="35"/>
      <c r="BV782" s="98"/>
      <c r="BW782" s="98"/>
      <c r="BX782" s="98"/>
      <c r="BY782" s="112"/>
      <c r="BZ782" s="112"/>
      <c r="CA782" s="112"/>
      <c r="CB782" s="98"/>
      <c r="CC782" s="98"/>
      <c r="CD782" s="98"/>
      <c r="CE782" s="98"/>
      <c r="CG782" s="100"/>
      <c r="CH782" s="100"/>
      <c r="CI782" s="100"/>
      <c r="CJ782" s="100"/>
      <c r="CK782" s="100"/>
      <c r="CL782" s="100"/>
      <c r="CM782" s="100"/>
      <c r="CN782" s="100"/>
      <c r="CO782" s="100"/>
      <c r="CP782" s="100"/>
      <c r="CQ782" s="100"/>
      <c r="CR782" s="100"/>
      <c r="CS782" s="100"/>
      <c r="CT782" s="100"/>
      <c r="CU782" s="100"/>
    </row>
    <row r="783" spans="6:99" s="36" customFormat="1" ht="11.1" customHeight="1" x14ac:dyDescent="0.25">
      <c r="F783" s="33"/>
      <c r="G783" s="33"/>
      <c r="H783" s="33"/>
      <c r="I783" s="34"/>
      <c r="J783" s="34"/>
      <c r="K783" s="14"/>
      <c r="L783" s="32"/>
      <c r="M783" s="14"/>
      <c r="N783" s="14"/>
      <c r="O783" s="2"/>
      <c r="P783"/>
      <c r="Q783" s="2"/>
      <c r="R783"/>
      <c r="S783"/>
      <c r="T783"/>
      <c r="U783" s="2"/>
      <c r="V783" s="2"/>
      <c r="W783" s="2"/>
      <c r="X783" s="2"/>
      <c r="Y783" s="2"/>
      <c r="Z783" s="11"/>
      <c r="AA783" s="15"/>
      <c r="AB783" s="15"/>
      <c r="AC783" s="15"/>
      <c r="AD783" s="35"/>
      <c r="AE783" s="99"/>
      <c r="AF783" s="99"/>
      <c r="AG783" s="35"/>
      <c r="AH783" s="35"/>
      <c r="AI783" s="35"/>
      <c r="AJ783" s="1"/>
      <c r="AK783" s="1"/>
      <c r="AL783" s="1"/>
      <c r="AM783" s="1"/>
      <c r="AN783" s="1"/>
      <c r="AO783" s="1"/>
      <c r="AP783"/>
      <c r="AQ783"/>
      <c r="AR783"/>
      <c r="AS783"/>
      <c r="AT783" s="50"/>
      <c r="AU783" s="97"/>
      <c r="AV783" s="97"/>
      <c r="AW783" s="97"/>
      <c r="AX783" s="97"/>
      <c r="AY783" s="97"/>
      <c r="BD783" s="35"/>
      <c r="BE783" s="35"/>
      <c r="BV783" s="98"/>
      <c r="BW783" s="98"/>
      <c r="BX783" s="98"/>
      <c r="BY783" s="112"/>
      <c r="BZ783" s="112"/>
      <c r="CA783" s="112"/>
      <c r="CB783" s="98"/>
      <c r="CC783" s="98"/>
      <c r="CD783" s="98"/>
      <c r="CE783" s="98"/>
      <c r="CG783" s="100"/>
      <c r="CH783" s="100"/>
      <c r="CI783" s="100"/>
      <c r="CJ783" s="100"/>
      <c r="CK783" s="100"/>
      <c r="CL783" s="100"/>
      <c r="CM783" s="100"/>
      <c r="CN783" s="100"/>
      <c r="CO783" s="100"/>
      <c r="CP783" s="100"/>
      <c r="CQ783" s="100"/>
      <c r="CR783" s="100"/>
      <c r="CS783" s="100"/>
      <c r="CT783" s="100"/>
      <c r="CU783" s="100"/>
    </row>
    <row r="784" spans="6:99" s="36" customFormat="1" ht="11.1" customHeight="1" x14ac:dyDescent="0.25">
      <c r="F784" s="33"/>
      <c r="G784" s="33"/>
      <c r="H784" s="33"/>
      <c r="I784" s="34"/>
      <c r="J784" s="34"/>
      <c r="K784" s="14"/>
      <c r="L784" s="32"/>
      <c r="M784" s="14"/>
      <c r="N784" s="14"/>
      <c r="O784" s="2"/>
      <c r="P784"/>
      <c r="Q784" s="2"/>
      <c r="R784"/>
      <c r="S784"/>
      <c r="T784"/>
      <c r="U784" s="2"/>
      <c r="V784" s="2"/>
      <c r="W784" s="2"/>
      <c r="X784" s="2"/>
      <c r="Y784" s="2"/>
      <c r="Z784" s="11"/>
      <c r="AA784" s="15"/>
      <c r="AB784" s="15"/>
      <c r="AC784" s="15"/>
      <c r="AD784" s="35"/>
      <c r="AE784" s="99"/>
      <c r="AF784" s="99"/>
      <c r="AG784" s="35"/>
      <c r="AH784" s="35"/>
      <c r="AI784" s="35"/>
      <c r="AJ784" s="1"/>
      <c r="AK784" s="1"/>
      <c r="AL784" s="1"/>
      <c r="AM784" s="1"/>
      <c r="AN784" s="1"/>
      <c r="AO784" s="1"/>
      <c r="AP784"/>
      <c r="AQ784"/>
      <c r="AR784"/>
      <c r="AS784"/>
      <c r="AT784" s="50"/>
      <c r="AU784" s="97"/>
      <c r="AV784" s="97"/>
      <c r="AW784" s="97"/>
      <c r="AX784" s="97"/>
      <c r="AY784" s="97"/>
      <c r="BD784" s="35"/>
      <c r="BE784" s="35"/>
      <c r="BV784" s="98"/>
      <c r="BW784" s="98"/>
      <c r="BX784" s="98"/>
      <c r="BY784" s="112"/>
      <c r="BZ784" s="112"/>
      <c r="CA784" s="112"/>
      <c r="CB784" s="98"/>
      <c r="CC784" s="98"/>
      <c r="CD784" s="98"/>
      <c r="CE784" s="98"/>
      <c r="CG784" s="100"/>
      <c r="CH784" s="100"/>
      <c r="CI784" s="100"/>
      <c r="CJ784" s="100"/>
      <c r="CK784" s="100"/>
      <c r="CL784" s="100"/>
      <c r="CM784" s="100"/>
      <c r="CN784" s="100"/>
      <c r="CO784" s="100"/>
      <c r="CP784" s="100"/>
      <c r="CQ784" s="100"/>
      <c r="CR784" s="100"/>
      <c r="CS784" s="100"/>
      <c r="CT784" s="100"/>
      <c r="CU784" s="100"/>
    </row>
    <row r="785" spans="6:99" s="36" customFormat="1" ht="11.1" customHeight="1" x14ac:dyDescent="0.25">
      <c r="F785" s="33"/>
      <c r="G785" s="33"/>
      <c r="H785" s="33"/>
      <c r="I785" s="34"/>
      <c r="J785" s="34"/>
      <c r="K785" s="14"/>
      <c r="L785" s="32"/>
      <c r="M785" s="14"/>
      <c r="N785" s="14"/>
      <c r="O785" s="2"/>
      <c r="P785"/>
      <c r="Q785" s="2"/>
      <c r="R785"/>
      <c r="S785"/>
      <c r="T785"/>
      <c r="U785" s="2"/>
      <c r="V785" s="2"/>
      <c r="W785" s="2"/>
      <c r="X785" s="2"/>
      <c r="Y785" s="2"/>
      <c r="Z785" s="11"/>
      <c r="AA785" s="15"/>
      <c r="AB785" s="15"/>
      <c r="AC785" s="15"/>
      <c r="AD785" s="35"/>
      <c r="AE785" s="99"/>
      <c r="AF785" s="99"/>
      <c r="AG785" s="35"/>
      <c r="AH785" s="35"/>
      <c r="AI785" s="35"/>
      <c r="AJ785" s="1"/>
      <c r="AK785" s="1"/>
      <c r="AL785" s="1"/>
      <c r="AM785" s="1"/>
      <c r="AN785" s="1"/>
      <c r="AO785" s="1"/>
      <c r="AP785"/>
      <c r="AQ785"/>
      <c r="AR785"/>
      <c r="AS785"/>
      <c r="AT785" s="50"/>
      <c r="AU785" s="97"/>
      <c r="AV785" s="97"/>
      <c r="AW785" s="97"/>
      <c r="AX785" s="97"/>
      <c r="AY785" s="97"/>
      <c r="BD785" s="35"/>
      <c r="BE785" s="35"/>
      <c r="BV785" s="98"/>
      <c r="BW785" s="98"/>
      <c r="BX785" s="98"/>
      <c r="BY785" s="112"/>
      <c r="BZ785" s="112"/>
      <c r="CA785" s="112"/>
      <c r="CB785" s="98"/>
      <c r="CC785" s="98"/>
      <c r="CD785" s="98"/>
      <c r="CE785" s="98"/>
      <c r="CG785" s="100"/>
      <c r="CH785" s="100"/>
      <c r="CI785" s="100"/>
      <c r="CJ785" s="100"/>
      <c r="CK785" s="100"/>
      <c r="CL785" s="100"/>
      <c r="CM785" s="100"/>
      <c r="CN785" s="100"/>
      <c r="CO785" s="100"/>
      <c r="CP785" s="100"/>
      <c r="CQ785" s="100"/>
      <c r="CR785" s="100"/>
      <c r="CS785" s="100"/>
      <c r="CT785" s="100"/>
      <c r="CU785" s="100"/>
    </row>
    <row r="786" spans="6:99" s="36" customFormat="1" ht="11.1" customHeight="1" x14ac:dyDescent="0.25">
      <c r="F786" s="33"/>
      <c r="G786" s="33"/>
      <c r="H786" s="33"/>
      <c r="I786" s="34"/>
      <c r="J786" s="34"/>
      <c r="K786" s="14"/>
      <c r="L786" s="32"/>
      <c r="M786" s="14"/>
      <c r="N786" s="14"/>
      <c r="O786" s="2"/>
      <c r="P786"/>
      <c r="Q786" s="2"/>
      <c r="R786"/>
      <c r="S786"/>
      <c r="T786"/>
      <c r="U786" s="2"/>
      <c r="V786" s="2"/>
      <c r="W786" s="2"/>
      <c r="X786" s="2"/>
      <c r="Y786" s="2"/>
      <c r="Z786" s="11"/>
      <c r="AA786" s="15"/>
      <c r="AB786" s="15"/>
      <c r="AC786" s="15"/>
      <c r="AD786" s="35"/>
      <c r="AE786" s="99"/>
      <c r="AF786" s="99"/>
      <c r="AG786" s="35"/>
      <c r="AH786" s="35"/>
      <c r="AI786" s="35"/>
      <c r="AJ786" s="1"/>
      <c r="AK786" s="1"/>
      <c r="AL786" s="1"/>
      <c r="AM786" s="1"/>
      <c r="AN786" s="1"/>
      <c r="AO786" s="1"/>
      <c r="AP786"/>
      <c r="AQ786"/>
      <c r="AR786"/>
      <c r="AS786"/>
      <c r="AT786" s="50"/>
      <c r="AU786" s="97"/>
      <c r="AV786" s="97"/>
      <c r="AW786" s="97"/>
      <c r="AX786" s="97"/>
      <c r="AY786" s="97"/>
      <c r="BD786" s="35"/>
      <c r="BE786" s="35"/>
      <c r="BV786" s="98"/>
      <c r="BW786" s="98"/>
      <c r="BX786" s="98"/>
      <c r="BY786" s="112"/>
      <c r="BZ786" s="112"/>
      <c r="CA786" s="112"/>
      <c r="CB786" s="98"/>
      <c r="CC786" s="98"/>
      <c r="CD786" s="98"/>
      <c r="CE786" s="98"/>
      <c r="CG786" s="100"/>
      <c r="CH786" s="100"/>
      <c r="CI786" s="100"/>
      <c r="CJ786" s="100"/>
      <c r="CK786" s="100"/>
      <c r="CL786" s="100"/>
      <c r="CM786" s="100"/>
      <c r="CN786" s="100"/>
      <c r="CO786" s="100"/>
      <c r="CP786" s="100"/>
      <c r="CQ786" s="100"/>
      <c r="CR786" s="100"/>
      <c r="CS786" s="100"/>
      <c r="CT786" s="100"/>
      <c r="CU786" s="100"/>
    </row>
    <row r="787" spans="6:99" s="36" customFormat="1" ht="11.1" customHeight="1" x14ac:dyDescent="0.25">
      <c r="F787" s="33"/>
      <c r="G787" s="33"/>
      <c r="H787" s="33"/>
      <c r="I787" s="34"/>
      <c r="J787" s="34"/>
      <c r="K787" s="14"/>
      <c r="L787" s="32"/>
      <c r="M787" s="14"/>
      <c r="N787" s="14"/>
      <c r="O787" s="2"/>
      <c r="P787"/>
      <c r="Q787" s="2"/>
      <c r="R787"/>
      <c r="S787"/>
      <c r="T787"/>
      <c r="U787" s="2"/>
      <c r="V787" s="2"/>
      <c r="W787" s="2"/>
      <c r="X787" s="2"/>
      <c r="Y787" s="2"/>
      <c r="Z787" s="11"/>
      <c r="AA787" s="15"/>
      <c r="AB787" s="15"/>
      <c r="AC787" s="15"/>
      <c r="AD787" s="35"/>
      <c r="AE787" s="99"/>
      <c r="AF787" s="99"/>
      <c r="AG787" s="35"/>
      <c r="AH787" s="35"/>
      <c r="AI787" s="35"/>
      <c r="AJ787" s="1"/>
      <c r="AK787" s="1"/>
      <c r="AL787" s="1"/>
      <c r="AM787" s="1"/>
      <c r="AN787" s="1"/>
      <c r="AO787" s="1"/>
      <c r="AP787"/>
      <c r="AQ787"/>
      <c r="AR787"/>
      <c r="AS787"/>
      <c r="AT787" s="50"/>
      <c r="AU787" s="97"/>
      <c r="AV787" s="97"/>
      <c r="AW787" s="97"/>
      <c r="AX787" s="97"/>
      <c r="AY787" s="97"/>
      <c r="BD787" s="35"/>
      <c r="BE787" s="35"/>
      <c r="BV787" s="98"/>
      <c r="BW787" s="98"/>
      <c r="BX787" s="98"/>
      <c r="BY787" s="112"/>
      <c r="BZ787" s="112"/>
      <c r="CA787" s="112"/>
      <c r="CB787" s="98"/>
      <c r="CC787" s="98"/>
      <c r="CD787" s="98"/>
      <c r="CE787" s="98"/>
      <c r="CG787" s="100"/>
      <c r="CH787" s="100"/>
      <c r="CI787" s="100"/>
      <c r="CJ787" s="100"/>
      <c r="CK787" s="100"/>
      <c r="CL787" s="100"/>
      <c r="CM787" s="100"/>
      <c r="CN787" s="100"/>
      <c r="CO787" s="100"/>
      <c r="CP787" s="100"/>
      <c r="CQ787" s="100"/>
      <c r="CR787" s="100"/>
      <c r="CS787" s="100"/>
      <c r="CT787" s="100"/>
      <c r="CU787" s="100"/>
    </row>
    <row r="788" spans="6:99" s="36" customFormat="1" ht="11.1" customHeight="1" x14ac:dyDescent="0.25">
      <c r="F788" s="33"/>
      <c r="G788" s="33"/>
      <c r="H788" s="33"/>
      <c r="I788" s="34"/>
      <c r="J788" s="34"/>
      <c r="K788" s="14"/>
      <c r="L788" s="32"/>
      <c r="M788" s="14"/>
      <c r="N788" s="14"/>
      <c r="O788" s="2"/>
      <c r="P788"/>
      <c r="Q788" s="2"/>
      <c r="R788"/>
      <c r="S788"/>
      <c r="T788"/>
      <c r="U788" s="2"/>
      <c r="V788" s="2"/>
      <c r="W788" s="2"/>
      <c r="X788" s="2"/>
      <c r="Y788" s="2"/>
      <c r="Z788" s="11"/>
      <c r="AA788" s="15"/>
      <c r="AB788" s="15"/>
      <c r="AC788" s="15"/>
      <c r="AD788" s="35"/>
      <c r="AE788" s="99"/>
      <c r="AF788" s="99"/>
      <c r="AG788" s="35"/>
      <c r="AH788" s="35"/>
      <c r="AI788" s="35"/>
      <c r="AJ788" s="1"/>
      <c r="AK788" s="1"/>
      <c r="AL788" s="1"/>
      <c r="AM788" s="1"/>
      <c r="AN788" s="1"/>
      <c r="AO788" s="1"/>
      <c r="AP788"/>
      <c r="AQ788"/>
      <c r="AR788"/>
      <c r="AS788"/>
      <c r="AT788" s="50"/>
      <c r="AU788" s="97"/>
      <c r="AV788" s="97"/>
      <c r="AW788" s="97"/>
      <c r="AX788" s="97"/>
      <c r="AY788" s="97"/>
      <c r="BD788" s="35"/>
      <c r="BE788" s="35"/>
      <c r="BV788" s="98"/>
      <c r="BW788" s="98"/>
      <c r="BX788" s="98"/>
      <c r="BY788" s="112"/>
      <c r="BZ788" s="112"/>
      <c r="CA788" s="112"/>
      <c r="CB788" s="98"/>
      <c r="CC788" s="98"/>
      <c r="CD788" s="98"/>
      <c r="CE788" s="98"/>
      <c r="CG788" s="100"/>
      <c r="CH788" s="100"/>
      <c r="CI788" s="100"/>
      <c r="CJ788" s="100"/>
      <c r="CK788" s="100"/>
      <c r="CL788" s="100"/>
      <c r="CM788" s="100"/>
      <c r="CN788" s="100"/>
      <c r="CO788" s="100"/>
      <c r="CP788" s="100"/>
      <c r="CQ788" s="100"/>
      <c r="CR788" s="100"/>
      <c r="CS788" s="100"/>
      <c r="CT788" s="100"/>
      <c r="CU788" s="100"/>
    </row>
    <row r="789" spans="6:99" s="36" customFormat="1" ht="11.1" customHeight="1" x14ac:dyDescent="0.25">
      <c r="F789" s="33"/>
      <c r="G789" s="33"/>
      <c r="H789" s="33"/>
      <c r="I789" s="34"/>
      <c r="J789" s="34"/>
      <c r="K789" s="14"/>
      <c r="L789" s="32"/>
      <c r="M789" s="14"/>
      <c r="N789" s="14"/>
      <c r="O789" s="2"/>
      <c r="P789"/>
      <c r="Q789" s="2"/>
      <c r="R789"/>
      <c r="S789"/>
      <c r="T789"/>
      <c r="U789" s="2"/>
      <c r="V789" s="2"/>
      <c r="W789" s="2"/>
      <c r="X789" s="2"/>
      <c r="Y789" s="2"/>
      <c r="Z789" s="11"/>
      <c r="AA789" s="15"/>
      <c r="AB789" s="15"/>
      <c r="AC789" s="15"/>
      <c r="AD789" s="35"/>
      <c r="AE789" s="99"/>
      <c r="AF789" s="99"/>
      <c r="AG789" s="35"/>
      <c r="AH789" s="35"/>
      <c r="AI789" s="35"/>
      <c r="AJ789" s="1"/>
      <c r="AK789" s="1"/>
      <c r="AL789" s="1"/>
      <c r="AM789" s="1"/>
      <c r="AN789" s="1"/>
      <c r="AO789" s="1"/>
      <c r="AP789"/>
      <c r="AQ789"/>
      <c r="AR789"/>
      <c r="AS789"/>
      <c r="AT789" s="50"/>
      <c r="AU789" s="97"/>
      <c r="AV789" s="97"/>
      <c r="AW789" s="97"/>
      <c r="AX789" s="97"/>
      <c r="AY789" s="97"/>
      <c r="BD789" s="35"/>
      <c r="BE789" s="35"/>
      <c r="BV789" s="98"/>
      <c r="BW789" s="98"/>
      <c r="BX789" s="98"/>
      <c r="BY789" s="112"/>
      <c r="BZ789" s="112"/>
      <c r="CA789" s="112"/>
      <c r="CB789" s="98"/>
      <c r="CC789" s="98"/>
      <c r="CD789" s="98"/>
      <c r="CE789" s="98"/>
      <c r="CG789" s="100"/>
      <c r="CH789" s="100"/>
      <c r="CI789" s="100"/>
      <c r="CJ789" s="100"/>
      <c r="CK789" s="100"/>
      <c r="CL789" s="100"/>
      <c r="CM789" s="100"/>
      <c r="CN789" s="100"/>
      <c r="CO789" s="100"/>
      <c r="CP789" s="100"/>
      <c r="CQ789" s="100"/>
      <c r="CR789" s="100"/>
      <c r="CS789" s="100"/>
      <c r="CT789" s="100"/>
      <c r="CU789" s="100"/>
    </row>
    <row r="790" spans="6:99" s="36" customFormat="1" ht="11.1" customHeight="1" x14ac:dyDescent="0.25">
      <c r="F790" s="33"/>
      <c r="G790" s="33"/>
      <c r="H790" s="33"/>
      <c r="I790" s="34"/>
      <c r="J790" s="34"/>
      <c r="K790" s="14"/>
      <c r="L790" s="32"/>
      <c r="M790" s="14"/>
      <c r="N790" s="14"/>
      <c r="O790" s="2"/>
      <c r="P790"/>
      <c r="Q790" s="2"/>
      <c r="R790"/>
      <c r="S790"/>
      <c r="T790"/>
      <c r="U790" s="2"/>
      <c r="V790" s="2"/>
      <c r="W790" s="2"/>
      <c r="X790" s="2"/>
      <c r="Y790" s="2"/>
      <c r="Z790" s="11"/>
      <c r="AA790" s="15"/>
      <c r="AB790" s="15"/>
      <c r="AC790" s="15"/>
      <c r="AD790" s="35"/>
      <c r="AE790" s="99"/>
      <c r="AF790" s="99"/>
      <c r="AG790" s="35"/>
      <c r="AH790" s="35"/>
      <c r="AI790" s="35"/>
      <c r="AJ790" s="1"/>
      <c r="AK790" s="1"/>
      <c r="AL790" s="1"/>
      <c r="AM790" s="1"/>
      <c r="AN790" s="1"/>
      <c r="AO790" s="1"/>
      <c r="AP790"/>
      <c r="AQ790"/>
      <c r="AR790"/>
      <c r="AS790"/>
      <c r="AT790" s="50"/>
      <c r="AU790" s="97"/>
      <c r="AV790" s="97"/>
      <c r="AW790" s="97"/>
      <c r="AX790" s="97"/>
      <c r="AY790" s="97"/>
      <c r="BD790" s="35"/>
      <c r="BE790" s="35"/>
      <c r="BV790" s="98"/>
      <c r="BW790" s="98"/>
      <c r="BX790" s="98"/>
      <c r="BY790" s="112"/>
      <c r="BZ790" s="112"/>
      <c r="CA790" s="112"/>
      <c r="CB790" s="98"/>
      <c r="CC790" s="98"/>
      <c r="CD790" s="98"/>
      <c r="CE790" s="98"/>
      <c r="CG790" s="100"/>
      <c r="CH790" s="100"/>
      <c r="CI790" s="100"/>
      <c r="CJ790" s="100"/>
      <c r="CK790" s="100"/>
      <c r="CL790" s="100"/>
      <c r="CM790" s="100"/>
      <c r="CN790" s="100"/>
      <c r="CO790" s="100"/>
      <c r="CP790" s="100"/>
      <c r="CQ790" s="100"/>
      <c r="CR790" s="100"/>
      <c r="CS790" s="100"/>
      <c r="CT790" s="100"/>
      <c r="CU790" s="100"/>
    </row>
    <row r="791" spans="6:99" s="36" customFormat="1" ht="11.1" customHeight="1" x14ac:dyDescent="0.25">
      <c r="F791" s="33"/>
      <c r="G791" s="33"/>
      <c r="H791" s="33"/>
      <c r="I791" s="34"/>
      <c r="J791" s="34"/>
      <c r="K791" s="14"/>
      <c r="L791" s="32"/>
      <c r="M791" s="14"/>
      <c r="N791" s="14"/>
      <c r="O791" s="2"/>
      <c r="P791"/>
      <c r="Q791" s="2"/>
      <c r="R791"/>
      <c r="S791"/>
      <c r="T791"/>
      <c r="U791" s="2"/>
      <c r="V791" s="2"/>
      <c r="W791" s="2"/>
      <c r="X791" s="2"/>
      <c r="Y791" s="2"/>
      <c r="Z791" s="11"/>
      <c r="AA791" s="15"/>
      <c r="AB791" s="15"/>
      <c r="AC791" s="15"/>
      <c r="AD791" s="35"/>
      <c r="AE791" s="99"/>
      <c r="AF791" s="99"/>
      <c r="AG791" s="35"/>
      <c r="AH791" s="35"/>
      <c r="AI791" s="35"/>
      <c r="AJ791" s="1"/>
      <c r="AK791" s="1"/>
      <c r="AL791" s="1"/>
      <c r="AM791" s="1"/>
      <c r="AN791" s="1"/>
      <c r="AO791" s="1"/>
      <c r="AP791"/>
      <c r="AQ791"/>
      <c r="AR791"/>
      <c r="AS791"/>
      <c r="AT791" s="50"/>
      <c r="AU791" s="97"/>
      <c r="AV791" s="97"/>
      <c r="AW791" s="97"/>
      <c r="AX791" s="97"/>
      <c r="AY791" s="97"/>
      <c r="BD791" s="35"/>
      <c r="BE791" s="35"/>
      <c r="BV791" s="98"/>
      <c r="BW791" s="98"/>
      <c r="BX791" s="98"/>
      <c r="BY791" s="112"/>
      <c r="BZ791" s="112"/>
      <c r="CA791" s="112"/>
      <c r="CB791" s="98"/>
      <c r="CC791" s="98"/>
      <c r="CD791" s="98"/>
      <c r="CE791" s="98"/>
      <c r="CG791" s="100"/>
      <c r="CH791" s="100"/>
      <c r="CI791" s="100"/>
      <c r="CJ791" s="100"/>
      <c r="CK791" s="100"/>
      <c r="CL791" s="100"/>
      <c r="CM791" s="100"/>
      <c r="CN791" s="100"/>
      <c r="CO791" s="100"/>
      <c r="CP791" s="100"/>
      <c r="CQ791" s="100"/>
      <c r="CR791" s="100"/>
      <c r="CS791" s="100"/>
      <c r="CT791" s="100"/>
      <c r="CU791" s="100"/>
    </row>
    <row r="792" spans="6:99" s="36" customFormat="1" ht="11.1" customHeight="1" x14ac:dyDescent="0.25">
      <c r="F792" s="33"/>
      <c r="G792" s="33"/>
      <c r="H792" s="33"/>
      <c r="I792" s="34"/>
      <c r="J792" s="34"/>
      <c r="K792" s="14"/>
      <c r="L792" s="32"/>
      <c r="M792" s="14"/>
      <c r="N792" s="14"/>
      <c r="O792" s="2"/>
      <c r="P792"/>
      <c r="Q792" s="2"/>
      <c r="R792"/>
      <c r="S792"/>
      <c r="T792"/>
      <c r="U792" s="2"/>
      <c r="V792" s="2"/>
      <c r="W792" s="2"/>
      <c r="X792" s="2"/>
      <c r="Y792" s="2"/>
      <c r="Z792" s="11"/>
      <c r="AA792" s="15"/>
      <c r="AB792" s="15"/>
      <c r="AC792" s="15"/>
      <c r="AD792" s="35"/>
      <c r="AE792" s="99"/>
      <c r="AF792" s="99"/>
      <c r="AG792" s="35"/>
      <c r="AH792" s="35"/>
      <c r="AI792" s="35"/>
      <c r="AJ792" s="1"/>
      <c r="AK792" s="1"/>
      <c r="AL792" s="1"/>
      <c r="AM792" s="1"/>
      <c r="AN792" s="1"/>
      <c r="AO792" s="1"/>
      <c r="AP792"/>
      <c r="AQ792"/>
      <c r="AR792"/>
      <c r="AS792"/>
      <c r="AT792" s="50"/>
      <c r="AU792" s="97"/>
      <c r="AV792" s="97"/>
      <c r="AW792" s="97"/>
      <c r="AX792" s="97"/>
      <c r="AY792" s="97"/>
      <c r="BD792" s="35"/>
      <c r="BE792" s="35"/>
      <c r="BV792" s="98"/>
      <c r="BW792" s="98"/>
      <c r="BX792" s="98"/>
      <c r="BY792" s="112"/>
      <c r="BZ792" s="112"/>
      <c r="CA792" s="112"/>
      <c r="CB792" s="98"/>
      <c r="CC792" s="98"/>
      <c r="CD792" s="98"/>
      <c r="CE792" s="98"/>
      <c r="CG792" s="100"/>
      <c r="CH792" s="100"/>
      <c r="CI792" s="100"/>
      <c r="CJ792" s="100"/>
      <c r="CK792" s="100"/>
      <c r="CL792" s="100"/>
      <c r="CM792" s="100"/>
      <c r="CN792" s="100"/>
      <c r="CO792" s="100"/>
      <c r="CP792" s="100"/>
      <c r="CQ792" s="100"/>
      <c r="CR792" s="100"/>
      <c r="CS792" s="100"/>
      <c r="CT792" s="100"/>
      <c r="CU792" s="100"/>
    </row>
    <row r="793" spans="6:99" s="36" customFormat="1" ht="11.1" customHeight="1" x14ac:dyDescent="0.25">
      <c r="F793" s="33"/>
      <c r="G793" s="33"/>
      <c r="H793" s="33"/>
      <c r="I793" s="34"/>
      <c r="J793" s="34"/>
      <c r="K793" s="14"/>
      <c r="L793" s="32"/>
      <c r="M793" s="14"/>
      <c r="N793" s="14"/>
      <c r="O793" s="2"/>
      <c r="P793"/>
      <c r="Q793" s="2"/>
      <c r="R793"/>
      <c r="S793"/>
      <c r="T793"/>
      <c r="U793" s="2"/>
      <c r="V793" s="2"/>
      <c r="W793" s="2"/>
      <c r="X793" s="2"/>
      <c r="Y793" s="2"/>
      <c r="Z793" s="11"/>
      <c r="AA793" s="15"/>
      <c r="AB793" s="15"/>
      <c r="AC793" s="15"/>
      <c r="AD793" s="35"/>
      <c r="AE793" s="99"/>
      <c r="AF793" s="99"/>
      <c r="AG793" s="35"/>
      <c r="AH793" s="35"/>
      <c r="AI793" s="35"/>
      <c r="AJ793" s="1"/>
      <c r="AK793" s="1"/>
      <c r="AL793" s="1"/>
      <c r="AM793" s="1"/>
      <c r="AN793" s="1"/>
      <c r="AO793" s="1"/>
      <c r="AP793"/>
      <c r="AQ793"/>
      <c r="AR793"/>
      <c r="AS793"/>
      <c r="AT793" s="50"/>
      <c r="AU793" s="97"/>
      <c r="AV793" s="97"/>
      <c r="AW793" s="97"/>
      <c r="AX793" s="97"/>
      <c r="AY793" s="97"/>
      <c r="BD793" s="35"/>
      <c r="BE793" s="35"/>
      <c r="BV793" s="98"/>
      <c r="BW793" s="98"/>
      <c r="BX793" s="98"/>
      <c r="BY793" s="112"/>
      <c r="BZ793" s="112"/>
      <c r="CA793" s="112"/>
      <c r="CB793" s="98"/>
      <c r="CC793" s="98"/>
      <c r="CD793" s="98"/>
      <c r="CE793" s="98"/>
      <c r="CG793" s="100"/>
      <c r="CH793" s="100"/>
      <c r="CI793" s="100"/>
      <c r="CJ793" s="100"/>
      <c r="CK793" s="100"/>
      <c r="CL793" s="100"/>
      <c r="CM793" s="100"/>
      <c r="CN793" s="100"/>
      <c r="CO793" s="100"/>
      <c r="CP793" s="100"/>
      <c r="CQ793" s="100"/>
      <c r="CR793" s="100"/>
      <c r="CS793" s="100"/>
      <c r="CT793" s="100"/>
      <c r="CU793" s="100"/>
    </row>
    <row r="794" spans="6:99" s="36" customFormat="1" ht="11.1" customHeight="1" x14ac:dyDescent="0.25">
      <c r="F794" s="33"/>
      <c r="G794" s="33"/>
      <c r="H794" s="33"/>
      <c r="I794" s="34"/>
      <c r="J794" s="34"/>
      <c r="K794" s="14"/>
      <c r="L794" s="32"/>
      <c r="M794" s="14"/>
      <c r="N794" s="14"/>
      <c r="O794" s="2"/>
      <c r="P794"/>
      <c r="Q794" s="2"/>
      <c r="R794"/>
      <c r="S794"/>
      <c r="T794"/>
      <c r="U794" s="2"/>
      <c r="V794" s="2"/>
      <c r="W794" s="2"/>
      <c r="X794" s="2"/>
      <c r="Y794" s="2"/>
      <c r="Z794" s="11"/>
      <c r="AA794" s="15"/>
      <c r="AB794" s="15"/>
      <c r="AC794" s="15"/>
      <c r="AD794" s="35"/>
      <c r="AE794" s="99"/>
      <c r="AF794" s="99"/>
      <c r="AG794" s="35"/>
      <c r="AH794" s="35"/>
      <c r="AI794" s="35"/>
      <c r="AJ794" s="1"/>
      <c r="AK794" s="1"/>
      <c r="AL794" s="1"/>
      <c r="AM794" s="1"/>
      <c r="AN794" s="1"/>
      <c r="AO794" s="1"/>
      <c r="AP794"/>
      <c r="AQ794"/>
      <c r="AR794"/>
      <c r="AS794"/>
      <c r="AT794" s="50"/>
      <c r="AU794" s="97"/>
      <c r="AV794" s="97"/>
      <c r="AW794" s="97"/>
      <c r="AX794" s="97"/>
      <c r="AY794" s="97"/>
      <c r="BD794" s="35"/>
      <c r="BE794" s="35"/>
      <c r="BV794" s="98"/>
      <c r="BW794" s="98"/>
      <c r="BX794" s="98"/>
      <c r="BY794" s="112"/>
      <c r="BZ794" s="112"/>
      <c r="CA794" s="112"/>
      <c r="CB794" s="98"/>
      <c r="CC794" s="98"/>
      <c r="CD794" s="98"/>
      <c r="CE794" s="98"/>
      <c r="CG794" s="100"/>
      <c r="CH794" s="100"/>
      <c r="CI794" s="100"/>
      <c r="CJ794" s="100"/>
      <c r="CK794" s="100"/>
      <c r="CL794" s="100"/>
      <c r="CM794" s="100"/>
      <c r="CN794" s="100"/>
      <c r="CO794" s="100"/>
      <c r="CP794" s="100"/>
      <c r="CQ794" s="100"/>
      <c r="CR794" s="100"/>
      <c r="CS794" s="100"/>
      <c r="CT794" s="100"/>
      <c r="CU794" s="100"/>
    </row>
    <row r="795" spans="6:99" s="36" customFormat="1" ht="11.1" customHeight="1" x14ac:dyDescent="0.25">
      <c r="F795" s="33"/>
      <c r="G795" s="33"/>
      <c r="H795" s="33"/>
      <c r="I795" s="34"/>
      <c r="J795" s="34"/>
      <c r="K795" s="14"/>
      <c r="L795" s="32"/>
      <c r="M795" s="14"/>
      <c r="N795" s="14"/>
      <c r="O795" s="2"/>
      <c r="P795"/>
      <c r="Q795" s="2"/>
      <c r="R795"/>
      <c r="S795"/>
      <c r="T795"/>
      <c r="U795" s="2"/>
      <c r="V795" s="2"/>
      <c r="W795" s="2"/>
      <c r="X795" s="2"/>
      <c r="Y795" s="2"/>
      <c r="Z795" s="11"/>
      <c r="AA795" s="15"/>
      <c r="AB795" s="15"/>
      <c r="AC795" s="15"/>
      <c r="AD795" s="35"/>
      <c r="AE795" s="99"/>
      <c r="AF795" s="99"/>
      <c r="AG795" s="35"/>
      <c r="AH795" s="35"/>
      <c r="AI795" s="35"/>
      <c r="AJ795" s="1"/>
      <c r="AK795" s="1"/>
      <c r="AL795" s="1"/>
      <c r="AM795" s="1"/>
      <c r="AN795" s="1"/>
      <c r="AO795" s="1"/>
      <c r="AP795"/>
      <c r="AQ795"/>
      <c r="AR795"/>
      <c r="AS795"/>
      <c r="AT795" s="50"/>
      <c r="AU795" s="97"/>
      <c r="AV795" s="97"/>
      <c r="AW795" s="97"/>
      <c r="AX795" s="97"/>
      <c r="AY795" s="97"/>
      <c r="BD795" s="35"/>
      <c r="BE795" s="35"/>
      <c r="BV795" s="98"/>
      <c r="BW795" s="98"/>
      <c r="BX795" s="98"/>
      <c r="BY795" s="112"/>
      <c r="BZ795" s="112"/>
      <c r="CA795" s="112"/>
      <c r="CB795" s="98"/>
      <c r="CC795" s="98"/>
      <c r="CD795" s="98"/>
      <c r="CE795" s="98"/>
      <c r="CG795" s="100"/>
      <c r="CH795" s="100"/>
      <c r="CI795" s="100"/>
      <c r="CJ795" s="100"/>
      <c r="CK795" s="100"/>
      <c r="CL795" s="100"/>
      <c r="CM795" s="100"/>
      <c r="CN795" s="100"/>
      <c r="CO795" s="100"/>
      <c r="CP795" s="100"/>
      <c r="CQ795" s="100"/>
      <c r="CR795" s="100"/>
      <c r="CS795" s="100"/>
      <c r="CT795" s="100"/>
      <c r="CU795" s="100"/>
    </row>
    <row r="796" spans="6:99" s="36" customFormat="1" ht="11.1" customHeight="1" x14ac:dyDescent="0.25">
      <c r="F796" s="33"/>
      <c r="G796" s="33"/>
      <c r="H796" s="33"/>
      <c r="I796" s="34"/>
      <c r="J796" s="34"/>
      <c r="K796" s="14"/>
      <c r="L796" s="32"/>
      <c r="M796" s="14"/>
      <c r="N796" s="14"/>
      <c r="O796" s="2"/>
      <c r="P796"/>
      <c r="Q796" s="2"/>
      <c r="R796"/>
      <c r="S796"/>
      <c r="T796"/>
      <c r="U796" s="2"/>
      <c r="V796" s="2"/>
      <c r="W796" s="2"/>
      <c r="X796" s="2"/>
      <c r="Y796" s="2"/>
      <c r="Z796" s="11"/>
      <c r="AA796" s="15"/>
      <c r="AB796" s="15"/>
      <c r="AC796" s="15"/>
      <c r="AD796" s="35"/>
      <c r="AE796" s="99"/>
      <c r="AF796" s="99"/>
      <c r="AG796" s="35"/>
      <c r="AH796" s="35"/>
      <c r="AI796" s="35"/>
      <c r="AJ796" s="1"/>
      <c r="AK796" s="1"/>
      <c r="AL796" s="1"/>
      <c r="AM796" s="1"/>
      <c r="AN796" s="1"/>
      <c r="AO796" s="1"/>
      <c r="AP796"/>
      <c r="AQ796"/>
      <c r="AR796"/>
      <c r="AS796"/>
      <c r="AT796" s="50"/>
      <c r="AU796" s="97"/>
      <c r="AV796" s="97"/>
      <c r="AW796" s="97"/>
      <c r="AX796" s="97"/>
      <c r="AY796" s="97"/>
      <c r="BD796" s="35"/>
      <c r="BE796" s="35"/>
      <c r="BV796" s="98"/>
      <c r="BW796" s="98"/>
      <c r="BX796" s="98"/>
      <c r="BY796" s="112"/>
      <c r="BZ796" s="112"/>
      <c r="CA796" s="112"/>
      <c r="CB796" s="98"/>
      <c r="CC796" s="98"/>
      <c r="CD796" s="98"/>
      <c r="CE796" s="98"/>
      <c r="CG796" s="100"/>
      <c r="CH796" s="100"/>
      <c r="CI796" s="100"/>
      <c r="CJ796" s="100"/>
      <c r="CK796" s="100"/>
      <c r="CL796" s="100"/>
      <c r="CM796" s="100"/>
      <c r="CN796" s="100"/>
      <c r="CO796" s="100"/>
      <c r="CP796" s="100"/>
      <c r="CQ796" s="100"/>
      <c r="CR796" s="100"/>
      <c r="CS796" s="100"/>
      <c r="CT796" s="100"/>
      <c r="CU796" s="100"/>
    </row>
    <row r="797" spans="6:99" s="36" customFormat="1" ht="11.1" customHeight="1" x14ac:dyDescent="0.25">
      <c r="F797" s="33"/>
      <c r="G797" s="33"/>
      <c r="H797" s="33"/>
      <c r="I797" s="34"/>
      <c r="J797" s="34"/>
      <c r="K797" s="14"/>
      <c r="L797" s="32"/>
      <c r="M797" s="14"/>
      <c r="N797" s="14"/>
      <c r="O797" s="2"/>
      <c r="P797"/>
      <c r="Q797" s="2"/>
      <c r="R797"/>
      <c r="S797"/>
      <c r="T797"/>
      <c r="U797" s="2"/>
      <c r="V797" s="2"/>
      <c r="W797" s="2"/>
      <c r="X797" s="2"/>
      <c r="Y797" s="2"/>
      <c r="Z797" s="11"/>
      <c r="AA797" s="15"/>
      <c r="AB797" s="15"/>
      <c r="AC797" s="15"/>
      <c r="AD797" s="35"/>
      <c r="AE797" s="99"/>
      <c r="AF797" s="99"/>
      <c r="AG797" s="35"/>
      <c r="AH797" s="35"/>
      <c r="AI797" s="35"/>
      <c r="AJ797" s="1"/>
      <c r="AK797" s="1"/>
      <c r="AL797" s="1"/>
      <c r="AM797" s="1"/>
      <c r="AN797" s="1"/>
      <c r="AO797" s="1"/>
      <c r="AP797"/>
      <c r="AQ797"/>
      <c r="AR797"/>
      <c r="AS797"/>
      <c r="AT797" s="50"/>
      <c r="AU797" s="97"/>
      <c r="AV797" s="97"/>
      <c r="AW797" s="97"/>
      <c r="AX797" s="97"/>
      <c r="AY797" s="97"/>
      <c r="BD797" s="35"/>
      <c r="BE797" s="35"/>
      <c r="BV797" s="98"/>
      <c r="BW797" s="98"/>
      <c r="BX797" s="98"/>
      <c r="BY797" s="112"/>
      <c r="BZ797" s="112"/>
      <c r="CA797" s="112"/>
      <c r="CB797" s="98"/>
      <c r="CC797" s="98"/>
      <c r="CD797" s="98"/>
      <c r="CE797" s="98"/>
      <c r="CG797" s="100"/>
      <c r="CH797" s="100"/>
      <c r="CI797" s="100"/>
      <c r="CJ797" s="100"/>
      <c r="CK797" s="100"/>
      <c r="CL797" s="100"/>
      <c r="CM797" s="100"/>
      <c r="CN797" s="100"/>
      <c r="CO797" s="100"/>
      <c r="CP797" s="100"/>
      <c r="CQ797" s="100"/>
      <c r="CR797" s="100"/>
      <c r="CS797" s="100"/>
      <c r="CT797" s="100"/>
      <c r="CU797" s="100"/>
    </row>
    <row r="798" spans="6:99" s="36" customFormat="1" ht="11.1" customHeight="1" x14ac:dyDescent="0.25">
      <c r="F798" s="33"/>
      <c r="G798" s="33"/>
      <c r="H798" s="33"/>
      <c r="I798" s="34"/>
      <c r="J798" s="34"/>
      <c r="K798" s="14"/>
      <c r="L798" s="32"/>
      <c r="M798" s="14"/>
      <c r="N798" s="14"/>
      <c r="O798" s="2"/>
      <c r="P798"/>
      <c r="Q798" s="2"/>
      <c r="R798"/>
      <c r="S798"/>
      <c r="T798"/>
      <c r="U798" s="2"/>
      <c r="V798" s="2"/>
      <c r="W798" s="2"/>
      <c r="X798" s="2"/>
      <c r="Y798" s="2"/>
      <c r="Z798" s="11"/>
      <c r="AA798" s="15"/>
      <c r="AB798" s="15"/>
      <c r="AC798" s="15"/>
      <c r="AD798" s="35"/>
      <c r="AE798" s="99"/>
      <c r="AF798" s="99"/>
      <c r="AG798" s="35"/>
      <c r="AH798" s="35"/>
      <c r="AI798" s="35"/>
      <c r="AJ798" s="1"/>
      <c r="AK798" s="1"/>
      <c r="AL798" s="1"/>
      <c r="AM798" s="1"/>
      <c r="AN798" s="1"/>
      <c r="AO798" s="1"/>
      <c r="AP798"/>
      <c r="AQ798"/>
      <c r="AR798"/>
      <c r="AS798"/>
      <c r="AT798" s="50"/>
      <c r="AU798" s="97"/>
      <c r="AV798" s="97"/>
      <c r="AW798" s="97"/>
      <c r="AX798" s="97"/>
      <c r="AY798" s="97"/>
      <c r="BD798" s="35"/>
      <c r="BE798" s="35"/>
      <c r="BV798" s="98"/>
      <c r="BW798" s="98"/>
      <c r="BX798" s="98"/>
      <c r="BY798" s="112"/>
      <c r="BZ798" s="112"/>
      <c r="CA798" s="112"/>
      <c r="CB798" s="98"/>
      <c r="CC798" s="98"/>
      <c r="CD798" s="98"/>
      <c r="CE798" s="98"/>
      <c r="CG798" s="100"/>
      <c r="CH798" s="100"/>
      <c r="CI798" s="100"/>
      <c r="CJ798" s="100"/>
      <c r="CK798" s="100"/>
      <c r="CL798" s="100"/>
      <c r="CM798" s="100"/>
      <c r="CN798" s="100"/>
      <c r="CO798" s="100"/>
      <c r="CP798" s="100"/>
      <c r="CQ798" s="100"/>
      <c r="CR798" s="100"/>
      <c r="CS798" s="100"/>
      <c r="CT798" s="100"/>
      <c r="CU798" s="100"/>
    </row>
    <row r="799" spans="6:99" s="36" customFormat="1" ht="11.1" customHeight="1" x14ac:dyDescent="0.25">
      <c r="F799" s="33"/>
      <c r="G799" s="33"/>
      <c r="H799" s="33"/>
      <c r="I799" s="34"/>
      <c r="J799" s="34"/>
      <c r="K799" s="14"/>
      <c r="L799" s="32"/>
      <c r="M799" s="14"/>
      <c r="N799" s="14"/>
      <c r="O799" s="2"/>
      <c r="P799"/>
      <c r="Q799" s="2"/>
      <c r="R799"/>
      <c r="S799"/>
      <c r="T799"/>
      <c r="U799" s="2"/>
      <c r="V799" s="2"/>
      <c r="W799" s="2"/>
      <c r="X799" s="2"/>
      <c r="Y799" s="2"/>
      <c r="Z799" s="11"/>
      <c r="AA799" s="15"/>
      <c r="AB799" s="15"/>
      <c r="AC799" s="15"/>
      <c r="AD799" s="35"/>
      <c r="AE799" s="99"/>
      <c r="AF799" s="99"/>
      <c r="AG799" s="35"/>
      <c r="AH799" s="35"/>
      <c r="AI799" s="35"/>
      <c r="AJ799" s="1"/>
      <c r="AK799" s="1"/>
      <c r="AL799" s="1"/>
      <c r="AM799" s="1"/>
      <c r="AN799" s="1"/>
      <c r="AO799" s="1"/>
      <c r="AP799"/>
      <c r="AQ799"/>
      <c r="AR799"/>
      <c r="AS799"/>
      <c r="AT799" s="50"/>
      <c r="AU799" s="97"/>
      <c r="AV799" s="97"/>
      <c r="AW799" s="97"/>
      <c r="AX799" s="97"/>
      <c r="AY799" s="97"/>
      <c r="BD799" s="35"/>
      <c r="BE799" s="35"/>
      <c r="BV799" s="98"/>
      <c r="BW799" s="98"/>
      <c r="BX799" s="98"/>
      <c r="BY799" s="112"/>
      <c r="BZ799" s="112"/>
      <c r="CA799" s="112"/>
      <c r="CB799" s="98"/>
      <c r="CC799" s="98"/>
      <c r="CD799" s="98"/>
      <c r="CE799" s="98"/>
      <c r="CG799" s="100"/>
      <c r="CH799" s="100"/>
      <c r="CI799" s="100"/>
      <c r="CJ799" s="100"/>
      <c r="CK799" s="100"/>
      <c r="CL799" s="100"/>
      <c r="CM799" s="100"/>
      <c r="CN799" s="100"/>
      <c r="CO799" s="100"/>
      <c r="CP799" s="100"/>
      <c r="CQ799" s="100"/>
      <c r="CR799" s="100"/>
      <c r="CS799" s="100"/>
      <c r="CT799" s="100"/>
      <c r="CU799" s="100"/>
    </row>
    <row r="800" spans="6:99" s="36" customFormat="1" ht="11.1" customHeight="1" x14ac:dyDescent="0.25">
      <c r="F800" s="33"/>
      <c r="G800" s="33"/>
      <c r="H800" s="33"/>
      <c r="I800" s="34"/>
      <c r="J800" s="34"/>
      <c r="K800" s="14"/>
      <c r="L800" s="32"/>
      <c r="M800" s="14"/>
      <c r="N800" s="14"/>
      <c r="O800" s="2"/>
      <c r="P800"/>
      <c r="Q800" s="2"/>
      <c r="R800"/>
      <c r="S800"/>
      <c r="T800"/>
      <c r="U800" s="2"/>
      <c r="V800" s="2"/>
      <c r="W800" s="2"/>
      <c r="X800" s="2"/>
      <c r="Y800" s="2"/>
      <c r="Z800" s="11"/>
      <c r="AA800" s="15"/>
      <c r="AB800" s="15"/>
      <c r="AC800" s="15"/>
      <c r="AD800" s="35"/>
      <c r="AE800" s="99"/>
      <c r="AF800" s="99"/>
      <c r="AG800" s="35"/>
      <c r="AH800" s="35"/>
      <c r="AI800" s="35"/>
      <c r="AJ800" s="1"/>
      <c r="AK800" s="1"/>
      <c r="AL800" s="1"/>
      <c r="AM800" s="1"/>
      <c r="AN800" s="1"/>
      <c r="AO800" s="1"/>
      <c r="AP800"/>
      <c r="AQ800"/>
      <c r="AR800"/>
      <c r="AS800"/>
      <c r="AT800" s="50"/>
      <c r="AU800" s="97"/>
      <c r="AV800" s="97"/>
      <c r="AW800" s="97"/>
      <c r="AX800" s="97"/>
      <c r="AY800" s="97"/>
      <c r="BD800" s="35"/>
      <c r="BE800" s="35"/>
      <c r="BV800" s="98"/>
      <c r="BW800" s="98"/>
      <c r="BX800" s="98"/>
      <c r="BY800" s="112"/>
      <c r="BZ800" s="112"/>
      <c r="CA800" s="112"/>
      <c r="CB800" s="98"/>
      <c r="CC800" s="98"/>
      <c r="CD800" s="98"/>
      <c r="CE800" s="98"/>
      <c r="CG800" s="100"/>
      <c r="CH800" s="100"/>
      <c r="CI800" s="100"/>
      <c r="CJ800" s="100"/>
      <c r="CK800" s="100"/>
      <c r="CL800" s="100"/>
      <c r="CM800" s="100"/>
      <c r="CN800" s="100"/>
      <c r="CO800" s="100"/>
      <c r="CP800" s="100"/>
      <c r="CQ800" s="100"/>
      <c r="CR800" s="100"/>
      <c r="CS800" s="100"/>
      <c r="CT800" s="100"/>
      <c r="CU800" s="100"/>
    </row>
    <row r="801" spans="6:99" s="36" customFormat="1" ht="11.1" customHeight="1" x14ac:dyDescent="0.25">
      <c r="F801" s="33"/>
      <c r="G801" s="33"/>
      <c r="H801" s="33"/>
      <c r="I801" s="34"/>
      <c r="J801" s="34"/>
      <c r="K801" s="14"/>
      <c r="L801" s="32"/>
      <c r="M801" s="14"/>
      <c r="N801" s="14"/>
      <c r="O801" s="2"/>
      <c r="P801"/>
      <c r="Q801" s="2"/>
      <c r="R801"/>
      <c r="S801"/>
      <c r="T801"/>
      <c r="U801" s="2"/>
      <c r="V801" s="2"/>
      <c r="W801" s="2"/>
      <c r="X801" s="2"/>
      <c r="Y801" s="2"/>
      <c r="Z801" s="11"/>
      <c r="AA801" s="15"/>
      <c r="AB801" s="15"/>
      <c r="AC801" s="15"/>
      <c r="AD801" s="35"/>
      <c r="AE801" s="99"/>
      <c r="AF801" s="99"/>
      <c r="AG801" s="35"/>
      <c r="AH801" s="35"/>
      <c r="AI801" s="35"/>
      <c r="AJ801" s="1"/>
      <c r="AK801" s="1"/>
      <c r="AL801" s="1"/>
      <c r="AM801" s="1"/>
      <c r="AN801" s="1"/>
      <c r="AO801" s="1"/>
      <c r="AP801"/>
      <c r="AQ801"/>
      <c r="AR801"/>
      <c r="AS801"/>
      <c r="AT801" s="50"/>
      <c r="AU801" s="97"/>
      <c r="AV801" s="97"/>
      <c r="AW801" s="97"/>
      <c r="AX801" s="97"/>
      <c r="AY801" s="97"/>
      <c r="BD801" s="35"/>
      <c r="BE801" s="35"/>
      <c r="BV801" s="98"/>
      <c r="BW801" s="98"/>
      <c r="BX801" s="98"/>
      <c r="BY801" s="112"/>
      <c r="BZ801" s="112"/>
      <c r="CA801" s="112"/>
      <c r="CB801" s="98"/>
      <c r="CC801" s="98"/>
      <c r="CD801" s="98"/>
      <c r="CE801" s="98"/>
      <c r="CG801" s="100"/>
      <c r="CH801" s="100"/>
      <c r="CI801" s="100"/>
      <c r="CJ801" s="100"/>
      <c r="CK801" s="100"/>
      <c r="CL801" s="100"/>
      <c r="CM801" s="100"/>
      <c r="CN801" s="100"/>
      <c r="CO801" s="100"/>
      <c r="CP801" s="100"/>
      <c r="CQ801" s="100"/>
      <c r="CR801" s="100"/>
      <c r="CS801" s="100"/>
      <c r="CT801" s="100"/>
      <c r="CU801" s="100"/>
    </row>
    <row r="802" spans="6:99" s="36" customFormat="1" ht="11.1" customHeight="1" x14ac:dyDescent="0.25">
      <c r="F802" s="33"/>
      <c r="G802" s="33"/>
      <c r="H802" s="33"/>
      <c r="I802" s="34"/>
      <c r="J802" s="34"/>
      <c r="K802" s="14"/>
      <c r="L802" s="32"/>
      <c r="M802" s="14"/>
      <c r="N802" s="14"/>
      <c r="O802" s="2"/>
      <c r="P802"/>
      <c r="Q802" s="2"/>
      <c r="R802"/>
      <c r="S802"/>
      <c r="T802"/>
      <c r="U802" s="2"/>
      <c r="V802" s="2"/>
      <c r="W802" s="2"/>
      <c r="X802" s="2"/>
      <c r="Y802" s="2"/>
      <c r="Z802" s="11"/>
      <c r="AA802" s="15"/>
      <c r="AB802" s="15"/>
      <c r="AC802" s="15"/>
      <c r="AD802" s="35"/>
      <c r="AE802" s="99"/>
      <c r="AF802" s="99"/>
      <c r="AG802" s="35"/>
      <c r="AH802" s="35"/>
      <c r="AI802" s="35"/>
      <c r="AJ802" s="1"/>
      <c r="AK802" s="1"/>
      <c r="AL802" s="1"/>
      <c r="AM802" s="1"/>
      <c r="AN802" s="1"/>
      <c r="AO802" s="1"/>
      <c r="AP802"/>
      <c r="AQ802"/>
      <c r="AR802"/>
      <c r="AS802"/>
      <c r="AT802" s="50"/>
      <c r="AU802" s="97"/>
      <c r="AV802" s="97"/>
      <c r="AW802" s="97"/>
      <c r="AX802" s="97"/>
      <c r="AY802" s="97"/>
      <c r="BD802" s="35"/>
      <c r="BE802" s="35"/>
      <c r="BV802" s="98"/>
      <c r="BW802" s="98"/>
      <c r="BX802" s="98"/>
      <c r="BY802" s="112"/>
      <c r="BZ802" s="112"/>
      <c r="CA802" s="112"/>
      <c r="CB802" s="98"/>
      <c r="CC802" s="98"/>
      <c r="CD802" s="98"/>
      <c r="CE802" s="98"/>
      <c r="CG802" s="100"/>
      <c r="CH802" s="100"/>
      <c r="CI802" s="100"/>
      <c r="CJ802" s="100"/>
      <c r="CK802" s="100"/>
      <c r="CL802" s="100"/>
      <c r="CM802" s="100"/>
      <c r="CN802" s="100"/>
      <c r="CO802" s="100"/>
      <c r="CP802" s="100"/>
      <c r="CQ802" s="100"/>
      <c r="CR802" s="100"/>
      <c r="CS802" s="100"/>
      <c r="CT802" s="100"/>
      <c r="CU802" s="100"/>
    </row>
    <row r="803" spans="6:99" s="36" customFormat="1" ht="11.1" customHeight="1" x14ac:dyDescent="0.25">
      <c r="F803" s="33"/>
      <c r="G803" s="33"/>
      <c r="H803" s="33"/>
      <c r="I803" s="34"/>
      <c r="J803" s="34"/>
      <c r="K803" s="14"/>
      <c r="L803" s="32"/>
      <c r="M803" s="14"/>
      <c r="N803" s="14"/>
      <c r="O803" s="2"/>
      <c r="P803"/>
      <c r="Q803" s="2"/>
      <c r="R803"/>
      <c r="S803"/>
      <c r="T803"/>
      <c r="U803" s="2"/>
      <c r="V803" s="2"/>
      <c r="W803" s="2"/>
      <c r="X803" s="2"/>
      <c r="Y803" s="2"/>
      <c r="Z803" s="11"/>
      <c r="AA803" s="15"/>
      <c r="AB803" s="15"/>
      <c r="AC803" s="15"/>
      <c r="AD803" s="35"/>
      <c r="AE803" s="99"/>
      <c r="AF803" s="99"/>
      <c r="AG803" s="35"/>
      <c r="AH803" s="35"/>
      <c r="AI803" s="35"/>
      <c r="AJ803" s="1"/>
      <c r="AK803" s="1"/>
      <c r="AL803" s="1"/>
      <c r="AM803" s="1"/>
      <c r="AN803" s="1"/>
      <c r="AO803" s="1"/>
      <c r="AP803"/>
      <c r="AQ803"/>
      <c r="AR803"/>
      <c r="AS803"/>
      <c r="AT803" s="50"/>
      <c r="AU803" s="97"/>
      <c r="AV803" s="97"/>
      <c r="AW803" s="97"/>
      <c r="AX803" s="97"/>
      <c r="AY803" s="97"/>
      <c r="BD803" s="35"/>
      <c r="BE803" s="35"/>
      <c r="BV803" s="98"/>
      <c r="BW803" s="98"/>
      <c r="BX803" s="98"/>
      <c r="BY803" s="112"/>
      <c r="BZ803" s="112"/>
      <c r="CA803" s="112"/>
      <c r="CB803" s="98"/>
      <c r="CC803" s="98"/>
      <c r="CD803" s="98"/>
      <c r="CE803" s="98"/>
      <c r="CG803" s="100"/>
      <c r="CH803" s="100"/>
      <c r="CI803" s="100"/>
      <c r="CJ803" s="100"/>
      <c r="CK803" s="100"/>
      <c r="CL803" s="100"/>
      <c r="CM803" s="100"/>
      <c r="CN803" s="100"/>
      <c r="CO803" s="100"/>
      <c r="CP803" s="100"/>
      <c r="CQ803" s="100"/>
      <c r="CR803" s="100"/>
      <c r="CS803" s="100"/>
      <c r="CT803" s="100"/>
      <c r="CU803" s="100"/>
    </row>
    <row r="804" spans="6:99" s="36" customFormat="1" ht="11.1" customHeight="1" x14ac:dyDescent="0.25">
      <c r="F804" s="33"/>
      <c r="G804" s="33"/>
      <c r="H804" s="33"/>
      <c r="I804" s="34"/>
      <c r="J804" s="34"/>
      <c r="K804" s="14"/>
      <c r="L804" s="32"/>
      <c r="M804" s="14"/>
      <c r="N804" s="14"/>
      <c r="O804" s="2"/>
      <c r="P804"/>
      <c r="Q804" s="2"/>
      <c r="R804"/>
      <c r="S804"/>
      <c r="T804"/>
      <c r="U804" s="2"/>
      <c r="V804" s="2"/>
      <c r="W804" s="2"/>
      <c r="X804" s="2"/>
      <c r="Y804" s="2"/>
      <c r="Z804" s="11"/>
      <c r="AA804" s="15"/>
      <c r="AB804" s="15"/>
      <c r="AC804" s="15"/>
      <c r="AD804" s="35"/>
      <c r="AE804" s="99"/>
      <c r="AF804" s="99"/>
      <c r="AG804" s="35"/>
      <c r="AH804" s="35"/>
      <c r="AI804" s="35"/>
      <c r="AJ804" s="1"/>
      <c r="AK804" s="1"/>
      <c r="AL804" s="1"/>
      <c r="AM804" s="1"/>
      <c r="AN804" s="1"/>
      <c r="AO804" s="1"/>
      <c r="AP804"/>
      <c r="AQ804"/>
      <c r="AR804"/>
      <c r="AS804"/>
      <c r="AT804" s="50"/>
      <c r="AU804" s="97"/>
      <c r="AV804" s="97"/>
      <c r="AW804" s="97"/>
      <c r="AX804" s="97"/>
      <c r="AY804" s="97"/>
      <c r="BD804" s="35"/>
      <c r="BE804" s="35"/>
      <c r="BV804" s="98"/>
      <c r="BW804" s="98"/>
      <c r="BX804" s="98"/>
      <c r="BY804" s="112"/>
      <c r="BZ804" s="112"/>
      <c r="CA804" s="112"/>
      <c r="CB804" s="98"/>
      <c r="CC804" s="98"/>
      <c r="CD804" s="98"/>
      <c r="CE804" s="98"/>
      <c r="CG804" s="100"/>
      <c r="CH804" s="100"/>
      <c r="CI804" s="100"/>
      <c r="CJ804" s="100"/>
      <c r="CK804" s="100"/>
      <c r="CL804" s="100"/>
      <c r="CM804" s="100"/>
      <c r="CN804" s="100"/>
      <c r="CO804" s="100"/>
      <c r="CP804" s="100"/>
      <c r="CQ804" s="100"/>
      <c r="CR804" s="100"/>
      <c r="CS804" s="100"/>
      <c r="CT804" s="100"/>
      <c r="CU804" s="100"/>
    </row>
    <row r="805" spans="6:99" s="36" customFormat="1" ht="11.1" customHeight="1" x14ac:dyDescent="0.25">
      <c r="F805" s="33"/>
      <c r="G805" s="33"/>
      <c r="H805" s="33"/>
      <c r="I805" s="34"/>
      <c r="J805" s="34"/>
      <c r="K805" s="14"/>
      <c r="L805" s="32"/>
      <c r="M805" s="14"/>
      <c r="N805" s="14"/>
      <c r="O805" s="2"/>
      <c r="P805"/>
      <c r="Q805" s="2"/>
      <c r="R805"/>
      <c r="S805"/>
      <c r="T805"/>
      <c r="U805" s="2"/>
      <c r="V805" s="2"/>
      <c r="W805" s="2"/>
      <c r="X805" s="2"/>
      <c r="Y805" s="2"/>
      <c r="Z805" s="11"/>
      <c r="AA805" s="15"/>
      <c r="AB805" s="15"/>
      <c r="AC805" s="15"/>
      <c r="AD805" s="35"/>
      <c r="AE805" s="99"/>
      <c r="AF805" s="99"/>
      <c r="AG805" s="35"/>
      <c r="AH805" s="35"/>
      <c r="AI805" s="35"/>
      <c r="AJ805" s="1"/>
      <c r="AK805" s="1"/>
      <c r="AL805" s="1"/>
      <c r="AM805" s="1"/>
      <c r="AN805" s="1"/>
      <c r="AO805" s="1"/>
      <c r="AP805"/>
      <c r="AQ805"/>
      <c r="AR805"/>
      <c r="AS805"/>
      <c r="AT805" s="50"/>
      <c r="AU805" s="97"/>
      <c r="AV805" s="97"/>
      <c r="AW805" s="97"/>
      <c r="AX805" s="97"/>
      <c r="AY805" s="97"/>
      <c r="BD805" s="35"/>
      <c r="BE805" s="35"/>
      <c r="BV805" s="98"/>
      <c r="BW805" s="98"/>
      <c r="BX805" s="98"/>
      <c r="BY805" s="112"/>
      <c r="BZ805" s="112"/>
      <c r="CA805" s="112"/>
      <c r="CB805" s="98"/>
      <c r="CC805" s="98"/>
      <c r="CD805" s="98"/>
      <c r="CE805" s="98"/>
      <c r="CG805" s="100"/>
      <c r="CH805" s="100"/>
      <c r="CI805" s="100"/>
      <c r="CJ805" s="100"/>
      <c r="CK805" s="100"/>
      <c r="CL805" s="100"/>
      <c r="CM805" s="100"/>
      <c r="CN805" s="100"/>
      <c r="CO805" s="100"/>
      <c r="CP805" s="100"/>
      <c r="CQ805" s="100"/>
      <c r="CR805" s="100"/>
      <c r="CS805" s="100"/>
      <c r="CT805" s="100"/>
      <c r="CU805" s="100"/>
    </row>
    <row r="806" spans="6:99" s="36" customFormat="1" ht="11.1" customHeight="1" x14ac:dyDescent="0.25">
      <c r="F806" s="33"/>
      <c r="G806" s="33"/>
      <c r="H806" s="33"/>
      <c r="I806" s="34"/>
      <c r="J806" s="34"/>
      <c r="K806" s="14"/>
      <c r="L806" s="32"/>
      <c r="M806" s="14"/>
      <c r="N806" s="14"/>
      <c r="O806" s="2"/>
      <c r="P806"/>
      <c r="Q806" s="2"/>
      <c r="R806"/>
      <c r="S806"/>
      <c r="T806"/>
      <c r="U806" s="2"/>
      <c r="V806" s="2"/>
      <c r="W806" s="2"/>
      <c r="X806" s="2"/>
      <c r="Y806" s="2"/>
      <c r="Z806" s="11"/>
      <c r="AA806" s="15"/>
      <c r="AB806" s="15"/>
      <c r="AC806" s="15"/>
      <c r="AD806" s="35"/>
      <c r="AE806" s="99"/>
      <c r="AF806" s="99"/>
      <c r="AG806" s="35"/>
      <c r="AH806" s="35"/>
      <c r="AI806" s="35"/>
      <c r="AJ806" s="1"/>
      <c r="AK806" s="1"/>
      <c r="AL806" s="1"/>
      <c r="AM806" s="1"/>
      <c r="AN806" s="1"/>
      <c r="AO806" s="1"/>
      <c r="AP806"/>
      <c r="AQ806"/>
      <c r="AR806"/>
      <c r="AS806"/>
      <c r="AT806" s="50"/>
      <c r="AU806" s="97"/>
      <c r="AV806" s="97"/>
      <c r="AW806" s="97"/>
      <c r="AX806" s="97"/>
      <c r="AY806" s="97"/>
      <c r="BD806" s="35"/>
      <c r="BE806" s="35"/>
      <c r="BV806" s="98"/>
      <c r="BW806" s="98"/>
      <c r="BX806" s="98"/>
      <c r="BY806" s="112"/>
      <c r="BZ806" s="112"/>
      <c r="CA806" s="112"/>
      <c r="CB806" s="98"/>
      <c r="CC806" s="98"/>
      <c r="CD806" s="98"/>
      <c r="CE806" s="98"/>
      <c r="CG806" s="100"/>
      <c r="CH806" s="100"/>
      <c r="CI806" s="100"/>
      <c r="CJ806" s="100"/>
      <c r="CK806" s="100"/>
      <c r="CL806" s="100"/>
      <c r="CM806" s="100"/>
      <c r="CN806" s="100"/>
      <c r="CO806" s="100"/>
      <c r="CP806" s="100"/>
      <c r="CQ806" s="100"/>
      <c r="CR806" s="100"/>
      <c r="CS806" s="100"/>
      <c r="CT806" s="100"/>
      <c r="CU806" s="100"/>
    </row>
    <row r="807" spans="6:99" s="36" customFormat="1" ht="11.1" customHeight="1" x14ac:dyDescent="0.25">
      <c r="F807" s="33"/>
      <c r="G807" s="33"/>
      <c r="H807" s="33"/>
      <c r="I807" s="34"/>
      <c r="J807" s="34"/>
      <c r="K807" s="14"/>
      <c r="L807" s="32"/>
      <c r="M807" s="14"/>
      <c r="N807" s="14"/>
      <c r="O807" s="2"/>
      <c r="P807"/>
      <c r="Q807" s="2"/>
      <c r="R807"/>
      <c r="S807"/>
      <c r="T807"/>
      <c r="U807" s="2"/>
      <c r="V807" s="2"/>
      <c r="W807" s="2"/>
      <c r="X807" s="2"/>
      <c r="Y807" s="2"/>
      <c r="Z807" s="11"/>
      <c r="AA807" s="15"/>
      <c r="AB807" s="15"/>
      <c r="AC807" s="15"/>
      <c r="AD807" s="35"/>
      <c r="AE807" s="99"/>
      <c r="AF807" s="99"/>
      <c r="AG807" s="35"/>
      <c r="AH807" s="35"/>
      <c r="AI807" s="35"/>
      <c r="AJ807" s="1"/>
      <c r="AK807" s="1"/>
      <c r="AL807" s="1"/>
      <c r="AM807" s="1"/>
      <c r="AN807" s="1"/>
      <c r="AO807" s="1"/>
      <c r="AP807"/>
      <c r="AQ807"/>
      <c r="AR807"/>
      <c r="AS807"/>
      <c r="AT807" s="50"/>
      <c r="AU807" s="97"/>
      <c r="AV807" s="97"/>
      <c r="AW807" s="97"/>
      <c r="AX807" s="97"/>
      <c r="AY807" s="97"/>
      <c r="BD807" s="35"/>
      <c r="BE807" s="35"/>
      <c r="BV807" s="98"/>
      <c r="BW807" s="98"/>
      <c r="BX807" s="98"/>
      <c r="BY807" s="112"/>
      <c r="BZ807" s="112"/>
      <c r="CA807" s="112"/>
      <c r="CB807" s="98"/>
      <c r="CC807" s="98"/>
      <c r="CD807" s="98"/>
      <c r="CE807" s="98"/>
      <c r="CG807" s="100"/>
      <c r="CH807" s="100"/>
      <c r="CI807" s="100"/>
      <c r="CJ807" s="100"/>
      <c r="CK807" s="100"/>
      <c r="CL807" s="100"/>
      <c r="CM807" s="100"/>
      <c r="CN807" s="100"/>
      <c r="CO807" s="100"/>
      <c r="CP807" s="100"/>
      <c r="CQ807" s="100"/>
      <c r="CR807" s="100"/>
      <c r="CS807" s="100"/>
      <c r="CT807" s="100"/>
      <c r="CU807" s="100"/>
    </row>
    <row r="808" spans="6:99" s="36" customFormat="1" ht="11.1" customHeight="1" x14ac:dyDescent="0.25">
      <c r="F808" s="33"/>
      <c r="G808" s="33"/>
      <c r="H808" s="33"/>
      <c r="I808" s="34"/>
      <c r="J808" s="34"/>
      <c r="K808" s="14"/>
      <c r="L808" s="32"/>
      <c r="M808" s="14"/>
      <c r="N808" s="14"/>
      <c r="O808" s="2"/>
      <c r="P808"/>
      <c r="Q808" s="2"/>
      <c r="R808"/>
      <c r="S808"/>
      <c r="T808"/>
      <c r="U808" s="2"/>
      <c r="V808" s="2"/>
      <c r="W808" s="2"/>
      <c r="X808" s="2"/>
      <c r="Y808" s="2"/>
      <c r="Z808" s="11"/>
      <c r="AA808" s="15"/>
      <c r="AB808" s="15"/>
      <c r="AC808" s="15"/>
      <c r="AD808" s="35"/>
      <c r="AE808" s="99"/>
      <c r="AF808" s="99"/>
      <c r="AG808" s="35"/>
      <c r="AH808" s="35"/>
      <c r="AI808" s="35"/>
      <c r="AJ808" s="1"/>
      <c r="AK808" s="1"/>
      <c r="AL808" s="1"/>
      <c r="AM808" s="1"/>
      <c r="AN808" s="1"/>
      <c r="AO808" s="1"/>
      <c r="AP808"/>
      <c r="AQ808"/>
      <c r="AR808"/>
      <c r="AS808"/>
      <c r="AT808" s="50"/>
      <c r="AU808" s="97"/>
      <c r="AV808" s="97"/>
      <c r="AW808" s="97"/>
      <c r="AX808" s="97"/>
      <c r="AY808" s="97"/>
      <c r="BD808" s="35"/>
      <c r="BE808" s="35"/>
      <c r="BV808" s="98"/>
      <c r="BW808" s="98"/>
      <c r="BX808" s="98"/>
      <c r="BY808" s="112"/>
      <c r="BZ808" s="112"/>
      <c r="CA808" s="112"/>
      <c r="CB808" s="98"/>
      <c r="CC808" s="98"/>
      <c r="CD808" s="98"/>
      <c r="CE808" s="98"/>
      <c r="CG808" s="100"/>
      <c r="CH808" s="100"/>
      <c r="CI808" s="100"/>
      <c r="CJ808" s="100"/>
      <c r="CK808" s="100"/>
      <c r="CL808" s="100"/>
      <c r="CM808" s="100"/>
      <c r="CN808" s="100"/>
      <c r="CO808" s="100"/>
      <c r="CP808" s="100"/>
      <c r="CQ808" s="100"/>
      <c r="CR808" s="100"/>
      <c r="CS808" s="100"/>
      <c r="CT808" s="100"/>
      <c r="CU808" s="100"/>
    </row>
    <row r="809" spans="6:99" s="36" customFormat="1" ht="11.1" customHeight="1" x14ac:dyDescent="0.25">
      <c r="F809" s="33"/>
      <c r="G809" s="33"/>
      <c r="H809" s="33"/>
      <c r="I809" s="34"/>
      <c r="J809" s="34"/>
      <c r="K809" s="14"/>
      <c r="L809" s="32"/>
      <c r="M809" s="14"/>
      <c r="N809" s="14"/>
      <c r="O809" s="2"/>
      <c r="P809"/>
      <c r="Q809" s="2"/>
      <c r="R809"/>
      <c r="S809"/>
      <c r="T809"/>
      <c r="U809" s="2"/>
      <c r="V809" s="2"/>
      <c r="W809" s="2"/>
      <c r="X809" s="2"/>
      <c r="Y809" s="2"/>
      <c r="Z809" s="11"/>
      <c r="AA809" s="15"/>
      <c r="AB809" s="15"/>
      <c r="AC809" s="15"/>
      <c r="AD809" s="35"/>
      <c r="AE809" s="99"/>
      <c r="AF809" s="99"/>
      <c r="AG809" s="35"/>
      <c r="AH809" s="35"/>
      <c r="AI809" s="35"/>
      <c r="AJ809" s="1"/>
      <c r="AK809" s="1"/>
      <c r="AL809" s="1"/>
      <c r="AM809" s="1"/>
      <c r="AN809" s="1"/>
      <c r="AO809" s="1"/>
      <c r="AP809"/>
      <c r="AQ809"/>
      <c r="AR809"/>
      <c r="AS809"/>
      <c r="AT809" s="50"/>
      <c r="AU809" s="97"/>
      <c r="AV809" s="97"/>
      <c r="AW809" s="97"/>
      <c r="AX809" s="97"/>
      <c r="AY809" s="97"/>
      <c r="BD809" s="35"/>
      <c r="BE809" s="35"/>
      <c r="BV809" s="98"/>
      <c r="BW809" s="98"/>
      <c r="BX809" s="98"/>
      <c r="BY809" s="112"/>
      <c r="BZ809" s="112"/>
      <c r="CA809" s="112"/>
      <c r="CB809" s="98"/>
      <c r="CC809" s="98"/>
      <c r="CD809" s="98"/>
      <c r="CE809" s="98"/>
      <c r="CG809" s="100"/>
      <c r="CH809" s="100"/>
      <c r="CI809" s="100"/>
      <c r="CJ809" s="100"/>
      <c r="CK809" s="100"/>
      <c r="CL809" s="100"/>
      <c r="CM809" s="100"/>
      <c r="CN809" s="100"/>
      <c r="CO809" s="100"/>
      <c r="CP809" s="100"/>
      <c r="CQ809" s="100"/>
      <c r="CR809" s="100"/>
      <c r="CS809" s="100"/>
      <c r="CT809" s="100"/>
      <c r="CU809" s="100"/>
    </row>
    <row r="810" spans="6:99" s="36" customFormat="1" ht="11.1" customHeight="1" x14ac:dyDescent="0.25">
      <c r="F810" s="33"/>
      <c r="G810" s="33"/>
      <c r="H810" s="33"/>
      <c r="I810" s="34"/>
      <c r="J810" s="34"/>
      <c r="K810" s="14"/>
      <c r="L810" s="32"/>
      <c r="M810" s="14"/>
      <c r="N810" s="14"/>
      <c r="O810" s="2"/>
      <c r="P810"/>
      <c r="Q810" s="2"/>
      <c r="R810"/>
      <c r="S810"/>
      <c r="T810"/>
      <c r="U810" s="2"/>
      <c r="V810" s="2"/>
      <c r="W810" s="2"/>
      <c r="X810" s="2"/>
      <c r="Y810" s="2"/>
      <c r="Z810" s="11"/>
      <c r="AA810" s="15"/>
      <c r="AB810" s="15"/>
      <c r="AC810" s="15"/>
      <c r="AD810" s="35"/>
      <c r="AE810" s="99"/>
      <c r="AF810" s="99"/>
      <c r="AG810" s="35"/>
      <c r="AH810" s="35"/>
      <c r="AI810" s="35"/>
      <c r="AJ810" s="1"/>
      <c r="AK810" s="1"/>
      <c r="AL810" s="1"/>
      <c r="AM810" s="1"/>
      <c r="AN810" s="1"/>
      <c r="AO810" s="1"/>
      <c r="AP810"/>
      <c r="AQ810"/>
      <c r="AR810"/>
      <c r="AS810"/>
      <c r="AT810" s="50"/>
      <c r="AU810" s="97"/>
      <c r="AV810" s="97"/>
      <c r="AW810" s="97"/>
      <c r="AX810" s="97"/>
      <c r="AY810" s="97"/>
      <c r="BD810" s="35"/>
      <c r="BE810" s="35"/>
      <c r="BV810" s="98"/>
      <c r="BW810" s="98"/>
      <c r="BX810" s="98"/>
      <c r="BY810" s="112"/>
      <c r="BZ810" s="112"/>
      <c r="CA810" s="112"/>
      <c r="CB810" s="98"/>
      <c r="CC810" s="98"/>
      <c r="CD810" s="98"/>
      <c r="CE810" s="98"/>
      <c r="CG810" s="100"/>
      <c r="CH810" s="100"/>
      <c r="CI810" s="100"/>
      <c r="CJ810" s="100"/>
      <c r="CK810" s="100"/>
      <c r="CL810" s="100"/>
      <c r="CM810" s="100"/>
      <c r="CN810" s="100"/>
      <c r="CO810" s="100"/>
      <c r="CP810" s="100"/>
      <c r="CQ810" s="100"/>
      <c r="CR810" s="100"/>
      <c r="CS810" s="100"/>
      <c r="CT810" s="100"/>
      <c r="CU810" s="100"/>
    </row>
    <row r="811" spans="6:99" s="36" customFormat="1" ht="11.1" customHeight="1" x14ac:dyDescent="0.25">
      <c r="F811" s="33"/>
      <c r="G811" s="33"/>
      <c r="H811" s="33"/>
      <c r="I811" s="34"/>
      <c r="J811" s="34"/>
      <c r="K811" s="14"/>
      <c r="L811" s="32"/>
      <c r="M811" s="14"/>
      <c r="N811" s="14"/>
      <c r="O811" s="2"/>
      <c r="P811"/>
      <c r="Q811" s="2"/>
      <c r="R811"/>
      <c r="S811"/>
      <c r="T811"/>
      <c r="U811" s="2"/>
      <c r="V811" s="2"/>
      <c r="W811" s="2"/>
      <c r="X811" s="2"/>
      <c r="Y811" s="2"/>
      <c r="Z811" s="11"/>
      <c r="AA811" s="15"/>
      <c r="AB811" s="15"/>
      <c r="AC811" s="15"/>
      <c r="AD811" s="35"/>
      <c r="AE811" s="99"/>
      <c r="AF811" s="99"/>
      <c r="AG811" s="35"/>
      <c r="AH811" s="35"/>
      <c r="AI811" s="35"/>
      <c r="AJ811" s="1"/>
      <c r="AK811" s="1"/>
      <c r="AL811" s="1"/>
      <c r="AM811" s="1"/>
      <c r="AN811" s="1"/>
      <c r="AO811" s="1"/>
      <c r="AP811"/>
      <c r="AQ811"/>
      <c r="AR811"/>
      <c r="AS811"/>
      <c r="AT811" s="50"/>
      <c r="AU811" s="97"/>
      <c r="AV811" s="97"/>
      <c r="AW811" s="97"/>
      <c r="AX811" s="97"/>
      <c r="AY811" s="97"/>
      <c r="BD811" s="35"/>
      <c r="BE811" s="35"/>
      <c r="BV811" s="98"/>
      <c r="BW811" s="98"/>
      <c r="BX811" s="98"/>
      <c r="BY811" s="112"/>
      <c r="BZ811" s="112"/>
      <c r="CA811" s="112"/>
      <c r="CB811" s="98"/>
      <c r="CC811" s="98"/>
      <c r="CD811" s="98"/>
      <c r="CE811" s="98"/>
      <c r="CG811" s="100"/>
      <c r="CH811" s="100"/>
      <c r="CI811" s="100"/>
      <c r="CJ811" s="100"/>
      <c r="CK811" s="100"/>
      <c r="CL811" s="100"/>
      <c r="CM811" s="100"/>
      <c r="CN811" s="100"/>
      <c r="CO811" s="100"/>
      <c r="CP811" s="100"/>
      <c r="CQ811" s="100"/>
      <c r="CR811" s="100"/>
      <c r="CS811" s="100"/>
      <c r="CT811" s="100"/>
      <c r="CU811" s="100"/>
    </row>
    <row r="812" spans="6:99" s="36" customFormat="1" ht="11.1" customHeight="1" x14ac:dyDescent="0.25">
      <c r="F812" s="33"/>
      <c r="G812" s="33"/>
      <c r="H812" s="33"/>
      <c r="I812" s="34"/>
      <c r="J812" s="34"/>
      <c r="K812" s="14"/>
      <c r="L812" s="32"/>
      <c r="M812" s="14"/>
      <c r="N812" s="14"/>
      <c r="O812" s="2"/>
      <c r="P812"/>
      <c r="Q812" s="2"/>
      <c r="R812"/>
      <c r="S812"/>
      <c r="T812"/>
      <c r="U812" s="2"/>
      <c r="V812" s="2"/>
      <c r="W812" s="2"/>
      <c r="X812" s="2"/>
      <c r="Y812" s="2"/>
      <c r="Z812" s="11"/>
      <c r="AA812" s="15"/>
      <c r="AB812" s="15"/>
      <c r="AC812" s="15"/>
      <c r="AD812" s="35"/>
      <c r="AE812" s="99"/>
      <c r="AF812" s="99"/>
      <c r="AG812" s="35"/>
      <c r="AH812" s="35"/>
      <c r="AI812" s="35"/>
      <c r="AJ812" s="1"/>
      <c r="AK812" s="1"/>
      <c r="AL812" s="1"/>
      <c r="AM812" s="1"/>
      <c r="AN812" s="1"/>
      <c r="AO812" s="1"/>
      <c r="AP812"/>
      <c r="AQ812"/>
      <c r="AR812"/>
      <c r="AS812"/>
      <c r="AT812" s="50"/>
      <c r="AU812" s="97"/>
      <c r="AV812" s="97"/>
      <c r="AW812" s="97"/>
      <c r="AX812" s="97"/>
      <c r="AY812" s="97"/>
      <c r="BD812" s="35"/>
      <c r="BE812" s="35"/>
      <c r="BV812" s="98"/>
      <c r="BW812" s="98"/>
      <c r="BX812" s="98"/>
      <c r="BY812" s="112"/>
      <c r="BZ812" s="112"/>
      <c r="CA812" s="112"/>
      <c r="CB812" s="98"/>
      <c r="CC812" s="98"/>
      <c r="CD812" s="98"/>
      <c r="CE812" s="98"/>
      <c r="CG812" s="100"/>
      <c r="CH812" s="100"/>
      <c r="CI812" s="100"/>
      <c r="CJ812" s="100"/>
      <c r="CK812" s="100"/>
      <c r="CL812" s="100"/>
      <c r="CM812" s="100"/>
      <c r="CN812" s="100"/>
      <c r="CO812" s="100"/>
      <c r="CP812" s="100"/>
      <c r="CQ812" s="100"/>
      <c r="CR812" s="100"/>
      <c r="CS812" s="100"/>
      <c r="CT812" s="100"/>
      <c r="CU812" s="100"/>
    </row>
    <row r="813" spans="6:99" s="36" customFormat="1" ht="11.1" customHeight="1" x14ac:dyDescent="0.25">
      <c r="F813" s="33"/>
      <c r="G813" s="33"/>
      <c r="H813" s="33"/>
      <c r="I813" s="34"/>
      <c r="J813" s="34"/>
      <c r="K813" s="14"/>
      <c r="L813" s="32"/>
      <c r="M813" s="14"/>
      <c r="N813" s="14"/>
      <c r="O813" s="2"/>
      <c r="P813"/>
      <c r="Q813" s="2"/>
      <c r="R813"/>
      <c r="S813"/>
      <c r="T813"/>
      <c r="U813" s="2"/>
      <c r="V813" s="2"/>
      <c r="W813" s="2"/>
      <c r="X813" s="2"/>
      <c r="Y813" s="2"/>
      <c r="Z813" s="11"/>
      <c r="AA813" s="15"/>
      <c r="AB813" s="15"/>
      <c r="AC813" s="15"/>
      <c r="AD813" s="35"/>
      <c r="AE813" s="99"/>
      <c r="AF813" s="99"/>
      <c r="AG813" s="35"/>
      <c r="AH813" s="35"/>
      <c r="AI813" s="35"/>
      <c r="AJ813" s="1"/>
      <c r="AK813" s="1"/>
      <c r="AL813" s="1"/>
      <c r="AM813" s="1"/>
      <c r="AN813" s="1"/>
      <c r="AO813" s="1"/>
      <c r="AP813"/>
      <c r="AQ813"/>
      <c r="AR813"/>
      <c r="AS813"/>
      <c r="AT813" s="50"/>
      <c r="AU813" s="97"/>
      <c r="AV813" s="97"/>
      <c r="AW813" s="97"/>
      <c r="AX813" s="97"/>
      <c r="AY813" s="97"/>
      <c r="BD813" s="35"/>
      <c r="BE813" s="35"/>
      <c r="BV813" s="98"/>
      <c r="BW813" s="98"/>
      <c r="BX813" s="98"/>
      <c r="BY813" s="112"/>
      <c r="BZ813" s="112"/>
      <c r="CA813" s="112"/>
      <c r="CB813" s="98"/>
      <c r="CC813" s="98"/>
      <c r="CD813" s="98"/>
      <c r="CE813" s="98"/>
      <c r="CG813" s="100"/>
      <c r="CH813" s="100"/>
      <c r="CI813" s="100"/>
      <c r="CJ813" s="100"/>
      <c r="CK813" s="100"/>
      <c r="CL813" s="100"/>
      <c r="CM813" s="100"/>
      <c r="CN813" s="100"/>
      <c r="CO813" s="100"/>
      <c r="CP813" s="100"/>
      <c r="CQ813" s="100"/>
      <c r="CR813" s="100"/>
      <c r="CS813" s="100"/>
      <c r="CT813" s="100"/>
      <c r="CU813" s="100"/>
    </row>
    <row r="814" spans="6:99" s="36" customFormat="1" ht="11.1" customHeight="1" x14ac:dyDescent="0.25">
      <c r="F814" s="33"/>
      <c r="G814" s="33"/>
      <c r="H814" s="33"/>
      <c r="I814" s="34"/>
      <c r="J814" s="34"/>
      <c r="K814" s="14"/>
      <c r="L814" s="32"/>
      <c r="M814" s="14"/>
      <c r="N814" s="14"/>
      <c r="O814" s="2"/>
      <c r="P814"/>
      <c r="Q814" s="2"/>
      <c r="R814"/>
      <c r="S814"/>
      <c r="T814"/>
      <c r="U814" s="2"/>
      <c r="V814" s="2"/>
      <c r="W814" s="2"/>
      <c r="X814" s="2"/>
      <c r="Y814" s="2"/>
      <c r="Z814" s="11"/>
      <c r="AA814" s="15"/>
      <c r="AB814" s="15"/>
      <c r="AC814" s="15"/>
      <c r="AD814" s="35"/>
      <c r="AE814" s="99"/>
      <c r="AF814" s="99"/>
      <c r="AG814" s="35"/>
      <c r="AH814" s="35"/>
      <c r="AI814" s="35"/>
      <c r="AJ814" s="1"/>
      <c r="AK814" s="1"/>
      <c r="AL814" s="1"/>
      <c r="AM814" s="1"/>
      <c r="AN814" s="1"/>
      <c r="AO814" s="1"/>
      <c r="AP814"/>
      <c r="AQ814"/>
      <c r="AR814"/>
      <c r="AS814"/>
      <c r="AT814" s="50"/>
      <c r="AU814" s="97"/>
      <c r="AV814" s="97"/>
      <c r="AW814" s="97"/>
      <c r="AX814" s="97"/>
      <c r="AY814" s="97"/>
      <c r="BD814" s="35"/>
      <c r="BE814" s="35"/>
      <c r="BV814" s="98"/>
      <c r="BW814" s="98"/>
      <c r="BX814" s="98"/>
      <c r="BY814" s="112"/>
      <c r="BZ814" s="112"/>
      <c r="CA814" s="112"/>
      <c r="CB814" s="98"/>
      <c r="CC814" s="98"/>
      <c r="CD814" s="98"/>
      <c r="CE814" s="98"/>
      <c r="CG814" s="100"/>
      <c r="CH814" s="100"/>
      <c r="CI814" s="100"/>
      <c r="CJ814" s="100"/>
      <c r="CK814" s="100"/>
      <c r="CL814" s="100"/>
      <c r="CM814" s="100"/>
      <c r="CN814" s="100"/>
      <c r="CO814" s="100"/>
      <c r="CP814" s="100"/>
      <c r="CQ814" s="100"/>
      <c r="CR814" s="100"/>
      <c r="CS814" s="100"/>
      <c r="CT814" s="100"/>
      <c r="CU814" s="100"/>
    </row>
    <row r="815" spans="6:99" s="36" customFormat="1" ht="11.1" customHeight="1" x14ac:dyDescent="0.25">
      <c r="F815" s="33"/>
      <c r="G815" s="33"/>
      <c r="H815" s="33"/>
      <c r="I815" s="34"/>
      <c r="J815" s="34"/>
      <c r="K815" s="14"/>
      <c r="L815" s="32"/>
      <c r="M815" s="14"/>
      <c r="N815" s="14"/>
      <c r="O815" s="2"/>
      <c r="P815"/>
      <c r="Q815" s="2"/>
      <c r="R815"/>
      <c r="S815"/>
      <c r="T815"/>
      <c r="U815" s="2"/>
      <c r="V815" s="2"/>
      <c r="W815" s="2"/>
      <c r="X815" s="2"/>
      <c r="Y815" s="2"/>
      <c r="Z815" s="11"/>
      <c r="AA815" s="15"/>
      <c r="AB815" s="15"/>
      <c r="AC815" s="15"/>
      <c r="AD815" s="35"/>
      <c r="AE815" s="99"/>
      <c r="AF815" s="99"/>
      <c r="AG815" s="35"/>
      <c r="AH815" s="35"/>
      <c r="AI815" s="35"/>
      <c r="AJ815" s="1"/>
      <c r="AK815" s="1"/>
      <c r="AL815" s="1"/>
      <c r="AM815" s="1"/>
      <c r="AN815" s="1"/>
      <c r="AO815" s="1"/>
      <c r="AP815"/>
      <c r="AQ815"/>
      <c r="AR815"/>
      <c r="AS815"/>
      <c r="AT815" s="50"/>
      <c r="AU815" s="97"/>
      <c r="AV815" s="97"/>
      <c r="AW815" s="97"/>
      <c r="AX815" s="97"/>
      <c r="AY815" s="97"/>
      <c r="BD815" s="35"/>
      <c r="BE815" s="35"/>
      <c r="BV815" s="98"/>
      <c r="BW815" s="98"/>
      <c r="BX815" s="98"/>
      <c r="BY815" s="112"/>
      <c r="BZ815" s="112"/>
      <c r="CA815" s="112"/>
      <c r="CB815" s="98"/>
      <c r="CC815" s="98"/>
      <c r="CD815" s="98"/>
      <c r="CE815" s="98"/>
      <c r="CG815" s="100"/>
      <c r="CH815" s="100"/>
      <c r="CI815" s="100"/>
      <c r="CJ815" s="100"/>
      <c r="CK815" s="100"/>
      <c r="CL815" s="100"/>
      <c r="CM815" s="100"/>
      <c r="CN815" s="100"/>
      <c r="CO815" s="100"/>
      <c r="CP815" s="100"/>
      <c r="CQ815" s="100"/>
      <c r="CR815" s="100"/>
      <c r="CS815" s="100"/>
      <c r="CT815" s="100"/>
      <c r="CU815" s="100"/>
    </row>
    <row r="816" spans="6:99" s="36" customFormat="1" ht="11.1" customHeight="1" x14ac:dyDescent="0.25">
      <c r="F816" s="33"/>
      <c r="G816" s="33"/>
      <c r="H816" s="33"/>
      <c r="I816" s="34"/>
      <c r="J816" s="34"/>
      <c r="K816" s="14"/>
      <c r="L816" s="32"/>
      <c r="M816" s="14"/>
      <c r="N816" s="14"/>
      <c r="O816" s="2"/>
      <c r="P816"/>
      <c r="Q816" s="2"/>
      <c r="R816"/>
      <c r="S816"/>
      <c r="T816"/>
      <c r="U816" s="2"/>
      <c r="V816" s="2"/>
      <c r="W816" s="2"/>
      <c r="X816" s="2"/>
      <c r="Y816" s="2"/>
      <c r="Z816" s="11"/>
      <c r="AA816" s="15"/>
      <c r="AB816" s="15"/>
      <c r="AC816" s="15"/>
      <c r="AD816" s="35"/>
      <c r="AE816" s="99"/>
      <c r="AF816" s="99"/>
      <c r="AG816" s="35"/>
      <c r="AH816" s="35"/>
      <c r="AI816" s="35"/>
      <c r="AJ816" s="1"/>
      <c r="AK816" s="1"/>
      <c r="AL816" s="1"/>
      <c r="AM816" s="1"/>
      <c r="AN816" s="1"/>
      <c r="AO816" s="1"/>
      <c r="AP816"/>
      <c r="AQ816"/>
      <c r="AR816"/>
      <c r="AS816"/>
      <c r="AT816" s="50"/>
      <c r="AU816" s="97"/>
      <c r="AV816" s="97"/>
      <c r="AW816" s="97"/>
      <c r="AX816" s="97"/>
      <c r="AY816" s="97"/>
      <c r="BD816" s="35"/>
      <c r="BE816" s="35"/>
      <c r="BV816" s="98"/>
      <c r="BW816" s="98"/>
      <c r="BX816" s="98"/>
      <c r="BY816" s="112"/>
      <c r="BZ816" s="112"/>
      <c r="CA816" s="112"/>
      <c r="CB816" s="98"/>
      <c r="CC816" s="98"/>
      <c r="CD816" s="98"/>
      <c r="CE816" s="98"/>
      <c r="CG816" s="100"/>
      <c r="CH816" s="100"/>
      <c r="CI816" s="100"/>
      <c r="CJ816" s="100"/>
      <c r="CK816" s="100"/>
      <c r="CL816" s="100"/>
      <c r="CM816" s="100"/>
      <c r="CN816" s="100"/>
      <c r="CO816" s="100"/>
      <c r="CP816" s="100"/>
      <c r="CQ816" s="100"/>
      <c r="CR816" s="100"/>
      <c r="CS816" s="100"/>
      <c r="CT816" s="100"/>
      <c r="CU816" s="100"/>
    </row>
    <row r="817" spans="6:99" s="36" customFormat="1" ht="11.1" customHeight="1" x14ac:dyDescent="0.25">
      <c r="F817" s="33"/>
      <c r="G817" s="33"/>
      <c r="H817" s="33"/>
      <c r="I817" s="34"/>
      <c r="J817" s="34"/>
      <c r="K817" s="14"/>
      <c r="L817" s="32"/>
      <c r="M817" s="14"/>
      <c r="N817" s="14"/>
      <c r="O817" s="2"/>
      <c r="P817"/>
      <c r="Q817" s="2"/>
      <c r="R817"/>
      <c r="S817"/>
      <c r="T817"/>
      <c r="U817" s="2"/>
      <c r="V817" s="2"/>
      <c r="W817" s="2"/>
      <c r="X817" s="2"/>
      <c r="Y817" s="2"/>
      <c r="Z817" s="11"/>
      <c r="AA817" s="15"/>
      <c r="AB817" s="15"/>
      <c r="AC817" s="15"/>
      <c r="AD817" s="35"/>
      <c r="AE817" s="99"/>
      <c r="AF817" s="99"/>
      <c r="AG817" s="35"/>
      <c r="AH817" s="35"/>
      <c r="AI817" s="35"/>
      <c r="AJ817" s="1"/>
      <c r="AK817" s="1"/>
      <c r="AL817" s="1"/>
      <c r="AM817" s="1"/>
      <c r="AN817" s="1"/>
      <c r="AO817" s="1"/>
      <c r="AP817"/>
      <c r="AQ817"/>
      <c r="AR817"/>
      <c r="AS817"/>
      <c r="AT817" s="50"/>
      <c r="AU817" s="97"/>
      <c r="AV817" s="97"/>
      <c r="AW817" s="97"/>
      <c r="AX817" s="97"/>
      <c r="AY817" s="97"/>
      <c r="BD817" s="35"/>
      <c r="BE817" s="35"/>
      <c r="BV817" s="98"/>
      <c r="BW817" s="98"/>
      <c r="BX817" s="98"/>
      <c r="BY817" s="112"/>
      <c r="BZ817" s="112"/>
      <c r="CA817" s="112"/>
      <c r="CB817" s="98"/>
      <c r="CC817" s="98"/>
      <c r="CD817" s="98"/>
      <c r="CE817" s="98"/>
      <c r="CG817" s="100"/>
      <c r="CH817" s="100"/>
      <c r="CI817" s="100"/>
      <c r="CJ817" s="100"/>
      <c r="CK817" s="100"/>
      <c r="CL817" s="100"/>
      <c r="CM817" s="100"/>
      <c r="CN817" s="100"/>
      <c r="CO817" s="100"/>
      <c r="CP817" s="100"/>
      <c r="CQ817" s="100"/>
      <c r="CR817" s="100"/>
      <c r="CS817" s="100"/>
      <c r="CT817" s="100"/>
      <c r="CU817" s="100"/>
    </row>
    <row r="818" spans="6:99" s="36" customFormat="1" ht="11.1" customHeight="1" x14ac:dyDescent="0.25">
      <c r="F818" s="33"/>
      <c r="G818" s="33"/>
      <c r="H818" s="33"/>
      <c r="I818" s="34"/>
      <c r="J818" s="34"/>
      <c r="K818" s="14"/>
      <c r="L818" s="32"/>
      <c r="M818" s="14"/>
      <c r="N818" s="14"/>
      <c r="O818" s="2"/>
      <c r="P818"/>
      <c r="Q818" s="2"/>
      <c r="R818"/>
      <c r="S818"/>
      <c r="T818"/>
      <c r="U818" s="2"/>
      <c r="V818" s="2"/>
      <c r="W818" s="2"/>
      <c r="X818" s="2"/>
      <c r="Y818" s="2"/>
      <c r="Z818" s="11"/>
      <c r="AA818" s="15"/>
      <c r="AB818" s="15"/>
      <c r="AC818" s="15"/>
      <c r="AD818" s="35"/>
      <c r="AE818" s="99"/>
      <c r="AF818" s="99"/>
      <c r="AG818" s="35"/>
      <c r="AH818" s="35"/>
      <c r="AI818" s="35"/>
      <c r="AJ818" s="1"/>
      <c r="AK818" s="1"/>
      <c r="AL818" s="1"/>
      <c r="AM818" s="1"/>
      <c r="AN818" s="1"/>
      <c r="AO818" s="1"/>
      <c r="AP818"/>
      <c r="AQ818"/>
      <c r="AR818"/>
      <c r="AS818"/>
      <c r="AT818" s="50"/>
      <c r="AU818" s="97"/>
      <c r="AV818" s="97"/>
      <c r="AW818" s="97"/>
      <c r="AX818" s="97"/>
      <c r="AY818" s="97"/>
      <c r="BD818" s="35"/>
      <c r="BE818" s="35"/>
      <c r="BV818" s="98"/>
      <c r="BW818" s="98"/>
      <c r="BX818" s="98"/>
      <c r="BY818" s="112"/>
      <c r="BZ818" s="112"/>
      <c r="CA818" s="112"/>
      <c r="CB818" s="98"/>
      <c r="CC818" s="98"/>
      <c r="CD818" s="98"/>
      <c r="CE818" s="98"/>
      <c r="CG818" s="100"/>
      <c r="CH818" s="100"/>
      <c r="CI818" s="100"/>
      <c r="CJ818" s="100"/>
      <c r="CK818" s="100"/>
      <c r="CL818" s="100"/>
      <c r="CM818" s="100"/>
      <c r="CN818" s="100"/>
      <c r="CO818" s="100"/>
      <c r="CP818" s="100"/>
      <c r="CQ818" s="100"/>
      <c r="CR818" s="100"/>
      <c r="CS818" s="100"/>
      <c r="CT818" s="100"/>
      <c r="CU818" s="100"/>
    </row>
    <row r="819" spans="6:99" s="36" customFormat="1" ht="11.1" customHeight="1" x14ac:dyDescent="0.25">
      <c r="F819" s="33"/>
      <c r="G819" s="33"/>
      <c r="H819" s="33"/>
      <c r="I819" s="34"/>
      <c r="J819" s="34"/>
      <c r="K819" s="14"/>
      <c r="L819" s="32"/>
      <c r="M819" s="14"/>
      <c r="N819" s="14"/>
      <c r="O819" s="2"/>
      <c r="P819"/>
      <c r="Q819" s="2"/>
      <c r="R819"/>
      <c r="S819"/>
      <c r="T819"/>
      <c r="U819" s="2"/>
      <c r="V819" s="2"/>
      <c r="W819" s="2"/>
      <c r="X819" s="2"/>
      <c r="Y819" s="2"/>
      <c r="Z819" s="11"/>
      <c r="AA819" s="15"/>
      <c r="AB819" s="15"/>
      <c r="AC819" s="15"/>
      <c r="AD819" s="35"/>
      <c r="AE819" s="99"/>
      <c r="AF819" s="99"/>
      <c r="AG819" s="35"/>
      <c r="AH819" s="35"/>
      <c r="AI819" s="35"/>
      <c r="AJ819" s="1"/>
      <c r="AK819" s="1"/>
      <c r="AL819" s="1"/>
      <c r="AM819" s="1"/>
      <c r="AN819" s="1"/>
      <c r="AO819" s="1"/>
      <c r="AP819"/>
      <c r="AQ819"/>
      <c r="AR819"/>
      <c r="AS819"/>
      <c r="AT819" s="50"/>
      <c r="AU819" s="97"/>
      <c r="AV819" s="97"/>
      <c r="AW819" s="97"/>
      <c r="AX819" s="97"/>
      <c r="AY819" s="97"/>
      <c r="BD819" s="35"/>
      <c r="BE819" s="35"/>
      <c r="BV819" s="98"/>
      <c r="BW819" s="98"/>
      <c r="BX819" s="98"/>
      <c r="BY819" s="112"/>
      <c r="BZ819" s="112"/>
      <c r="CA819" s="112"/>
      <c r="CB819" s="98"/>
      <c r="CC819" s="98"/>
      <c r="CD819" s="98"/>
      <c r="CE819" s="98"/>
      <c r="CG819" s="100"/>
      <c r="CH819" s="100"/>
      <c r="CI819" s="100"/>
      <c r="CJ819" s="100"/>
      <c r="CK819" s="100"/>
      <c r="CL819" s="100"/>
      <c r="CM819" s="100"/>
      <c r="CN819" s="100"/>
      <c r="CO819" s="100"/>
      <c r="CP819" s="100"/>
      <c r="CQ819" s="100"/>
      <c r="CR819" s="100"/>
      <c r="CS819" s="100"/>
      <c r="CT819" s="100"/>
      <c r="CU819" s="100"/>
    </row>
    <row r="820" spans="6:99" s="36" customFormat="1" ht="11.1" customHeight="1" x14ac:dyDescent="0.25">
      <c r="F820" s="33"/>
      <c r="G820" s="33"/>
      <c r="H820" s="33"/>
      <c r="I820" s="34"/>
      <c r="J820" s="34"/>
      <c r="K820" s="14"/>
      <c r="L820" s="32"/>
      <c r="M820" s="14"/>
      <c r="N820" s="14"/>
      <c r="O820" s="2"/>
      <c r="P820"/>
      <c r="Q820" s="2"/>
      <c r="R820"/>
      <c r="S820"/>
      <c r="T820"/>
      <c r="U820" s="2"/>
      <c r="V820" s="2"/>
      <c r="W820" s="2"/>
      <c r="X820" s="2"/>
      <c r="Y820" s="2"/>
      <c r="Z820" s="11"/>
      <c r="AA820" s="15"/>
      <c r="AB820" s="15"/>
      <c r="AC820" s="15"/>
      <c r="AD820" s="35"/>
      <c r="AE820" s="99"/>
      <c r="AF820" s="99"/>
      <c r="AG820" s="35"/>
      <c r="AH820" s="35"/>
      <c r="AI820" s="35"/>
      <c r="AJ820" s="1"/>
      <c r="AK820" s="1"/>
      <c r="AL820" s="1"/>
      <c r="AM820" s="1"/>
      <c r="AN820" s="1"/>
      <c r="AO820" s="1"/>
      <c r="AP820"/>
      <c r="AQ820"/>
      <c r="AR820"/>
      <c r="AS820"/>
      <c r="AT820" s="50"/>
      <c r="AU820" s="97"/>
      <c r="AV820" s="97"/>
      <c r="AW820" s="97"/>
      <c r="AX820" s="97"/>
      <c r="AY820" s="97"/>
      <c r="BD820" s="35"/>
      <c r="BE820" s="35"/>
      <c r="BV820" s="98"/>
      <c r="BW820" s="98"/>
      <c r="BX820" s="98"/>
      <c r="BY820" s="112"/>
      <c r="BZ820" s="112"/>
      <c r="CA820" s="112"/>
      <c r="CB820" s="98"/>
      <c r="CC820" s="98"/>
      <c r="CD820" s="98"/>
      <c r="CE820" s="98"/>
      <c r="CG820" s="100"/>
      <c r="CH820" s="100"/>
      <c r="CI820" s="100"/>
      <c r="CJ820" s="100"/>
      <c r="CK820" s="100"/>
      <c r="CL820" s="100"/>
      <c r="CM820" s="100"/>
      <c r="CN820" s="100"/>
      <c r="CO820" s="100"/>
      <c r="CP820" s="100"/>
      <c r="CQ820" s="100"/>
      <c r="CR820" s="100"/>
      <c r="CS820" s="100"/>
      <c r="CT820" s="100"/>
      <c r="CU820" s="100"/>
    </row>
    <row r="821" spans="6:99" s="36" customFormat="1" ht="11.1" customHeight="1" x14ac:dyDescent="0.25">
      <c r="F821" s="33"/>
      <c r="G821" s="33"/>
      <c r="H821" s="33"/>
      <c r="I821" s="34"/>
      <c r="J821" s="34"/>
      <c r="K821" s="14"/>
      <c r="L821" s="32"/>
      <c r="M821" s="14"/>
      <c r="N821" s="14"/>
      <c r="O821" s="2"/>
      <c r="P821"/>
      <c r="Q821" s="2"/>
      <c r="R821"/>
      <c r="S821"/>
      <c r="T821"/>
      <c r="U821" s="2"/>
      <c r="V821" s="2"/>
      <c r="W821" s="2"/>
      <c r="X821" s="2"/>
      <c r="Y821" s="2"/>
      <c r="Z821" s="11"/>
      <c r="AA821" s="15"/>
      <c r="AB821" s="15"/>
      <c r="AC821" s="15"/>
      <c r="AD821" s="35"/>
      <c r="AE821" s="99"/>
      <c r="AF821" s="99"/>
      <c r="AG821" s="35"/>
      <c r="AH821" s="35"/>
      <c r="AI821" s="35"/>
      <c r="AJ821" s="1"/>
      <c r="AK821" s="1"/>
      <c r="AL821" s="1"/>
      <c r="AM821" s="1"/>
      <c r="AN821" s="1"/>
      <c r="AO821" s="1"/>
      <c r="AP821"/>
      <c r="AQ821"/>
      <c r="AR821"/>
      <c r="AS821"/>
      <c r="AT821" s="50"/>
      <c r="AU821" s="97"/>
      <c r="AV821" s="97"/>
      <c r="AW821" s="97"/>
      <c r="AX821" s="97"/>
      <c r="AY821" s="97"/>
      <c r="BD821" s="35"/>
      <c r="BE821" s="35"/>
      <c r="BV821" s="98"/>
      <c r="BW821" s="98"/>
      <c r="BX821" s="98"/>
      <c r="BY821" s="112"/>
      <c r="BZ821" s="112"/>
      <c r="CA821" s="112"/>
      <c r="CB821" s="98"/>
      <c r="CC821" s="98"/>
      <c r="CD821" s="98"/>
      <c r="CE821" s="98"/>
      <c r="CG821" s="100"/>
      <c r="CH821" s="100"/>
      <c r="CI821" s="100"/>
      <c r="CJ821" s="100"/>
      <c r="CK821" s="100"/>
      <c r="CL821" s="100"/>
      <c r="CM821" s="100"/>
      <c r="CN821" s="100"/>
      <c r="CO821" s="100"/>
      <c r="CP821" s="100"/>
      <c r="CQ821" s="100"/>
      <c r="CR821" s="100"/>
      <c r="CS821" s="100"/>
      <c r="CT821" s="100"/>
      <c r="CU821" s="100"/>
    </row>
    <row r="822" spans="6:99" s="36" customFormat="1" ht="11.1" customHeight="1" x14ac:dyDescent="0.25">
      <c r="F822" s="33"/>
      <c r="G822" s="33"/>
      <c r="H822" s="33"/>
      <c r="I822" s="34"/>
      <c r="J822" s="34"/>
      <c r="K822" s="14"/>
      <c r="L822" s="32"/>
      <c r="M822" s="14"/>
      <c r="N822" s="14"/>
      <c r="O822" s="2"/>
      <c r="P822"/>
      <c r="Q822" s="2"/>
      <c r="R822"/>
      <c r="S822"/>
      <c r="T822"/>
      <c r="U822" s="2"/>
      <c r="V822" s="2"/>
      <c r="W822" s="2"/>
      <c r="X822" s="2"/>
      <c r="Y822" s="2"/>
      <c r="Z822" s="11"/>
      <c r="AA822" s="15"/>
      <c r="AB822" s="15"/>
      <c r="AC822" s="15"/>
      <c r="AD822" s="35"/>
      <c r="AE822" s="99"/>
      <c r="AF822" s="99"/>
      <c r="AG822" s="35"/>
      <c r="AH822" s="35"/>
      <c r="AI822" s="35"/>
      <c r="AJ822" s="1"/>
      <c r="AK822" s="1"/>
      <c r="AL822" s="1"/>
      <c r="AM822" s="1"/>
      <c r="AN822" s="1"/>
      <c r="AO822" s="1"/>
      <c r="AP822"/>
      <c r="AQ822"/>
      <c r="AR822"/>
      <c r="AS822"/>
      <c r="AT822" s="50"/>
      <c r="AU822" s="97"/>
      <c r="AV822" s="97"/>
      <c r="AW822" s="97"/>
      <c r="AX822" s="97"/>
      <c r="AY822" s="97"/>
      <c r="BD822" s="35"/>
      <c r="BE822" s="35"/>
      <c r="BV822" s="98"/>
      <c r="BW822" s="98"/>
      <c r="BX822" s="98"/>
      <c r="BY822" s="112"/>
      <c r="BZ822" s="112"/>
      <c r="CA822" s="112"/>
      <c r="CB822" s="98"/>
      <c r="CC822" s="98"/>
      <c r="CD822" s="98"/>
      <c r="CE822" s="98"/>
      <c r="CG822" s="100"/>
      <c r="CH822" s="100"/>
      <c r="CI822" s="100"/>
      <c r="CJ822" s="100"/>
      <c r="CK822" s="100"/>
      <c r="CL822" s="100"/>
      <c r="CM822" s="100"/>
      <c r="CN822" s="100"/>
      <c r="CO822" s="100"/>
      <c r="CP822" s="100"/>
      <c r="CQ822" s="100"/>
      <c r="CR822" s="100"/>
      <c r="CS822" s="100"/>
      <c r="CT822" s="100"/>
      <c r="CU822" s="100"/>
    </row>
    <row r="823" spans="6:99" s="36" customFormat="1" ht="11.1" customHeight="1" x14ac:dyDescent="0.25">
      <c r="F823" s="33"/>
      <c r="G823" s="33"/>
      <c r="H823" s="33"/>
      <c r="I823" s="34"/>
      <c r="J823" s="34"/>
      <c r="K823" s="14"/>
      <c r="L823" s="32"/>
      <c r="M823" s="14"/>
      <c r="N823" s="14"/>
      <c r="O823" s="2"/>
      <c r="P823"/>
      <c r="Q823" s="2"/>
      <c r="R823"/>
      <c r="S823"/>
      <c r="T823"/>
      <c r="U823" s="2"/>
      <c r="V823" s="2"/>
      <c r="W823" s="2"/>
      <c r="X823" s="2"/>
      <c r="Y823" s="2"/>
      <c r="Z823" s="11"/>
      <c r="AA823" s="15"/>
      <c r="AB823" s="15"/>
      <c r="AC823" s="15"/>
      <c r="AD823" s="35"/>
      <c r="AE823" s="99"/>
      <c r="AF823" s="99"/>
      <c r="AG823" s="35"/>
      <c r="AH823" s="35"/>
      <c r="AI823" s="35"/>
      <c r="AJ823" s="1"/>
      <c r="AK823" s="1"/>
      <c r="AL823" s="1"/>
      <c r="AM823" s="1"/>
      <c r="AN823" s="1"/>
      <c r="AO823" s="1"/>
      <c r="AP823"/>
      <c r="AQ823"/>
      <c r="AR823"/>
      <c r="AS823"/>
      <c r="AT823" s="50"/>
      <c r="AU823" s="97"/>
      <c r="AV823" s="97"/>
      <c r="AW823" s="97"/>
      <c r="AX823" s="97"/>
      <c r="AY823" s="97"/>
      <c r="BD823" s="35"/>
      <c r="BE823" s="35"/>
      <c r="BV823" s="98"/>
      <c r="BW823" s="98"/>
      <c r="BX823" s="98"/>
      <c r="BY823" s="112"/>
      <c r="BZ823" s="112"/>
      <c r="CA823" s="112"/>
      <c r="CB823" s="98"/>
      <c r="CC823" s="98"/>
      <c r="CD823" s="98"/>
      <c r="CE823" s="98"/>
      <c r="CG823" s="100"/>
      <c r="CH823" s="100"/>
      <c r="CI823" s="100"/>
      <c r="CJ823" s="100"/>
      <c r="CK823" s="100"/>
      <c r="CL823" s="100"/>
      <c r="CM823" s="100"/>
      <c r="CN823" s="100"/>
      <c r="CO823" s="100"/>
      <c r="CP823" s="100"/>
      <c r="CQ823" s="100"/>
      <c r="CR823" s="100"/>
      <c r="CS823" s="100"/>
      <c r="CT823" s="100"/>
      <c r="CU823" s="100"/>
    </row>
    <row r="824" spans="6:99" s="36" customFormat="1" ht="11.1" customHeight="1" x14ac:dyDescent="0.25">
      <c r="F824" s="33"/>
      <c r="G824" s="33"/>
      <c r="H824" s="33"/>
      <c r="I824" s="34"/>
      <c r="J824" s="34"/>
      <c r="K824" s="14"/>
      <c r="L824" s="32"/>
      <c r="M824" s="14"/>
      <c r="N824" s="14"/>
      <c r="O824" s="2"/>
      <c r="P824"/>
      <c r="Q824" s="2"/>
      <c r="R824"/>
      <c r="S824"/>
      <c r="T824"/>
      <c r="U824" s="2"/>
      <c r="V824" s="2"/>
      <c r="W824" s="2"/>
      <c r="X824" s="2"/>
      <c r="Y824" s="2"/>
      <c r="Z824" s="11"/>
      <c r="AA824" s="15"/>
      <c r="AB824" s="15"/>
      <c r="AC824" s="15"/>
      <c r="AD824" s="35"/>
      <c r="AE824" s="99"/>
      <c r="AF824" s="99"/>
      <c r="AG824" s="35"/>
      <c r="AH824" s="35"/>
      <c r="AI824" s="35"/>
      <c r="AJ824" s="1"/>
      <c r="AK824" s="1"/>
      <c r="AL824" s="1"/>
      <c r="AM824" s="1"/>
      <c r="AN824" s="1"/>
      <c r="AO824" s="1"/>
      <c r="AP824"/>
      <c r="AQ824"/>
      <c r="AR824"/>
      <c r="AS824"/>
      <c r="AT824" s="50"/>
      <c r="AU824" s="97"/>
      <c r="AV824" s="97"/>
      <c r="AW824" s="97"/>
      <c r="AX824" s="97"/>
      <c r="AY824" s="97"/>
      <c r="BD824" s="35"/>
      <c r="BE824" s="35"/>
      <c r="BV824" s="98"/>
      <c r="BW824" s="98"/>
      <c r="BX824" s="98"/>
      <c r="BY824" s="112"/>
      <c r="BZ824" s="112"/>
      <c r="CA824" s="112"/>
      <c r="CB824" s="98"/>
      <c r="CC824" s="98"/>
      <c r="CD824" s="98"/>
      <c r="CE824" s="98"/>
      <c r="CG824" s="100"/>
      <c r="CH824" s="100"/>
      <c r="CI824" s="100"/>
      <c r="CJ824" s="100"/>
      <c r="CK824" s="100"/>
      <c r="CL824" s="100"/>
      <c r="CM824" s="100"/>
      <c r="CN824" s="100"/>
      <c r="CO824" s="100"/>
      <c r="CP824" s="100"/>
      <c r="CQ824" s="100"/>
      <c r="CR824" s="100"/>
      <c r="CS824" s="100"/>
      <c r="CT824" s="100"/>
      <c r="CU824" s="100"/>
    </row>
    <row r="825" spans="6:99" s="36" customFormat="1" ht="11.1" customHeight="1" x14ac:dyDescent="0.25">
      <c r="F825" s="33"/>
      <c r="G825" s="33"/>
      <c r="H825" s="33"/>
      <c r="I825" s="34"/>
      <c r="J825" s="34"/>
      <c r="K825" s="14"/>
      <c r="L825" s="32"/>
      <c r="M825" s="14"/>
      <c r="N825" s="14"/>
      <c r="O825" s="2"/>
      <c r="P825"/>
      <c r="Q825" s="2"/>
      <c r="R825"/>
      <c r="S825"/>
      <c r="T825"/>
      <c r="U825" s="2"/>
      <c r="V825" s="2"/>
      <c r="W825" s="2"/>
      <c r="X825" s="2"/>
      <c r="Y825" s="2"/>
      <c r="Z825" s="11"/>
      <c r="AA825" s="15"/>
      <c r="AB825" s="15"/>
      <c r="AC825" s="15"/>
      <c r="AD825" s="35"/>
      <c r="AE825" s="99"/>
      <c r="AF825" s="99"/>
      <c r="AG825" s="35"/>
      <c r="AH825" s="35"/>
      <c r="AI825" s="35"/>
      <c r="AJ825" s="1"/>
      <c r="AK825" s="1"/>
      <c r="AL825" s="1"/>
      <c r="AM825" s="1"/>
      <c r="AN825" s="1"/>
      <c r="AO825" s="1"/>
      <c r="AP825"/>
      <c r="AQ825"/>
      <c r="AR825"/>
      <c r="AS825"/>
      <c r="AT825" s="50"/>
      <c r="AU825" s="97"/>
      <c r="AV825" s="97"/>
      <c r="AW825" s="97"/>
      <c r="AX825" s="97"/>
      <c r="AY825" s="97"/>
      <c r="BD825" s="35"/>
      <c r="BE825" s="35"/>
      <c r="BV825" s="98"/>
      <c r="BW825" s="98"/>
      <c r="BX825" s="98"/>
      <c r="BY825" s="112"/>
      <c r="BZ825" s="112"/>
      <c r="CA825" s="112"/>
      <c r="CB825" s="98"/>
      <c r="CC825" s="98"/>
      <c r="CD825" s="98"/>
      <c r="CE825" s="98"/>
      <c r="CG825" s="100"/>
      <c r="CH825" s="100"/>
      <c r="CI825" s="100"/>
      <c r="CJ825" s="100"/>
      <c r="CK825" s="100"/>
      <c r="CL825" s="100"/>
      <c r="CM825" s="100"/>
      <c r="CN825" s="100"/>
      <c r="CO825" s="100"/>
      <c r="CP825" s="100"/>
      <c r="CQ825" s="100"/>
      <c r="CR825" s="100"/>
      <c r="CS825" s="100"/>
      <c r="CT825" s="100"/>
      <c r="CU825" s="100"/>
    </row>
    <row r="826" spans="6:99" s="36" customFormat="1" ht="11.1" customHeight="1" x14ac:dyDescent="0.25">
      <c r="F826" s="33"/>
      <c r="G826" s="33"/>
      <c r="H826" s="33"/>
      <c r="I826" s="34"/>
      <c r="J826" s="34"/>
      <c r="K826" s="14"/>
      <c r="L826" s="32"/>
      <c r="M826" s="14"/>
      <c r="N826" s="14"/>
      <c r="O826" s="2"/>
      <c r="P826"/>
      <c r="Q826" s="2"/>
      <c r="R826"/>
      <c r="S826"/>
      <c r="T826"/>
      <c r="U826" s="2"/>
      <c r="V826" s="2"/>
      <c r="W826" s="2"/>
      <c r="X826" s="2"/>
      <c r="Y826" s="2"/>
      <c r="Z826" s="11"/>
      <c r="AA826" s="15"/>
      <c r="AB826" s="15"/>
      <c r="AC826" s="15"/>
      <c r="AD826" s="35"/>
      <c r="AE826" s="99"/>
      <c r="AF826" s="99"/>
      <c r="AG826" s="35"/>
      <c r="AH826" s="35"/>
      <c r="AI826" s="35"/>
      <c r="AJ826" s="1"/>
      <c r="AK826" s="1"/>
      <c r="AL826" s="1"/>
      <c r="AM826" s="1"/>
      <c r="AN826" s="1"/>
      <c r="AO826" s="1"/>
      <c r="AP826"/>
      <c r="AQ826"/>
      <c r="AR826"/>
      <c r="AS826"/>
      <c r="AT826" s="50"/>
      <c r="AU826" s="97"/>
      <c r="AV826" s="97"/>
      <c r="AW826" s="97"/>
      <c r="AX826" s="97"/>
      <c r="AY826" s="97"/>
      <c r="BD826" s="35"/>
      <c r="BE826" s="35"/>
      <c r="BV826" s="98"/>
      <c r="BW826" s="98"/>
      <c r="BX826" s="98"/>
      <c r="BY826" s="112"/>
      <c r="BZ826" s="112"/>
      <c r="CA826" s="112"/>
      <c r="CB826" s="98"/>
      <c r="CC826" s="98"/>
      <c r="CD826" s="98"/>
      <c r="CE826" s="98"/>
      <c r="CG826" s="100"/>
      <c r="CH826" s="100"/>
      <c r="CI826" s="100"/>
      <c r="CJ826" s="100"/>
      <c r="CK826" s="100"/>
      <c r="CL826" s="100"/>
      <c r="CM826" s="100"/>
      <c r="CN826" s="100"/>
      <c r="CO826" s="100"/>
      <c r="CP826" s="100"/>
      <c r="CQ826" s="100"/>
      <c r="CR826" s="100"/>
      <c r="CS826" s="100"/>
      <c r="CT826" s="100"/>
      <c r="CU826" s="100"/>
    </row>
    <row r="827" spans="6:99" s="36" customFormat="1" ht="11.1" customHeight="1" x14ac:dyDescent="0.25">
      <c r="F827" s="33"/>
      <c r="G827" s="33"/>
      <c r="H827" s="33"/>
      <c r="I827" s="34"/>
      <c r="J827" s="34"/>
      <c r="K827" s="14"/>
      <c r="L827" s="32"/>
      <c r="M827" s="14"/>
      <c r="N827" s="14"/>
      <c r="O827" s="2"/>
      <c r="P827"/>
      <c r="Q827" s="2"/>
      <c r="R827"/>
      <c r="S827"/>
      <c r="T827"/>
      <c r="U827" s="2"/>
      <c r="V827" s="2"/>
      <c r="W827" s="2"/>
      <c r="X827" s="2"/>
      <c r="Y827" s="2"/>
      <c r="Z827" s="11"/>
      <c r="AA827" s="15"/>
      <c r="AB827" s="15"/>
      <c r="AC827" s="15"/>
      <c r="AD827" s="35"/>
      <c r="AE827" s="99"/>
      <c r="AF827" s="99"/>
      <c r="AG827" s="35"/>
      <c r="AH827" s="35"/>
      <c r="AI827" s="35"/>
      <c r="AJ827" s="1"/>
      <c r="AK827" s="1"/>
      <c r="AL827" s="1"/>
      <c r="AM827" s="1"/>
      <c r="AN827" s="1"/>
      <c r="AO827" s="1"/>
      <c r="AP827"/>
      <c r="AQ827"/>
      <c r="AR827"/>
      <c r="AS827"/>
      <c r="AT827" s="50"/>
      <c r="AU827" s="97"/>
      <c r="AV827" s="97"/>
      <c r="AW827" s="97"/>
      <c r="AX827" s="97"/>
      <c r="AY827" s="97"/>
      <c r="BD827" s="35"/>
      <c r="BE827" s="35"/>
      <c r="BV827" s="98"/>
      <c r="BW827" s="98"/>
      <c r="BX827" s="98"/>
      <c r="BY827" s="112"/>
      <c r="BZ827" s="112"/>
      <c r="CA827" s="112"/>
      <c r="CB827" s="98"/>
      <c r="CC827" s="98"/>
      <c r="CD827" s="98"/>
      <c r="CE827" s="98"/>
      <c r="CG827" s="100"/>
      <c r="CH827" s="100"/>
      <c r="CI827" s="100"/>
      <c r="CJ827" s="100"/>
      <c r="CK827" s="100"/>
      <c r="CL827" s="100"/>
      <c r="CM827" s="100"/>
      <c r="CN827" s="100"/>
      <c r="CO827" s="100"/>
      <c r="CP827" s="100"/>
      <c r="CQ827" s="100"/>
      <c r="CR827" s="100"/>
      <c r="CS827" s="100"/>
      <c r="CT827" s="100"/>
      <c r="CU827" s="100"/>
    </row>
    <row r="828" spans="6:99" s="36" customFormat="1" ht="11.1" customHeight="1" x14ac:dyDescent="0.25">
      <c r="F828" s="33"/>
      <c r="G828" s="33"/>
      <c r="H828" s="33"/>
      <c r="I828" s="34"/>
      <c r="J828" s="34"/>
      <c r="K828" s="14"/>
      <c r="L828" s="32"/>
      <c r="M828" s="14"/>
      <c r="N828" s="14"/>
      <c r="O828" s="2"/>
      <c r="P828"/>
      <c r="Q828" s="2"/>
      <c r="R828"/>
      <c r="S828"/>
      <c r="T828"/>
      <c r="U828" s="2"/>
      <c r="V828" s="2"/>
      <c r="W828" s="2"/>
      <c r="X828" s="2"/>
      <c r="Y828" s="2"/>
      <c r="Z828" s="11"/>
      <c r="AA828" s="15"/>
      <c r="AB828" s="15"/>
      <c r="AC828" s="15"/>
      <c r="AD828" s="35"/>
      <c r="AE828" s="99"/>
      <c r="AF828" s="99"/>
      <c r="AG828" s="35"/>
      <c r="AH828" s="35"/>
      <c r="AI828" s="35"/>
      <c r="AJ828" s="1"/>
      <c r="AK828" s="1"/>
      <c r="AL828" s="1"/>
      <c r="AM828" s="1"/>
      <c r="AN828" s="1"/>
      <c r="AO828" s="1"/>
      <c r="AP828"/>
      <c r="AQ828"/>
      <c r="AR828"/>
      <c r="AS828"/>
      <c r="AT828" s="50"/>
      <c r="AU828" s="97"/>
      <c r="AV828" s="97"/>
      <c r="AW828" s="97"/>
      <c r="AX828" s="97"/>
      <c r="AY828" s="97"/>
      <c r="BD828" s="35"/>
      <c r="BE828" s="35"/>
      <c r="BV828" s="98"/>
      <c r="BW828" s="98"/>
      <c r="BX828" s="98"/>
      <c r="BY828" s="112"/>
      <c r="BZ828" s="112"/>
      <c r="CA828" s="112"/>
      <c r="CB828" s="98"/>
      <c r="CC828" s="98"/>
      <c r="CD828" s="98"/>
      <c r="CE828" s="98"/>
      <c r="CG828" s="100"/>
      <c r="CH828" s="100"/>
      <c r="CI828" s="100"/>
      <c r="CJ828" s="100"/>
      <c r="CK828" s="100"/>
      <c r="CL828" s="100"/>
      <c r="CM828" s="100"/>
      <c r="CN828" s="100"/>
      <c r="CO828" s="100"/>
      <c r="CP828" s="100"/>
      <c r="CQ828" s="100"/>
      <c r="CR828" s="100"/>
      <c r="CS828" s="100"/>
      <c r="CT828" s="100"/>
      <c r="CU828" s="100"/>
    </row>
    <row r="829" spans="6:99" s="36" customFormat="1" ht="11.1" customHeight="1" x14ac:dyDescent="0.25">
      <c r="F829" s="33"/>
      <c r="G829" s="33"/>
      <c r="H829" s="33"/>
      <c r="I829" s="34"/>
      <c r="J829" s="34"/>
      <c r="K829" s="14"/>
      <c r="L829" s="32"/>
      <c r="M829" s="14"/>
      <c r="N829" s="14"/>
      <c r="O829" s="2"/>
      <c r="P829"/>
      <c r="Q829" s="2"/>
      <c r="R829"/>
      <c r="S829"/>
      <c r="T829"/>
      <c r="U829" s="2"/>
      <c r="V829" s="2"/>
      <c r="W829" s="2"/>
      <c r="X829" s="2"/>
      <c r="Y829" s="2"/>
      <c r="Z829" s="11"/>
      <c r="AA829" s="15"/>
      <c r="AB829" s="15"/>
      <c r="AC829" s="15"/>
      <c r="AD829" s="35"/>
      <c r="AE829" s="99"/>
      <c r="AF829" s="99"/>
      <c r="AG829" s="35"/>
      <c r="AH829" s="35"/>
      <c r="AI829" s="35"/>
      <c r="AJ829" s="1"/>
      <c r="AK829" s="1"/>
      <c r="AL829" s="1"/>
      <c r="AM829" s="1"/>
      <c r="AN829" s="1"/>
      <c r="AO829" s="1"/>
      <c r="AP829"/>
      <c r="AQ829"/>
      <c r="AR829"/>
      <c r="AS829"/>
      <c r="AT829" s="50"/>
      <c r="AU829" s="97"/>
      <c r="AV829" s="97"/>
      <c r="AW829" s="97"/>
      <c r="AX829" s="97"/>
      <c r="AY829" s="97"/>
      <c r="BD829" s="35"/>
      <c r="BE829" s="35"/>
      <c r="BV829" s="98"/>
      <c r="BW829" s="98"/>
      <c r="BX829" s="98"/>
      <c r="BY829" s="112"/>
      <c r="BZ829" s="112"/>
      <c r="CA829" s="112"/>
      <c r="CB829" s="98"/>
      <c r="CC829" s="98"/>
      <c r="CD829" s="98"/>
      <c r="CE829" s="98"/>
      <c r="CG829" s="100"/>
      <c r="CH829" s="100"/>
      <c r="CI829" s="100"/>
      <c r="CJ829" s="100"/>
      <c r="CK829" s="100"/>
      <c r="CL829" s="100"/>
      <c r="CM829" s="100"/>
      <c r="CN829" s="100"/>
      <c r="CO829" s="100"/>
      <c r="CP829" s="100"/>
      <c r="CQ829" s="100"/>
      <c r="CR829" s="100"/>
      <c r="CS829" s="100"/>
      <c r="CT829" s="100"/>
      <c r="CU829" s="100"/>
    </row>
    <row r="830" spans="6:99" s="36" customFormat="1" ht="11.1" customHeight="1" x14ac:dyDescent="0.25">
      <c r="F830" s="33"/>
      <c r="G830" s="33"/>
      <c r="H830" s="33"/>
      <c r="I830" s="34"/>
      <c r="J830" s="34"/>
      <c r="K830" s="14"/>
      <c r="L830" s="32"/>
      <c r="M830" s="14"/>
      <c r="N830" s="14"/>
      <c r="O830" s="2"/>
      <c r="P830"/>
      <c r="Q830" s="2"/>
      <c r="R830"/>
      <c r="S830"/>
      <c r="T830"/>
      <c r="U830" s="2"/>
      <c r="V830" s="2"/>
      <c r="W830" s="2"/>
      <c r="X830" s="2"/>
      <c r="Y830" s="2"/>
      <c r="Z830" s="11"/>
      <c r="AA830" s="15"/>
      <c r="AB830" s="15"/>
      <c r="AC830" s="15"/>
      <c r="AD830" s="35"/>
      <c r="AE830" s="99"/>
      <c r="AF830" s="99"/>
      <c r="AG830" s="35"/>
      <c r="AH830" s="35"/>
      <c r="AI830" s="35"/>
      <c r="AJ830" s="1"/>
      <c r="AK830" s="1"/>
      <c r="AL830" s="1"/>
      <c r="AM830" s="1"/>
      <c r="AN830" s="1"/>
      <c r="AO830" s="1"/>
      <c r="AP830"/>
      <c r="AQ830"/>
      <c r="AR830"/>
      <c r="AS830"/>
      <c r="AT830" s="50"/>
      <c r="AU830" s="97"/>
      <c r="AV830" s="97"/>
      <c r="AW830" s="97"/>
      <c r="AX830" s="97"/>
      <c r="AY830" s="97"/>
      <c r="BD830" s="35"/>
      <c r="BE830" s="35"/>
      <c r="BV830" s="98"/>
      <c r="BW830" s="98"/>
      <c r="BX830" s="98"/>
      <c r="BY830" s="112"/>
      <c r="BZ830" s="112"/>
      <c r="CA830" s="112"/>
      <c r="CB830" s="98"/>
      <c r="CC830" s="98"/>
      <c r="CD830" s="98"/>
      <c r="CE830" s="98"/>
      <c r="CG830" s="100"/>
      <c r="CH830" s="100"/>
      <c r="CI830" s="100"/>
      <c r="CJ830" s="100"/>
      <c r="CK830" s="100"/>
      <c r="CL830" s="100"/>
      <c r="CM830" s="100"/>
      <c r="CN830" s="100"/>
      <c r="CO830" s="100"/>
      <c r="CP830" s="100"/>
      <c r="CQ830" s="100"/>
      <c r="CR830" s="100"/>
      <c r="CS830" s="100"/>
      <c r="CT830" s="100"/>
      <c r="CU830" s="100"/>
    </row>
    <row r="831" spans="6:99" s="36" customFormat="1" ht="11.1" customHeight="1" x14ac:dyDescent="0.25">
      <c r="F831" s="33"/>
      <c r="G831" s="33"/>
      <c r="H831" s="33"/>
      <c r="I831" s="34"/>
      <c r="J831" s="34"/>
      <c r="K831" s="14"/>
      <c r="L831" s="32"/>
      <c r="M831" s="14"/>
      <c r="N831" s="14"/>
      <c r="O831" s="2"/>
      <c r="P831"/>
      <c r="Q831" s="2"/>
      <c r="R831"/>
      <c r="S831"/>
      <c r="T831"/>
      <c r="U831" s="2"/>
      <c r="V831" s="2"/>
      <c r="W831" s="2"/>
      <c r="X831" s="2"/>
      <c r="Y831" s="2"/>
      <c r="Z831" s="11"/>
      <c r="AA831" s="15"/>
      <c r="AB831" s="15"/>
      <c r="AC831" s="15"/>
      <c r="AD831" s="35"/>
      <c r="AE831" s="99"/>
      <c r="AF831" s="99"/>
      <c r="AG831" s="35"/>
      <c r="AH831" s="35"/>
      <c r="AI831" s="35"/>
      <c r="AJ831" s="1"/>
      <c r="AK831" s="1"/>
      <c r="AL831" s="1"/>
      <c r="AM831" s="1"/>
      <c r="AN831" s="1"/>
      <c r="AO831" s="1"/>
      <c r="AP831"/>
      <c r="AQ831"/>
      <c r="AR831"/>
      <c r="AS831"/>
      <c r="AT831" s="50"/>
      <c r="AU831" s="97"/>
      <c r="AV831" s="97"/>
      <c r="AW831" s="97"/>
      <c r="AX831" s="97"/>
      <c r="AY831" s="97"/>
      <c r="BD831" s="35"/>
      <c r="BE831" s="35"/>
      <c r="BV831" s="98"/>
      <c r="BW831" s="98"/>
      <c r="BX831" s="98"/>
      <c r="BY831" s="112"/>
      <c r="BZ831" s="112"/>
      <c r="CA831" s="112"/>
      <c r="CB831" s="98"/>
      <c r="CC831" s="98"/>
      <c r="CD831" s="98"/>
      <c r="CE831" s="98"/>
      <c r="CG831" s="100"/>
      <c r="CH831" s="100"/>
      <c r="CI831" s="100"/>
      <c r="CJ831" s="100"/>
      <c r="CK831" s="100"/>
      <c r="CL831" s="100"/>
      <c r="CM831" s="100"/>
      <c r="CN831" s="100"/>
      <c r="CO831" s="100"/>
      <c r="CP831" s="100"/>
      <c r="CQ831" s="100"/>
      <c r="CR831" s="100"/>
      <c r="CS831" s="100"/>
      <c r="CT831" s="100"/>
      <c r="CU831" s="100"/>
    </row>
    <row r="832" spans="6:99" s="36" customFormat="1" ht="11.1" customHeight="1" x14ac:dyDescent="0.25">
      <c r="F832" s="33"/>
      <c r="G832" s="33"/>
      <c r="H832" s="33"/>
      <c r="I832" s="34"/>
      <c r="J832" s="34"/>
      <c r="K832" s="14"/>
      <c r="L832" s="32"/>
      <c r="M832" s="14"/>
      <c r="N832" s="14"/>
      <c r="O832" s="2"/>
      <c r="P832"/>
      <c r="Q832" s="2"/>
      <c r="R832"/>
      <c r="S832"/>
      <c r="T832"/>
      <c r="U832" s="2"/>
      <c r="V832" s="2"/>
      <c r="W832" s="2"/>
      <c r="X832" s="2"/>
      <c r="Y832" s="2"/>
      <c r="Z832" s="11"/>
      <c r="AA832" s="15"/>
      <c r="AB832" s="15"/>
      <c r="AC832" s="15"/>
      <c r="AD832" s="35"/>
      <c r="AE832" s="99"/>
      <c r="AF832" s="99"/>
      <c r="AG832" s="35"/>
      <c r="AH832" s="35"/>
      <c r="AI832" s="35"/>
      <c r="AJ832" s="1"/>
      <c r="AK832" s="1"/>
      <c r="AL832" s="1"/>
      <c r="AM832" s="1"/>
      <c r="AN832" s="1"/>
      <c r="AO832" s="1"/>
      <c r="AP832"/>
      <c r="AQ832"/>
      <c r="AR832"/>
      <c r="AS832"/>
      <c r="AT832" s="50"/>
      <c r="AU832" s="97"/>
      <c r="AV832" s="97"/>
      <c r="AW832" s="97"/>
      <c r="AX832" s="97"/>
      <c r="AY832" s="97"/>
      <c r="BD832" s="35"/>
      <c r="BE832" s="35"/>
      <c r="BV832" s="98"/>
      <c r="BW832" s="98"/>
      <c r="BX832" s="98"/>
      <c r="BY832" s="112"/>
      <c r="BZ832" s="112"/>
      <c r="CA832" s="112"/>
      <c r="CB832" s="98"/>
      <c r="CC832" s="98"/>
      <c r="CD832" s="98"/>
      <c r="CE832" s="98"/>
      <c r="CG832" s="100"/>
      <c r="CH832" s="100"/>
      <c r="CI832" s="100"/>
      <c r="CJ832" s="100"/>
      <c r="CK832" s="100"/>
      <c r="CL832" s="100"/>
      <c r="CM832" s="100"/>
      <c r="CN832" s="100"/>
      <c r="CO832" s="100"/>
      <c r="CP832" s="100"/>
      <c r="CQ832" s="100"/>
      <c r="CR832" s="100"/>
      <c r="CS832" s="100"/>
      <c r="CT832" s="100"/>
      <c r="CU832" s="100"/>
    </row>
    <row r="833" spans="6:99" s="36" customFormat="1" ht="11.1" customHeight="1" x14ac:dyDescent="0.25">
      <c r="F833" s="33"/>
      <c r="G833" s="33"/>
      <c r="H833" s="33"/>
      <c r="I833" s="34"/>
      <c r="J833" s="34"/>
      <c r="K833" s="14"/>
      <c r="L833" s="32"/>
      <c r="M833" s="14"/>
      <c r="N833" s="14"/>
      <c r="O833" s="2"/>
      <c r="P833"/>
      <c r="Q833" s="2"/>
      <c r="R833"/>
      <c r="S833"/>
      <c r="T833"/>
      <c r="U833" s="2"/>
      <c r="V833" s="2"/>
      <c r="W833" s="2"/>
      <c r="X833" s="2"/>
      <c r="Y833" s="2"/>
      <c r="Z833" s="11"/>
      <c r="AA833" s="15"/>
      <c r="AB833" s="15"/>
      <c r="AC833" s="15"/>
      <c r="AD833" s="35"/>
      <c r="AE833" s="99"/>
      <c r="AF833" s="99"/>
      <c r="AG833" s="35"/>
      <c r="AH833" s="35"/>
      <c r="AI833" s="35"/>
      <c r="AJ833" s="1"/>
      <c r="AK833" s="1"/>
      <c r="AL833" s="1"/>
      <c r="AM833" s="1"/>
      <c r="AN833" s="1"/>
      <c r="AO833" s="1"/>
      <c r="AP833"/>
      <c r="AQ833"/>
      <c r="AR833"/>
      <c r="AS833"/>
      <c r="AT833" s="50"/>
      <c r="AU833" s="97"/>
      <c r="AV833" s="97"/>
      <c r="AW833" s="97"/>
      <c r="AX833" s="97"/>
      <c r="AY833" s="97"/>
      <c r="BD833" s="35"/>
      <c r="BE833" s="35"/>
      <c r="BV833" s="98"/>
      <c r="BW833" s="98"/>
      <c r="BX833" s="98"/>
      <c r="BY833" s="112"/>
      <c r="BZ833" s="112"/>
      <c r="CA833" s="112"/>
      <c r="CB833" s="98"/>
      <c r="CC833" s="98"/>
      <c r="CD833" s="98"/>
      <c r="CE833" s="98"/>
      <c r="CG833" s="100"/>
      <c r="CH833" s="100"/>
      <c r="CI833" s="100"/>
      <c r="CJ833" s="100"/>
      <c r="CK833" s="100"/>
      <c r="CL833" s="100"/>
      <c r="CM833" s="100"/>
      <c r="CN833" s="100"/>
      <c r="CO833" s="100"/>
      <c r="CP833" s="100"/>
      <c r="CQ833" s="100"/>
      <c r="CR833" s="100"/>
      <c r="CS833" s="100"/>
      <c r="CT833" s="100"/>
      <c r="CU833" s="100"/>
    </row>
    <row r="834" spans="6:99" s="36" customFormat="1" ht="11.1" customHeight="1" x14ac:dyDescent="0.25">
      <c r="F834" s="33"/>
      <c r="G834" s="33"/>
      <c r="H834" s="33"/>
      <c r="I834" s="34"/>
      <c r="J834" s="34"/>
      <c r="K834" s="14"/>
      <c r="L834" s="32"/>
      <c r="M834" s="14"/>
      <c r="N834" s="14"/>
      <c r="O834" s="2"/>
      <c r="P834"/>
      <c r="Q834" s="2"/>
      <c r="R834"/>
      <c r="S834"/>
      <c r="T834"/>
      <c r="U834" s="2"/>
      <c r="V834" s="2"/>
      <c r="W834" s="2"/>
      <c r="X834" s="2"/>
      <c r="Y834" s="2"/>
      <c r="Z834" s="11"/>
      <c r="AA834" s="15"/>
      <c r="AB834" s="15"/>
      <c r="AC834" s="15"/>
      <c r="AD834" s="35"/>
      <c r="AE834" s="99"/>
      <c r="AF834" s="99"/>
      <c r="AG834" s="35"/>
      <c r="AH834" s="35"/>
      <c r="AI834" s="35"/>
      <c r="AJ834" s="1"/>
      <c r="AK834" s="1"/>
      <c r="AL834" s="1"/>
      <c r="AM834" s="1"/>
      <c r="AN834" s="1"/>
      <c r="AO834" s="1"/>
      <c r="AP834"/>
      <c r="AQ834"/>
      <c r="AR834"/>
      <c r="AS834"/>
      <c r="AT834" s="50"/>
      <c r="AU834" s="97"/>
      <c r="AV834" s="97"/>
      <c r="AW834" s="97"/>
      <c r="AX834" s="97"/>
      <c r="AY834" s="97"/>
      <c r="BD834" s="35"/>
      <c r="BE834" s="35"/>
      <c r="BV834" s="98"/>
      <c r="BW834" s="98"/>
      <c r="BX834" s="98"/>
      <c r="BY834" s="112"/>
      <c r="BZ834" s="112"/>
      <c r="CA834" s="112"/>
      <c r="CB834" s="98"/>
      <c r="CC834" s="98"/>
      <c r="CD834" s="98"/>
      <c r="CE834" s="98"/>
      <c r="CG834" s="100"/>
      <c r="CH834" s="100"/>
      <c r="CI834" s="100"/>
      <c r="CJ834" s="100"/>
      <c r="CK834" s="100"/>
      <c r="CL834" s="100"/>
      <c r="CM834" s="100"/>
      <c r="CN834" s="100"/>
      <c r="CO834" s="100"/>
      <c r="CP834" s="100"/>
      <c r="CQ834" s="100"/>
      <c r="CR834" s="100"/>
      <c r="CS834" s="100"/>
      <c r="CT834" s="100"/>
      <c r="CU834" s="100"/>
    </row>
    <row r="835" spans="6:99" s="36" customFormat="1" ht="11.1" customHeight="1" x14ac:dyDescent="0.25">
      <c r="F835" s="33"/>
      <c r="G835" s="33"/>
      <c r="H835" s="33"/>
      <c r="I835" s="34"/>
      <c r="J835" s="34"/>
      <c r="K835" s="14"/>
      <c r="L835" s="32"/>
      <c r="M835" s="14"/>
      <c r="N835" s="14"/>
      <c r="O835" s="2"/>
      <c r="P835"/>
      <c r="Q835" s="2"/>
      <c r="R835"/>
      <c r="S835"/>
      <c r="T835"/>
      <c r="U835" s="2"/>
      <c r="V835" s="2"/>
      <c r="W835" s="2"/>
      <c r="X835" s="2"/>
      <c r="Y835" s="2"/>
      <c r="Z835" s="11"/>
      <c r="AA835" s="15"/>
      <c r="AB835" s="15"/>
      <c r="AC835" s="15"/>
      <c r="AD835" s="35"/>
      <c r="AE835" s="99"/>
      <c r="AF835" s="99"/>
      <c r="AG835" s="35"/>
      <c r="AH835" s="35"/>
      <c r="AI835" s="35"/>
      <c r="AJ835" s="1"/>
      <c r="AK835" s="1"/>
      <c r="AL835" s="1"/>
      <c r="AM835" s="1"/>
      <c r="AN835" s="1"/>
      <c r="AO835" s="1"/>
      <c r="AP835"/>
      <c r="AQ835"/>
      <c r="AR835"/>
      <c r="AS835"/>
      <c r="AT835" s="50"/>
      <c r="AU835" s="97"/>
      <c r="AV835" s="97"/>
      <c r="AW835" s="97"/>
      <c r="AX835" s="97"/>
      <c r="AY835" s="97"/>
      <c r="BD835" s="35"/>
      <c r="BE835" s="35"/>
      <c r="BV835" s="98"/>
      <c r="BW835" s="98"/>
      <c r="BX835" s="98"/>
      <c r="BY835" s="112"/>
      <c r="BZ835" s="112"/>
      <c r="CA835" s="112"/>
      <c r="CB835" s="98"/>
      <c r="CC835" s="98"/>
      <c r="CD835" s="98"/>
      <c r="CE835" s="98"/>
      <c r="CG835" s="100"/>
      <c r="CH835" s="100"/>
      <c r="CI835" s="100"/>
      <c r="CJ835" s="100"/>
      <c r="CK835" s="100"/>
      <c r="CL835" s="100"/>
      <c r="CM835" s="100"/>
      <c r="CN835" s="100"/>
      <c r="CO835" s="100"/>
      <c r="CP835" s="100"/>
      <c r="CQ835" s="100"/>
      <c r="CR835" s="100"/>
      <c r="CS835" s="100"/>
      <c r="CT835" s="100"/>
      <c r="CU835" s="100"/>
    </row>
    <row r="836" spans="6:99" s="36" customFormat="1" ht="11.1" customHeight="1" x14ac:dyDescent="0.25">
      <c r="F836" s="33"/>
      <c r="G836" s="33"/>
      <c r="H836" s="33"/>
      <c r="I836" s="34"/>
      <c r="J836" s="34"/>
      <c r="K836" s="14"/>
      <c r="L836" s="32"/>
      <c r="M836" s="14"/>
      <c r="N836" s="14"/>
      <c r="O836" s="2"/>
      <c r="P836"/>
      <c r="Q836" s="2"/>
      <c r="R836"/>
      <c r="S836"/>
      <c r="T836"/>
      <c r="U836" s="2"/>
      <c r="V836" s="2"/>
      <c r="W836" s="2"/>
      <c r="X836" s="2"/>
      <c r="Y836" s="2"/>
      <c r="Z836" s="11"/>
      <c r="AA836" s="15"/>
      <c r="AB836" s="15"/>
      <c r="AC836" s="15"/>
      <c r="AD836" s="35"/>
      <c r="AE836" s="99"/>
      <c r="AF836" s="99"/>
      <c r="AG836" s="35"/>
      <c r="AH836" s="35"/>
      <c r="AI836" s="35"/>
      <c r="AJ836" s="1"/>
      <c r="AK836" s="1"/>
      <c r="AL836" s="1"/>
      <c r="AM836" s="1"/>
      <c r="AN836" s="1"/>
      <c r="AO836" s="1"/>
      <c r="AP836"/>
      <c r="AQ836"/>
      <c r="AR836"/>
      <c r="AS836"/>
      <c r="AT836" s="50"/>
      <c r="AU836" s="97"/>
      <c r="AV836" s="97"/>
      <c r="AW836" s="97"/>
      <c r="AX836" s="97"/>
      <c r="AY836" s="97"/>
      <c r="BD836" s="35"/>
      <c r="BE836" s="35"/>
      <c r="BV836" s="98"/>
      <c r="BW836" s="98"/>
      <c r="BX836" s="98"/>
      <c r="BY836" s="112"/>
      <c r="BZ836" s="112"/>
      <c r="CA836" s="112"/>
      <c r="CB836" s="98"/>
      <c r="CC836" s="98"/>
      <c r="CD836" s="98"/>
      <c r="CE836" s="98"/>
      <c r="CG836" s="100"/>
      <c r="CH836" s="100"/>
      <c r="CI836" s="100"/>
      <c r="CJ836" s="100"/>
      <c r="CK836" s="100"/>
      <c r="CL836" s="100"/>
      <c r="CM836" s="100"/>
      <c r="CN836" s="100"/>
      <c r="CO836" s="100"/>
      <c r="CP836" s="100"/>
      <c r="CQ836" s="100"/>
      <c r="CR836" s="100"/>
      <c r="CS836" s="100"/>
      <c r="CT836" s="100"/>
      <c r="CU836" s="100"/>
    </row>
    <row r="837" spans="6:99" s="36" customFormat="1" ht="11.1" customHeight="1" x14ac:dyDescent="0.25">
      <c r="F837" s="33"/>
      <c r="G837" s="33"/>
      <c r="H837" s="33"/>
      <c r="I837" s="34"/>
      <c r="J837" s="34"/>
      <c r="K837" s="14"/>
      <c r="L837" s="32"/>
      <c r="M837" s="14"/>
      <c r="N837" s="14"/>
      <c r="O837" s="2"/>
      <c r="P837"/>
      <c r="Q837" s="2"/>
      <c r="R837"/>
      <c r="S837"/>
      <c r="T837"/>
      <c r="U837" s="2"/>
      <c r="V837" s="2"/>
      <c r="W837" s="2"/>
      <c r="X837" s="2"/>
      <c r="Y837" s="2"/>
      <c r="Z837" s="11"/>
      <c r="AA837" s="15"/>
      <c r="AB837" s="15"/>
      <c r="AC837" s="15"/>
      <c r="AD837" s="35"/>
      <c r="AE837" s="99"/>
      <c r="AF837" s="99"/>
      <c r="AG837" s="35"/>
      <c r="AH837" s="35"/>
      <c r="AI837" s="35"/>
      <c r="AJ837" s="1"/>
      <c r="AK837" s="1"/>
      <c r="AL837" s="1"/>
      <c r="AM837" s="1"/>
      <c r="AN837" s="1"/>
      <c r="AO837" s="1"/>
      <c r="AP837"/>
      <c r="AQ837"/>
      <c r="AR837"/>
      <c r="AS837"/>
      <c r="AT837" s="50"/>
      <c r="AU837" s="97"/>
      <c r="AV837" s="97"/>
      <c r="AW837" s="97"/>
      <c r="AX837" s="97"/>
      <c r="AY837" s="97"/>
      <c r="BD837" s="35"/>
      <c r="BE837" s="35"/>
      <c r="BV837" s="98"/>
      <c r="BW837" s="98"/>
      <c r="BX837" s="98"/>
      <c r="BY837" s="112"/>
      <c r="BZ837" s="112"/>
      <c r="CA837" s="112"/>
      <c r="CB837" s="98"/>
      <c r="CC837" s="98"/>
      <c r="CD837" s="98"/>
      <c r="CE837" s="98"/>
      <c r="CG837" s="100"/>
      <c r="CH837" s="100"/>
      <c r="CI837" s="100"/>
      <c r="CJ837" s="100"/>
      <c r="CK837" s="100"/>
      <c r="CL837" s="100"/>
      <c r="CM837" s="100"/>
      <c r="CN837" s="100"/>
      <c r="CO837" s="100"/>
      <c r="CP837" s="100"/>
      <c r="CQ837" s="100"/>
      <c r="CR837" s="100"/>
      <c r="CS837" s="100"/>
      <c r="CT837" s="100"/>
      <c r="CU837" s="100"/>
    </row>
    <row r="838" spans="6:99" s="36" customFormat="1" ht="11.1" customHeight="1" x14ac:dyDescent="0.25">
      <c r="F838" s="33"/>
      <c r="G838" s="33"/>
      <c r="H838" s="33"/>
      <c r="I838" s="34"/>
      <c r="J838" s="34"/>
      <c r="K838" s="14"/>
      <c r="L838" s="32"/>
      <c r="M838" s="14"/>
      <c r="N838" s="14"/>
      <c r="O838" s="2"/>
      <c r="P838"/>
      <c r="Q838" s="2"/>
      <c r="R838"/>
      <c r="S838"/>
      <c r="T838"/>
      <c r="U838" s="2"/>
      <c r="V838" s="2"/>
      <c r="W838" s="2"/>
      <c r="X838" s="2"/>
      <c r="Y838" s="2"/>
      <c r="Z838" s="11"/>
      <c r="AA838" s="15"/>
      <c r="AB838" s="15"/>
      <c r="AC838" s="15"/>
      <c r="AD838" s="35"/>
      <c r="AE838" s="99"/>
      <c r="AF838" s="99"/>
      <c r="AG838" s="35"/>
      <c r="AH838" s="35"/>
      <c r="AI838" s="35"/>
      <c r="AJ838" s="1"/>
      <c r="AK838" s="1"/>
      <c r="AL838" s="1"/>
      <c r="AM838" s="1"/>
      <c r="AN838" s="1"/>
      <c r="AO838" s="1"/>
      <c r="AP838"/>
      <c r="AQ838"/>
      <c r="AR838"/>
      <c r="AS838"/>
      <c r="AT838" s="50"/>
      <c r="AU838" s="97"/>
      <c r="AV838" s="97"/>
      <c r="AW838" s="97"/>
      <c r="AX838" s="97"/>
      <c r="AY838" s="97"/>
      <c r="BD838" s="35"/>
      <c r="BE838" s="35"/>
      <c r="BV838" s="98"/>
      <c r="BW838" s="98"/>
      <c r="BX838" s="98"/>
      <c r="BY838" s="112"/>
      <c r="BZ838" s="112"/>
      <c r="CA838" s="112"/>
      <c r="CB838" s="98"/>
      <c r="CC838" s="98"/>
      <c r="CD838" s="98"/>
      <c r="CE838" s="98"/>
      <c r="CG838" s="100"/>
      <c r="CH838" s="100"/>
      <c r="CI838" s="100"/>
      <c r="CJ838" s="100"/>
      <c r="CK838" s="100"/>
      <c r="CL838" s="100"/>
      <c r="CM838" s="100"/>
      <c r="CN838" s="100"/>
      <c r="CO838" s="100"/>
      <c r="CP838" s="100"/>
      <c r="CQ838" s="100"/>
      <c r="CR838" s="100"/>
      <c r="CS838" s="100"/>
      <c r="CT838" s="100"/>
      <c r="CU838" s="100"/>
    </row>
    <row r="839" spans="6:99" s="36" customFormat="1" ht="11.1" customHeight="1" x14ac:dyDescent="0.25">
      <c r="F839" s="33"/>
      <c r="G839" s="33"/>
      <c r="H839" s="33"/>
      <c r="I839" s="34"/>
      <c r="J839" s="34"/>
      <c r="K839" s="14"/>
      <c r="L839" s="32"/>
      <c r="M839" s="14"/>
      <c r="N839" s="14"/>
      <c r="O839" s="2"/>
      <c r="P839"/>
      <c r="Q839" s="2"/>
      <c r="R839"/>
      <c r="S839"/>
      <c r="T839"/>
      <c r="U839" s="2"/>
      <c r="V839" s="2"/>
      <c r="W839" s="2"/>
      <c r="X839" s="2"/>
      <c r="Y839" s="2"/>
      <c r="Z839" s="11"/>
      <c r="AA839" s="15"/>
      <c r="AB839" s="15"/>
      <c r="AC839" s="15"/>
      <c r="AD839" s="35"/>
      <c r="AE839" s="99"/>
      <c r="AF839" s="99"/>
      <c r="AG839" s="35"/>
      <c r="AH839" s="35"/>
      <c r="AI839" s="35"/>
      <c r="AJ839" s="1"/>
      <c r="AK839" s="1"/>
      <c r="AL839" s="1"/>
      <c r="AM839" s="1"/>
      <c r="AN839" s="1"/>
      <c r="AO839" s="1"/>
      <c r="AP839"/>
      <c r="AQ839"/>
      <c r="AR839"/>
      <c r="AS839"/>
      <c r="AT839" s="50"/>
      <c r="AU839" s="97"/>
      <c r="AV839" s="97"/>
      <c r="AW839" s="97"/>
      <c r="AX839" s="97"/>
      <c r="AY839" s="97"/>
      <c r="BD839" s="35"/>
      <c r="BE839" s="35"/>
      <c r="BV839" s="98"/>
      <c r="BW839" s="98"/>
      <c r="BX839" s="98"/>
      <c r="BY839" s="112"/>
      <c r="BZ839" s="112"/>
      <c r="CA839" s="112"/>
      <c r="CB839" s="98"/>
      <c r="CC839" s="98"/>
      <c r="CD839" s="98"/>
      <c r="CE839" s="98"/>
      <c r="CG839" s="100"/>
      <c r="CH839" s="100"/>
      <c r="CI839" s="100"/>
      <c r="CJ839" s="100"/>
      <c r="CK839" s="100"/>
      <c r="CL839" s="100"/>
      <c r="CM839" s="100"/>
      <c r="CN839" s="100"/>
      <c r="CO839" s="100"/>
      <c r="CP839" s="100"/>
      <c r="CQ839" s="100"/>
      <c r="CR839" s="100"/>
      <c r="CS839" s="100"/>
      <c r="CT839" s="100"/>
      <c r="CU839" s="100"/>
    </row>
    <row r="840" spans="6:99" s="36" customFormat="1" ht="11.1" customHeight="1" x14ac:dyDescent="0.25">
      <c r="F840" s="33"/>
      <c r="G840" s="33"/>
      <c r="H840" s="33"/>
      <c r="I840" s="34"/>
      <c r="J840" s="34"/>
      <c r="K840" s="14"/>
      <c r="L840" s="32"/>
      <c r="M840" s="14"/>
      <c r="N840" s="14"/>
      <c r="O840" s="2"/>
      <c r="P840"/>
      <c r="Q840" s="2"/>
      <c r="R840"/>
      <c r="S840"/>
      <c r="T840"/>
      <c r="U840" s="2"/>
      <c r="V840" s="2"/>
      <c r="W840" s="2"/>
      <c r="X840" s="2"/>
      <c r="Y840" s="2"/>
      <c r="Z840" s="11"/>
      <c r="AA840" s="15"/>
      <c r="AB840" s="15"/>
      <c r="AC840" s="15"/>
      <c r="AD840" s="35"/>
      <c r="AE840" s="99"/>
      <c r="AF840" s="99"/>
      <c r="AG840" s="35"/>
      <c r="AH840" s="35"/>
      <c r="AI840" s="35"/>
      <c r="AJ840" s="1"/>
      <c r="AK840" s="1"/>
      <c r="AL840" s="1"/>
      <c r="AM840" s="1"/>
      <c r="AN840" s="1"/>
      <c r="AO840" s="1"/>
      <c r="AP840"/>
      <c r="AQ840"/>
      <c r="AR840"/>
      <c r="AS840"/>
      <c r="AT840" s="50"/>
      <c r="AU840" s="97"/>
      <c r="AV840" s="97"/>
      <c r="AW840" s="97"/>
      <c r="AX840" s="97"/>
      <c r="AY840" s="97"/>
      <c r="BD840" s="35"/>
      <c r="BE840" s="35"/>
      <c r="BV840" s="98"/>
      <c r="BW840" s="98"/>
      <c r="BX840" s="98"/>
      <c r="BY840" s="112"/>
      <c r="BZ840" s="112"/>
      <c r="CA840" s="112"/>
      <c r="CB840" s="98"/>
      <c r="CC840" s="98"/>
      <c r="CD840" s="98"/>
      <c r="CE840" s="98"/>
      <c r="CG840" s="100"/>
      <c r="CH840" s="100"/>
      <c r="CI840" s="100"/>
      <c r="CJ840" s="100"/>
      <c r="CK840" s="100"/>
      <c r="CL840" s="100"/>
      <c r="CM840" s="100"/>
      <c r="CN840" s="100"/>
      <c r="CO840" s="100"/>
      <c r="CP840" s="100"/>
      <c r="CQ840" s="100"/>
      <c r="CR840" s="100"/>
      <c r="CS840" s="100"/>
      <c r="CT840" s="100"/>
      <c r="CU840" s="100"/>
    </row>
    <row r="841" spans="6:99" s="36" customFormat="1" ht="11.1" customHeight="1" x14ac:dyDescent="0.25">
      <c r="F841" s="33"/>
      <c r="G841" s="33"/>
      <c r="H841" s="33"/>
      <c r="I841" s="34"/>
      <c r="J841" s="34"/>
      <c r="K841" s="14"/>
      <c r="L841" s="32"/>
      <c r="M841" s="14"/>
      <c r="N841" s="14"/>
      <c r="O841" s="2"/>
      <c r="P841"/>
      <c r="Q841" s="2"/>
      <c r="R841"/>
      <c r="S841"/>
      <c r="T841"/>
      <c r="U841" s="2"/>
      <c r="V841" s="2"/>
      <c r="W841" s="2"/>
      <c r="X841" s="2"/>
      <c r="Y841" s="2"/>
      <c r="Z841" s="11"/>
      <c r="AA841" s="15"/>
      <c r="AB841" s="15"/>
      <c r="AC841" s="15"/>
      <c r="AD841" s="35"/>
      <c r="AE841" s="99"/>
      <c r="AF841" s="99"/>
      <c r="AG841" s="35"/>
      <c r="AH841" s="35"/>
      <c r="AI841" s="35"/>
      <c r="AJ841" s="1"/>
      <c r="AK841" s="1"/>
      <c r="AL841" s="1"/>
      <c r="AM841" s="1"/>
      <c r="AN841" s="1"/>
      <c r="AO841" s="1"/>
      <c r="AP841"/>
      <c r="AQ841"/>
      <c r="AR841"/>
      <c r="AS841"/>
      <c r="AT841" s="50"/>
      <c r="AU841" s="97"/>
      <c r="AV841" s="97"/>
      <c r="AW841" s="97"/>
      <c r="AX841" s="97"/>
      <c r="AY841" s="97"/>
      <c r="BD841" s="35"/>
      <c r="BE841" s="35"/>
      <c r="BV841" s="98"/>
      <c r="BW841" s="98"/>
      <c r="BX841" s="98"/>
      <c r="BY841" s="112"/>
      <c r="BZ841" s="112"/>
      <c r="CA841" s="112"/>
      <c r="CB841" s="98"/>
      <c r="CC841" s="98"/>
      <c r="CD841" s="98"/>
      <c r="CE841" s="98"/>
      <c r="CG841" s="100"/>
      <c r="CH841" s="100"/>
      <c r="CI841" s="100"/>
      <c r="CJ841" s="100"/>
      <c r="CK841" s="100"/>
      <c r="CL841" s="100"/>
      <c r="CM841" s="100"/>
      <c r="CN841" s="100"/>
      <c r="CO841" s="100"/>
      <c r="CP841" s="100"/>
      <c r="CQ841" s="100"/>
      <c r="CR841" s="100"/>
      <c r="CS841" s="100"/>
      <c r="CT841" s="100"/>
      <c r="CU841" s="100"/>
    </row>
    <row r="842" spans="6:99" s="36" customFormat="1" ht="11.1" customHeight="1" x14ac:dyDescent="0.25">
      <c r="F842" s="33"/>
      <c r="G842" s="33"/>
      <c r="H842" s="33"/>
      <c r="I842" s="34"/>
      <c r="J842" s="34"/>
      <c r="K842" s="14"/>
      <c r="L842" s="32"/>
      <c r="M842" s="14"/>
      <c r="N842" s="14"/>
      <c r="O842" s="2"/>
      <c r="P842"/>
      <c r="Q842" s="2"/>
      <c r="R842"/>
      <c r="S842"/>
      <c r="T842"/>
      <c r="U842" s="2"/>
      <c r="V842" s="2"/>
      <c r="W842" s="2"/>
      <c r="X842" s="2"/>
      <c r="Y842" s="2"/>
      <c r="Z842" s="11"/>
      <c r="AA842" s="15"/>
      <c r="AB842" s="15"/>
      <c r="AC842" s="15"/>
      <c r="AD842" s="35"/>
      <c r="AE842" s="99"/>
      <c r="AF842" s="99"/>
      <c r="AG842" s="35"/>
      <c r="AH842" s="35"/>
      <c r="AI842" s="35"/>
      <c r="AJ842" s="1"/>
      <c r="AK842" s="1"/>
      <c r="AL842" s="1"/>
      <c r="AM842" s="1"/>
      <c r="AN842" s="1"/>
      <c r="AO842" s="1"/>
      <c r="AP842"/>
      <c r="AQ842"/>
      <c r="AR842"/>
      <c r="AS842"/>
      <c r="AT842" s="50"/>
      <c r="AU842" s="97"/>
      <c r="AV842" s="97"/>
      <c r="AW842" s="97"/>
      <c r="AX842" s="97"/>
      <c r="AY842" s="97"/>
      <c r="BD842" s="35"/>
      <c r="BE842" s="35"/>
      <c r="BV842" s="98"/>
      <c r="BW842" s="98"/>
      <c r="BX842" s="98"/>
      <c r="BY842" s="112"/>
      <c r="BZ842" s="112"/>
      <c r="CA842" s="112"/>
      <c r="CB842" s="98"/>
      <c r="CC842" s="98"/>
      <c r="CD842" s="98"/>
      <c r="CE842" s="98"/>
      <c r="CG842" s="100"/>
      <c r="CH842" s="100"/>
      <c r="CI842" s="100"/>
      <c r="CJ842" s="100"/>
      <c r="CK842" s="100"/>
      <c r="CL842" s="100"/>
      <c r="CM842" s="100"/>
      <c r="CN842" s="100"/>
      <c r="CO842" s="100"/>
      <c r="CP842" s="100"/>
      <c r="CQ842" s="100"/>
      <c r="CR842" s="100"/>
      <c r="CS842" s="100"/>
      <c r="CT842" s="100"/>
      <c r="CU842" s="100"/>
    </row>
    <row r="843" spans="6:99" s="36" customFormat="1" ht="11.1" customHeight="1" x14ac:dyDescent="0.25">
      <c r="F843" s="33"/>
      <c r="G843" s="33"/>
      <c r="H843" s="33"/>
      <c r="I843" s="34"/>
      <c r="J843" s="34"/>
      <c r="K843" s="14"/>
      <c r="L843" s="32"/>
      <c r="M843" s="14"/>
      <c r="N843" s="14"/>
      <c r="O843" s="2"/>
      <c r="P843"/>
      <c r="Q843" s="2"/>
      <c r="R843"/>
      <c r="S843"/>
      <c r="T843"/>
      <c r="U843" s="2"/>
      <c r="V843" s="2"/>
      <c r="W843" s="2"/>
      <c r="X843" s="2"/>
      <c r="Y843" s="2"/>
      <c r="Z843" s="11"/>
      <c r="AA843" s="15"/>
      <c r="AB843" s="15"/>
      <c r="AC843" s="15"/>
      <c r="AD843" s="35"/>
      <c r="AE843" s="99"/>
      <c r="AF843" s="99"/>
      <c r="AG843" s="35"/>
      <c r="AH843" s="35"/>
      <c r="AI843" s="35"/>
      <c r="AJ843" s="1"/>
      <c r="AK843" s="1"/>
      <c r="AL843" s="1"/>
      <c r="AM843" s="1"/>
      <c r="AN843" s="1"/>
      <c r="AO843" s="1"/>
      <c r="AP843"/>
      <c r="AQ843"/>
      <c r="AR843"/>
      <c r="AS843"/>
      <c r="AT843" s="50"/>
      <c r="AU843" s="97"/>
      <c r="AV843" s="97"/>
      <c r="AW843" s="97"/>
      <c r="AX843" s="97"/>
      <c r="AY843" s="97"/>
      <c r="BD843" s="35"/>
      <c r="BE843" s="35"/>
      <c r="BV843" s="98"/>
      <c r="BW843" s="98"/>
      <c r="BX843" s="98"/>
      <c r="BY843" s="112"/>
      <c r="BZ843" s="112"/>
      <c r="CA843" s="112"/>
      <c r="CB843" s="98"/>
      <c r="CC843" s="98"/>
      <c r="CD843" s="98"/>
      <c r="CE843" s="98"/>
      <c r="CG843" s="100"/>
      <c r="CH843" s="100"/>
      <c r="CI843" s="100"/>
      <c r="CJ843" s="100"/>
      <c r="CK843" s="100"/>
      <c r="CL843" s="100"/>
      <c r="CM843" s="100"/>
      <c r="CN843" s="100"/>
      <c r="CO843" s="100"/>
      <c r="CP843" s="100"/>
      <c r="CQ843" s="100"/>
      <c r="CR843" s="100"/>
      <c r="CS843" s="100"/>
      <c r="CT843" s="100"/>
      <c r="CU843" s="100"/>
    </row>
    <row r="844" spans="6:99" s="36" customFormat="1" ht="11.1" customHeight="1" x14ac:dyDescent="0.25">
      <c r="F844" s="33"/>
      <c r="G844" s="33"/>
      <c r="H844" s="33"/>
      <c r="I844" s="34"/>
      <c r="J844" s="34"/>
      <c r="K844" s="14"/>
      <c r="L844" s="32"/>
      <c r="M844" s="14"/>
      <c r="N844" s="14"/>
      <c r="O844" s="2"/>
      <c r="P844"/>
      <c r="Q844" s="2"/>
      <c r="R844"/>
      <c r="S844"/>
      <c r="T844"/>
      <c r="U844" s="2"/>
      <c r="V844" s="2"/>
      <c r="W844" s="2"/>
      <c r="X844" s="2"/>
      <c r="Y844" s="2"/>
      <c r="Z844" s="11"/>
      <c r="AA844" s="15"/>
      <c r="AB844" s="15"/>
      <c r="AC844" s="15"/>
      <c r="AD844" s="35"/>
      <c r="AE844" s="99"/>
      <c r="AF844" s="99"/>
      <c r="AG844" s="35"/>
      <c r="AH844" s="35"/>
      <c r="AI844" s="35"/>
      <c r="AJ844" s="1"/>
      <c r="AK844" s="1"/>
      <c r="AL844" s="1"/>
      <c r="AM844" s="1"/>
      <c r="AN844" s="1"/>
      <c r="AO844" s="1"/>
      <c r="AP844"/>
      <c r="AQ844"/>
      <c r="AR844"/>
      <c r="AS844"/>
      <c r="AT844" s="50"/>
      <c r="AU844" s="97"/>
      <c r="AV844" s="97"/>
      <c r="AW844" s="97"/>
      <c r="AX844" s="97"/>
      <c r="AY844" s="97"/>
      <c r="BD844" s="35"/>
      <c r="BE844" s="35"/>
      <c r="BV844" s="98"/>
      <c r="BW844" s="98"/>
      <c r="BX844" s="98"/>
      <c r="BY844" s="112"/>
      <c r="BZ844" s="112"/>
      <c r="CA844" s="112"/>
      <c r="CB844" s="98"/>
      <c r="CC844" s="98"/>
      <c r="CD844" s="98"/>
      <c r="CE844" s="98"/>
      <c r="CG844" s="100"/>
      <c r="CH844" s="100"/>
      <c r="CI844" s="100"/>
      <c r="CJ844" s="100"/>
      <c r="CK844" s="100"/>
      <c r="CL844" s="100"/>
      <c r="CM844" s="100"/>
      <c r="CN844" s="100"/>
      <c r="CO844" s="100"/>
      <c r="CP844" s="100"/>
      <c r="CQ844" s="100"/>
      <c r="CR844" s="100"/>
      <c r="CS844" s="100"/>
      <c r="CT844" s="100"/>
      <c r="CU844" s="100"/>
    </row>
    <row r="845" spans="6:99" s="36" customFormat="1" ht="11.1" customHeight="1" x14ac:dyDescent="0.25">
      <c r="F845" s="33"/>
      <c r="G845" s="33"/>
      <c r="H845" s="33"/>
      <c r="I845" s="34"/>
      <c r="J845" s="34"/>
      <c r="K845" s="14"/>
      <c r="L845" s="32"/>
      <c r="M845" s="14"/>
      <c r="N845" s="14"/>
      <c r="O845" s="2"/>
      <c r="P845"/>
      <c r="Q845" s="2"/>
      <c r="R845"/>
      <c r="S845"/>
      <c r="T845"/>
      <c r="U845" s="2"/>
      <c r="V845" s="2"/>
      <c r="W845" s="2"/>
      <c r="X845" s="2"/>
      <c r="Y845" s="2"/>
      <c r="Z845" s="11"/>
      <c r="AA845" s="15"/>
      <c r="AB845" s="15"/>
      <c r="AC845" s="15"/>
      <c r="AD845" s="35"/>
      <c r="AE845" s="99"/>
      <c r="AF845" s="99"/>
      <c r="AG845" s="35"/>
      <c r="AH845" s="35"/>
      <c r="AI845" s="35"/>
      <c r="AJ845" s="1"/>
      <c r="AK845" s="1"/>
      <c r="AL845" s="1"/>
      <c r="AM845" s="1"/>
      <c r="AN845" s="1"/>
      <c r="AO845" s="1"/>
      <c r="AP845"/>
      <c r="AQ845"/>
      <c r="AR845"/>
      <c r="AS845"/>
      <c r="AT845" s="50"/>
      <c r="AU845" s="97"/>
      <c r="AV845" s="97"/>
      <c r="AW845" s="97"/>
      <c r="AX845" s="97"/>
      <c r="AY845" s="97"/>
      <c r="BD845" s="35"/>
      <c r="BE845" s="35"/>
      <c r="BV845" s="98"/>
      <c r="BW845" s="98"/>
      <c r="BX845" s="98"/>
      <c r="BY845" s="112"/>
      <c r="BZ845" s="112"/>
      <c r="CA845" s="112"/>
      <c r="CB845" s="98"/>
      <c r="CC845" s="98"/>
      <c r="CD845" s="98"/>
      <c r="CE845" s="98"/>
      <c r="CG845" s="100"/>
      <c r="CH845" s="100"/>
      <c r="CI845" s="100"/>
      <c r="CJ845" s="100"/>
      <c r="CK845" s="100"/>
      <c r="CL845" s="100"/>
      <c r="CM845" s="100"/>
      <c r="CN845" s="100"/>
      <c r="CO845" s="100"/>
      <c r="CP845" s="100"/>
      <c r="CQ845" s="100"/>
      <c r="CR845" s="100"/>
      <c r="CS845" s="100"/>
      <c r="CT845" s="100"/>
      <c r="CU845" s="100"/>
    </row>
    <row r="846" spans="6:99" s="36" customFormat="1" ht="11.1" customHeight="1" x14ac:dyDescent="0.25">
      <c r="F846" s="33"/>
      <c r="G846" s="33"/>
      <c r="H846" s="33"/>
      <c r="I846" s="34"/>
      <c r="J846" s="34"/>
      <c r="K846" s="14"/>
      <c r="L846" s="32"/>
      <c r="M846" s="14"/>
      <c r="N846" s="14"/>
      <c r="O846" s="2"/>
      <c r="P846"/>
      <c r="Q846" s="2"/>
      <c r="R846"/>
      <c r="S846"/>
      <c r="T846"/>
      <c r="U846" s="2"/>
      <c r="V846" s="2"/>
      <c r="W846" s="2"/>
      <c r="X846" s="2"/>
      <c r="Y846" s="2"/>
      <c r="Z846" s="11"/>
      <c r="AA846" s="15"/>
      <c r="AB846" s="15"/>
      <c r="AC846" s="15"/>
      <c r="AD846" s="35"/>
      <c r="AE846" s="99"/>
      <c r="AF846" s="99"/>
      <c r="AG846" s="35"/>
      <c r="AH846" s="35"/>
      <c r="AI846" s="35"/>
      <c r="AJ846" s="1"/>
      <c r="AK846" s="1"/>
      <c r="AL846" s="1"/>
      <c r="AM846" s="1"/>
      <c r="AN846" s="1"/>
      <c r="AO846" s="1"/>
      <c r="AP846"/>
      <c r="AQ846"/>
      <c r="AR846"/>
      <c r="AS846"/>
      <c r="AT846" s="50"/>
      <c r="AU846" s="97"/>
      <c r="AV846" s="97"/>
      <c r="AW846" s="97"/>
      <c r="AX846" s="97"/>
      <c r="AY846" s="97"/>
      <c r="BD846" s="35"/>
      <c r="BE846" s="35"/>
      <c r="BV846" s="98"/>
      <c r="BW846" s="98"/>
      <c r="BX846" s="98"/>
      <c r="BY846" s="112"/>
      <c r="BZ846" s="112"/>
      <c r="CA846" s="112"/>
      <c r="CB846" s="98"/>
      <c r="CC846" s="98"/>
      <c r="CD846" s="98"/>
      <c r="CE846" s="98"/>
      <c r="CG846" s="100"/>
      <c r="CH846" s="100"/>
      <c r="CI846" s="100"/>
      <c r="CJ846" s="100"/>
      <c r="CK846" s="100"/>
      <c r="CL846" s="100"/>
      <c r="CM846" s="100"/>
      <c r="CN846" s="100"/>
      <c r="CO846" s="100"/>
      <c r="CP846" s="100"/>
      <c r="CQ846" s="100"/>
      <c r="CR846" s="100"/>
      <c r="CS846" s="100"/>
      <c r="CT846" s="100"/>
      <c r="CU846" s="100"/>
    </row>
    <row r="847" spans="6:99" s="36" customFormat="1" ht="11.1" customHeight="1" x14ac:dyDescent="0.25">
      <c r="F847" s="33"/>
      <c r="G847" s="33"/>
      <c r="H847" s="33"/>
      <c r="I847" s="34"/>
      <c r="J847" s="34"/>
      <c r="K847" s="14"/>
      <c r="L847" s="32"/>
      <c r="M847" s="14"/>
      <c r="N847" s="14"/>
      <c r="O847" s="2"/>
      <c r="P847"/>
      <c r="Q847" s="2"/>
      <c r="R847"/>
      <c r="S847"/>
      <c r="T847"/>
      <c r="U847" s="2"/>
      <c r="V847" s="2"/>
      <c r="W847" s="2"/>
      <c r="X847" s="2"/>
      <c r="Y847" s="2"/>
      <c r="Z847" s="11"/>
      <c r="AA847" s="15"/>
      <c r="AB847" s="15"/>
      <c r="AC847" s="15"/>
      <c r="AD847" s="35"/>
      <c r="AE847" s="99"/>
      <c r="AF847" s="99"/>
      <c r="AG847" s="35"/>
      <c r="AH847" s="35"/>
      <c r="AI847" s="35"/>
      <c r="AJ847" s="1"/>
      <c r="AK847" s="1"/>
      <c r="AL847" s="1"/>
      <c r="AM847" s="1"/>
      <c r="AN847" s="1"/>
      <c r="AO847" s="1"/>
      <c r="AP847"/>
      <c r="AQ847"/>
      <c r="AR847"/>
      <c r="AS847"/>
      <c r="AT847" s="50"/>
      <c r="AU847" s="97"/>
      <c r="AV847" s="97"/>
      <c r="AW847" s="97"/>
      <c r="AX847" s="97"/>
      <c r="AY847" s="97"/>
      <c r="BD847" s="35"/>
      <c r="BE847" s="35"/>
      <c r="BV847" s="98"/>
      <c r="BW847" s="98"/>
      <c r="BX847" s="98"/>
      <c r="BY847" s="112"/>
      <c r="BZ847" s="112"/>
      <c r="CA847" s="112"/>
      <c r="CB847" s="98"/>
      <c r="CC847" s="98"/>
      <c r="CD847" s="98"/>
      <c r="CE847" s="98"/>
      <c r="CG847" s="100"/>
      <c r="CH847" s="100"/>
      <c r="CI847" s="100"/>
      <c r="CJ847" s="100"/>
      <c r="CK847" s="100"/>
      <c r="CL847" s="100"/>
      <c r="CM847" s="100"/>
      <c r="CN847" s="100"/>
      <c r="CO847" s="100"/>
      <c r="CP847" s="100"/>
      <c r="CQ847" s="100"/>
      <c r="CR847" s="100"/>
      <c r="CS847" s="100"/>
      <c r="CT847" s="100"/>
      <c r="CU847" s="100"/>
    </row>
    <row r="848" spans="6:99" s="36" customFormat="1" ht="11.1" customHeight="1" x14ac:dyDescent="0.25">
      <c r="F848" s="33"/>
      <c r="G848" s="33"/>
      <c r="H848" s="33"/>
      <c r="I848" s="34"/>
      <c r="J848" s="34"/>
      <c r="K848" s="14"/>
      <c r="L848" s="32"/>
      <c r="M848" s="14"/>
      <c r="N848" s="14"/>
      <c r="O848" s="2"/>
      <c r="P848"/>
      <c r="Q848" s="2"/>
      <c r="R848"/>
      <c r="S848"/>
      <c r="T848"/>
      <c r="U848" s="2"/>
      <c r="V848" s="2"/>
      <c r="W848" s="2"/>
      <c r="X848" s="2"/>
      <c r="Y848" s="2"/>
      <c r="Z848" s="11"/>
      <c r="AA848" s="15"/>
      <c r="AB848" s="15"/>
      <c r="AC848" s="15"/>
      <c r="AD848" s="35"/>
      <c r="AE848" s="99"/>
      <c r="AF848" s="99"/>
      <c r="AG848" s="35"/>
      <c r="AH848" s="35"/>
      <c r="AI848" s="35"/>
      <c r="AJ848" s="1"/>
      <c r="AK848" s="1"/>
      <c r="AL848" s="1"/>
      <c r="AM848" s="1"/>
      <c r="AN848" s="1"/>
      <c r="AO848" s="1"/>
      <c r="AP848"/>
      <c r="AQ848"/>
      <c r="AR848"/>
      <c r="AS848"/>
      <c r="AT848" s="50"/>
      <c r="AU848" s="97"/>
      <c r="AV848" s="97"/>
      <c r="AW848" s="97"/>
      <c r="AX848" s="97"/>
      <c r="AY848" s="97"/>
      <c r="BD848" s="35"/>
      <c r="BE848" s="35"/>
      <c r="BV848" s="98"/>
      <c r="BW848" s="98"/>
      <c r="BX848" s="98"/>
      <c r="BY848" s="112"/>
      <c r="BZ848" s="112"/>
      <c r="CA848" s="112"/>
      <c r="CB848" s="98"/>
      <c r="CC848" s="98"/>
      <c r="CD848" s="98"/>
      <c r="CE848" s="98"/>
      <c r="CG848" s="100"/>
      <c r="CH848" s="100"/>
      <c r="CI848" s="100"/>
      <c r="CJ848" s="100"/>
      <c r="CK848" s="100"/>
      <c r="CL848" s="100"/>
      <c r="CM848" s="100"/>
      <c r="CN848" s="100"/>
      <c r="CO848" s="100"/>
      <c r="CP848" s="100"/>
      <c r="CQ848" s="100"/>
      <c r="CR848" s="100"/>
      <c r="CS848" s="100"/>
      <c r="CT848" s="100"/>
      <c r="CU848" s="100"/>
    </row>
    <row r="849" spans="6:99" s="36" customFormat="1" ht="11.1" customHeight="1" x14ac:dyDescent="0.25">
      <c r="F849" s="33"/>
      <c r="G849" s="33"/>
      <c r="H849" s="33"/>
      <c r="I849" s="34"/>
      <c r="J849" s="34"/>
      <c r="K849" s="14"/>
      <c r="L849" s="32"/>
      <c r="M849" s="14"/>
      <c r="N849" s="14"/>
      <c r="O849" s="2"/>
      <c r="P849"/>
      <c r="Q849" s="2"/>
      <c r="R849"/>
      <c r="S849"/>
      <c r="T849"/>
      <c r="U849" s="2"/>
      <c r="V849" s="2"/>
      <c r="W849" s="2"/>
      <c r="X849" s="2"/>
      <c r="Y849" s="2"/>
      <c r="Z849" s="11"/>
      <c r="AA849" s="15"/>
      <c r="AB849" s="15"/>
      <c r="AC849" s="15"/>
      <c r="AD849" s="35"/>
      <c r="AE849" s="99"/>
      <c r="AF849" s="99"/>
      <c r="AG849" s="35"/>
      <c r="AH849" s="35"/>
      <c r="AI849" s="35"/>
      <c r="AJ849" s="1"/>
      <c r="AK849" s="1"/>
      <c r="AL849" s="1"/>
      <c r="AM849" s="1"/>
      <c r="AN849" s="1"/>
      <c r="AO849" s="1"/>
      <c r="AP849"/>
      <c r="AQ849"/>
      <c r="AR849"/>
      <c r="AS849"/>
      <c r="AT849" s="50"/>
      <c r="AU849" s="97"/>
      <c r="AV849" s="97"/>
      <c r="AW849" s="97"/>
      <c r="AX849" s="97"/>
      <c r="AY849" s="97"/>
      <c r="BD849" s="35"/>
      <c r="BE849" s="35"/>
      <c r="BV849" s="98"/>
      <c r="BW849" s="98"/>
      <c r="BX849" s="98"/>
      <c r="BY849" s="112"/>
      <c r="BZ849" s="112"/>
      <c r="CA849" s="112"/>
      <c r="CB849" s="98"/>
      <c r="CC849" s="98"/>
      <c r="CD849" s="98"/>
      <c r="CE849" s="98"/>
      <c r="CG849" s="100"/>
      <c r="CH849" s="100"/>
      <c r="CI849" s="100"/>
      <c r="CJ849" s="100"/>
      <c r="CK849" s="100"/>
      <c r="CL849" s="100"/>
      <c r="CM849" s="100"/>
      <c r="CN849" s="100"/>
      <c r="CO849" s="100"/>
      <c r="CP849" s="100"/>
      <c r="CQ849" s="100"/>
      <c r="CR849" s="100"/>
      <c r="CS849" s="100"/>
      <c r="CT849" s="100"/>
      <c r="CU849" s="100"/>
    </row>
    <row r="850" spans="6:99" s="36" customFormat="1" ht="11.1" customHeight="1" x14ac:dyDescent="0.25">
      <c r="F850" s="33"/>
      <c r="G850" s="33"/>
      <c r="H850" s="33"/>
      <c r="I850" s="34"/>
      <c r="J850" s="34"/>
      <c r="K850" s="14"/>
      <c r="L850" s="32"/>
      <c r="M850" s="14"/>
      <c r="N850" s="14"/>
      <c r="O850" s="2"/>
      <c r="P850"/>
      <c r="Q850" s="2"/>
      <c r="R850"/>
      <c r="S850"/>
      <c r="T850"/>
      <c r="U850" s="2"/>
      <c r="V850" s="2"/>
      <c r="W850" s="2"/>
      <c r="X850" s="2"/>
      <c r="Y850" s="2"/>
      <c r="Z850" s="11"/>
      <c r="AA850" s="15"/>
      <c r="AB850" s="15"/>
      <c r="AC850" s="15"/>
      <c r="AD850" s="35"/>
      <c r="AE850" s="99"/>
      <c r="AF850" s="99"/>
      <c r="AG850" s="35"/>
      <c r="AH850" s="35"/>
      <c r="AI850" s="35"/>
      <c r="AJ850" s="1"/>
      <c r="AK850" s="1"/>
      <c r="AL850" s="1"/>
      <c r="AM850" s="1"/>
      <c r="AN850" s="1"/>
      <c r="AO850" s="1"/>
      <c r="AP850"/>
      <c r="AQ850"/>
      <c r="AR850"/>
      <c r="AS850"/>
      <c r="AT850" s="50"/>
      <c r="AU850" s="97"/>
      <c r="AV850" s="97"/>
      <c r="AW850" s="97"/>
      <c r="AX850" s="97"/>
      <c r="AY850" s="97"/>
      <c r="BD850" s="35"/>
      <c r="BE850" s="35"/>
      <c r="BV850" s="98"/>
      <c r="BW850" s="98"/>
      <c r="BX850" s="98"/>
      <c r="BY850" s="112"/>
      <c r="BZ850" s="112"/>
      <c r="CA850" s="112"/>
      <c r="CB850" s="98"/>
      <c r="CC850" s="98"/>
      <c r="CD850" s="98"/>
      <c r="CE850" s="98"/>
      <c r="CG850" s="100"/>
      <c r="CH850" s="100"/>
      <c r="CI850" s="100"/>
      <c r="CJ850" s="100"/>
      <c r="CK850" s="100"/>
      <c r="CL850" s="100"/>
      <c r="CM850" s="100"/>
      <c r="CN850" s="100"/>
      <c r="CO850" s="100"/>
      <c r="CP850" s="100"/>
      <c r="CQ850" s="100"/>
      <c r="CR850" s="100"/>
      <c r="CS850" s="100"/>
      <c r="CT850" s="100"/>
      <c r="CU850" s="100"/>
    </row>
    <row r="851" spans="6:99" s="36" customFormat="1" ht="11.1" customHeight="1" x14ac:dyDescent="0.25">
      <c r="F851" s="33"/>
      <c r="G851" s="33"/>
      <c r="H851" s="33"/>
      <c r="I851" s="34"/>
      <c r="J851" s="34"/>
      <c r="K851" s="14"/>
      <c r="L851" s="32"/>
      <c r="M851" s="14"/>
      <c r="N851" s="14"/>
      <c r="O851" s="2"/>
      <c r="P851"/>
      <c r="Q851" s="2"/>
      <c r="R851"/>
      <c r="S851"/>
      <c r="T851"/>
      <c r="U851" s="2"/>
      <c r="V851" s="2"/>
      <c r="W851" s="2"/>
      <c r="X851" s="2"/>
      <c r="Y851" s="2"/>
      <c r="Z851" s="11"/>
      <c r="AA851" s="15"/>
      <c r="AB851" s="15"/>
      <c r="AC851" s="15"/>
      <c r="AD851" s="35"/>
      <c r="AE851" s="99"/>
      <c r="AF851" s="99"/>
      <c r="AG851" s="35"/>
      <c r="AH851" s="35"/>
      <c r="AI851" s="35"/>
      <c r="AJ851" s="1"/>
      <c r="AK851" s="1"/>
      <c r="AL851" s="1"/>
      <c r="AM851" s="1"/>
      <c r="AN851" s="1"/>
      <c r="AO851" s="1"/>
      <c r="AP851"/>
      <c r="AQ851"/>
      <c r="AR851"/>
      <c r="AS851"/>
      <c r="AT851" s="50"/>
      <c r="AU851" s="97"/>
      <c r="AV851" s="97"/>
      <c r="AW851" s="97"/>
      <c r="AX851" s="97"/>
      <c r="AY851" s="97"/>
      <c r="BD851" s="35"/>
      <c r="BE851" s="35"/>
      <c r="BV851" s="98"/>
      <c r="BW851" s="98"/>
      <c r="BX851" s="98"/>
      <c r="BY851" s="112"/>
      <c r="BZ851" s="112"/>
      <c r="CA851" s="112"/>
      <c r="CB851" s="98"/>
      <c r="CC851" s="98"/>
      <c r="CD851" s="98"/>
      <c r="CE851" s="98"/>
      <c r="CG851" s="100"/>
      <c r="CH851" s="100"/>
      <c r="CI851" s="100"/>
      <c r="CJ851" s="100"/>
      <c r="CK851" s="100"/>
      <c r="CL851" s="100"/>
      <c r="CM851" s="100"/>
      <c r="CN851" s="100"/>
      <c r="CO851" s="100"/>
      <c r="CP851" s="100"/>
      <c r="CQ851" s="100"/>
      <c r="CR851" s="100"/>
      <c r="CS851" s="100"/>
      <c r="CT851" s="100"/>
      <c r="CU851" s="100"/>
    </row>
    <row r="852" spans="6:99" s="36" customFormat="1" ht="11.1" customHeight="1" x14ac:dyDescent="0.25">
      <c r="F852" s="33"/>
      <c r="G852" s="33"/>
      <c r="H852" s="33"/>
      <c r="I852" s="34"/>
      <c r="J852" s="34"/>
      <c r="K852" s="14"/>
      <c r="L852" s="32"/>
      <c r="M852" s="14"/>
      <c r="N852" s="14"/>
      <c r="O852" s="2"/>
      <c r="P852"/>
      <c r="Q852" s="2"/>
      <c r="R852"/>
      <c r="S852"/>
      <c r="T852"/>
      <c r="U852" s="2"/>
      <c r="V852" s="2"/>
      <c r="W852" s="2"/>
      <c r="X852" s="2"/>
      <c r="Y852" s="2"/>
      <c r="Z852" s="11"/>
      <c r="AA852" s="15"/>
      <c r="AB852" s="15"/>
      <c r="AC852" s="15"/>
      <c r="AD852" s="35"/>
      <c r="AE852" s="99"/>
      <c r="AF852" s="99"/>
      <c r="AG852" s="35"/>
      <c r="AH852" s="35"/>
      <c r="AI852" s="35"/>
      <c r="AJ852" s="1"/>
      <c r="AK852" s="1"/>
      <c r="AL852" s="1"/>
      <c r="AM852" s="1"/>
      <c r="AN852" s="1"/>
      <c r="AO852" s="1"/>
      <c r="AP852"/>
      <c r="AQ852"/>
      <c r="AR852"/>
      <c r="AS852"/>
      <c r="AT852" s="50"/>
      <c r="AU852" s="97"/>
      <c r="AV852" s="97"/>
      <c r="AW852" s="97"/>
      <c r="AX852" s="97"/>
      <c r="AY852" s="97"/>
      <c r="BD852" s="35"/>
      <c r="BE852" s="35"/>
      <c r="BV852" s="98"/>
      <c r="BW852" s="98"/>
      <c r="BX852" s="98"/>
      <c r="BY852" s="112"/>
      <c r="BZ852" s="112"/>
      <c r="CA852" s="112"/>
      <c r="CB852" s="98"/>
      <c r="CC852" s="98"/>
      <c r="CD852" s="98"/>
      <c r="CE852" s="98"/>
      <c r="CG852" s="100"/>
      <c r="CH852" s="100"/>
      <c r="CI852" s="100"/>
      <c r="CJ852" s="100"/>
      <c r="CK852" s="100"/>
      <c r="CL852" s="100"/>
      <c r="CM852" s="100"/>
      <c r="CN852" s="100"/>
      <c r="CO852" s="100"/>
      <c r="CP852" s="100"/>
      <c r="CQ852" s="100"/>
      <c r="CR852" s="100"/>
      <c r="CS852" s="100"/>
      <c r="CT852" s="100"/>
      <c r="CU852" s="100"/>
    </row>
    <row r="853" spans="6:99" s="36" customFormat="1" ht="11.1" customHeight="1" x14ac:dyDescent="0.25">
      <c r="F853" s="33"/>
      <c r="G853" s="33"/>
      <c r="H853" s="33"/>
      <c r="I853" s="34"/>
      <c r="J853" s="34"/>
      <c r="K853" s="14"/>
      <c r="L853" s="32"/>
      <c r="M853" s="14"/>
      <c r="N853" s="14"/>
      <c r="O853" s="2"/>
      <c r="P853"/>
      <c r="Q853" s="2"/>
      <c r="R853"/>
      <c r="S853"/>
      <c r="T853"/>
      <c r="U853" s="2"/>
      <c r="V853" s="2"/>
      <c r="W853" s="2"/>
      <c r="X853" s="2"/>
      <c r="Y853" s="2"/>
      <c r="Z853" s="11"/>
      <c r="AA853" s="15"/>
      <c r="AB853" s="15"/>
      <c r="AC853" s="15"/>
      <c r="AD853" s="35"/>
      <c r="AE853" s="99"/>
      <c r="AF853" s="99"/>
      <c r="AG853" s="35"/>
      <c r="AH853" s="35"/>
      <c r="AI853" s="35"/>
      <c r="AJ853" s="1"/>
      <c r="AK853" s="1"/>
      <c r="AL853" s="1"/>
      <c r="AM853" s="1"/>
      <c r="AN853" s="1"/>
      <c r="AO853" s="1"/>
      <c r="AP853"/>
      <c r="AQ853"/>
      <c r="AR853"/>
      <c r="AS853"/>
      <c r="AT853" s="50"/>
      <c r="AU853" s="97"/>
      <c r="AV853" s="97"/>
      <c r="AW853" s="97"/>
      <c r="AX853" s="97"/>
      <c r="AY853" s="97"/>
      <c r="BD853" s="35"/>
      <c r="BE853" s="35"/>
      <c r="BV853" s="98"/>
      <c r="BW853" s="98"/>
      <c r="BX853" s="98"/>
      <c r="BY853" s="112"/>
      <c r="BZ853" s="112"/>
      <c r="CA853" s="112"/>
      <c r="CB853" s="98"/>
      <c r="CC853" s="98"/>
      <c r="CD853" s="98"/>
      <c r="CE853" s="98"/>
      <c r="CG853" s="100"/>
      <c r="CH853" s="100"/>
      <c r="CI853" s="100"/>
      <c r="CJ853" s="100"/>
      <c r="CK853" s="100"/>
      <c r="CL853" s="100"/>
      <c r="CM853" s="100"/>
      <c r="CN853" s="100"/>
      <c r="CO853" s="100"/>
      <c r="CP853" s="100"/>
      <c r="CQ853" s="100"/>
      <c r="CR853" s="100"/>
      <c r="CS853" s="100"/>
      <c r="CT853" s="100"/>
      <c r="CU853" s="100"/>
    </row>
    <row r="854" spans="6:99" s="36" customFormat="1" ht="11.1" customHeight="1" x14ac:dyDescent="0.25">
      <c r="F854" s="33"/>
      <c r="G854" s="33"/>
      <c r="H854" s="33"/>
      <c r="I854" s="34"/>
      <c r="J854" s="34"/>
      <c r="K854" s="14"/>
      <c r="L854" s="32"/>
      <c r="M854" s="14"/>
      <c r="N854" s="14"/>
      <c r="O854" s="2"/>
      <c r="P854"/>
      <c r="Q854" s="2"/>
      <c r="R854"/>
      <c r="S854"/>
      <c r="T854"/>
      <c r="U854" s="2"/>
      <c r="V854" s="2"/>
      <c r="W854" s="2"/>
      <c r="X854" s="2"/>
      <c r="Y854" s="2"/>
      <c r="Z854" s="11"/>
      <c r="AA854" s="15"/>
      <c r="AB854" s="15"/>
      <c r="AC854" s="15"/>
      <c r="AD854" s="35"/>
      <c r="AE854" s="99"/>
      <c r="AF854" s="99"/>
      <c r="AG854" s="35"/>
      <c r="AH854" s="35"/>
      <c r="AI854" s="35"/>
      <c r="AJ854" s="1"/>
      <c r="AK854" s="1"/>
      <c r="AL854" s="1"/>
      <c r="AM854" s="1"/>
      <c r="AN854" s="1"/>
      <c r="AO854" s="1"/>
      <c r="AP854"/>
      <c r="AQ854"/>
      <c r="AR854"/>
      <c r="AS854"/>
      <c r="AT854" s="50"/>
      <c r="AU854" s="97"/>
      <c r="AV854" s="97"/>
      <c r="AW854" s="97"/>
      <c r="AX854" s="97"/>
      <c r="AY854" s="97"/>
      <c r="BD854" s="35"/>
      <c r="BE854" s="35"/>
      <c r="BV854" s="98"/>
      <c r="BW854" s="98"/>
      <c r="BX854" s="98"/>
      <c r="BY854" s="112"/>
      <c r="BZ854" s="112"/>
      <c r="CA854" s="112"/>
      <c r="CB854" s="98"/>
      <c r="CC854" s="98"/>
      <c r="CD854" s="98"/>
      <c r="CE854" s="98"/>
      <c r="CG854" s="100"/>
      <c r="CH854" s="100"/>
      <c r="CI854" s="100"/>
      <c r="CJ854" s="100"/>
      <c r="CK854" s="100"/>
      <c r="CL854" s="100"/>
      <c r="CM854" s="100"/>
      <c r="CN854" s="100"/>
      <c r="CO854" s="100"/>
      <c r="CP854" s="100"/>
      <c r="CQ854" s="100"/>
      <c r="CR854" s="100"/>
      <c r="CS854" s="100"/>
      <c r="CT854" s="100"/>
      <c r="CU854" s="100"/>
    </row>
    <row r="855" spans="6:99" s="36" customFormat="1" ht="11.1" customHeight="1" x14ac:dyDescent="0.25">
      <c r="F855" s="33"/>
      <c r="G855" s="33"/>
      <c r="H855" s="33"/>
      <c r="I855" s="34"/>
      <c r="J855" s="34"/>
      <c r="K855" s="14"/>
      <c r="L855" s="32"/>
      <c r="M855" s="14"/>
      <c r="N855" s="14"/>
      <c r="O855" s="2"/>
      <c r="P855"/>
      <c r="Q855" s="2"/>
      <c r="R855"/>
      <c r="S855"/>
      <c r="T855"/>
      <c r="U855" s="2"/>
      <c r="V855" s="2"/>
      <c r="W855" s="2"/>
      <c r="X855" s="2"/>
      <c r="Y855" s="2"/>
      <c r="Z855" s="11"/>
      <c r="AA855" s="15"/>
      <c r="AB855" s="15"/>
      <c r="AC855" s="15"/>
      <c r="AD855" s="35"/>
      <c r="AE855" s="99"/>
      <c r="AF855" s="99"/>
      <c r="AG855" s="35"/>
      <c r="AH855" s="35"/>
      <c r="AI855" s="35"/>
      <c r="AJ855" s="1"/>
      <c r="AK855" s="1"/>
      <c r="AL855" s="1"/>
      <c r="AM855" s="1"/>
      <c r="AN855" s="1"/>
      <c r="AO855" s="1"/>
      <c r="AP855"/>
      <c r="AQ855"/>
      <c r="AR855"/>
      <c r="AS855"/>
      <c r="AT855" s="50"/>
      <c r="AU855" s="97"/>
      <c r="AV855" s="97"/>
      <c r="AW855" s="97"/>
      <c r="AX855" s="97"/>
      <c r="AY855" s="97"/>
      <c r="BD855" s="35"/>
      <c r="BE855" s="35"/>
      <c r="BV855" s="98"/>
      <c r="BW855" s="98"/>
      <c r="BX855" s="98"/>
      <c r="BY855" s="112"/>
      <c r="BZ855" s="112"/>
      <c r="CA855" s="112"/>
      <c r="CB855" s="98"/>
      <c r="CC855" s="98"/>
      <c r="CD855" s="98"/>
      <c r="CE855" s="98"/>
      <c r="CG855" s="100"/>
      <c r="CH855" s="100"/>
      <c r="CI855" s="100"/>
      <c r="CJ855" s="100"/>
      <c r="CK855" s="100"/>
      <c r="CL855" s="100"/>
      <c r="CM855" s="100"/>
      <c r="CN855" s="100"/>
      <c r="CO855" s="100"/>
      <c r="CP855" s="100"/>
      <c r="CQ855" s="100"/>
      <c r="CR855" s="100"/>
      <c r="CS855" s="100"/>
      <c r="CT855" s="100"/>
      <c r="CU855" s="100"/>
    </row>
    <row r="856" spans="6:99" s="36" customFormat="1" ht="11.1" customHeight="1" x14ac:dyDescent="0.25">
      <c r="F856" s="33"/>
      <c r="G856" s="33"/>
      <c r="H856" s="33"/>
      <c r="I856" s="34"/>
      <c r="J856" s="34"/>
      <c r="K856" s="14"/>
      <c r="L856" s="32"/>
      <c r="M856" s="14"/>
      <c r="N856" s="14"/>
      <c r="O856" s="2"/>
      <c r="P856"/>
      <c r="Q856" s="2"/>
      <c r="R856"/>
      <c r="S856"/>
      <c r="T856"/>
      <c r="U856" s="2"/>
      <c r="V856" s="2"/>
      <c r="W856" s="2"/>
      <c r="X856" s="2"/>
      <c r="Y856" s="2"/>
      <c r="Z856" s="11"/>
      <c r="AA856" s="15"/>
      <c r="AB856" s="15"/>
      <c r="AC856" s="15"/>
      <c r="AD856" s="35"/>
      <c r="AE856" s="99"/>
      <c r="AF856" s="99"/>
      <c r="AG856" s="35"/>
      <c r="AH856" s="35"/>
      <c r="AI856" s="35"/>
      <c r="AJ856" s="1"/>
      <c r="AK856" s="1"/>
      <c r="AL856" s="1"/>
      <c r="AM856" s="1"/>
      <c r="AN856" s="1"/>
      <c r="AO856" s="1"/>
      <c r="AP856"/>
      <c r="AQ856"/>
      <c r="AR856"/>
      <c r="AS856"/>
      <c r="AT856" s="50"/>
      <c r="AU856" s="97"/>
      <c r="AV856" s="97"/>
      <c r="AW856" s="97"/>
      <c r="AX856" s="97"/>
      <c r="AY856" s="97"/>
      <c r="BD856" s="35"/>
      <c r="BE856" s="35"/>
      <c r="BV856" s="98"/>
      <c r="BW856" s="98"/>
      <c r="BX856" s="98"/>
      <c r="BY856" s="112"/>
      <c r="BZ856" s="112"/>
      <c r="CA856" s="112"/>
      <c r="CB856" s="98"/>
      <c r="CC856" s="98"/>
      <c r="CD856" s="98"/>
      <c r="CE856" s="98"/>
      <c r="CG856" s="100"/>
      <c r="CH856" s="100"/>
      <c r="CI856" s="100"/>
      <c r="CJ856" s="100"/>
      <c r="CK856" s="100"/>
      <c r="CL856" s="100"/>
      <c r="CM856" s="100"/>
      <c r="CN856" s="100"/>
      <c r="CO856" s="100"/>
      <c r="CP856" s="100"/>
      <c r="CQ856" s="100"/>
      <c r="CR856" s="100"/>
      <c r="CS856" s="100"/>
      <c r="CT856" s="100"/>
      <c r="CU856" s="100"/>
    </row>
    <row r="857" spans="6:99" s="36" customFormat="1" ht="11.1" customHeight="1" x14ac:dyDescent="0.25">
      <c r="F857" s="33"/>
      <c r="G857" s="33"/>
      <c r="H857" s="33"/>
      <c r="I857" s="34"/>
      <c r="J857" s="34"/>
      <c r="K857" s="14"/>
      <c r="L857" s="32"/>
      <c r="M857" s="14"/>
      <c r="N857" s="14"/>
      <c r="O857" s="2"/>
      <c r="P857"/>
      <c r="Q857" s="2"/>
      <c r="R857"/>
      <c r="S857"/>
      <c r="T857"/>
      <c r="U857" s="2"/>
      <c r="V857" s="2"/>
      <c r="W857" s="2"/>
      <c r="X857" s="2"/>
      <c r="Y857" s="2"/>
      <c r="Z857" s="11"/>
      <c r="AA857" s="15"/>
      <c r="AB857" s="15"/>
      <c r="AC857" s="15"/>
      <c r="AD857" s="35"/>
      <c r="AE857" s="99"/>
      <c r="AF857" s="99"/>
      <c r="AG857" s="35"/>
      <c r="AH857" s="35"/>
      <c r="AI857" s="35"/>
      <c r="AJ857" s="1"/>
      <c r="AK857" s="1"/>
      <c r="AL857" s="1"/>
      <c r="AM857" s="1"/>
      <c r="AN857" s="1"/>
      <c r="AO857" s="1"/>
      <c r="AP857"/>
      <c r="AQ857"/>
      <c r="AR857"/>
      <c r="AS857"/>
      <c r="AT857" s="50"/>
      <c r="AU857" s="97"/>
      <c r="AV857" s="97"/>
      <c r="AW857" s="97"/>
      <c r="AX857" s="97"/>
      <c r="AY857" s="97"/>
      <c r="BD857" s="35"/>
      <c r="BE857" s="35"/>
      <c r="BV857" s="98"/>
      <c r="BW857" s="98"/>
      <c r="BX857" s="98"/>
      <c r="BY857" s="112"/>
      <c r="BZ857" s="112"/>
      <c r="CA857" s="112"/>
      <c r="CB857" s="98"/>
      <c r="CC857" s="98"/>
      <c r="CD857" s="98"/>
      <c r="CE857" s="98"/>
      <c r="CG857" s="100"/>
      <c r="CH857" s="100"/>
      <c r="CI857" s="100"/>
      <c r="CJ857" s="100"/>
      <c r="CK857" s="100"/>
      <c r="CL857" s="100"/>
      <c r="CM857" s="100"/>
      <c r="CN857" s="100"/>
      <c r="CO857" s="100"/>
      <c r="CP857" s="100"/>
      <c r="CQ857" s="100"/>
      <c r="CR857" s="100"/>
      <c r="CS857" s="100"/>
      <c r="CT857" s="100"/>
      <c r="CU857" s="100"/>
    </row>
    <row r="858" spans="6:99" s="36" customFormat="1" ht="11.1" customHeight="1" x14ac:dyDescent="0.25">
      <c r="F858" s="33"/>
      <c r="G858" s="33"/>
      <c r="H858" s="33"/>
      <c r="I858" s="34"/>
      <c r="J858" s="34"/>
      <c r="K858" s="14"/>
      <c r="L858" s="32"/>
      <c r="M858" s="14"/>
      <c r="N858" s="14"/>
      <c r="O858" s="2"/>
      <c r="P858"/>
      <c r="Q858" s="2"/>
      <c r="R858"/>
      <c r="S858"/>
      <c r="T858"/>
      <c r="U858" s="2"/>
      <c r="V858" s="2"/>
      <c r="W858" s="2"/>
      <c r="X858" s="2"/>
      <c r="Y858" s="2"/>
      <c r="Z858" s="11"/>
      <c r="AA858" s="15"/>
      <c r="AB858" s="15"/>
      <c r="AC858" s="15"/>
      <c r="AD858" s="35"/>
      <c r="AE858" s="99"/>
      <c r="AF858" s="99"/>
      <c r="AG858" s="35"/>
      <c r="AH858" s="35"/>
      <c r="AI858" s="35"/>
      <c r="AJ858" s="1"/>
      <c r="AK858" s="1"/>
      <c r="AL858" s="1"/>
      <c r="AM858" s="1"/>
      <c r="AN858" s="1"/>
      <c r="AO858" s="1"/>
      <c r="AP858"/>
      <c r="AQ858"/>
      <c r="AR858"/>
      <c r="AS858"/>
      <c r="AT858" s="50"/>
      <c r="AU858" s="97"/>
      <c r="AV858" s="97"/>
      <c r="AW858" s="97"/>
      <c r="AX858" s="97"/>
      <c r="AY858" s="97"/>
      <c r="BD858" s="35"/>
      <c r="BE858" s="35"/>
      <c r="BV858" s="98"/>
      <c r="BW858" s="98"/>
      <c r="BX858" s="98"/>
      <c r="BY858" s="112"/>
      <c r="BZ858" s="112"/>
      <c r="CA858" s="112"/>
      <c r="CB858" s="98"/>
      <c r="CC858" s="98"/>
      <c r="CD858" s="98"/>
      <c r="CE858" s="98"/>
      <c r="CG858" s="100"/>
      <c r="CH858" s="100"/>
      <c r="CI858" s="100"/>
      <c r="CJ858" s="100"/>
      <c r="CK858" s="100"/>
      <c r="CL858" s="100"/>
      <c r="CM858" s="100"/>
      <c r="CN858" s="100"/>
      <c r="CO858" s="100"/>
      <c r="CP858" s="100"/>
      <c r="CQ858" s="100"/>
      <c r="CR858" s="100"/>
      <c r="CS858" s="100"/>
      <c r="CT858" s="100"/>
      <c r="CU858" s="100"/>
    </row>
    <row r="859" spans="6:99" s="36" customFormat="1" ht="11.1" customHeight="1" x14ac:dyDescent="0.25">
      <c r="F859" s="33"/>
      <c r="G859" s="33"/>
      <c r="H859" s="33"/>
      <c r="I859" s="34"/>
      <c r="J859" s="34"/>
      <c r="K859" s="14"/>
      <c r="L859" s="32"/>
      <c r="M859" s="14"/>
      <c r="N859" s="14"/>
      <c r="O859" s="2"/>
      <c r="P859"/>
      <c r="Q859" s="2"/>
      <c r="R859"/>
      <c r="S859"/>
      <c r="T859"/>
      <c r="U859" s="2"/>
      <c r="V859" s="2"/>
      <c r="W859" s="2"/>
      <c r="X859" s="2"/>
      <c r="Y859" s="2"/>
      <c r="Z859" s="11"/>
      <c r="AA859" s="15"/>
      <c r="AB859" s="15"/>
      <c r="AC859" s="15"/>
      <c r="AD859" s="35"/>
      <c r="AE859" s="99"/>
      <c r="AF859" s="99"/>
      <c r="AG859" s="35"/>
      <c r="AH859" s="35"/>
      <c r="AI859" s="35"/>
      <c r="AJ859" s="1"/>
      <c r="AK859" s="1"/>
      <c r="AL859" s="1"/>
      <c r="AM859" s="1"/>
      <c r="AN859" s="1"/>
      <c r="AO859" s="1"/>
      <c r="AP859"/>
      <c r="AQ859"/>
      <c r="AR859"/>
      <c r="AS859"/>
      <c r="AT859" s="50"/>
      <c r="AU859" s="97"/>
      <c r="AV859" s="97"/>
      <c r="AW859" s="97"/>
      <c r="AX859" s="97"/>
      <c r="AY859" s="97"/>
      <c r="BD859" s="35"/>
      <c r="BE859" s="35"/>
      <c r="BV859" s="98"/>
      <c r="BW859" s="98"/>
      <c r="BX859" s="98"/>
      <c r="BY859" s="112"/>
      <c r="BZ859" s="112"/>
      <c r="CA859" s="112"/>
      <c r="CB859" s="98"/>
      <c r="CC859" s="98"/>
      <c r="CD859" s="98"/>
      <c r="CE859" s="98"/>
      <c r="CG859" s="100"/>
      <c r="CH859" s="100"/>
      <c r="CI859" s="100"/>
      <c r="CJ859" s="100"/>
      <c r="CK859" s="100"/>
      <c r="CL859" s="100"/>
      <c r="CM859" s="100"/>
      <c r="CN859" s="100"/>
      <c r="CO859" s="100"/>
      <c r="CP859" s="100"/>
      <c r="CQ859" s="100"/>
      <c r="CR859" s="100"/>
      <c r="CS859" s="100"/>
      <c r="CT859" s="100"/>
      <c r="CU859" s="100"/>
    </row>
    <row r="860" spans="6:99" s="36" customFormat="1" ht="11.1" customHeight="1" x14ac:dyDescent="0.25">
      <c r="F860" s="33"/>
      <c r="G860" s="33"/>
      <c r="H860" s="33"/>
      <c r="I860" s="34"/>
      <c r="J860" s="34"/>
      <c r="K860" s="14"/>
      <c r="L860" s="32"/>
      <c r="M860" s="14"/>
      <c r="N860" s="14"/>
      <c r="O860" s="2"/>
      <c r="P860"/>
      <c r="Q860" s="2"/>
      <c r="R860"/>
      <c r="S860"/>
      <c r="T860"/>
      <c r="U860" s="2"/>
      <c r="V860" s="2"/>
      <c r="W860" s="2"/>
      <c r="X860" s="2"/>
      <c r="Y860" s="2"/>
      <c r="Z860" s="11"/>
      <c r="AA860" s="15"/>
      <c r="AB860" s="15"/>
      <c r="AC860" s="15"/>
      <c r="AD860" s="35"/>
      <c r="AE860" s="99"/>
      <c r="AF860" s="99"/>
      <c r="AG860" s="35"/>
      <c r="AH860" s="35"/>
      <c r="AI860" s="35"/>
      <c r="AJ860" s="1"/>
      <c r="AK860" s="1"/>
      <c r="AL860" s="1"/>
      <c r="AM860" s="1"/>
      <c r="AN860" s="1"/>
      <c r="AO860" s="1"/>
      <c r="AP860"/>
      <c r="AQ860"/>
      <c r="AR860"/>
      <c r="AS860"/>
      <c r="AT860" s="50"/>
      <c r="AU860" s="97"/>
      <c r="AV860" s="97"/>
      <c r="AW860" s="97"/>
      <c r="AX860" s="97"/>
      <c r="AY860" s="97"/>
      <c r="BD860" s="35"/>
      <c r="BE860" s="35"/>
      <c r="BV860" s="98"/>
      <c r="BW860" s="98"/>
      <c r="BX860" s="98"/>
      <c r="BY860" s="112"/>
      <c r="BZ860" s="112"/>
      <c r="CA860" s="112"/>
      <c r="CB860" s="98"/>
      <c r="CC860" s="98"/>
      <c r="CD860" s="98"/>
      <c r="CE860" s="98"/>
      <c r="CG860" s="100"/>
      <c r="CH860" s="100"/>
      <c r="CI860" s="100"/>
      <c r="CJ860" s="100"/>
      <c r="CK860" s="100"/>
      <c r="CL860" s="100"/>
      <c r="CM860" s="100"/>
      <c r="CN860" s="100"/>
      <c r="CO860" s="100"/>
      <c r="CP860" s="100"/>
      <c r="CQ860" s="100"/>
      <c r="CR860" s="100"/>
      <c r="CS860" s="100"/>
      <c r="CT860" s="100"/>
      <c r="CU860" s="100"/>
    </row>
    <row r="861" spans="6:99" s="36" customFormat="1" ht="11.1" customHeight="1" x14ac:dyDescent="0.25">
      <c r="F861" s="33"/>
      <c r="G861" s="33"/>
      <c r="H861" s="33"/>
      <c r="I861" s="34"/>
      <c r="J861" s="34"/>
      <c r="K861" s="14"/>
      <c r="L861" s="32"/>
      <c r="M861" s="14"/>
      <c r="N861" s="14"/>
      <c r="O861" s="2"/>
      <c r="P861"/>
      <c r="Q861" s="2"/>
      <c r="R861"/>
      <c r="S861"/>
      <c r="T861"/>
      <c r="U861" s="2"/>
      <c r="V861" s="2"/>
      <c r="W861" s="2"/>
      <c r="X861" s="2"/>
      <c r="Y861" s="2"/>
      <c r="Z861" s="11"/>
      <c r="AA861" s="15"/>
      <c r="AB861" s="15"/>
      <c r="AC861" s="15"/>
      <c r="AD861" s="35"/>
      <c r="AE861" s="99"/>
      <c r="AF861" s="99"/>
      <c r="AG861" s="35"/>
      <c r="AH861" s="35"/>
      <c r="AI861" s="35"/>
      <c r="AJ861" s="1"/>
      <c r="AK861" s="1"/>
      <c r="AL861" s="1"/>
      <c r="AM861" s="1"/>
      <c r="AN861" s="1"/>
      <c r="AO861" s="1"/>
      <c r="AP861"/>
      <c r="AQ861"/>
      <c r="AR861"/>
      <c r="AS861"/>
      <c r="AT861" s="50"/>
      <c r="AU861" s="97"/>
      <c r="AV861" s="97"/>
      <c r="AW861" s="97"/>
      <c r="AX861" s="97"/>
      <c r="AY861" s="97"/>
      <c r="BD861" s="35"/>
      <c r="BE861" s="35"/>
      <c r="BV861" s="98"/>
      <c r="BW861" s="98"/>
      <c r="BX861" s="98"/>
      <c r="BY861" s="112"/>
      <c r="BZ861" s="112"/>
      <c r="CA861" s="112"/>
      <c r="CB861" s="98"/>
      <c r="CC861" s="98"/>
      <c r="CD861" s="98"/>
      <c r="CE861" s="98"/>
      <c r="CG861" s="100"/>
      <c r="CH861" s="100"/>
      <c r="CI861" s="100"/>
      <c r="CJ861" s="100"/>
      <c r="CK861" s="100"/>
      <c r="CL861" s="100"/>
      <c r="CM861" s="100"/>
      <c r="CN861" s="100"/>
      <c r="CO861" s="100"/>
      <c r="CP861" s="100"/>
      <c r="CQ861" s="100"/>
      <c r="CR861" s="100"/>
      <c r="CS861" s="100"/>
      <c r="CT861" s="100"/>
      <c r="CU861" s="100"/>
    </row>
    <row r="862" spans="6:99" s="36" customFormat="1" ht="11.1" customHeight="1" x14ac:dyDescent="0.25">
      <c r="F862" s="33"/>
      <c r="G862" s="33"/>
      <c r="H862" s="33"/>
      <c r="I862" s="34"/>
      <c r="J862" s="34"/>
      <c r="K862" s="14"/>
      <c r="L862" s="32"/>
      <c r="M862" s="14"/>
      <c r="N862" s="14"/>
      <c r="O862" s="2"/>
      <c r="P862"/>
      <c r="Q862" s="2"/>
      <c r="R862"/>
      <c r="S862"/>
      <c r="T862"/>
      <c r="U862" s="2"/>
      <c r="V862" s="2"/>
      <c r="W862" s="2"/>
      <c r="X862" s="2"/>
      <c r="Y862" s="2"/>
      <c r="Z862" s="11"/>
      <c r="AA862" s="15"/>
      <c r="AB862" s="15"/>
      <c r="AC862" s="15"/>
      <c r="AD862" s="35"/>
      <c r="AE862" s="99"/>
      <c r="AF862" s="99"/>
      <c r="AG862" s="35"/>
      <c r="AH862" s="35"/>
      <c r="AI862" s="35"/>
      <c r="AJ862" s="1"/>
      <c r="AK862" s="1"/>
      <c r="AL862" s="1"/>
      <c r="AM862" s="1"/>
      <c r="AN862" s="1"/>
      <c r="AO862" s="1"/>
      <c r="AP862"/>
      <c r="AQ862"/>
      <c r="AR862"/>
      <c r="AS862"/>
      <c r="AT862" s="50"/>
      <c r="AU862" s="97"/>
      <c r="AV862" s="97"/>
      <c r="AW862" s="97"/>
      <c r="AX862" s="97"/>
      <c r="AY862" s="97"/>
      <c r="BD862" s="35"/>
      <c r="BE862" s="35"/>
      <c r="BV862" s="98"/>
      <c r="BW862" s="98"/>
      <c r="BX862" s="98"/>
      <c r="BY862" s="112"/>
      <c r="BZ862" s="112"/>
      <c r="CA862" s="112"/>
      <c r="CB862" s="98"/>
      <c r="CC862" s="98"/>
      <c r="CD862" s="98"/>
      <c r="CE862" s="98"/>
      <c r="CG862" s="100"/>
      <c r="CH862" s="100"/>
      <c r="CI862" s="100"/>
      <c r="CJ862" s="100"/>
      <c r="CK862" s="100"/>
      <c r="CL862" s="100"/>
      <c r="CM862" s="100"/>
      <c r="CN862" s="100"/>
      <c r="CO862" s="100"/>
      <c r="CP862" s="100"/>
      <c r="CQ862" s="100"/>
      <c r="CR862" s="100"/>
      <c r="CS862" s="100"/>
      <c r="CT862" s="100"/>
      <c r="CU862" s="100"/>
    </row>
    <row r="863" spans="6:99" s="36" customFormat="1" ht="11.1" customHeight="1" x14ac:dyDescent="0.25">
      <c r="F863" s="33"/>
      <c r="G863" s="33"/>
      <c r="H863" s="33"/>
      <c r="I863" s="34"/>
      <c r="J863" s="34"/>
      <c r="K863" s="14"/>
      <c r="L863" s="32"/>
      <c r="M863" s="14"/>
      <c r="N863" s="14"/>
      <c r="O863" s="2"/>
      <c r="P863"/>
      <c r="Q863" s="2"/>
      <c r="R863"/>
      <c r="S863"/>
      <c r="T863"/>
      <c r="U863" s="2"/>
      <c r="V863" s="2"/>
      <c r="W863" s="2"/>
      <c r="X863" s="2"/>
      <c r="Y863" s="2"/>
      <c r="Z863" s="11"/>
      <c r="AA863" s="15"/>
      <c r="AB863" s="15"/>
      <c r="AC863" s="15"/>
      <c r="AD863" s="35"/>
      <c r="AE863" s="99"/>
      <c r="AF863" s="99"/>
      <c r="AG863" s="35"/>
      <c r="AH863" s="35"/>
      <c r="AI863" s="35"/>
      <c r="AJ863" s="1"/>
      <c r="AK863" s="1"/>
      <c r="AL863" s="1"/>
      <c r="AM863" s="1"/>
      <c r="AN863" s="1"/>
      <c r="AO863" s="1"/>
      <c r="AP863"/>
      <c r="AQ863"/>
      <c r="AR863"/>
      <c r="AS863"/>
      <c r="AT863" s="50"/>
      <c r="AU863" s="97"/>
      <c r="AV863" s="97"/>
      <c r="AW863" s="97"/>
      <c r="AX863" s="97"/>
      <c r="AY863" s="97"/>
      <c r="BD863" s="35"/>
      <c r="BE863" s="35"/>
      <c r="BV863" s="98"/>
      <c r="BW863" s="98"/>
      <c r="BX863" s="98"/>
      <c r="BY863" s="112"/>
      <c r="BZ863" s="112"/>
      <c r="CA863" s="112"/>
      <c r="CB863" s="98"/>
      <c r="CC863" s="98"/>
      <c r="CD863" s="98"/>
      <c r="CE863" s="98"/>
      <c r="CG863" s="100"/>
      <c r="CH863" s="100"/>
      <c r="CI863" s="100"/>
      <c r="CJ863" s="100"/>
      <c r="CK863" s="100"/>
      <c r="CL863" s="100"/>
      <c r="CM863" s="100"/>
      <c r="CN863" s="100"/>
      <c r="CO863" s="100"/>
      <c r="CP863" s="100"/>
      <c r="CQ863" s="100"/>
      <c r="CR863" s="100"/>
      <c r="CS863" s="100"/>
      <c r="CT863" s="100"/>
      <c r="CU863" s="100"/>
    </row>
    <row r="864" spans="6:99" s="36" customFormat="1" ht="11.1" customHeight="1" x14ac:dyDescent="0.25">
      <c r="F864" s="33"/>
      <c r="G864" s="33"/>
      <c r="H864" s="33"/>
      <c r="I864" s="34"/>
      <c r="J864" s="34"/>
      <c r="K864" s="14"/>
      <c r="L864" s="32"/>
      <c r="M864" s="14"/>
      <c r="N864" s="14"/>
      <c r="O864" s="2"/>
      <c r="P864"/>
      <c r="Q864" s="2"/>
      <c r="R864"/>
      <c r="S864"/>
      <c r="T864"/>
      <c r="U864" s="2"/>
      <c r="V864" s="2"/>
      <c r="W864" s="2"/>
      <c r="X864" s="2"/>
      <c r="Y864" s="2"/>
      <c r="Z864" s="11"/>
      <c r="AA864" s="15"/>
      <c r="AB864" s="15"/>
      <c r="AC864" s="15"/>
      <c r="AD864" s="35"/>
      <c r="AE864" s="99"/>
      <c r="AF864" s="99"/>
      <c r="AG864" s="35"/>
      <c r="AH864" s="35"/>
      <c r="AI864" s="35"/>
      <c r="AJ864" s="1"/>
      <c r="AK864" s="1"/>
      <c r="AL864" s="1"/>
      <c r="AM864" s="1"/>
      <c r="AN864" s="1"/>
      <c r="AO864" s="1"/>
      <c r="AP864"/>
      <c r="AQ864"/>
      <c r="AR864"/>
      <c r="AS864"/>
      <c r="AT864" s="50"/>
      <c r="AU864" s="97"/>
      <c r="AV864" s="97"/>
      <c r="AW864" s="97"/>
      <c r="AX864" s="97"/>
      <c r="AY864" s="97"/>
      <c r="BD864" s="35"/>
      <c r="BE864" s="35"/>
      <c r="BV864" s="98"/>
      <c r="BW864" s="98"/>
      <c r="BX864" s="98"/>
      <c r="BY864" s="112"/>
      <c r="BZ864" s="112"/>
      <c r="CA864" s="112"/>
      <c r="CB864" s="98"/>
      <c r="CC864" s="98"/>
      <c r="CD864" s="98"/>
      <c r="CE864" s="98"/>
      <c r="CG864" s="100"/>
      <c r="CH864" s="100"/>
      <c r="CI864" s="100"/>
      <c r="CJ864" s="100"/>
      <c r="CK864" s="100"/>
      <c r="CL864" s="100"/>
      <c r="CM864" s="100"/>
      <c r="CN864" s="100"/>
      <c r="CO864" s="100"/>
      <c r="CP864" s="100"/>
      <c r="CQ864" s="100"/>
      <c r="CR864" s="100"/>
      <c r="CS864" s="100"/>
      <c r="CT864" s="100"/>
      <c r="CU864" s="100"/>
    </row>
    <row r="865" spans="6:99" s="36" customFormat="1" ht="11.1" customHeight="1" x14ac:dyDescent="0.25">
      <c r="F865" s="33"/>
      <c r="G865" s="33"/>
      <c r="H865" s="33"/>
      <c r="I865" s="34"/>
      <c r="J865" s="34"/>
      <c r="K865" s="14"/>
      <c r="L865" s="32"/>
      <c r="M865" s="14"/>
      <c r="N865" s="14"/>
      <c r="O865" s="2"/>
      <c r="P865"/>
      <c r="Q865" s="2"/>
      <c r="R865"/>
      <c r="S865"/>
      <c r="T865"/>
      <c r="U865" s="2"/>
      <c r="V865" s="2"/>
      <c r="W865" s="2"/>
      <c r="X865" s="2"/>
      <c r="Y865" s="2"/>
      <c r="Z865" s="11"/>
      <c r="AA865" s="15"/>
      <c r="AB865" s="15"/>
      <c r="AC865" s="15"/>
      <c r="AD865" s="35"/>
      <c r="AE865" s="99"/>
      <c r="AF865" s="99"/>
      <c r="AG865" s="35"/>
      <c r="AH865" s="35"/>
      <c r="AI865" s="35"/>
      <c r="AJ865" s="1"/>
      <c r="AK865" s="1"/>
      <c r="AL865" s="1"/>
      <c r="AM865" s="1"/>
      <c r="AN865" s="1"/>
      <c r="AO865" s="1"/>
      <c r="AP865"/>
      <c r="AQ865"/>
      <c r="AR865"/>
      <c r="AS865"/>
      <c r="AT865" s="50"/>
      <c r="AU865" s="97"/>
      <c r="AV865" s="97"/>
      <c r="AW865" s="97"/>
      <c r="AX865" s="97"/>
      <c r="AY865" s="97"/>
      <c r="BD865" s="35"/>
      <c r="BE865" s="35"/>
      <c r="BV865" s="98"/>
      <c r="BW865" s="98"/>
      <c r="BX865" s="98"/>
      <c r="BY865" s="112"/>
      <c r="BZ865" s="112"/>
      <c r="CA865" s="112"/>
      <c r="CB865" s="98"/>
      <c r="CC865" s="98"/>
      <c r="CD865" s="98"/>
      <c r="CE865" s="98"/>
      <c r="CG865" s="100"/>
      <c r="CH865" s="100"/>
      <c r="CI865" s="100"/>
      <c r="CJ865" s="100"/>
      <c r="CK865" s="100"/>
      <c r="CL865" s="100"/>
      <c r="CM865" s="100"/>
      <c r="CN865" s="100"/>
      <c r="CO865" s="100"/>
      <c r="CP865" s="100"/>
      <c r="CQ865" s="100"/>
      <c r="CR865" s="100"/>
      <c r="CS865" s="100"/>
      <c r="CT865" s="100"/>
      <c r="CU865" s="100"/>
    </row>
    <row r="866" spans="6:99" s="36" customFormat="1" ht="11.1" customHeight="1" x14ac:dyDescent="0.25">
      <c r="F866" s="33"/>
      <c r="G866" s="33"/>
      <c r="H866" s="33"/>
      <c r="I866" s="34"/>
      <c r="J866" s="34"/>
      <c r="K866" s="14"/>
      <c r="L866" s="32"/>
      <c r="M866" s="14"/>
      <c r="N866" s="14"/>
      <c r="O866" s="2"/>
      <c r="P866"/>
      <c r="Q866" s="2"/>
      <c r="R866"/>
      <c r="S866"/>
      <c r="T866"/>
      <c r="U866" s="2"/>
      <c r="V866" s="2"/>
      <c r="W866" s="2"/>
      <c r="X866" s="2"/>
      <c r="Y866" s="2"/>
      <c r="Z866" s="11"/>
      <c r="AA866" s="15"/>
      <c r="AB866" s="15"/>
      <c r="AC866" s="15"/>
      <c r="AD866" s="35"/>
      <c r="AE866" s="99"/>
      <c r="AF866" s="99"/>
      <c r="AG866" s="35"/>
      <c r="AH866" s="35"/>
      <c r="AI866" s="35"/>
      <c r="AJ866" s="1"/>
      <c r="AK866" s="1"/>
      <c r="AL866" s="1"/>
      <c r="AM866" s="1"/>
      <c r="AN866" s="1"/>
      <c r="AO866" s="1"/>
      <c r="AP866"/>
      <c r="AQ866"/>
      <c r="AR866"/>
      <c r="AS866"/>
      <c r="AT866" s="50"/>
      <c r="AU866" s="97"/>
      <c r="AV866" s="97"/>
      <c r="AW866" s="97"/>
      <c r="AX866" s="97"/>
      <c r="AY866" s="97"/>
      <c r="BD866" s="35"/>
      <c r="BE866" s="35"/>
      <c r="BV866" s="98"/>
      <c r="BW866" s="98"/>
      <c r="BX866" s="98"/>
      <c r="BY866" s="112"/>
      <c r="BZ866" s="112"/>
      <c r="CA866" s="112"/>
      <c r="CB866" s="98"/>
      <c r="CC866" s="98"/>
      <c r="CD866" s="98"/>
      <c r="CE866" s="98"/>
      <c r="CG866" s="100"/>
      <c r="CH866" s="100"/>
      <c r="CI866" s="100"/>
      <c r="CJ866" s="100"/>
      <c r="CK866" s="100"/>
      <c r="CL866" s="100"/>
      <c r="CM866" s="100"/>
      <c r="CN866" s="100"/>
      <c r="CO866" s="100"/>
      <c r="CP866" s="100"/>
      <c r="CQ866" s="100"/>
      <c r="CR866" s="100"/>
      <c r="CS866" s="100"/>
      <c r="CT866" s="100"/>
      <c r="CU866" s="100"/>
    </row>
    <row r="867" spans="6:99" s="36" customFormat="1" ht="11.1" customHeight="1" x14ac:dyDescent="0.25">
      <c r="F867" s="33"/>
      <c r="G867" s="33"/>
      <c r="H867" s="33"/>
      <c r="I867" s="34"/>
      <c r="J867" s="34"/>
      <c r="K867" s="14"/>
      <c r="L867" s="32"/>
      <c r="M867" s="14"/>
      <c r="N867" s="14"/>
      <c r="O867" s="2"/>
      <c r="P867"/>
      <c r="Q867" s="2"/>
      <c r="R867"/>
      <c r="S867"/>
      <c r="T867"/>
      <c r="U867" s="2"/>
      <c r="V867" s="2"/>
      <c r="W867" s="2"/>
      <c r="X867" s="2"/>
      <c r="Y867" s="2"/>
      <c r="Z867" s="11"/>
      <c r="AA867" s="15"/>
      <c r="AB867" s="15"/>
      <c r="AC867" s="15"/>
      <c r="AD867" s="35"/>
      <c r="AE867" s="99"/>
      <c r="AF867" s="99"/>
      <c r="AG867" s="35"/>
      <c r="AH867" s="35"/>
      <c r="AI867" s="35"/>
      <c r="AJ867" s="1"/>
      <c r="AK867" s="1"/>
      <c r="AL867" s="1"/>
      <c r="AM867" s="1"/>
      <c r="AN867" s="1"/>
      <c r="AO867" s="1"/>
      <c r="AP867"/>
      <c r="AQ867"/>
      <c r="AR867"/>
      <c r="AS867"/>
      <c r="AT867" s="50"/>
      <c r="AU867" s="97"/>
      <c r="AV867" s="97"/>
      <c r="AW867" s="97"/>
      <c r="AX867" s="97"/>
      <c r="AY867" s="97"/>
      <c r="BD867" s="35"/>
      <c r="BE867" s="35"/>
      <c r="BV867" s="98"/>
      <c r="BW867" s="98"/>
      <c r="BX867" s="98"/>
      <c r="BY867" s="112"/>
      <c r="BZ867" s="112"/>
      <c r="CA867" s="112"/>
      <c r="CB867" s="98"/>
      <c r="CC867" s="98"/>
      <c r="CD867" s="98"/>
      <c r="CE867" s="98"/>
      <c r="CG867" s="100"/>
      <c r="CH867" s="100"/>
      <c r="CI867" s="100"/>
      <c r="CJ867" s="100"/>
      <c r="CK867" s="100"/>
      <c r="CL867" s="100"/>
      <c r="CM867" s="100"/>
      <c r="CN867" s="100"/>
      <c r="CO867" s="100"/>
      <c r="CP867" s="100"/>
      <c r="CQ867" s="100"/>
      <c r="CR867" s="100"/>
      <c r="CS867" s="100"/>
      <c r="CT867" s="100"/>
      <c r="CU867" s="100"/>
    </row>
    <row r="868" spans="6:99" s="36" customFormat="1" ht="11.1" customHeight="1" x14ac:dyDescent="0.25">
      <c r="F868" s="33"/>
      <c r="G868" s="33"/>
      <c r="H868" s="33"/>
      <c r="I868" s="34"/>
      <c r="J868" s="34"/>
      <c r="K868" s="14"/>
      <c r="L868" s="32"/>
      <c r="M868" s="14"/>
      <c r="N868" s="14"/>
      <c r="O868" s="2"/>
      <c r="P868"/>
      <c r="Q868" s="2"/>
      <c r="R868"/>
      <c r="S868"/>
      <c r="T868"/>
      <c r="U868" s="2"/>
      <c r="V868" s="2"/>
      <c r="W868" s="2"/>
      <c r="X868" s="2"/>
      <c r="Y868" s="2"/>
      <c r="Z868" s="11"/>
      <c r="AA868" s="15"/>
      <c r="AB868" s="15"/>
      <c r="AC868" s="15"/>
      <c r="AD868" s="35"/>
      <c r="AE868" s="99"/>
      <c r="AF868" s="99"/>
      <c r="AG868" s="35"/>
      <c r="AH868" s="35"/>
      <c r="AI868" s="35"/>
      <c r="AJ868" s="1"/>
      <c r="AK868" s="1"/>
      <c r="AL868" s="1"/>
      <c r="AM868" s="1"/>
      <c r="AN868" s="1"/>
      <c r="AO868" s="1"/>
      <c r="AP868"/>
      <c r="AQ868"/>
      <c r="AR868"/>
      <c r="AS868"/>
      <c r="AT868" s="50"/>
      <c r="AU868" s="97"/>
      <c r="AV868" s="97"/>
      <c r="AW868" s="97"/>
      <c r="AX868" s="97"/>
      <c r="AY868" s="97"/>
      <c r="BD868" s="35"/>
      <c r="BE868" s="35"/>
      <c r="BV868" s="98"/>
      <c r="BW868" s="98"/>
      <c r="BX868" s="98"/>
      <c r="BY868" s="112"/>
      <c r="BZ868" s="112"/>
      <c r="CA868" s="112"/>
      <c r="CB868" s="98"/>
      <c r="CC868" s="98"/>
      <c r="CD868" s="98"/>
      <c r="CE868" s="98"/>
      <c r="CG868" s="100"/>
      <c r="CH868" s="100"/>
      <c r="CI868" s="100"/>
      <c r="CJ868" s="100"/>
      <c r="CK868" s="100"/>
      <c r="CL868" s="100"/>
      <c r="CM868" s="100"/>
      <c r="CN868" s="100"/>
      <c r="CO868" s="100"/>
      <c r="CP868" s="100"/>
      <c r="CQ868" s="100"/>
      <c r="CR868" s="100"/>
      <c r="CS868" s="100"/>
      <c r="CT868" s="100"/>
      <c r="CU868" s="100"/>
    </row>
    <row r="869" spans="6:99" s="36" customFormat="1" ht="11.1" customHeight="1" x14ac:dyDescent="0.25">
      <c r="F869" s="33"/>
      <c r="G869" s="33"/>
      <c r="H869" s="33"/>
      <c r="I869" s="34"/>
      <c r="J869" s="34"/>
      <c r="K869" s="14"/>
      <c r="L869" s="32"/>
      <c r="M869" s="14"/>
      <c r="N869" s="14"/>
      <c r="O869" s="2"/>
      <c r="P869"/>
      <c r="Q869" s="2"/>
      <c r="R869"/>
      <c r="S869"/>
      <c r="T869"/>
      <c r="U869" s="2"/>
      <c r="V869" s="2"/>
      <c r="W869" s="2"/>
      <c r="X869" s="2"/>
      <c r="Y869" s="2"/>
      <c r="Z869" s="11"/>
      <c r="AA869" s="15"/>
      <c r="AB869" s="15"/>
      <c r="AC869" s="15"/>
      <c r="AD869" s="35"/>
      <c r="AE869" s="99"/>
      <c r="AF869" s="99"/>
      <c r="AG869" s="35"/>
      <c r="AH869" s="35"/>
      <c r="AI869" s="35"/>
      <c r="AJ869" s="1"/>
      <c r="AK869" s="1"/>
      <c r="AL869" s="1"/>
      <c r="AM869" s="1"/>
      <c r="AN869" s="1"/>
      <c r="AO869" s="1"/>
      <c r="AP869"/>
      <c r="AQ869"/>
      <c r="AR869"/>
      <c r="AS869"/>
      <c r="AT869" s="50"/>
      <c r="AU869" s="97"/>
      <c r="AV869" s="97"/>
      <c r="AW869" s="97"/>
      <c r="AX869" s="97"/>
      <c r="AY869" s="97"/>
      <c r="BD869" s="35"/>
      <c r="BE869" s="35"/>
      <c r="BV869" s="98"/>
      <c r="BW869" s="98"/>
      <c r="BX869" s="98"/>
      <c r="BY869" s="112"/>
      <c r="BZ869" s="112"/>
      <c r="CA869" s="112"/>
      <c r="CB869" s="98"/>
      <c r="CC869" s="98"/>
      <c r="CD869" s="98"/>
      <c r="CE869" s="98"/>
      <c r="CG869" s="100"/>
      <c r="CH869" s="100"/>
      <c r="CI869" s="100"/>
      <c r="CJ869" s="100"/>
      <c r="CK869" s="100"/>
      <c r="CL869" s="100"/>
      <c r="CM869" s="100"/>
      <c r="CN869" s="100"/>
      <c r="CO869" s="100"/>
      <c r="CP869" s="100"/>
      <c r="CQ869" s="100"/>
      <c r="CR869" s="100"/>
      <c r="CS869" s="100"/>
      <c r="CT869" s="100"/>
      <c r="CU869" s="100"/>
    </row>
    <row r="870" spans="6:99" s="36" customFormat="1" ht="11.1" customHeight="1" x14ac:dyDescent="0.25">
      <c r="F870" s="33"/>
      <c r="G870" s="33"/>
      <c r="H870" s="33"/>
      <c r="I870" s="34"/>
      <c r="J870" s="34"/>
      <c r="K870" s="14"/>
      <c r="L870" s="32"/>
      <c r="M870" s="14"/>
      <c r="N870" s="14"/>
      <c r="O870" s="2"/>
      <c r="P870"/>
      <c r="Q870" s="2"/>
      <c r="R870"/>
      <c r="S870"/>
      <c r="T870"/>
      <c r="U870" s="2"/>
      <c r="V870" s="2"/>
      <c r="W870" s="2"/>
      <c r="X870" s="2"/>
      <c r="Y870" s="2"/>
      <c r="Z870" s="11"/>
      <c r="AA870" s="15"/>
      <c r="AB870" s="15"/>
      <c r="AC870" s="15"/>
      <c r="AD870" s="35"/>
      <c r="AE870" s="99"/>
      <c r="AF870" s="99"/>
      <c r="AG870" s="35"/>
      <c r="AH870" s="35"/>
      <c r="AI870" s="35"/>
      <c r="AJ870" s="1"/>
      <c r="AK870" s="1"/>
      <c r="AL870" s="1"/>
      <c r="AM870" s="1"/>
      <c r="AN870" s="1"/>
      <c r="AO870" s="1"/>
      <c r="AP870"/>
      <c r="AQ870"/>
      <c r="AR870"/>
      <c r="AS870"/>
      <c r="AT870" s="50"/>
      <c r="AU870" s="97"/>
      <c r="AV870" s="97"/>
      <c r="AW870" s="97"/>
      <c r="AX870" s="97"/>
      <c r="AY870" s="97"/>
      <c r="BD870" s="35"/>
      <c r="BE870" s="35"/>
      <c r="BV870" s="98"/>
      <c r="BW870" s="98"/>
      <c r="BX870" s="98"/>
      <c r="BY870" s="112"/>
      <c r="BZ870" s="112"/>
      <c r="CA870" s="112"/>
      <c r="CB870" s="98"/>
      <c r="CC870" s="98"/>
      <c r="CD870" s="98"/>
      <c r="CE870" s="98"/>
      <c r="CG870" s="100"/>
      <c r="CH870" s="100"/>
      <c r="CI870" s="100"/>
      <c r="CJ870" s="100"/>
      <c r="CK870" s="100"/>
      <c r="CL870" s="100"/>
      <c r="CM870" s="100"/>
      <c r="CN870" s="100"/>
      <c r="CO870" s="100"/>
      <c r="CP870" s="100"/>
      <c r="CQ870" s="100"/>
      <c r="CR870" s="100"/>
      <c r="CS870" s="100"/>
      <c r="CT870" s="100"/>
      <c r="CU870" s="100"/>
    </row>
    <row r="871" spans="6:99" s="36" customFormat="1" ht="11.1" customHeight="1" x14ac:dyDescent="0.25">
      <c r="F871" s="33"/>
      <c r="G871" s="33"/>
      <c r="H871" s="33"/>
      <c r="I871" s="34"/>
      <c r="J871" s="34"/>
      <c r="K871" s="14"/>
      <c r="L871" s="32"/>
      <c r="M871" s="14"/>
      <c r="N871" s="14"/>
      <c r="O871" s="2"/>
      <c r="P871"/>
      <c r="Q871" s="2"/>
      <c r="R871"/>
      <c r="S871"/>
      <c r="T871"/>
      <c r="U871" s="2"/>
      <c r="V871" s="2"/>
      <c r="W871" s="2"/>
      <c r="X871" s="2"/>
      <c r="Y871" s="2"/>
      <c r="Z871" s="11"/>
      <c r="AA871" s="15"/>
      <c r="AB871" s="15"/>
      <c r="AC871" s="15"/>
      <c r="AD871" s="35"/>
      <c r="AE871" s="99"/>
      <c r="AF871" s="99"/>
      <c r="AG871" s="35"/>
      <c r="AH871" s="35"/>
      <c r="AI871" s="35"/>
      <c r="AJ871" s="1"/>
      <c r="AK871" s="1"/>
      <c r="AL871" s="1"/>
      <c r="AM871" s="1"/>
      <c r="AN871" s="1"/>
      <c r="AO871" s="1"/>
      <c r="AP871"/>
      <c r="AQ871"/>
      <c r="AR871"/>
      <c r="AS871"/>
      <c r="AT871" s="50"/>
      <c r="AU871" s="97"/>
      <c r="AV871" s="97"/>
      <c r="AW871" s="97"/>
      <c r="AX871" s="97"/>
      <c r="AY871" s="97"/>
      <c r="BD871" s="35"/>
      <c r="BE871" s="35"/>
      <c r="BV871" s="98"/>
      <c r="BW871" s="98"/>
      <c r="BX871" s="98"/>
      <c r="BY871" s="112"/>
      <c r="BZ871" s="112"/>
      <c r="CA871" s="112"/>
      <c r="CB871" s="98"/>
      <c r="CC871" s="98"/>
      <c r="CD871" s="98"/>
      <c r="CE871" s="98"/>
      <c r="CG871" s="100"/>
      <c r="CH871" s="100"/>
      <c r="CI871" s="100"/>
      <c r="CJ871" s="100"/>
      <c r="CK871" s="100"/>
      <c r="CL871" s="100"/>
      <c r="CM871" s="100"/>
      <c r="CN871" s="100"/>
      <c r="CO871" s="100"/>
      <c r="CP871" s="100"/>
      <c r="CQ871" s="100"/>
      <c r="CR871" s="100"/>
      <c r="CS871" s="100"/>
      <c r="CT871" s="100"/>
      <c r="CU871" s="100"/>
    </row>
    <row r="872" spans="6:99" s="36" customFormat="1" ht="11.1" customHeight="1" x14ac:dyDescent="0.25">
      <c r="F872" s="33"/>
      <c r="G872" s="33"/>
      <c r="H872" s="33"/>
      <c r="I872" s="34"/>
      <c r="J872" s="34"/>
      <c r="K872" s="14"/>
      <c r="L872" s="32"/>
      <c r="M872" s="14"/>
      <c r="N872" s="14"/>
      <c r="O872" s="2"/>
      <c r="P872"/>
      <c r="Q872" s="2"/>
      <c r="R872"/>
      <c r="S872"/>
      <c r="T872"/>
      <c r="U872" s="2"/>
      <c r="V872" s="2"/>
      <c r="W872" s="2"/>
      <c r="X872" s="2"/>
      <c r="Y872" s="2"/>
      <c r="Z872" s="11"/>
      <c r="AA872" s="15"/>
      <c r="AB872" s="15"/>
      <c r="AC872" s="15"/>
      <c r="AD872" s="35"/>
      <c r="AE872" s="99"/>
      <c r="AF872" s="99"/>
      <c r="AG872" s="35"/>
      <c r="AH872" s="35"/>
      <c r="AI872" s="35"/>
      <c r="AJ872" s="1"/>
      <c r="AK872" s="1"/>
      <c r="AL872" s="1"/>
      <c r="AM872" s="1"/>
      <c r="AN872" s="1"/>
      <c r="AO872" s="1"/>
      <c r="AP872"/>
      <c r="AQ872"/>
      <c r="AR872"/>
      <c r="AS872"/>
      <c r="AT872" s="50"/>
      <c r="AU872" s="97"/>
      <c r="AV872" s="97"/>
      <c r="AW872" s="97"/>
      <c r="AX872" s="97"/>
      <c r="AY872" s="97"/>
      <c r="BD872" s="35"/>
      <c r="BE872" s="35"/>
      <c r="BV872" s="98"/>
      <c r="BW872" s="98"/>
      <c r="BX872" s="98"/>
      <c r="BY872" s="112"/>
      <c r="BZ872" s="112"/>
      <c r="CA872" s="112"/>
      <c r="CB872" s="98"/>
      <c r="CC872" s="98"/>
      <c r="CD872" s="98"/>
      <c r="CE872" s="98"/>
      <c r="CG872" s="100"/>
      <c r="CH872" s="100"/>
      <c r="CI872" s="100"/>
      <c r="CJ872" s="100"/>
      <c r="CK872" s="100"/>
      <c r="CL872" s="100"/>
      <c r="CM872" s="100"/>
      <c r="CN872" s="100"/>
      <c r="CO872" s="100"/>
      <c r="CP872" s="100"/>
      <c r="CQ872" s="100"/>
      <c r="CR872" s="100"/>
      <c r="CS872" s="100"/>
      <c r="CT872" s="100"/>
      <c r="CU872" s="100"/>
    </row>
    <row r="873" spans="6:99" s="36" customFormat="1" ht="11.1" customHeight="1" x14ac:dyDescent="0.25">
      <c r="F873" s="33"/>
      <c r="G873" s="33"/>
      <c r="H873" s="33"/>
      <c r="I873" s="34"/>
      <c r="J873" s="34"/>
      <c r="K873" s="14"/>
      <c r="L873" s="32"/>
      <c r="M873" s="14"/>
      <c r="N873" s="14"/>
      <c r="O873" s="2"/>
      <c r="P873"/>
      <c r="Q873" s="2"/>
      <c r="R873"/>
      <c r="S873"/>
      <c r="T873"/>
      <c r="U873" s="2"/>
      <c r="V873" s="2"/>
      <c r="W873" s="2"/>
      <c r="X873" s="2"/>
      <c r="Y873" s="2"/>
      <c r="Z873" s="11"/>
      <c r="AA873" s="15"/>
      <c r="AB873" s="15"/>
      <c r="AC873" s="15"/>
      <c r="AD873" s="35"/>
      <c r="AE873" s="99"/>
      <c r="AF873" s="99"/>
      <c r="AG873" s="35"/>
      <c r="AH873" s="35"/>
      <c r="AI873" s="35"/>
      <c r="AJ873" s="1"/>
      <c r="AK873" s="1"/>
      <c r="AL873" s="1"/>
      <c r="AM873" s="1"/>
      <c r="AN873" s="1"/>
      <c r="AO873" s="1"/>
      <c r="AP873"/>
      <c r="AQ873"/>
      <c r="AR873"/>
      <c r="AS873"/>
      <c r="AT873" s="50"/>
      <c r="AU873" s="97"/>
      <c r="AV873" s="97"/>
      <c r="AW873" s="97"/>
      <c r="AX873" s="97"/>
      <c r="AY873" s="97"/>
      <c r="BD873" s="35"/>
      <c r="BE873" s="35"/>
      <c r="BV873" s="98"/>
      <c r="BW873" s="98"/>
      <c r="BX873" s="98"/>
      <c r="BY873" s="112"/>
      <c r="BZ873" s="112"/>
      <c r="CA873" s="112"/>
      <c r="CB873" s="98"/>
      <c r="CC873" s="98"/>
      <c r="CD873" s="98"/>
      <c r="CE873" s="98"/>
      <c r="CG873" s="100"/>
      <c r="CH873" s="100"/>
      <c r="CI873" s="100"/>
      <c r="CJ873" s="100"/>
      <c r="CK873" s="100"/>
      <c r="CL873" s="100"/>
      <c r="CM873" s="100"/>
      <c r="CN873" s="100"/>
      <c r="CO873" s="100"/>
      <c r="CP873" s="100"/>
      <c r="CQ873" s="100"/>
      <c r="CR873" s="100"/>
      <c r="CS873" s="100"/>
      <c r="CT873" s="100"/>
      <c r="CU873" s="100"/>
    </row>
    <row r="874" spans="6:99" s="36" customFormat="1" ht="11.1" customHeight="1" x14ac:dyDescent="0.25">
      <c r="F874" s="33"/>
      <c r="G874" s="33"/>
      <c r="H874" s="33"/>
      <c r="I874" s="34"/>
      <c r="J874" s="34"/>
      <c r="K874" s="14"/>
      <c r="L874" s="32"/>
      <c r="M874" s="14"/>
      <c r="N874" s="14"/>
      <c r="O874" s="2"/>
      <c r="P874"/>
      <c r="Q874" s="2"/>
      <c r="R874"/>
      <c r="S874"/>
      <c r="T874"/>
      <c r="U874" s="2"/>
      <c r="V874" s="2"/>
      <c r="W874" s="2"/>
      <c r="X874" s="2"/>
      <c r="Y874" s="2"/>
      <c r="Z874" s="11"/>
      <c r="AA874" s="15"/>
      <c r="AB874" s="15"/>
      <c r="AC874" s="15"/>
      <c r="AD874" s="35"/>
      <c r="AE874" s="99"/>
      <c r="AF874" s="99"/>
      <c r="AG874" s="35"/>
      <c r="AH874" s="35"/>
      <c r="AI874" s="35"/>
      <c r="AJ874" s="1"/>
      <c r="AK874" s="1"/>
      <c r="AL874" s="1"/>
      <c r="AM874" s="1"/>
      <c r="AN874" s="1"/>
      <c r="AO874" s="1"/>
      <c r="AP874"/>
      <c r="AQ874"/>
      <c r="AR874"/>
      <c r="AS874"/>
      <c r="AT874" s="50"/>
      <c r="AU874" s="97"/>
      <c r="AV874" s="97"/>
      <c r="AW874" s="97"/>
      <c r="AX874" s="97"/>
      <c r="AY874" s="97"/>
      <c r="BD874" s="35"/>
      <c r="BE874" s="35"/>
      <c r="BV874" s="98"/>
      <c r="BW874" s="98"/>
      <c r="BX874" s="98"/>
      <c r="BY874" s="112"/>
      <c r="BZ874" s="112"/>
      <c r="CA874" s="112"/>
      <c r="CB874" s="98"/>
      <c r="CC874" s="98"/>
      <c r="CD874" s="98"/>
      <c r="CE874" s="98"/>
      <c r="CG874" s="100"/>
      <c r="CH874" s="100"/>
      <c r="CI874" s="100"/>
      <c r="CJ874" s="100"/>
      <c r="CK874" s="100"/>
      <c r="CL874" s="100"/>
      <c r="CM874" s="100"/>
      <c r="CN874" s="100"/>
      <c r="CO874" s="100"/>
      <c r="CP874" s="100"/>
      <c r="CQ874" s="100"/>
      <c r="CR874" s="100"/>
      <c r="CS874" s="100"/>
      <c r="CT874" s="100"/>
      <c r="CU874" s="100"/>
    </row>
    <row r="875" spans="6:99" s="36" customFormat="1" ht="11.1" customHeight="1" x14ac:dyDescent="0.25">
      <c r="F875" s="33"/>
      <c r="G875" s="33"/>
      <c r="H875" s="33"/>
      <c r="I875" s="34"/>
      <c r="J875" s="34"/>
      <c r="K875" s="14"/>
      <c r="L875" s="32"/>
      <c r="M875" s="14"/>
      <c r="N875" s="14"/>
      <c r="O875" s="2"/>
      <c r="P875"/>
      <c r="Q875" s="2"/>
      <c r="R875"/>
      <c r="S875"/>
      <c r="T875"/>
      <c r="U875" s="2"/>
      <c r="V875" s="2"/>
      <c r="W875" s="2"/>
      <c r="X875" s="2"/>
      <c r="Y875" s="2"/>
      <c r="Z875" s="11"/>
      <c r="AA875" s="15"/>
      <c r="AB875" s="15"/>
      <c r="AC875" s="15"/>
      <c r="AD875" s="35"/>
      <c r="AE875" s="99"/>
      <c r="AF875" s="99"/>
      <c r="AG875" s="35"/>
      <c r="AH875" s="35"/>
      <c r="AI875" s="35"/>
      <c r="AJ875" s="1"/>
      <c r="AK875" s="1"/>
      <c r="AL875" s="1"/>
      <c r="AM875" s="1"/>
      <c r="AN875" s="1"/>
      <c r="AO875" s="1"/>
      <c r="AP875"/>
      <c r="AQ875"/>
      <c r="AR875"/>
      <c r="AS875"/>
      <c r="AT875" s="50"/>
      <c r="AU875" s="97"/>
      <c r="AV875" s="97"/>
      <c r="AW875" s="97"/>
      <c r="AX875" s="97"/>
      <c r="AY875" s="97"/>
      <c r="BD875" s="35"/>
      <c r="BE875" s="35"/>
      <c r="BV875" s="98"/>
      <c r="BW875" s="98"/>
      <c r="BX875" s="98"/>
      <c r="BY875" s="112"/>
      <c r="BZ875" s="112"/>
      <c r="CA875" s="112"/>
      <c r="CB875" s="98"/>
      <c r="CC875" s="98"/>
      <c r="CD875" s="98"/>
      <c r="CE875" s="98"/>
      <c r="CG875" s="100"/>
      <c r="CH875" s="100"/>
      <c r="CI875" s="100"/>
      <c r="CJ875" s="100"/>
      <c r="CK875" s="100"/>
      <c r="CL875" s="100"/>
      <c r="CM875" s="100"/>
      <c r="CN875" s="100"/>
      <c r="CO875" s="100"/>
      <c r="CP875" s="100"/>
      <c r="CQ875" s="100"/>
      <c r="CR875" s="100"/>
      <c r="CS875" s="100"/>
      <c r="CT875" s="100"/>
      <c r="CU875" s="100"/>
    </row>
    <row r="876" spans="6:99" s="36" customFormat="1" ht="11.1" customHeight="1" x14ac:dyDescent="0.25">
      <c r="F876" s="33"/>
      <c r="G876" s="33"/>
      <c r="H876" s="33"/>
      <c r="I876" s="34"/>
      <c r="J876" s="34"/>
      <c r="K876" s="14"/>
      <c r="L876" s="32"/>
      <c r="M876" s="14"/>
      <c r="N876" s="14"/>
      <c r="O876" s="2"/>
      <c r="P876"/>
      <c r="Q876" s="2"/>
      <c r="R876"/>
      <c r="S876"/>
      <c r="T876"/>
      <c r="U876" s="2"/>
      <c r="V876" s="2"/>
      <c r="W876" s="2"/>
      <c r="X876" s="2"/>
      <c r="Y876" s="2"/>
      <c r="Z876" s="11"/>
      <c r="AA876" s="15"/>
      <c r="AB876" s="15"/>
      <c r="AC876" s="15"/>
      <c r="AD876" s="35"/>
      <c r="AE876" s="99"/>
      <c r="AF876" s="99"/>
      <c r="AG876" s="35"/>
      <c r="AH876" s="35"/>
      <c r="AI876" s="35"/>
      <c r="AJ876" s="1"/>
      <c r="AK876" s="1"/>
      <c r="AL876" s="1"/>
      <c r="AM876" s="1"/>
      <c r="AN876" s="1"/>
      <c r="AO876" s="1"/>
      <c r="AP876"/>
      <c r="AQ876"/>
      <c r="AR876"/>
      <c r="AS876"/>
      <c r="AT876" s="50"/>
      <c r="AU876" s="97"/>
      <c r="AV876" s="97"/>
      <c r="AW876" s="97"/>
      <c r="AX876" s="97"/>
      <c r="AY876" s="97"/>
      <c r="BD876" s="35"/>
      <c r="BE876" s="35"/>
      <c r="BV876" s="98"/>
      <c r="BW876" s="98"/>
      <c r="BX876" s="98"/>
      <c r="BY876" s="112"/>
      <c r="BZ876" s="112"/>
      <c r="CA876" s="112"/>
      <c r="CB876" s="98"/>
      <c r="CC876" s="98"/>
      <c r="CD876" s="98"/>
      <c r="CE876" s="98"/>
      <c r="CG876" s="100"/>
      <c r="CH876" s="100"/>
      <c r="CI876" s="100"/>
      <c r="CJ876" s="100"/>
      <c r="CK876" s="100"/>
      <c r="CL876" s="100"/>
      <c r="CM876" s="100"/>
      <c r="CN876" s="100"/>
      <c r="CO876" s="100"/>
      <c r="CP876" s="100"/>
      <c r="CQ876" s="100"/>
      <c r="CR876" s="100"/>
      <c r="CS876" s="100"/>
      <c r="CT876" s="100"/>
      <c r="CU876" s="100"/>
    </row>
    <row r="877" spans="6:99" s="36" customFormat="1" ht="11.1" customHeight="1" x14ac:dyDescent="0.25">
      <c r="F877" s="33"/>
      <c r="G877" s="33"/>
      <c r="H877" s="33"/>
      <c r="I877" s="34"/>
      <c r="J877" s="34"/>
      <c r="K877" s="14"/>
      <c r="L877" s="32"/>
      <c r="M877" s="14"/>
      <c r="N877" s="14"/>
      <c r="O877" s="2"/>
      <c r="P877"/>
      <c r="Q877" s="2"/>
      <c r="R877"/>
      <c r="S877"/>
      <c r="T877"/>
      <c r="U877" s="2"/>
      <c r="V877" s="2"/>
      <c r="W877" s="2"/>
      <c r="X877" s="2"/>
      <c r="Y877" s="2"/>
      <c r="Z877" s="11"/>
      <c r="AA877" s="15"/>
      <c r="AB877" s="15"/>
      <c r="AC877" s="15"/>
      <c r="AD877" s="35"/>
      <c r="AE877" s="99"/>
      <c r="AF877" s="99"/>
      <c r="AG877" s="35"/>
      <c r="AH877" s="35"/>
      <c r="AI877" s="35"/>
      <c r="AJ877" s="1"/>
      <c r="AK877" s="1"/>
      <c r="AL877" s="1"/>
      <c r="AM877" s="1"/>
      <c r="AN877" s="1"/>
      <c r="AO877" s="1"/>
      <c r="AP877"/>
      <c r="AQ877"/>
      <c r="AR877"/>
      <c r="AS877"/>
      <c r="AT877" s="50"/>
      <c r="AU877" s="97"/>
      <c r="AV877" s="97"/>
      <c r="AW877" s="97"/>
      <c r="AX877" s="97"/>
      <c r="AY877" s="97"/>
      <c r="BD877" s="35"/>
      <c r="BE877" s="35"/>
      <c r="BV877" s="98"/>
      <c r="BW877" s="98"/>
      <c r="BX877" s="98"/>
      <c r="BY877" s="112"/>
      <c r="BZ877" s="112"/>
      <c r="CA877" s="112"/>
      <c r="CB877" s="98"/>
      <c r="CC877" s="98"/>
      <c r="CD877" s="98"/>
      <c r="CE877" s="98"/>
      <c r="CG877" s="100"/>
      <c r="CH877" s="100"/>
      <c r="CI877" s="100"/>
      <c r="CJ877" s="100"/>
      <c r="CK877" s="100"/>
      <c r="CL877" s="100"/>
      <c r="CM877" s="100"/>
      <c r="CN877" s="100"/>
      <c r="CO877" s="100"/>
      <c r="CP877" s="100"/>
      <c r="CQ877" s="100"/>
      <c r="CR877" s="100"/>
      <c r="CS877" s="100"/>
      <c r="CT877" s="100"/>
      <c r="CU877" s="100"/>
    </row>
    <row r="878" spans="6:99" s="36" customFormat="1" ht="11.1" customHeight="1" x14ac:dyDescent="0.25">
      <c r="F878" s="33"/>
      <c r="G878" s="33"/>
      <c r="H878" s="33"/>
      <c r="I878" s="34"/>
      <c r="J878" s="34"/>
      <c r="K878" s="14"/>
      <c r="L878" s="32"/>
      <c r="M878" s="14"/>
      <c r="N878" s="14"/>
      <c r="O878" s="2"/>
      <c r="P878"/>
      <c r="Q878" s="2"/>
      <c r="R878"/>
      <c r="S878"/>
      <c r="T878"/>
      <c r="U878" s="2"/>
      <c r="V878" s="2"/>
      <c r="W878" s="2"/>
      <c r="X878" s="2"/>
      <c r="Y878" s="2"/>
      <c r="Z878" s="11"/>
      <c r="AA878" s="15"/>
      <c r="AB878" s="15"/>
      <c r="AC878" s="15"/>
      <c r="AD878" s="35"/>
      <c r="AE878" s="99"/>
      <c r="AF878" s="99"/>
      <c r="AG878" s="35"/>
      <c r="AH878" s="35"/>
      <c r="AI878" s="35"/>
      <c r="AJ878" s="1"/>
      <c r="AK878" s="1"/>
      <c r="AL878" s="1"/>
      <c r="AM878" s="1"/>
      <c r="AN878" s="1"/>
      <c r="AO878" s="1"/>
      <c r="AP878"/>
      <c r="AQ878"/>
      <c r="AR878"/>
      <c r="AS878"/>
      <c r="AT878" s="50"/>
      <c r="AU878" s="97"/>
      <c r="AV878" s="97"/>
      <c r="AW878" s="97"/>
      <c r="AX878" s="97"/>
      <c r="AY878" s="97"/>
      <c r="BD878" s="35"/>
      <c r="BE878" s="35"/>
      <c r="BV878" s="98"/>
      <c r="BW878" s="98"/>
      <c r="BX878" s="98"/>
      <c r="BY878" s="112"/>
      <c r="BZ878" s="112"/>
      <c r="CA878" s="112"/>
      <c r="CB878" s="98"/>
      <c r="CC878" s="98"/>
      <c r="CD878" s="98"/>
      <c r="CE878" s="98"/>
      <c r="CG878" s="100"/>
      <c r="CH878" s="100"/>
      <c r="CI878" s="100"/>
      <c r="CJ878" s="100"/>
      <c r="CK878" s="100"/>
      <c r="CL878" s="100"/>
      <c r="CM878" s="100"/>
      <c r="CN878" s="100"/>
      <c r="CO878" s="100"/>
      <c r="CP878" s="100"/>
      <c r="CQ878" s="100"/>
      <c r="CR878" s="100"/>
      <c r="CS878" s="100"/>
      <c r="CT878" s="100"/>
      <c r="CU878" s="100"/>
    </row>
    <row r="879" spans="6:99" s="36" customFormat="1" ht="11.1" customHeight="1" x14ac:dyDescent="0.25">
      <c r="F879" s="33"/>
      <c r="G879" s="33"/>
      <c r="H879" s="33"/>
      <c r="I879" s="34"/>
      <c r="J879" s="34"/>
      <c r="K879" s="14"/>
      <c r="L879" s="32"/>
      <c r="M879" s="14"/>
      <c r="N879" s="14"/>
      <c r="O879" s="2"/>
      <c r="P879"/>
      <c r="Q879" s="2"/>
      <c r="R879"/>
      <c r="S879"/>
      <c r="T879"/>
      <c r="U879" s="2"/>
      <c r="V879" s="2"/>
      <c r="W879" s="2"/>
      <c r="X879" s="2"/>
      <c r="Y879" s="2"/>
      <c r="Z879" s="11"/>
      <c r="AA879" s="15"/>
      <c r="AB879" s="15"/>
      <c r="AC879" s="15"/>
      <c r="AD879" s="35"/>
      <c r="AE879" s="99"/>
      <c r="AF879" s="99"/>
      <c r="AG879" s="35"/>
      <c r="AH879" s="35"/>
      <c r="AI879" s="35"/>
      <c r="AJ879" s="1"/>
      <c r="AK879" s="1"/>
      <c r="AL879" s="1"/>
      <c r="AM879" s="1"/>
      <c r="AN879" s="1"/>
      <c r="AO879" s="1"/>
      <c r="AP879"/>
      <c r="AQ879"/>
      <c r="AR879"/>
      <c r="AS879"/>
      <c r="AT879" s="50"/>
      <c r="AU879" s="97"/>
      <c r="AV879" s="97"/>
      <c r="AW879" s="97"/>
      <c r="AX879" s="97"/>
      <c r="AY879" s="97"/>
      <c r="BD879" s="35"/>
      <c r="BE879" s="35"/>
      <c r="BV879" s="98"/>
      <c r="BW879" s="98"/>
      <c r="BX879" s="98"/>
      <c r="BY879" s="112"/>
      <c r="BZ879" s="112"/>
      <c r="CA879" s="112"/>
      <c r="CB879" s="98"/>
      <c r="CC879" s="98"/>
      <c r="CD879" s="98"/>
      <c r="CE879" s="98"/>
      <c r="CG879" s="100"/>
      <c r="CH879" s="100"/>
      <c r="CI879" s="100"/>
      <c r="CJ879" s="100"/>
      <c r="CK879" s="100"/>
      <c r="CL879" s="100"/>
      <c r="CM879" s="100"/>
      <c r="CN879" s="100"/>
      <c r="CO879" s="100"/>
      <c r="CP879" s="100"/>
      <c r="CQ879" s="100"/>
      <c r="CR879" s="100"/>
      <c r="CS879" s="100"/>
      <c r="CT879" s="100"/>
      <c r="CU879" s="100"/>
    </row>
    <row r="880" spans="6:99" s="36" customFormat="1" ht="11.1" customHeight="1" x14ac:dyDescent="0.25">
      <c r="F880" s="33"/>
      <c r="G880" s="33"/>
      <c r="H880" s="33"/>
      <c r="I880" s="34"/>
      <c r="J880" s="34"/>
      <c r="K880" s="14"/>
      <c r="L880" s="32"/>
      <c r="M880" s="14"/>
      <c r="N880" s="14"/>
      <c r="O880" s="2"/>
      <c r="P880"/>
      <c r="Q880" s="2"/>
      <c r="R880"/>
      <c r="S880"/>
      <c r="T880"/>
      <c r="U880" s="2"/>
      <c r="V880" s="2"/>
      <c r="W880" s="2"/>
      <c r="X880" s="2"/>
      <c r="Y880" s="2"/>
      <c r="Z880" s="11"/>
      <c r="AA880" s="15"/>
      <c r="AB880" s="15"/>
      <c r="AC880" s="15"/>
      <c r="AD880" s="35"/>
      <c r="AE880" s="99"/>
      <c r="AF880" s="99"/>
      <c r="AG880" s="35"/>
      <c r="AH880" s="35"/>
      <c r="AI880" s="35"/>
      <c r="AJ880" s="1"/>
      <c r="AK880" s="1"/>
      <c r="AL880" s="1"/>
      <c r="AM880" s="1"/>
      <c r="AN880" s="1"/>
      <c r="AO880" s="1"/>
      <c r="AP880"/>
      <c r="AQ880"/>
      <c r="AR880"/>
      <c r="AS880"/>
      <c r="AT880" s="50"/>
      <c r="AU880" s="97"/>
      <c r="AV880" s="97"/>
      <c r="AW880" s="97"/>
      <c r="AX880" s="97"/>
      <c r="AY880" s="97"/>
      <c r="BD880" s="35"/>
      <c r="BE880" s="35"/>
      <c r="BV880" s="98"/>
      <c r="BW880" s="98"/>
      <c r="BX880" s="98"/>
      <c r="BY880" s="112"/>
      <c r="BZ880" s="112"/>
      <c r="CA880" s="112"/>
      <c r="CB880" s="98"/>
      <c r="CC880" s="98"/>
      <c r="CD880" s="98"/>
      <c r="CE880" s="98"/>
      <c r="CG880" s="100"/>
      <c r="CH880" s="100"/>
      <c r="CI880" s="100"/>
      <c r="CJ880" s="100"/>
      <c r="CK880" s="100"/>
      <c r="CL880" s="100"/>
      <c r="CM880" s="100"/>
      <c r="CN880" s="100"/>
      <c r="CO880" s="100"/>
      <c r="CP880" s="100"/>
      <c r="CQ880" s="100"/>
      <c r="CR880" s="100"/>
      <c r="CS880" s="100"/>
      <c r="CT880" s="100"/>
      <c r="CU880" s="100"/>
    </row>
    <row r="881" spans="6:99" s="36" customFormat="1" ht="11.1" customHeight="1" x14ac:dyDescent="0.25">
      <c r="F881" s="33"/>
      <c r="G881" s="33"/>
      <c r="H881" s="33"/>
      <c r="I881" s="34"/>
      <c r="J881" s="34"/>
      <c r="K881" s="14"/>
      <c r="L881" s="32"/>
      <c r="M881" s="14"/>
      <c r="N881" s="14"/>
      <c r="O881" s="2"/>
      <c r="P881"/>
      <c r="Q881" s="2"/>
      <c r="R881"/>
      <c r="S881"/>
      <c r="T881"/>
      <c r="U881" s="2"/>
      <c r="V881" s="2"/>
      <c r="W881" s="2"/>
      <c r="X881" s="2"/>
      <c r="Y881" s="2"/>
      <c r="Z881" s="11"/>
      <c r="AA881" s="15"/>
      <c r="AB881" s="15"/>
      <c r="AC881" s="15"/>
      <c r="AD881" s="35"/>
      <c r="AE881" s="99"/>
      <c r="AF881" s="99"/>
      <c r="AG881" s="35"/>
      <c r="AH881" s="35"/>
      <c r="AI881" s="35"/>
      <c r="AJ881" s="1"/>
      <c r="AK881" s="1"/>
      <c r="AL881" s="1"/>
      <c r="AM881" s="1"/>
      <c r="AN881" s="1"/>
      <c r="AO881" s="1"/>
      <c r="AP881"/>
      <c r="AQ881"/>
      <c r="AR881"/>
      <c r="AS881"/>
      <c r="AT881" s="50"/>
      <c r="AU881" s="97"/>
      <c r="AV881" s="97"/>
      <c r="AW881" s="97"/>
      <c r="AX881" s="97"/>
      <c r="AY881" s="97"/>
      <c r="BD881" s="35"/>
      <c r="BE881" s="35"/>
      <c r="BV881" s="98"/>
      <c r="BW881" s="98"/>
      <c r="BX881" s="98"/>
      <c r="BY881" s="112"/>
      <c r="BZ881" s="112"/>
      <c r="CA881" s="112"/>
      <c r="CB881" s="98"/>
      <c r="CC881" s="98"/>
      <c r="CD881" s="98"/>
      <c r="CE881" s="98"/>
      <c r="CG881" s="100"/>
      <c r="CH881" s="100"/>
      <c r="CI881" s="100"/>
      <c r="CJ881" s="100"/>
      <c r="CK881" s="100"/>
      <c r="CL881" s="100"/>
      <c r="CM881" s="100"/>
      <c r="CN881" s="100"/>
      <c r="CO881" s="100"/>
      <c r="CP881" s="100"/>
      <c r="CQ881" s="100"/>
      <c r="CR881" s="100"/>
      <c r="CS881" s="100"/>
      <c r="CT881" s="100"/>
      <c r="CU881" s="100"/>
    </row>
    <row r="882" spans="6:99" s="36" customFormat="1" ht="11.1" customHeight="1" x14ac:dyDescent="0.25">
      <c r="F882" s="33"/>
      <c r="G882" s="33"/>
      <c r="H882" s="33"/>
      <c r="I882" s="34"/>
      <c r="J882" s="34"/>
      <c r="K882" s="14"/>
      <c r="L882" s="32"/>
      <c r="M882" s="14"/>
      <c r="N882" s="14"/>
      <c r="O882" s="2"/>
      <c r="P882"/>
      <c r="Q882" s="2"/>
      <c r="R882"/>
      <c r="S882"/>
      <c r="T882"/>
      <c r="U882" s="2"/>
      <c r="V882" s="2"/>
      <c r="W882" s="2"/>
      <c r="X882" s="2"/>
      <c r="Y882" s="2"/>
      <c r="Z882" s="11"/>
      <c r="AA882" s="15"/>
      <c r="AB882" s="15"/>
      <c r="AC882" s="15"/>
      <c r="AD882" s="35"/>
      <c r="AE882" s="99"/>
      <c r="AF882" s="99"/>
      <c r="AG882" s="35"/>
      <c r="AH882" s="35"/>
      <c r="AI882" s="35"/>
      <c r="AJ882" s="1"/>
      <c r="AK882" s="1"/>
      <c r="AL882" s="1"/>
      <c r="AM882" s="1"/>
      <c r="AN882" s="1"/>
      <c r="AO882" s="1"/>
      <c r="AP882"/>
      <c r="AQ882"/>
      <c r="AR882"/>
      <c r="AS882"/>
      <c r="AT882" s="50"/>
      <c r="AU882" s="97"/>
      <c r="AV882" s="97"/>
      <c r="AW882" s="97"/>
      <c r="AX882" s="97"/>
      <c r="AY882" s="97"/>
      <c r="BD882" s="35"/>
      <c r="BE882" s="35"/>
      <c r="BV882" s="98"/>
      <c r="BW882" s="98"/>
      <c r="BX882" s="98"/>
      <c r="BY882" s="112"/>
      <c r="BZ882" s="112"/>
      <c r="CA882" s="112"/>
      <c r="CB882" s="98"/>
      <c r="CC882" s="98"/>
      <c r="CD882" s="98"/>
      <c r="CE882" s="98"/>
      <c r="CG882" s="100"/>
      <c r="CH882" s="100"/>
      <c r="CI882" s="100"/>
      <c r="CJ882" s="100"/>
      <c r="CK882" s="100"/>
      <c r="CL882" s="100"/>
      <c r="CM882" s="100"/>
      <c r="CN882" s="100"/>
      <c r="CO882" s="100"/>
      <c r="CP882" s="100"/>
      <c r="CQ882" s="100"/>
      <c r="CR882" s="100"/>
      <c r="CS882" s="100"/>
      <c r="CT882" s="100"/>
      <c r="CU882" s="100"/>
    </row>
    <row r="883" spans="6:99" s="36" customFormat="1" ht="11.1" customHeight="1" x14ac:dyDescent="0.25">
      <c r="F883" s="33"/>
      <c r="G883" s="33"/>
      <c r="H883" s="33"/>
      <c r="I883" s="34"/>
      <c r="J883" s="34"/>
      <c r="K883" s="14"/>
      <c r="L883" s="32"/>
      <c r="M883" s="14"/>
      <c r="N883" s="14"/>
      <c r="O883" s="2"/>
      <c r="P883"/>
      <c r="Q883" s="2"/>
      <c r="R883"/>
      <c r="S883"/>
      <c r="T883"/>
      <c r="U883" s="2"/>
      <c r="V883" s="2"/>
      <c r="W883" s="2"/>
      <c r="X883" s="2"/>
      <c r="Y883" s="2"/>
      <c r="Z883" s="11"/>
      <c r="AA883" s="15"/>
      <c r="AB883" s="15"/>
      <c r="AC883" s="15"/>
      <c r="AD883" s="35"/>
      <c r="AE883" s="99"/>
      <c r="AF883" s="99"/>
      <c r="AG883" s="35"/>
      <c r="AH883" s="35"/>
      <c r="AI883" s="35"/>
      <c r="AJ883" s="1"/>
      <c r="AK883" s="1"/>
      <c r="AL883" s="1"/>
      <c r="AM883" s="1"/>
      <c r="AN883" s="1"/>
      <c r="AO883" s="1"/>
      <c r="AP883"/>
      <c r="AQ883"/>
      <c r="AR883"/>
      <c r="AS883"/>
      <c r="AT883" s="50"/>
      <c r="AU883" s="97"/>
      <c r="AV883" s="97"/>
      <c r="AW883" s="97"/>
      <c r="AX883" s="97"/>
      <c r="AY883" s="97"/>
      <c r="BD883" s="35"/>
      <c r="BE883" s="35"/>
      <c r="BV883" s="98"/>
      <c r="BW883" s="98"/>
      <c r="BX883" s="98"/>
      <c r="BY883" s="112"/>
      <c r="BZ883" s="112"/>
      <c r="CA883" s="112"/>
      <c r="CB883" s="98"/>
      <c r="CC883" s="98"/>
      <c r="CD883" s="98"/>
      <c r="CE883" s="98"/>
      <c r="CG883" s="100"/>
      <c r="CH883" s="100"/>
      <c r="CI883" s="100"/>
      <c r="CJ883" s="100"/>
      <c r="CK883" s="100"/>
      <c r="CL883" s="100"/>
      <c r="CM883" s="100"/>
      <c r="CN883" s="100"/>
      <c r="CO883" s="100"/>
      <c r="CP883" s="100"/>
      <c r="CQ883" s="100"/>
      <c r="CR883" s="100"/>
      <c r="CS883" s="100"/>
      <c r="CT883" s="100"/>
      <c r="CU883" s="100"/>
    </row>
    <row r="884" spans="6:99" s="36" customFormat="1" ht="11.1" customHeight="1" x14ac:dyDescent="0.25">
      <c r="F884" s="33"/>
      <c r="G884" s="33"/>
      <c r="H884" s="33"/>
      <c r="I884" s="34"/>
      <c r="J884" s="34"/>
      <c r="K884" s="14"/>
      <c r="L884" s="32"/>
      <c r="M884" s="14"/>
      <c r="N884" s="14"/>
      <c r="O884" s="2"/>
      <c r="P884"/>
      <c r="Q884" s="2"/>
      <c r="R884"/>
      <c r="S884"/>
      <c r="T884"/>
      <c r="U884" s="2"/>
      <c r="V884" s="2"/>
      <c r="W884" s="2"/>
      <c r="X884" s="2"/>
      <c r="Y884" s="2"/>
      <c r="Z884" s="11"/>
      <c r="AA884" s="15"/>
      <c r="AB884" s="15"/>
      <c r="AC884" s="15"/>
      <c r="AD884" s="35"/>
      <c r="AE884" s="99"/>
      <c r="AF884" s="99"/>
      <c r="AG884" s="35"/>
      <c r="AH884" s="35"/>
      <c r="AI884" s="35"/>
      <c r="AJ884" s="1"/>
      <c r="AK884" s="1"/>
      <c r="AL884" s="1"/>
      <c r="AM884" s="1"/>
      <c r="AN884" s="1"/>
      <c r="AO884" s="1"/>
      <c r="AP884"/>
      <c r="AQ884"/>
      <c r="AR884"/>
      <c r="AS884"/>
      <c r="AT884" s="50"/>
      <c r="AU884" s="97"/>
      <c r="AV884" s="97"/>
      <c r="AW884" s="97"/>
      <c r="AX884" s="97"/>
      <c r="AY884" s="97"/>
      <c r="BD884" s="35"/>
      <c r="BE884" s="35"/>
      <c r="BV884" s="98"/>
      <c r="BW884" s="98"/>
      <c r="BX884" s="98"/>
      <c r="BY884" s="112"/>
      <c r="BZ884" s="112"/>
      <c r="CA884" s="112"/>
      <c r="CB884" s="98"/>
      <c r="CC884" s="98"/>
      <c r="CD884" s="98"/>
      <c r="CE884" s="98"/>
      <c r="CG884" s="100"/>
      <c r="CH884" s="100"/>
      <c r="CI884" s="100"/>
      <c r="CJ884" s="100"/>
      <c r="CK884" s="100"/>
      <c r="CL884" s="100"/>
      <c r="CM884" s="100"/>
      <c r="CN884" s="100"/>
      <c r="CO884" s="100"/>
      <c r="CP884" s="100"/>
      <c r="CQ884" s="100"/>
      <c r="CR884" s="100"/>
      <c r="CS884" s="100"/>
      <c r="CT884" s="100"/>
      <c r="CU884" s="100"/>
    </row>
    <row r="885" spans="6:99" s="36" customFormat="1" ht="11.1" customHeight="1" x14ac:dyDescent="0.25">
      <c r="F885" s="33"/>
      <c r="G885" s="33"/>
      <c r="H885" s="33"/>
      <c r="I885" s="34"/>
      <c r="J885" s="34"/>
      <c r="K885" s="14"/>
      <c r="L885" s="32"/>
      <c r="M885" s="14"/>
      <c r="N885" s="14"/>
      <c r="O885" s="2"/>
      <c r="P885"/>
      <c r="Q885" s="2"/>
      <c r="R885"/>
      <c r="S885"/>
      <c r="T885"/>
      <c r="U885" s="2"/>
      <c r="V885" s="2"/>
      <c r="W885" s="2"/>
      <c r="X885" s="2"/>
      <c r="Y885" s="2"/>
      <c r="Z885" s="11"/>
      <c r="AA885" s="15"/>
      <c r="AB885" s="15"/>
      <c r="AC885" s="15"/>
      <c r="AD885" s="35"/>
      <c r="AE885" s="99"/>
      <c r="AF885" s="99"/>
      <c r="AG885" s="35"/>
      <c r="AH885" s="35"/>
      <c r="AI885" s="35"/>
      <c r="AJ885" s="1"/>
      <c r="AK885" s="1"/>
      <c r="AL885" s="1"/>
      <c r="AM885" s="1"/>
      <c r="AN885" s="1"/>
      <c r="AO885" s="1"/>
      <c r="AP885"/>
      <c r="AQ885"/>
      <c r="AR885"/>
      <c r="AS885"/>
      <c r="AT885" s="50"/>
      <c r="AU885" s="97"/>
      <c r="AV885" s="97"/>
      <c r="AW885" s="97"/>
      <c r="AX885" s="97"/>
      <c r="AY885" s="97"/>
      <c r="BD885" s="35"/>
      <c r="BE885" s="35"/>
      <c r="BV885" s="98"/>
      <c r="BW885" s="98"/>
      <c r="BX885" s="98"/>
      <c r="BY885" s="112"/>
      <c r="BZ885" s="112"/>
      <c r="CA885" s="112"/>
      <c r="CB885" s="98"/>
      <c r="CC885" s="98"/>
      <c r="CD885" s="98"/>
      <c r="CE885" s="98"/>
      <c r="CG885" s="100"/>
      <c r="CH885" s="100"/>
      <c r="CI885" s="100"/>
      <c r="CJ885" s="100"/>
      <c r="CK885" s="100"/>
      <c r="CL885" s="100"/>
      <c r="CM885" s="100"/>
      <c r="CN885" s="100"/>
      <c r="CO885" s="100"/>
      <c r="CP885" s="100"/>
      <c r="CQ885" s="100"/>
      <c r="CR885" s="100"/>
      <c r="CS885" s="100"/>
      <c r="CT885" s="100"/>
      <c r="CU885" s="100"/>
    </row>
    <row r="886" spans="6:99" s="36" customFormat="1" ht="11.1" customHeight="1" x14ac:dyDescent="0.25">
      <c r="F886" s="33"/>
      <c r="G886" s="33"/>
      <c r="H886" s="33"/>
      <c r="I886" s="34"/>
      <c r="J886" s="34"/>
      <c r="K886" s="14"/>
      <c r="L886" s="32"/>
      <c r="M886" s="14"/>
      <c r="N886" s="14"/>
      <c r="O886" s="2"/>
      <c r="P886"/>
      <c r="Q886" s="2"/>
      <c r="R886"/>
      <c r="S886"/>
      <c r="T886"/>
      <c r="U886" s="2"/>
      <c r="V886" s="2"/>
      <c r="W886" s="2"/>
      <c r="X886" s="2"/>
      <c r="Y886" s="2"/>
      <c r="Z886" s="11"/>
      <c r="AA886" s="15"/>
      <c r="AB886" s="15"/>
      <c r="AC886" s="15"/>
      <c r="AD886" s="35"/>
      <c r="AE886" s="99"/>
      <c r="AF886" s="99"/>
      <c r="AG886" s="35"/>
      <c r="AH886" s="35"/>
      <c r="AI886" s="35"/>
      <c r="AJ886" s="1"/>
      <c r="AK886" s="1"/>
      <c r="AL886" s="1"/>
      <c r="AM886" s="1"/>
      <c r="AN886" s="1"/>
      <c r="AO886" s="1"/>
      <c r="AP886"/>
      <c r="AQ886"/>
      <c r="AR886"/>
      <c r="AS886"/>
      <c r="AT886" s="50"/>
      <c r="AU886" s="97"/>
      <c r="AV886" s="97"/>
      <c r="AW886" s="97"/>
      <c r="AX886" s="97"/>
      <c r="AY886" s="97"/>
      <c r="BD886" s="35"/>
      <c r="BE886" s="35"/>
      <c r="BV886" s="98"/>
      <c r="BW886" s="98"/>
      <c r="BX886" s="98"/>
      <c r="BY886" s="112"/>
      <c r="BZ886" s="112"/>
      <c r="CA886" s="112"/>
      <c r="CB886" s="98"/>
      <c r="CC886" s="98"/>
      <c r="CD886" s="98"/>
      <c r="CE886" s="98"/>
      <c r="CG886" s="100"/>
      <c r="CH886" s="100"/>
      <c r="CI886" s="100"/>
      <c r="CJ886" s="100"/>
      <c r="CK886" s="100"/>
      <c r="CL886" s="100"/>
      <c r="CM886" s="100"/>
      <c r="CN886" s="100"/>
      <c r="CO886" s="100"/>
      <c r="CP886" s="100"/>
      <c r="CQ886" s="100"/>
      <c r="CR886" s="100"/>
      <c r="CS886" s="100"/>
      <c r="CT886" s="100"/>
      <c r="CU886" s="100"/>
    </row>
    <row r="887" spans="6:99" s="36" customFormat="1" ht="11.1" customHeight="1" x14ac:dyDescent="0.25">
      <c r="F887" s="33"/>
      <c r="G887" s="33"/>
      <c r="H887" s="33"/>
      <c r="I887" s="34"/>
      <c r="J887" s="34"/>
      <c r="K887" s="14"/>
      <c r="L887" s="32"/>
      <c r="M887" s="14"/>
      <c r="N887" s="14"/>
      <c r="O887" s="2"/>
      <c r="P887"/>
      <c r="Q887" s="2"/>
      <c r="R887"/>
      <c r="S887"/>
      <c r="T887"/>
      <c r="U887" s="2"/>
      <c r="V887" s="2"/>
      <c r="W887" s="2"/>
      <c r="X887" s="2"/>
      <c r="Y887" s="2"/>
      <c r="Z887" s="11"/>
      <c r="AA887" s="15"/>
      <c r="AB887" s="15"/>
      <c r="AC887" s="15"/>
      <c r="AD887" s="35"/>
      <c r="AE887" s="99"/>
      <c r="AF887" s="99"/>
      <c r="AG887" s="35"/>
      <c r="AH887" s="35"/>
      <c r="AI887" s="35"/>
      <c r="AJ887" s="1"/>
      <c r="AK887" s="1"/>
      <c r="AL887" s="1"/>
      <c r="AM887" s="1"/>
      <c r="AN887" s="1"/>
      <c r="AO887" s="1"/>
      <c r="AP887"/>
      <c r="AQ887"/>
      <c r="AR887"/>
      <c r="AS887"/>
      <c r="AT887" s="50"/>
      <c r="AU887" s="97"/>
      <c r="AV887" s="97"/>
      <c r="AW887" s="97"/>
      <c r="AX887" s="97"/>
      <c r="AY887" s="97"/>
      <c r="BD887" s="35"/>
      <c r="BE887" s="35"/>
      <c r="BV887" s="98"/>
      <c r="BW887" s="98"/>
      <c r="BX887" s="98"/>
      <c r="BY887" s="112"/>
      <c r="BZ887" s="112"/>
      <c r="CA887" s="112"/>
      <c r="CB887" s="98"/>
      <c r="CC887" s="98"/>
      <c r="CD887" s="98"/>
      <c r="CE887" s="98"/>
      <c r="CG887" s="100"/>
      <c r="CH887" s="100"/>
      <c r="CI887" s="100"/>
      <c r="CJ887" s="100"/>
      <c r="CK887" s="100"/>
      <c r="CL887" s="100"/>
      <c r="CM887" s="100"/>
      <c r="CN887" s="100"/>
      <c r="CO887" s="100"/>
      <c r="CP887" s="100"/>
      <c r="CQ887" s="100"/>
      <c r="CR887" s="100"/>
      <c r="CS887" s="100"/>
      <c r="CT887" s="100"/>
      <c r="CU887" s="100"/>
    </row>
    <row r="888" spans="6:99" s="36" customFormat="1" ht="11.1" customHeight="1" x14ac:dyDescent="0.25">
      <c r="F888" s="33"/>
      <c r="G888" s="33"/>
      <c r="H888" s="33"/>
      <c r="I888" s="34"/>
      <c r="J888" s="34"/>
      <c r="K888" s="14"/>
      <c r="L888" s="32"/>
      <c r="M888" s="14"/>
      <c r="N888" s="14"/>
      <c r="O888" s="2"/>
      <c r="P888"/>
      <c r="Q888" s="2"/>
      <c r="R888"/>
      <c r="S888"/>
      <c r="T888"/>
      <c r="U888" s="2"/>
      <c r="V888" s="2"/>
      <c r="W888" s="2"/>
      <c r="X888" s="2"/>
      <c r="Y888" s="2"/>
      <c r="Z888" s="11"/>
      <c r="AA888" s="15"/>
      <c r="AB888" s="15"/>
      <c r="AC888" s="15"/>
      <c r="AD888" s="35"/>
      <c r="AE888" s="99"/>
      <c r="AF888" s="99"/>
      <c r="AG888" s="35"/>
      <c r="AH888" s="35"/>
      <c r="AI888" s="35"/>
      <c r="AJ888" s="1"/>
      <c r="AK888" s="1"/>
      <c r="AL888" s="1"/>
      <c r="AM888" s="1"/>
      <c r="AN888" s="1"/>
      <c r="AO888" s="1"/>
      <c r="AP888"/>
      <c r="AQ888"/>
      <c r="AR888"/>
      <c r="AS888"/>
      <c r="AT888" s="50"/>
      <c r="AU888" s="97"/>
      <c r="AV888" s="97"/>
      <c r="AW888" s="97"/>
      <c r="AX888" s="97"/>
      <c r="AY888" s="97"/>
      <c r="BD888" s="35"/>
      <c r="BE888" s="35"/>
      <c r="BV888" s="98"/>
      <c r="BW888" s="98"/>
      <c r="BX888" s="98"/>
      <c r="BY888" s="112"/>
      <c r="BZ888" s="112"/>
      <c r="CA888" s="112"/>
      <c r="CB888" s="98"/>
      <c r="CC888" s="98"/>
      <c r="CD888" s="98"/>
      <c r="CE888" s="98"/>
      <c r="CG888" s="100"/>
      <c r="CH888" s="100"/>
      <c r="CI888" s="100"/>
      <c r="CJ888" s="100"/>
      <c r="CK888" s="100"/>
      <c r="CL888" s="100"/>
      <c r="CM888" s="100"/>
      <c r="CN888" s="100"/>
      <c r="CO888" s="100"/>
      <c r="CP888" s="100"/>
      <c r="CQ888" s="100"/>
      <c r="CR888" s="100"/>
      <c r="CS888" s="100"/>
      <c r="CT888" s="100"/>
      <c r="CU888" s="100"/>
    </row>
    <row r="889" spans="6:99" s="36" customFormat="1" ht="11.1" customHeight="1" x14ac:dyDescent="0.25">
      <c r="F889" s="33"/>
      <c r="G889" s="33"/>
      <c r="H889" s="33"/>
      <c r="I889" s="34"/>
      <c r="J889" s="34"/>
      <c r="K889" s="14"/>
      <c r="L889" s="32"/>
      <c r="M889" s="14"/>
      <c r="N889" s="14"/>
      <c r="O889" s="2"/>
      <c r="P889"/>
      <c r="Q889" s="2"/>
      <c r="R889"/>
      <c r="S889"/>
      <c r="T889"/>
      <c r="U889" s="2"/>
      <c r="V889" s="2"/>
      <c r="W889" s="2"/>
      <c r="X889" s="2"/>
      <c r="Y889" s="2"/>
      <c r="Z889" s="11"/>
      <c r="AA889" s="15"/>
      <c r="AB889" s="15"/>
      <c r="AC889" s="15"/>
      <c r="AD889" s="35"/>
      <c r="AE889" s="99"/>
      <c r="AF889" s="99"/>
      <c r="AG889" s="35"/>
      <c r="AH889" s="35"/>
      <c r="AI889" s="35"/>
      <c r="AJ889" s="1"/>
      <c r="AK889" s="1"/>
      <c r="AL889" s="1"/>
      <c r="AM889" s="1"/>
      <c r="AN889" s="1"/>
      <c r="AO889" s="1"/>
      <c r="AP889"/>
      <c r="AQ889"/>
      <c r="AR889"/>
      <c r="AS889"/>
      <c r="AT889" s="50"/>
      <c r="AU889" s="97"/>
      <c r="AV889" s="97"/>
      <c r="AW889" s="97"/>
      <c r="AX889" s="97"/>
      <c r="AY889" s="97"/>
      <c r="BD889" s="35"/>
      <c r="BE889" s="35"/>
      <c r="BV889" s="98"/>
      <c r="BW889" s="98"/>
      <c r="BX889" s="98"/>
      <c r="BY889" s="112"/>
      <c r="BZ889" s="112"/>
      <c r="CA889" s="112"/>
      <c r="CB889" s="98"/>
      <c r="CC889" s="98"/>
      <c r="CD889" s="98"/>
      <c r="CE889" s="98"/>
      <c r="CG889" s="100"/>
      <c r="CH889" s="100"/>
      <c r="CI889" s="100"/>
      <c r="CJ889" s="100"/>
      <c r="CK889" s="100"/>
      <c r="CL889" s="100"/>
      <c r="CM889" s="100"/>
      <c r="CN889" s="100"/>
      <c r="CO889" s="100"/>
      <c r="CP889" s="100"/>
      <c r="CQ889" s="100"/>
      <c r="CR889" s="100"/>
      <c r="CS889" s="100"/>
      <c r="CT889" s="100"/>
      <c r="CU889" s="100"/>
    </row>
    <row r="890" spans="6:99" s="36" customFormat="1" ht="11.1" customHeight="1" x14ac:dyDescent="0.25">
      <c r="F890" s="33"/>
      <c r="G890" s="33"/>
      <c r="H890" s="33"/>
      <c r="I890" s="34"/>
      <c r="J890" s="34"/>
      <c r="K890" s="14"/>
      <c r="L890" s="32"/>
      <c r="M890" s="14"/>
      <c r="N890" s="14"/>
      <c r="O890" s="2"/>
      <c r="P890"/>
      <c r="Q890" s="2"/>
      <c r="R890"/>
      <c r="S890"/>
      <c r="T890"/>
      <c r="U890" s="2"/>
      <c r="V890" s="2"/>
      <c r="W890" s="2"/>
      <c r="X890" s="2"/>
      <c r="Y890" s="2"/>
      <c r="Z890" s="11"/>
      <c r="AA890" s="15"/>
      <c r="AB890" s="15"/>
      <c r="AC890" s="15"/>
      <c r="AD890" s="35"/>
      <c r="AE890" s="99"/>
      <c r="AF890" s="99"/>
      <c r="AG890" s="35"/>
      <c r="AH890" s="35"/>
      <c r="AI890" s="35"/>
      <c r="AJ890" s="1"/>
      <c r="AK890" s="1"/>
      <c r="AL890" s="1"/>
      <c r="AM890" s="1"/>
      <c r="AN890" s="1"/>
      <c r="AO890" s="1"/>
      <c r="AP890"/>
      <c r="AQ890"/>
      <c r="AR890"/>
      <c r="AS890"/>
      <c r="AT890" s="50"/>
      <c r="AU890" s="97"/>
      <c r="AV890" s="97"/>
      <c r="AW890" s="97"/>
      <c r="AX890" s="97"/>
      <c r="AY890" s="97"/>
      <c r="BD890" s="35"/>
      <c r="BE890" s="35"/>
      <c r="BV890" s="98"/>
      <c r="BW890" s="98"/>
      <c r="BX890" s="98"/>
      <c r="BY890" s="112"/>
      <c r="BZ890" s="112"/>
      <c r="CA890" s="112"/>
      <c r="CB890" s="98"/>
      <c r="CC890" s="98"/>
      <c r="CD890" s="98"/>
      <c r="CE890" s="98"/>
      <c r="CG890" s="100"/>
      <c r="CH890" s="100"/>
      <c r="CI890" s="100"/>
      <c r="CJ890" s="100"/>
      <c r="CK890" s="100"/>
      <c r="CL890" s="100"/>
      <c r="CM890" s="100"/>
      <c r="CN890" s="100"/>
      <c r="CO890" s="100"/>
      <c r="CP890" s="100"/>
      <c r="CQ890" s="100"/>
      <c r="CR890" s="100"/>
      <c r="CS890" s="100"/>
      <c r="CT890" s="100"/>
      <c r="CU890" s="100"/>
    </row>
    <row r="891" spans="6:99" s="36" customFormat="1" ht="11.1" customHeight="1" x14ac:dyDescent="0.25">
      <c r="F891" s="33"/>
      <c r="G891" s="33"/>
      <c r="H891" s="33"/>
      <c r="I891" s="34"/>
      <c r="J891" s="34"/>
      <c r="K891" s="14"/>
      <c r="L891" s="32"/>
      <c r="M891" s="14"/>
      <c r="N891" s="14"/>
      <c r="O891" s="2"/>
      <c r="P891"/>
      <c r="Q891" s="2"/>
      <c r="R891"/>
      <c r="S891"/>
      <c r="T891"/>
      <c r="U891" s="2"/>
      <c r="V891" s="2"/>
      <c r="W891" s="2"/>
      <c r="X891" s="2"/>
      <c r="Y891" s="2"/>
      <c r="Z891" s="11"/>
      <c r="AA891" s="15"/>
      <c r="AB891" s="15"/>
      <c r="AC891" s="15"/>
      <c r="AD891" s="35"/>
      <c r="AE891" s="99"/>
      <c r="AF891" s="99"/>
      <c r="AG891" s="35"/>
      <c r="AH891" s="35"/>
      <c r="AI891" s="35"/>
      <c r="AJ891" s="1"/>
      <c r="AK891" s="1"/>
      <c r="AL891" s="1"/>
      <c r="AM891" s="1"/>
      <c r="AN891" s="1"/>
      <c r="AO891" s="1"/>
      <c r="AP891"/>
      <c r="AQ891"/>
      <c r="AR891"/>
      <c r="AS891"/>
      <c r="AT891" s="50"/>
      <c r="AU891" s="97"/>
      <c r="AV891" s="97"/>
      <c r="AW891" s="97"/>
      <c r="AX891" s="97"/>
      <c r="AY891" s="97"/>
      <c r="BD891" s="35"/>
      <c r="BE891" s="35"/>
      <c r="BV891" s="98"/>
      <c r="BW891" s="98"/>
      <c r="BX891" s="98"/>
      <c r="BY891" s="112"/>
      <c r="BZ891" s="112"/>
      <c r="CA891" s="112"/>
      <c r="CB891" s="98"/>
      <c r="CC891" s="98"/>
      <c r="CD891" s="98"/>
      <c r="CE891" s="98"/>
      <c r="CG891" s="100"/>
      <c r="CH891" s="100"/>
      <c r="CI891" s="100"/>
      <c r="CJ891" s="100"/>
      <c r="CK891" s="100"/>
      <c r="CL891" s="100"/>
      <c r="CM891" s="100"/>
      <c r="CN891" s="100"/>
      <c r="CO891" s="100"/>
      <c r="CP891" s="100"/>
      <c r="CQ891" s="100"/>
      <c r="CR891" s="100"/>
      <c r="CS891" s="100"/>
      <c r="CT891" s="100"/>
      <c r="CU891" s="100"/>
    </row>
    <row r="892" spans="6:99" s="36" customFormat="1" ht="11.1" customHeight="1" x14ac:dyDescent="0.25">
      <c r="F892" s="33"/>
      <c r="G892" s="33"/>
      <c r="H892" s="33"/>
      <c r="I892" s="34"/>
      <c r="J892" s="34"/>
      <c r="K892" s="14"/>
      <c r="L892" s="32"/>
      <c r="M892" s="14"/>
      <c r="N892" s="14"/>
      <c r="O892" s="2"/>
      <c r="P892"/>
      <c r="Q892" s="2"/>
      <c r="R892"/>
      <c r="S892"/>
      <c r="T892"/>
      <c r="U892" s="2"/>
      <c r="V892" s="2"/>
      <c r="W892" s="2"/>
      <c r="X892" s="2"/>
      <c r="Y892" s="2"/>
      <c r="Z892" s="11"/>
      <c r="AA892" s="15"/>
      <c r="AB892" s="15"/>
      <c r="AC892" s="15"/>
      <c r="AD892" s="35"/>
      <c r="AE892" s="99"/>
      <c r="AF892" s="99"/>
      <c r="AG892" s="35"/>
      <c r="AH892" s="35"/>
      <c r="AI892" s="35"/>
      <c r="AJ892" s="1"/>
      <c r="AK892" s="1"/>
      <c r="AL892" s="1"/>
      <c r="AM892" s="1"/>
      <c r="AN892" s="1"/>
      <c r="AO892" s="1"/>
      <c r="AP892"/>
      <c r="AQ892"/>
      <c r="AR892"/>
      <c r="AS892"/>
      <c r="AT892" s="50"/>
      <c r="AU892" s="97"/>
      <c r="AV892" s="97"/>
      <c r="AW892" s="97"/>
      <c r="AX892" s="97"/>
      <c r="AY892" s="97"/>
      <c r="BD892" s="35"/>
      <c r="BE892" s="35"/>
      <c r="BV892" s="98"/>
      <c r="BW892" s="98"/>
      <c r="BX892" s="98"/>
      <c r="BY892" s="112"/>
      <c r="BZ892" s="112"/>
      <c r="CA892" s="112"/>
      <c r="CB892" s="98"/>
      <c r="CC892" s="98"/>
      <c r="CD892" s="98"/>
      <c r="CE892" s="98"/>
      <c r="CG892" s="100"/>
      <c r="CH892" s="100"/>
      <c r="CI892" s="100"/>
      <c r="CJ892" s="100"/>
      <c r="CK892" s="100"/>
      <c r="CL892" s="100"/>
      <c r="CM892" s="100"/>
      <c r="CN892" s="100"/>
      <c r="CO892" s="100"/>
      <c r="CP892" s="100"/>
      <c r="CQ892" s="100"/>
      <c r="CR892" s="100"/>
      <c r="CS892" s="100"/>
      <c r="CT892" s="100"/>
      <c r="CU892" s="100"/>
    </row>
    <row r="893" spans="6:99" s="36" customFormat="1" ht="11.1" customHeight="1" x14ac:dyDescent="0.25">
      <c r="F893" s="33"/>
      <c r="G893" s="33"/>
      <c r="H893" s="33"/>
      <c r="I893" s="34"/>
      <c r="J893" s="34"/>
      <c r="K893" s="14"/>
      <c r="L893" s="32"/>
      <c r="M893" s="14"/>
      <c r="N893" s="14"/>
      <c r="O893" s="2"/>
      <c r="P893"/>
      <c r="Q893" s="2"/>
      <c r="R893"/>
      <c r="S893"/>
      <c r="T893"/>
      <c r="U893" s="2"/>
      <c r="V893" s="2"/>
      <c r="W893" s="2"/>
      <c r="X893" s="2"/>
      <c r="Y893" s="2"/>
      <c r="Z893" s="11"/>
      <c r="AA893" s="15"/>
      <c r="AB893" s="15"/>
      <c r="AC893" s="15"/>
      <c r="AD893" s="35"/>
      <c r="AE893" s="99"/>
      <c r="AF893" s="99"/>
      <c r="AG893" s="35"/>
      <c r="AH893" s="35"/>
      <c r="AI893" s="35"/>
      <c r="AJ893" s="1"/>
      <c r="AK893" s="1"/>
      <c r="AL893" s="1"/>
      <c r="AM893" s="1"/>
      <c r="AN893" s="1"/>
      <c r="AO893" s="1"/>
      <c r="AP893"/>
      <c r="AQ893"/>
      <c r="AR893"/>
      <c r="AS893"/>
      <c r="AT893" s="50"/>
      <c r="AU893" s="97"/>
      <c r="AV893" s="97"/>
      <c r="AW893" s="97"/>
      <c r="AX893" s="97"/>
      <c r="AY893" s="97"/>
      <c r="BD893" s="35"/>
      <c r="BE893" s="35"/>
      <c r="BV893" s="98"/>
      <c r="BW893" s="98"/>
      <c r="BX893" s="98"/>
      <c r="BY893" s="112"/>
      <c r="BZ893" s="112"/>
      <c r="CA893" s="112"/>
      <c r="CB893" s="98"/>
      <c r="CC893" s="98"/>
      <c r="CD893" s="98"/>
      <c r="CE893" s="98"/>
      <c r="CG893" s="100"/>
      <c r="CH893" s="100"/>
      <c r="CI893" s="100"/>
      <c r="CJ893" s="100"/>
      <c r="CK893" s="100"/>
      <c r="CL893" s="100"/>
      <c r="CM893" s="100"/>
      <c r="CN893" s="100"/>
      <c r="CO893" s="100"/>
      <c r="CP893" s="100"/>
      <c r="CQ893" s="100"/>
      <c r="CR893" s="100"/>
      <c r="CS893" s="100"/>
      <c r="CT893" s="100"/>
      <c r="CU893" s="100"/>
    </row>
    <row r="894" spans="6:99" s="36" customFormat="1" ht="11.1" customHeight="1" x14ac:dyDescent="0.25">
      <c r="F894" s="33"/>
      <c r="G894" s="33"/>
      <c r="H894" s="33"/>
      <c r="I894" s="34"/>
      <c r="J894" s="34"/>
      <c r="K894" s="14"/>
      <c r="L894" s="32"/>
      <c r="M894" s="14"/>
      <c r="N894" s="14"/>
      <c r="O894" s="2"/>
      <c r="P894"/>
      <c r="Q894" s="2"/>
      <c r="R894"/>
      <c r="S894"/>
      <c r="T894"/>
      <c r="U894" s="2"/>
      <c r="V894" s="2"/>
      <c r="W894" s="2"/>
      <c r="X894" s="2"/>
      <c r="Y894" s="2"/>
      <c r="Z894" s="11"/>
      <c r="AA894" s="15"/>
      <c r="AB894" s="15"/>
      <c r="AC894" s="15"/>
      <c r="AD894" s="35"/>
      <c r="AE894" s="99"/>
      <c r="AF894" s="99"/>
      <c r="AG894" s="35"/>
      <c r="AH894" s="35"/>
      <c r="AI894" s="35"/>
      <c r="AJ894" s="1"/>
      <c r="AK894" s="1"/>
      <c r="AL894" s="1"/>
      <c r="AM894" s="1"/>
      <c r="AN894" s="1"/>
      <c r="AO894" s="1"/>
      <c r="AP894"/>
      <c r="AQ894"/>
      <c r="AR894"/>
      <c r="AS894"/>
      <c r="AT894" s="50"/>
      <c r="AU894" s="97"/>
      <c r="AV894" s="97"/>
      <c r="AW894" s="97"/>
      <c r="AX894" s="97"/>
      <c r="AY894" s="97"/>
      <c r="BD894" s="35"/>
      <c r="BE894" s="35"/>
      <c r="BV894" s="98"/>
      <c r="BW894" s="98"/>
      <c r="BX894" s="98"/>
      <c r="BY894" s="112"/>
      <c r="BZ894" s="112"/>
      <c r="CA894" s="112"/>
      <c r="CB894" s="98"/>
      <c r="CC894" s="98"/>
      <c r="CD894" s="98"/>
      <c r="CE894" s="98"/>
      <c r="CG894" s="100"/>
      <c r="CH894" s="100"/>
      <c r="CI894" s="100"/>
      <c r="CJ894" s="100"/>
      <c r="CK894" s="100"/>
      <c r="CL894" s="100"/>
      <c r="CM894" s="100"/>
      <c r="CN894" s="100"/>
      <c r="CO894" s="100"/>
      <c r="CP894" s="100"/>
      <c r="CQ894" s="100"/>
      <c r="CR894" s="100"/>
      <c r="CS894" s="100"/>
      <c r="CT894" s="100"/>
      <c r="CU894" s="100"/>
    </row>
    <row r="895" spans="6:99" s="36" customFormat="1" ht="11.1" customHeight="1" x14ac:dyDescent="0.25">
      <c r="F895" s="33"/>
      <c r="G895" s="33"/>
      <c r="H895" s="33"/>
      <c r="I895" s="34"/>
      <c r="J895" s="34"/>
      <c r="K895" s="14"/>
      <c r="L895" s="32"/>
      <c r="M895" s="14"/>
      <c r="N895" s="14"/>
      <c r="O895" s="2"/>
      <c r="P895"/>
      <c r="Q895" s="2"/>
      <c r="R895"/>
      <c r="S895"/>
      <c r="T895"/>
      <c r="U895" s="2"/>
      <c r="V895" s="2"/>
      <c r="W895" s="2"/>
      <c r="X895" s="2"/>
      <c r="Y895" s="2"/>
      <c r="Z895" s="11"/>
      <c r="AA895" s="15"/>
      <c r="AB895" s="15"/>
      <c r="AC895" s="15"/>
      <c r="AD895" s="35"/>
      <c r="AE895" s="99"/>
      <c r="AF895" s="99"/>
      <c r="AG895" s="35"/>
      <c r="AH895" s="35"/>
      <c r="AI895" s="35"/>
      <c r="AJ895" s="1"/>
      <c r="AK895" s="1"/>
      <c r="AL895" s="1"/>
      <c r="AM895" s="1"/>
      <c r="AN895" s="1"/>
      <c r="AO895" s="1"/>
      <c r="AP895"/>
      <c r="AQ895"/>
      <c r="AR895"/>
      <c r="AS895"/>
      <c r="AT895" s="50"/>
      <c r="AU895" s="97"/>
      <c r="AV895" s="97"/>
      <c r="AW895" s="97"/>
      <c r="AX895" s="97"/>
      <c r="AY895" s="97"/>
      <c r="BD895" s="35"/>
      <c r="BE895" s="35"/>
      <c r="BV895" s="98"/>
      <c r="BW895" s="98"/>
      <c r="BX895" s="98"/>
      <c r="BY895" s="112"/>
      <c r="BZ895" s="112"/>
      <c r="CA895" s="112"/>
      <c r="CB895" s="98"/>
      <c r="CC895" s="98"/>
      <c r="CD895" s="98"/>
      <c r="CE895" s="98"/>
      <c r="CG895" s="100"/>
      <c r="CH895" s="100"/>
      <c r="CI895" s="100"/>
      <c r="CJ895" s="100"/>
      <c r="CK895" s="100"/>
      <c r="CL895" s="100"/>
      <c r="CM895" s="100"/>
      <c r="CN895" s="100"/>
      <c r="CO895" s="100"/>
      <c r="CP895" s="100"/>
      <c r="CQ895" s="100"/>
      <c r="CR895" s="100"/>
      <c r="CS895" s="100"/>
      <c r="CT895" s="100"/>
      <c r="CU895" s="100"/>
    </row>
    <row r="896" spans="6:99" s="36" customFormat="1" ht="11.1" customHeight="1" x14ac:dyDescent="0.25">
      <c r="F896" s="33"/>
      <c r="G896" s="33"/>
      <c r="H896" s="33"/>
      <c r="I896" s="34"/>
      <c r="J896" s="34"/>
      <c r="K896" s="14"/>
      <c r="L896" s="32"/>
      <c r="M896" s="14"/>
      <c r="N896" s="14"/>
      <c r="O896" s="2"/>
      <c r="P896"/>
      <c r="Q896" s="2"/>
      <c r="R896"/>
      <c r="S896"/>
      <c r="T896"/>
      <c r="U896" s="2"/>
      <c r="V896" s="2"/>
      <c r="W896" s="2"/>
      <c r="X896" s="2"/>
      <c r="Y896" s="2"/>
      <c r="Z896" s="11"/>
      <c r="AA896" s="15"/>
      <c r="AB896" s="15"/>
      <c r="AC896" s="15"/>
      <c r="AD896" s="35"/>
      <c r="AE896" s="99"/>
      <c r="AF896" s="99"/>
      <c r="AG896" s="35"/>
      <c r="AH896" s="35"/>
      <c r="AI896" s="35"/>
      <c r="AJ896" s="1"/>
      <c r="AK896" s="1"/>
      <c r="AL896" s="1"/>
      <c r="AM896" s="1"/>
      <c r="AN896" s="1"/>
      <c r="AO896" s="1"/>
      <c r="AP896"/>
      <c r="AQ896"/>
      <c r="AR896"/>
      <c r="AS896"/>
      <c r="AT896" s="50"/>
      <c r="AU896" s="97"/>
      <c r="AV896" s="97"/>
      <c r="AW896" s="97"/>
      <c r="AX896" s="97"/>
      <c r="AY896" s="97"/>
      <c r="BD896" s="35"/>
      <c r="BE896" s="35"/>
      <c r="BV896" s="98"/>
      <c r="BW896" s="98"/>
      <c r="BX896" s="98"/>
      <c r="BY896" s="112"/>
      <c r="BZ896" s="112"/>
      <c r="CA896" s="112"/>
      <c r="CB896" s="98"/>
      <c r="CC896" s="98"/>
      <c r="CD896" s="98"/>
      <c r="CE896" s="98"/>
      <c r="CG896" s="100"/>
      <c r="CH896" s="100"/>
      <c r="CI896" s="100"/>
      <c r="CJ896" s="100"/>
      <c r="CK896" s="100"/>
      <c r="CL896" s="100"/>
      <c r="CM896" s="100"/>
      <c r="CN896" s="100"/>
      <c r="CO896" s="100"/>
      <c r="CP896" s="100"/>
      <c r="CQ896" s="100"/>
      <c r="CR896" s="100"/>
      <c r="CS896" s="100"/>
      <c r="CT896" s="100"/>
      <c r="CU896" s="100"/>
    </row>
    <row r="897" spans="6:99" s="36" customFormat="1" ht="11.1" customHeight="1" x14ac:dyDescent="0.25">
      <c r="F897" s="33"/>
      <c r="G897" s="33"/>
      <c r="H897" s="33"/>
      <c r="I897" s="34"/>
      <c r="J897" s="34"/>
      <c r="K897" s="14"/>
      <c r="L897" s="32"/>
      <c r="M897" s="14"/>
      <c r="N897" s="14"/>
      <c r="O897" s="2"/>
      <c r="P897"/>
      <c r="Q897" s="2"/>
      <c r="R897"/>
      <c r="S897"/>
      <c r="T897"/>
      <c r="U897" s="2"/>
      <c r="V897" s="2"/>
      <c r="W897" s="2"/>
      <c r="X897" s="2"/>
      <c r="Y897" s="2"/>
      <c r="Z897" s="11"/>
      <c r="AA897" s="15"/>
      <c r="AB897" s="15"/>
      <c r="AC897" s="15"/>
      <c r="AD897" s="35"/>
      <c r="AE897" s="99"/>
      <c r="AF897" s="99"/>
      <c r="AG897" s="35"/>
      <c r="AH897" s="35"/>
      <c r="AI897" s="35"/>
      <c r="AJ897" s="1"/>
      <c r="AK897" s="1"/>
      <c r="AL897" s="1"/>
      <c r="AM897" s="1"/>
      <c r="AN897" s="1"/>
      <c r="AO897" s="1"/>
      <c r="AP897"/>
      <c r="AQ897"/>
      <c r="AR897"/>
      <c r="AS897"/>
      <c r="AT897" s="50"/>
      <c r="AU897" s="97"/>
      <c r="AV897" s="97"/>
      <c r="AW897" s="97"/>
      <c r="AX897" s="97"/>
      <c r="AY897" s="97"/>
      <c r="BD897" s="35"/>
      <c r="BE897" s="35"/>
      <c r="BV897" s="98"/>
      <c r="BW897" s="98"/>
      <c r="BX897" s="98"/>
      <c r="BY897" s="112"/>
      <c r="BZ897" s="112"/>
      <c r="CA897" s="112"/>
      <c r="CB897" s="98"/>
      <c r="CC897" s="98"/>
      <c r="CD897" s="98"/>
      <c r="CE897" s="98"/>
      <c r="CG897" s="100"/>
      <c r="CH897" s="100"/>
      <c r="CI897" s="100"/>
      <c r="CJ897" s="100"/>
      <c r="CK897" s="100"/>
      <c r="CL897" s="100"/>
      <c r="CM897" s="100"/>
      <c r="CN897" s="100"/>
      <c r="CO897" s="100"/>
      <c r="CP897" s="100"/>
      <c r="CQ897" s="100"/>
      <c r="CR897" s="100"/>
      <c r="CS897" s="100"/>
      <c r="CT897" s="100"/>
      <c r="CU897" s="100"/>
    </row>
    <row r="898" spans="6:99" s="36" customFormat="1" ht="11.1" customHeight="1" x14ac:dyDescent="0.25">
      <c r="F898" s="33"/>
      <c r="G898" s="33"/>
      <c r="H898" s="33"/>
      <c r="I898" s="34"/>
      <c r="J898" s="34"/>
      <c r="K898" s="14"/>
      <c r="L898" s="32"/>
      <c r="M898" s="14"/>
      <c r="N898" s="14"/>
      <c r="O898" s="2"/>
      <c r="P898"/>
      <c r="Q898" s="2"/>
      <c r="R898"/>
      <c r="S898"/>
      <c r="T898"/>
      <c r="U898" s="2"/>
      <c r="V898" s="2"/>
      <c r="W898" s="2"/>
      <c r="X898" s="2"/>
      <c r="Y898" s="2"/>
      <c r="Z898" s="11"/>
      <c r="AA898" s="15"/>
      <c r="AB898" s="15"/>
      <c r="AC898" s="15"/>
      <c r="AD898" s="35"/>
      <c r="AE898" s="99"/>
      <c r="AF898" s="99"/>
      <c r="AG898" s="35"/>
      <c r="AH898" s="35"/>
      <c r="AI898" s="35"/>
      <c r="AJ898" s="1"/>
      <c r="AK898" s="1"/>
      <c r="AL898" s="1"/>
      <c r="AM898" s="1"/>
      <c r="AN898" s="1"/>
      <c r="AO898" s="1"/>
      <c r="AP898"/>
      <c r="AQ898"/>
      <c r="AR898"/>
      <c r="AS898"/>
      <c r="AT898" s="50"/>
      <c r="AU898" s="97"/>
      <c r="AV898" s="97"/>
      <c r="AW898" s="97"/>
      <c r="AX898" s="97"/>
      <c r="AY898" s="97"/>
      <c r="BD898" s="35"/>
      <c r="BE898" s="35"/>
      <c r="BV898" s="98"/>
      <c r="BW898" s="98"/>
      <c r="BX898" s="98"/>
      <c r="BY898" s="112"/>
      <c r="BZ898" s="112"/>
      <c r="CA898" s="112"/>
      <c r="CB898" s="98"/>
      <c r="CC898" s="98"/>
      <c r="CD898" s="98"/>
      <c r="CE898" s="98"/>
      <c r="CG898" s="100"/>
      <c r="CH898" s="100"/>
      <c r="CI898" s="100"/>
      <c r="CJ898" s="100"/>
      <c r="CK898" s="100"/>
      <c r="CL898" s="100"/>
      <c r="CM898" s="100"/>
      <c r="CN898" s="100"/>
      <c r="CO898" s="100"/>
      <c r="CP898" s="100"/>
      <c r="CQ898" s="100"/>
      <c r="CR898" s="100"/>
      <c r="CS898" s="100"/>
      <c r="CT898" s="100"/>
      <c r="CU898" s="100"/>
    </row>
    <row r="899" spans="6:99" s="36" customFormat="1" ht="11.1" customHeight="1" x14ac:dyDescent="0.25">
      <c r="F899" s="33"/>
      <c r="G899" s="33"/>
      <c r="H899" s="33"/>
      <c r="I899" s="34"/>
      <c r="J899" s="34"/>
      <c r="K899" s="14"/>
      <c r="L899" s="32"/>
      <c r="M899" s="14"/>
      <c r="N899" s="14"/>
      <c r="O899" s="2"/>
      <c r="P899"/>
      <c r="Q899" s="2"/>
      <c r="R899"/>
      <c r="S899"/>
      <c r="T899"/>
      <c r="U899" s="2"/>
      <c r="V899" s="2"/>
      <c r="W899" s="2"/>
      <c r="X899" s="2"/>
      <c r="Y899" s="2"/>
      <c r="Z899" s="11"/>
      <c r="AA899" s="15"/>
      <c r="AB899" s="15"/>
      <c r="AC899" s="15"/>
      <c r="AD899" s="35"/>
      <c r="AE899" s="99"/>
      <c r="AF899" s="99"/>
      <c r="AG899" s="35"/>
      <c r="AH899" s="35"/>
      <c r="AI899" s="35"/>
      <c r="AJ899" s="1"/>
      <c r="AK899" s="1"/>
      <c r="AL899" s="1"/>
      <c r="AM899" s="1"/>
      <c r="AN899" s="1"/>
      <c r="AO899" s="1"/>
      <c r="AP899"/>
      <c r="AQ899"/>
      <c r="AR899"/>
      <c r="AS899"/>
      <c r="AT899" s="50"/>
      <c r="AU899" s="97"/>
      <c r="AV899" s="97"/>
      <c r="AW899" s="97"/>
      <c r="AX899" s="97"/>
      <c r="AY899" s="97"/>
      <c r="BD899" s="35"/>
      <c r="BE899" s="35"/>
      <c r="BV899" s="98"/>
      <c r="BW899" s="98"/>
      <c r="BX899" s="98"/>
      <c r="BY899" s="112"/>
      <c r="BZ899" s="112"/>
      <c r="CA899" s="112"/>
      <c r="CB899" s="98"/>
      <c r="CC899" s="98"/>
      <c r="CD899" s="98"/>
      <c r="CE899" s="98"/>
      <c r="CG899" s="100"/>
      <c r="CH899" s="100"/>
      <c r="CI899" s="100"/>
      <c r="CJ899" s="100"/>
      <c r="CK899" s="100"/>
      <c r="CL899" s="100"/>
      <c r="CM899" s="100"/>
      <c r="CN899" s="100"/>
      <c r="CO899" s="100"/>
      <c r="CP899" s="100"/>
      <c r="CQ899" s="100"/>
      <c r="CR899" s="100"/>
      <c r="CS899" s="100"/>
      <c r="CT899" s="100"/>
      <c r="CU899" s="100"/>
    </row>
    <row r="900" spans="6:99" s="36" customFormat="1" ht="11.1" customHeight="1" x14ac:dyDescent="0.25">
      <c r="F900" s="33"/>
      <c r="G900" s="33"/>
      <c r="H900" s="33"/>
      <c r="I900" s="34"/>
      <c r="J900" s="34"/>
      <c r="K900" s="14"/>
      <c r="L900" s="32"/>
      <c r="M900" s="14"/>
      <c r="N900" s="14"/>
      <c r="O900" s="2"/>
      <c r="P900"/>
      <c r="Q900" s="2"/>
      <c r="R900"/>
      <c r="S900"/>
      <c r="T900"/>
      <c r="U900" s="2"/>
      <c r="V900" s="2"/>
      <c r="W900" s="2"/>
      <c r="X900" s="2"/>
      <c r="Y900" s="2"/>
      <c r="Z900" s="11"/>
      <c r="AA900" s="15"/>
      <c r="AB900" s="15"/>
      <c r="AC900" s="15"/>
      <c r="AD900" s="35"/>
      <c r="AE900" s="99"/>
      <c r="AF900" s="99"/>
      <c r="AG900" s="35"/>
      <c r="AH900" s="35"/>
      <c r="AI900" s="35"/>
      <c r="AJ900" s="1"/>
      <c r="AK900" s="1"/>
      <c r="AL900" s="1"/>
      <c r="AM900" s="1"/>
      <c r="AN900" s="1"/>
      <c r="AO900" s="1"/>
      <c r="AP900"/>
      <c r="AQ900"/>
      <c r="AR900"/>
      <c r="AS900"/>
      <c r="AT900" s="50"/>
      <c r="AU900" s="97"/>
      <c r="AV900" s="97"/>
      <c r="AW900" s="97"/>
      <c r="AX900" s="97"/>
      <c r="AY900" s="97"/>
      <c r="BD900" s="35"/>
      <c r="BE900" s="35"/>
      <c r="BV900" s="98"/>
      <c r="BW900" s="98"/>
      <c r="BX900" s="98"/>
      <c r="BY900" s="112"/>
      <c r="BZ900" s="112"/>
      <c r="CA900" s="112"/>
      <c r="CB900" s="98"/>
      <c r="CC900" s="98"/>
      <c r="CD900" s="98"/>
      <c r="CE900" s="98"/>
      <c r="CG900" s="100"/>
      <c r="CH900" s="100"/>
      <c r="CI900" s="100"/>
      <c r="CJ900" s="100"/>
      <c r="CK900" s="100"/>
      <c r="CL900" s="100"/>
      <c r="CM900" s="100"/>
      <c r="CN900" s="100"/>
      <c r="CO900" s="100"/>
      <c r="CP900" s="100"/>
      <c r="CQ900" s="100"/>
      <c r="CR900" s="100"/>
      <c r="CS900" s="100"/>
      <c r="CT900" s="100"/>
      <c r="CU900" s="100"/>
    </row>
    <row r="901" spans="6:99" s="36" customFormat="1" ht="11.1" customHeight="1" x14ac:dyDescent="0.25">
      <c r="F901" s="33"/>
      <c r="G901" s="33"/>
      <c r="H901" s="33"/>
      <c r="I901" s="34"/>
      <c r="J901" s="34"/>
      <c r="K901" s="14"/>
      <c r="L901" s="32"/>
      <c r="M901" s="14"/>
      <c r="N901" s="14"/>
      <c r="O901" s="2"/>
      <c r="P901"/>
      <c r="Q901" s="2"/>
      <c r="R901"/>
      <c r="S901"/>
      <c r="T901"/>
      <c r="U901" s="2"/>
      <c r="V901" s="2"/>
      <c r="W901" s="2"/>
      <c r="X901" s="2"/>
      <c r="Y901" s="2"/>
      <c r="Z901" s="11"/>
      <c r="AA901" s="15"/>
      <c r="AB901" s="15"/>
      <c r="AC901" s="15"/>
      <c r="AD901" s="35"/>
      <c r="AE901" s="99"/>
      <c r="AF901" s="99"/>
      <c r="AG901" s="35"/>
      <c r="AH901" s="35"/>
      <c r="AI901" s="35"/>
      <c r="AJ901" s="1"/>
      <c r="AK901" s="1"/>
      <c r="AL901" s="1"/>
      <c r="AM901" s="1"/>
      <c r="AN901" s="1"/>
      <c r="AO901" s="1"/>
      <c r="AP901"/>
      <c r="AQ901"/>
      <c r="AR901"/>
      <c r="AS901"/>
      <c r="AT901" s="50"/>
      <c r="AU901" s="97"/>
      <c r="AV901" s="97"/>
      <c r="AW901" s="97"/>
      <c r="AX901" s="97"/>
      <c r="AY901" s="97"/>
      <c r="BD901" s="35"/>
      <c r="BE901" s="35"/>
      <c r="BV901" s="98"/>
      <c r="BW901" s="98"/>
      <c r="BX901" s="98"/>
      <c r="BY901" s="112"/>
      <c r="BZ901" s="112"/>
      <c r="CA901" s="112"/>
      <c r="CB901" s="98"/>
      <c r="CC901" s="98"/>
      <c r="CD901" s="98"/>
      <c r="CE901" s="98"/>
      <c r="CG901" s="100"/>
      <c r="CH901" s="100"/>
      <c r="CI901" s="100"/>
      <c r="CJ901" s="100"/>
      <c r="CK901" s="100"/>
      <c r="CL901" s="100"/>
      <c r="CM901" s="100"/>
      <c r="CN901" s="100"/>
      <c r="CO901" s="100"/>
      <c r="CP901" s="100"/>
      <c r="CQ901" s="100"/>
      <c r="CR901" s="100"/>
      <c r="CS901" s="100"/>
      <c r="CT901" s="100"/>
      <c r="CU901" s="100"/>
    </row>
    <row r="902" spans="6:99" s="36" customFormat="1" ht="11.1" customHeight="1" x14ac:dyDescent="0.25">
      <c r="F902" s="33"/>
      <c r="G902" s="33"/>
      <c r="H902" s="33"/>
      <c r="I902" s="34"/>
      <c r="J902" s="34"/>
      <c r="K902" s="14"/>
      <c r="L902" s="32"/>
      <c r="M902" s="14"/>
      <c r="N902" s="14"/>
      <c r="O902" s="2"/>
      <c r="P902"/>
      <c r="Q902" s="2"/>
      <c r="R902"/>
      <c r="S902"/>
      <c r="T902"/>
      <c r="U902" s="2"/>
      <c r="V902" s="2"/>
      <c r="W902" s="2"/>
      <c r="X902" s="2"/>
      <c r="Y902" s="2"/>
      <c r="Z902" s="11"/>
      <c r="AA902" s="15"/>
      <c r="AB902" s="15"/>
      <c r="AC902" s="15"/>
      <c r="AD902" s="35"/>
      <c r="AE902" s="99"/>
      <c r="AF902" s="99"/>
      <c r="AG902" s="35"/>
      <c r="AH902" s="35"/>
      <c r="AI902" s="35"/>
      <c r="AJ902" s="1"/>
      <c r="AK902" s="1"/>
      <c r="AL902" s="1"/>
      <c r="AM902" s="1"/>
      <c r="AN902" s="1"/>
      <c r="AO902" s="1"/>
      <c r="AP902"/>
      <c r="AQ902"/>
      <c r="AR902"/>
      <c r="AS902"/>
      <c r="AT902" s="50"/>
      <c r="AU902" s="97"/>
      <c r="AV902" s="97"/>
      <c r="AW902" s="97"/>
      <c r="AX902" s="97"/>
      <c r="AY902" s="97"/>
      <c r="BD902" s="35"/>
      <c r="BE902" s="35"/>
      <c r="BV902" s="98"/>
      <c r="BW902" s="98"/>
      <c r="BX902" s="98"/>
      <c r="BY902" s="112"/>
      <c r="BZ902" s="112"/>
      <c r="CA902" s="112"/>
      <c r="CB902" s="98"/>
      <c r="CC902" s="98"/>
      <c r="CD902" s="98"/>
      <c r="CE902" s="98"/>
      <c r="CG902" s="100"/>
      <c r="CH902" s="100"/>
      <c r="CI902" s="100"/>
      <c r="CJ902" s="100"/>
      <c r="CK902" s="100"/>
      <c r="CL902" s="100"/>
      <c r="CM902" s="100"/>
      <c r="CN902" s="100"/>
      <c r="CO902" s="100"/>
      <c r="CP902" s="100"/>
      <c r="CQ902" s="100"/>
      <c r="CR902" s="100"/>
      <c r="CS902" s="100"/>
      <c r="CT902" s="100"/>
      <c r="CU902" s="100"/>
    </row>
    <row r="903" spans="6:99" s="36" customFormat="1" ht="11.1" customHeight="1" x14ac:dyDescent="0.25">
      <c r="F903" s="33"/>
      <c r="G903" s="33"/>
      <c r="H903" s="33"/>
      <c r="I903" s="34"/>
      <c r="J903" s="34"/>
      <c r="K903" s="14"/>
      <c r="L903" s="32"/>
      <c r="M903" s="14"/>
      <c r="N903" s="14"/>
      <c r="O903" s="2"/>
      <c r="P903"/>
      <c r="Q903" s="2"/>
      <c r="R903"/>
      <c r="S903"/>
      <c r="T903"/>
      <c r="U903" s="2"/>
      <c r="V903" s="2"/>
      <c r="W903" s="2"/>
      <c r="X903" s="2"/>
      <c r="Y903" s="2"/>
      <c r="Z903" s="11"/>
      <c r="AA903" s="15"/>
      <c r="AB903" s="15"/>
      <c r="AC903" s="15"/>
      <c r="AD903" s="35"/>
      <c r="AE903" s="99"/>
      <c r="AF903" s="99"/>
      <c r="AG903" s="35"/>
      <c r="AH903" s="35"/>
      <c r="AI903" s="35"/>
      <c r="AJ903" s="1"/>
      <c r="AK903" s="1"/>
      <c r="AL903" s="1"/>
      <c r="AM903" s="1"/>
      <c r="AN903" s="1"/>
      <c r="AO903" s="1"/>
      <c r="AP903"/>
      <c r="AQ903"/>
      <c r="AR903"/>
      <c r="AS903"/>
      <c r="AT903" s="50"/>
      <c r="AU903" s="97"/>
      <c r="AV903" s="97"/>
      <c r="AW903" s="97"/>
      <c r="AX903" s="97"/>
      <c r="AY903" s="97"/>
      <c r="BD903" s="35"/>
      <c r="BE903" s="35"/>
      <c r="BV903" s="98"/>
      <c r="BW903" s="98"/>
      <c r="BX903" s="98"/>
      <c r="BY903" s="112"/>
      <c r="BZ903" s="112"/>
      <c r="CA903" s="112"/>
      <c r="CB903" s="98"/>
      <c r="CC903" s="98"/>
      <c r="CD903" s="98"/>
      <c r="CE903" s="98"/>
      <c r="CG903" s="100"/>
      <c r="CH903" s="100"/>
      <c r="CI903" s="100"/>
      <c r="CJ903" s="100"/>
      <c r="CK903" s="100"/>
      <c r="CL903" s="100"/>
      <c r="CM903" s="100"/>
      <c r="CN903" s="100"/>
      <c r="CO903" s="100"/>
      <c r="CP903" s="100"/>
      <c r="CQ903" s="100"/>
      <c r="CR903" s="100"/>
      <c r="CS903" s="100"/>
      <c r="CT903" s="100"/>
      <c r="CU903" s="100"/>
    </row>
    <row r="904" spans="6:99" s="36" customFormat="1" ht="11.1" customHeight="1" x14ac:dyDescent="0.25">
      <c r="F904" s="33"/>
      <c r="G904" s="33"/>
      <c r="H904" s="33"/>
      <c r="I904" s="34"/>
      <c r="J904" s="34"/>
      <c r="K904" s="14"/>
      <c r="L904" s="32"/>
      <c r="M904" s="14"/>
      <c r="N904" s="14"/>
      <c r="O904" s="2"/>
      <c r="P904"/>
      <c r="Q904" s="2"/>
      <c r="R904"/>
      <c r="S904"/>
      <c r="T904"/>
      <c r="U904" s="2"/>
      <c r="V904" s="2"/>
      <c r="W904" s="2"/>
      <c r="X904" s="2"/>
      <c r="Y904" s="2"/>
      <c r="Z904" s="11"/>
      <c r="AA904" s="15"/>
      <c r="AB904" s="15"/>
      <c r="AC904" s="15"/>
      <c r="AD904" s="35"/>
      <c r="AE904" s="99"/>
      <c r="AF904" s="99"/>
      <c r="AG904" s="35"/>
      <c r="AH904" s="35"/>
      <c r="AI904" s="35"/>
      <c r="AJ904" s="1"/>
      <c r="AK904" s="1"/>
      <c r="AL904" s="1"/>
      <c r="AM904" s="1"/>
      <c r="AN904" s="1"/>
      <c r="AO904" s="1"/>
      <c r="AP904"/>
      <c r="AQ904"/>
      <c r="AR904"/>
      <c r="AS904"/>
      <c r="AT904" s="50"/>
      <c r="AU904" s="97"/>
      <c r="AV904" s="97"/>
      <c r="AW904" s="97"/>
      <c r="AX904" s="97"/>
      <c r="AY904" s="97"/>
      <c r="BD904" s="35"/>
      <c r="BE904" s="35"/>
      <c r="BV904" s="98"/>
      <c r="BW904" s="98"/>
      <c r="BX904" s="98"/>
      <c r="BY904" s="112"/>
      <c r="BZ904" s="112"/>
      <c r="CA904" s="112"/>
      <c r="CB904" s="98"/>
      <c r="CC904" s="98"/>
      <c r="CD904" s="98"/>
      <c r="CE904" s="98"/>
      <c r="CG904" s="100"/>
      <c r="CH904" s="100"/>
      <c r="CI904" s="100"/>
      <c r="CJ904" s="100"/>
      <c r="CK904" s="100"/>
      <c r="CL904" s="100"/>
      <c r="CM904" s="100"/>
      <c r="CN904" s="100"/>
      <c r="CO904" s="100"/>
      <c r="CP904" s="100"/>
      <c r="CQ904" s="100"/>
      <c r="CR904" s="100"/>
      <c r="CS904" s="100"/>
      <c r="CT904" s="100"/>
      <c r="CU904" s="100"/>
    </row>
    <row r="905" spans="6:99" s="36" customFormat="1" ht="11.1" customHeight="1" x14ac:dyDescent="0.25">
      <c r="F905" s="33"/>
      <c r="G905" s="33"/>
      <c r="H905" s="33"/>
      <c r="I905" s="34"/>
      <c r="J905" s="34"/>
      <c r="K905" s="14"/>
      <c r="L905" s="32"/>
      <c r="M905" s="14"/>
      <c r="N905" s="14"/>
      <c r="O905" s="2"/>
      <c r="P905"/>
      <c r="Q905" s="2"/>
      <c r="R905"/>
      <c r="S905"/>
      <c r="T905"/>
      <c r="U905" s="2"/>
      <c r="V905" s="2"/>
      <c r="W905" s="2"/>
      <c r="X905" s="2"/>
      <c r="Y905" s="2"/>
      <c r="Z905" s="11"/>
      <c r="AA905" s="15"/>
      <c r="AB905" s="15"/>
      <c r="AC905" s="15"/>
      <c r="AD905" s="35"/>
      <c r="AE905" s="99"/>
      <c r="AF905" s="99"/>
      <c r="AG905" s="35"/>
      <c r="AH905" s="35"/>
      <c r="AI905" s="35"/>
      <c r="AJ905" s="1"/>
      <c r="AK905" s="1"/>
      <c r="AL905" s="1"/>
      <c r="AM905" s="1"/>
      <c r="AN905" s="1"/>
      <c r="AO905" s="1"/>
      <c r="AP905"/>
      <c r="AQ905"/>
      <c r="AR905"/>
      <c r="AS905"/>
      <c r="AT905" s="50"/>
      <c r="AU905" s="97"/>
      <c r="AV905" s="97"/>
      <c r="AW905" s="97"/>
      <c r="AX905" s="97"/>
      <c r="AY905" s="97"/>
      <c r="BD905" s="35"/>
      <c r="BE905" s="35"/>
      <c r="BV905" s="98"/>
      <c r="BW905" s="98"/>
      <c r="BX905" s="98"/>
      <c r="BY905" s="112"/>
      <c r="BZ905" s="112"/>
      <c r="CA905" s="112"/>
      <c r="CB905" s="98"/>
      <c r="CC905" s="98"/>
      <c r="CD905" s="98"/>
      <c r="CE905" s="98"/>
      <c r="CG905" s="100"/>
      <c r="CH905" s="100"/>
      <c r="CI905" s="100"/>
      <c r="CJ905" s="100"/>
      <c r="CK905" s="100"/>
      <c r="CL905" s="100"/>
      <c r="CM905" s="100"/>
      <c r="CN905" s="100"/>
      <c r="CO905" s="100"/>
      <c r="CP905" s="100"/>
      <c r="CQ905" s="100"/>
      <c r="CR905" s="100"/>
      <c r="CS905" s="100"/>
      <c r="CT905" s="100"/>
      <c r="CU905" s="100"/>
    </row>
    <row r="906" spans="6:99" s="36" customFormat="1" ht="11.1" customHeight="1" x14ac:dyDescent="0.25">
      <c r="F906" s="33"/>
      <c r="G906" s="33"/>
      <c r="H906" s="33"/>
      <c r="I906" s="34"/>
      <c r="J906" s="34"/>
      <c r="K906" s="14"/>
      <c r="L906" s="32"/>
      <c r="M906" s="14"/>
      <c r="N906" s="14"/>
      <c r="O906" s="2"/>
      <c r="P906"/>
      <c r="Q906" s="2"/>
      <c r="R906"/>
      <c r="S906"/>
      <c r="T906"/>
      <c r="U906" s="2"/>
      <c r="V906" s="2"/>
      <c r="W906" s="2"/>
      <c r="X906" s="2"/>
      <c r="Y906" s="2"/>
      <c r="Z906" s="11"/>
      <c r="AA906" s="15"/>
      <c r="AB906" s="15"/>
      <c r="AC906" s="15"/>
      <c r="AD906" s="35"/>
      <c r="AE906" s="99"/>
      <c r="AF906" s="99"/>
      <c r="AG906" s="35"/>
      <c r="AH906" s="35"/>
      <c r="AI906" s="35"/>
      <c r="AJ906" s="1"/>
      <c r="AK906" s="1"/>
      <c r="AL906" s="1"/>
      <c r="AM906" s="1"/>
      <c r="AN906" s="1"/>
      <c r="AO906" s="1"/>
      <c r="AP906"/>
      <c r="AQ906"/>
      <c r="AR906"/>
      <c r="AS906"/>
      <c r="AT906" s="50"/>
      <c r="AU906" s="97"/>
      <c r="AV906" s="97"/>
      <c r="AW906" s="97"/>
      <c r="AX906" s="97"/>
      <c r="AY906" s="97"/>
      <c r="BD906" s="35"/>
      <c r="BE906" s="35"/>
      <c r="BV906" s="98"/>
      <c r="BW906" s="98"/>
      <c r="BX906" s="98"/>
      <c r="BY906" s="112"/>
      <c r="BZ906" s="112"/>
      <c r="CA906" s="112"/>
      <c r="CB906" s="98"/>
      <c r="CC906" s="98"/>
      <c r="CD906" s="98"/>
      <c r="CE906" s="98"/>
      <c r="CG906" s="100"/>
      <c r="CH906" s="100"/>
      <c r="CI906" s="100"/>
      <c r="CJ906" s="100"/>
      <c r="CK906" s="100"/>
      <c r="CL906" s="100"/>
      <c r="CM906" s="100"/>
      <c r="CN906" s="100"/>
      <c r="CO906" s="100"/>
      <c r="CP906" s="100"/>
      <c r="CQ906" s="100"/>
      <c r="CR906" s="100"/>
      <c r="CS906" s="100"/>
      <c r="CT906" s="100"/>
      <c r="CU906" s="100"/>
    </row>
    <row r="907" spans="6:99" s="36" customFormat="1" ht="11.1" customHeight="1" x14ac:dyDescent="0.25">
      <c r="F907" s="33"/>
      <c r="G907" s="33"/>
      <c r="H907" s="33"/>
      <c r="I907" s="34"/>
      <c r="J907" s="34"/>
      <c r="K907" s="14"/>
      <c r="L907" s="32"/>
      <c r="M907" s="14"/>
      <c r="N907" s="14"/>
      <c r="O907" s="2"/>
      <c r="P907"/>
      <c r="Q907" s="2"/>
      <c r="R907"/>
      <c r="S907"/>
      <c r="T907"/>
      <c r="U907" s="2"/>
      <c r="V907" s="2"/>
      <c r="W907" s="2"/>
      <c r="X907" s="2"/>
      <c r="Y907" s="2"/>
      <c r="Z907" s="11"/>
      <c r="AA907" s="15"/>
      <c r="AB907" s="15"/>
      <c r="AC907" s="15"/>
      <c r="AD907" s="35"/>
      <c r="AE907" s="99"/>
      <c r="AF907" s="99"/>
      <c r="AG907" s="35"/>
      <c r="AH907" s="35"/>
      <c r="AI907" s="35"/>
      <c r="AJ907" s="1"/>
      <c r="AK907" s="1"/>
      <c r="AL907" s="1"/>
      <c r="AM907" s="1"/>
      <c r="AN907" s="1"/>
      <c r="AO907" s="1"/>
      <c r="AP907"/>
      <c r="AQ907"/>
      <c r="AR907"/>
      <c r="AS907"/>
      <c r="AT907" s="50"/>
      <c r="AU907" s="97"/>
      <c r="AV907" s="97"/>
      <c r="AW907" s="97"/>
      <c r="AX907" s="97"/>
      <c r="AY907" s="97"/>
      <c r="BD907" s="35"/>
      <c r="BE907" s="35"/>
      <c r="BV907" s="98"/>
      <c r="BW907" s="98"/>
      <c r="BX907" s="98"/>
      <c r="BY907" s="112"/>
      <c r="BZ907" s="112"/>
      <c r="CA907" s="112"/>
      <c r="CB907" s="98"/>
      <c r="CC907" s="98"/>
      <c r="CD907" s="98"/>
      <c r="CE907" s="98"/>
      <c r="CG907" s="100"/>
      <c r="CH907" s="100"/>
      <c r="CI907" s="100"/>
      <c r="CJ907" s="100"/>
      <c r="CK907" s="100"/>
      <c r="CL907" s="100"/>
      <c r="CM907" s="100"/>
      <c r="CN907" s="100"/>
      <c r="CO907" s="100"/>
      <c r="CP907" s="100"/>
      <c r="CQ907" s="100"/>
      <c r="CR907" s="100"/>
      <c r="CS907" s="100"/>
      <c r="CT907" s="100"/>
      <c r="CU907" s="100"/>
    </row>
    <row r="908" spans="6:99" s="36" customFormat="1" ht="11.1" customHeight="1" x14ac:dyDescent="0.25">
      <c r="F908" s="33"/>
      <c r="G908" s="33"/>
      <c r="H908" s="33"/>
      <c r="I908" s="34"/>
      <c r="J908" s="34"/>
      <c r="K908" s="14"/>
      <c r="L908" s="32"/>
      <c r="M908" s="14"/>
      <c r="N908" s="14"/>
      <c r="O908" s="2"/>
      <c r="P908"/>
      <c r="Q908" s="2"/>
      <c r="R908"/>
      <c r="S908"/>
      <c r="T908"/>
      <c r="U908" s="2"/>
      <c r="V908" s="2"/>
      <c r="W908" s="2"/>
      <c r="X908" s="2"/>
      <c r="Y908" s="2"/>
      <c r="Z908" s="11"/>
      <c r="AA908" s="15"/>
      <c r="AB908" s="15"/>
      <c r="AC908" s="15"/>
      <c r="AD908" s="35"/>
      <c r="AE908" s="99"/>
      <c r="AF908" s="99"/>
      <c r="AG908" s="35"/>
      <c r="AH908" s="35"/>
      <c r="AI908" s="35"/>
      <c r="AJ908" s="1"/>
      <c r="AK908" s="1"/>
      <c r="AL908" s="1"/>
      <c r="AM908" s="1"/>
      <c r="AN908" s="1"/>
      <c r="AO908" s="1"/>
      <c r="AP908"/>
      <c r="AQ908"/>
      <c r="AR908"/>
      <c r="AS908"/>
      <c r="AT908" s="50"/>
      <c r="AU908" s="97"/>
      <c r="AV908" s="97"/>
      <c r="AW908" s="97"/>
      <c r="AX908" s="97"/>
      <c r="AY908" s="97"/>
      <c r="BD908" s="35"/>
      <c r="BE908" s="35"/>
      <c r="BV908" s="98"/>
      <c r="BW908" s="98"/>
      <c r="BX908" s="98"/>
      <c r="BY908" s="112"/>
      <c r="BZ908" s="112"/>
      <c r="CA908" s="112"/>
      <c r="CB908" s="98"/>
      <c r="CC908" s="98"/>
      <c r="CD908" s="98"/>
      <c r="CE908" s="98"/>
      <c r="CG908" s="100"/>
      <c r="CH908" s="100"/>
      <c r="CI908" s="100"/>
      <c r="CJ908" s="100"/>
      <c r="CK908" s="100"/>
      <c r="CL908" s="100"/>
      <c r="CM908" s="100"/>
      <c r="CN908" s="100"/>
      <c r="CO908" s="100"/>
      <c r="CP908" s="100"/>
      <c r="CQ908" s="100"/>
      <c r="CR908" s="100"/>
      <c r="CS908" s="100"/>
      <c r="CT908" s="100"/>
      <c r="CU908" s="100"/>
    </row>
    <row r="909" spans="6:99" s="36" customFormat="1" ht="11.1" customHeight="1" x14ac:dyDescent="0.25">
      <c r="F909" s="33"/>
      <c r="G909" s="33"/>
      <c r="H909" s="33"/>
      <c r="I909" s="34"/>
      <c r="J909" s="34"/>
      <c r="K909" s="14"/>
      <c r="L909" s="32"/>
      <c r="M909" s="14"/>
      <c r="N909" s="14"/>
      <c r="O909" s="2"/>
      <c r="P909"/>
      <c r="Q909" s="2"/>
      <c r="R909"/>
      <c r="S909"/>
      <c r="T909"/>
      <c r="U909" s="2"/>
      <c r="V909" s="2"/>
      <c r="W909" s="2"/>
      <c r="X909" s="2"/>
      <c r="Y909" s="2"/>
      <c r="Z909" s="11"/>
      <c r="AA909" s="15"/>
      <c r="AB909" s="15"/>
      <c r="AC909" s="15"/>
      <c r="AD909" s="35"/>
      <c r="AE909" s="99"/>
      <c r="AF909" s="99"/>
      <c r="AG909" s="35"/>
      <c r="AH909" s="35"/>
      <c r="AI909" s="35"/>
      <c r="AJ909" s="1"/>
      <c r="AK909" s="1"/>
      <c r="AL909" s="1"/>
      <c r="AM909" s="1"/>
      <c r="AN909" s="1"/>
      <c r="AO909" s="1"/>
      <c r="AP909"/>
      <c r="AQ909"/>
      <c r="AR909"/>
      <c r="AS909"/>
      <c r="AT909" s="50"/>
      <c r="AU909" s="97"/>
      <c r="AV909" s="97"/>
      <c r="AW909" s="97"/>
      <c r="AX909" s="97"/>
      <c r="AY909" s="97"/>
      <c r="BD909" s="35"/>
      <c r="BE909" s="35"/>
      <c r="BV909" s="98"/>
      <c r="BW909" s="98"/>
      <c r="BX909" s="98"/>
      <c r="BY909" s="112"/>
      <c r="BZ909" s="112"/>
      <c r="CA909" s="112"/>
      <c r="CB909" s="98"/>
      <c r="CC909" s="98"/>
      <c r="CD909" s="98"/>
      <c r="CE909" s="98"/>
      <c r="CG909" s="100"/>
      <c r="CH909" s="100"/>
      <c r="CI909" s="100"/>
      <c r="CJ909" s="100"/>
      <c r="CK909" s="100"/>
      <c r="CL909" s="100"/>
      <c r="CM909" s="100"/>
      <c r="CN909" s="100"/>
      <c r="CO909" s="100"/>
      <c r="CP909" s="100"/>
      <c r="CQ909" s="100"/>
      <c r="CR909" s="100"/>
      <c r="CS909" s="100"/>
      <c r="CT909" s="100"/>
      <c r="CU909" s="100"/>
    </row>
    <row r="910" spans="6:99" s="36" customFormat="1" ht="11.1" customHeight="1" x14ac:dyDescent="0.25">
      <c r="F910" s="33"/>
      <c r="G910" s="33"/>
      <c r="H910" s="33"/>
      <c r="I910" s="34"/>
      <c r="J910" s="34"/>
      <c r="K910" s="14"/>
      <c r="L910" s="32"/>
      <c r="M910" s="14"/>
      <c r="N910" s="14"/>
      <c r="O910" s="2"/>
      <c r="P910"/>
      <c r="Q910" s="2"/>
      <c r="R910"/>
      <c r="S910"/>
      <c r="T910"/>
      <c r="U910" s="2"/>
      <c r="V910" s="2"/>
      <c r="W910" s="2"/>
      <c r="X910" s="2"/>
      <c r="Y910" s="2"/>
      <c r="Z910" s="11"/>
      <c r="AA910" s="15"/>
      <c r="AB910" s="15"/>
      <c r="AC910" s="15"/>
      <c r="AD910" s="35"/>
      <c r="AE910" s="99"/>
      <c r="AF910" s="99"/>
      <c r="AG910" s="35"/>
      <c r="AH910" s="35"/>
      <c r="AI910" s="35"/>
      <c r="AJ910" s="1"/>
      <c r="AK910" s="1"/>
      <c r="AL910" s="1"/>
      <c r="AM910" s="1"/>
      <c r="AN910" s="1"/>
      <c r="AO910" s="1"/>
      <c r="AP910"/>
      <c r="AQ910"/>
      <c r="AR910"/>
      <c r="AS910"/>
      <c r="AT910" s="50"/>
      <c r="AU910" s="97"/>
      <c r="AV910" s="97"/>
      <c r="AW910" s="97"/>
      <c r="AX910" s="97"/>
      <c r="AY910" s="97"/>
      <c r="BD910" s="35"/>
      <c r="BE910" s="35"/>
      <c r="BV910" s="98"/>
      <c r="BW910" s="98"/>
      <c r="BX910" s="98"/>
      <c r="BY910" s="112"/>
      <c r="BZ910" s="112"/>
      <c r="CA910" s="112"/>
      <c r="CB910" s="98"/>
      <c r="CC910" s="98"/>
      <c r="CD910" s="98"/>
      <c r="CE910" s="98"/>
      <c r="CG910" s="100"/>
      <c r="CH910" s="100"/>
      <c r="CI910" s="100"/>
      <c r="CJ910" s="100"/>
      <c r="CK910" s="100"/>
      <c r="CL910" s="100"/>
      <c r="CM910" s="100"/>
      <c r="CN910" s="100"/>
      <c r="CO910" s="100"/>
      <c r="CP910" s="100"/>
      <c r="CQ910" s="100"/>
      <c r="CR910" s="100"/>
      <c r="CS910" s="100"/>
      <c r="CT910" s="100"/>
      <c r="CU910" s="100"/>
    </row>
    <row r="911" spans="6:99" s="36" customFormat="1" ht="11.1" customHeight="1" x14ac:dyDescent="0.25">
      <c r="F911" s="33"/>
      <c r="G911" s="33"/>
      <c r="H911" s="33"/>
      <c r="I911" s="34"/>
      <c r="J911" s="34"/>
      <c r="K911" s="14"/>
      <c r="L911" s="32"/>
      <c r="M911" s="14"/>
      <c r="N911" s="14"/>
      <c r="O911" s="2"/>
      <c r="P911"/>
      <c r="Q911" s="2"/>
      <c r="R911"/>
      <c r="S911"/>
      <c r="T911"/>
      <c r="U911" s="2"/>
      <c r="V911" s="2"/>
      <c r="W911" s="2"/>
      <c r="X911" s="2"/>
      <c r="Y911" s="2"/>
      <c r="Z911" s="11"/>
      <c r="AA911" s="15"/>
      <c r="AB911" s="15"/>
      <c r="AC911" s="15"/>
      <c r="AD911" s="35"/>
      <c r="AE911" s="99"/>
      <c r="AF911" s="99"/>
      <c r="AG911" s="35"/>
      <c r="AH911" s="35"/>
      <c r="AI911" s="35"/>
      <c r="AJ911" s="1"/>
      <c r="AK911" s="1"/>
      <c r="AL911" s="1"/>
      <c r="AM911" s="1"/>
      <c r="AN911" s="1"/>
      <c r="AO911" s="1"/>
      <c r="AP911"/>
      <c r="AQ911"/>
      <c r="AR911"/>
      <c r="AS911"/>
      <c r="AT911" s="50"/>
      <c r="AU911" s="97"/>
      <c r="AV911" s="97"/>
      <c r="AW911" s="97"/>
      <c r="AX911" s="97"/>
      <c r="AY911" s="97"/>
      <c r="BD911" s="35"/>
      <c r="BE911" s="35"/>
      <c r="BV911" s="98"/>
      <c r="BW911" s="98"/>
      <c r="BX911" s="98"/>
      <c r="BY911" s="112"/>
      <c r="BZ911" s="112"/>
      <c r="CA911" s="112"/>
      <c r="CB911" s="98"/>
      <c r="CC911" s="98"/>
      <c r="CD911" s="98"/>
      <c r="CE911" s="98"/>
      <c r="CG911" s="100"/>
      <c r="CH911" s="100"/>
      <c r="CI911" s="100"/>
      <c r="CJ911" s="100"/>
      <c r="CK911" s="100"/>
      <c r="CL911" s="100"/>
      <c r="CM911" s="100"/>
      <c r="CN911" s="100"/>
      <c r="CO911" s="100"/>
      <c r="CP911" s="100"/>
      <c r="CQ911" s="100"/>
      <c r="CR911" s="100"/>
      <c r="CS911" s="100"/>
      <c r="CT911" s="100"/>
      <c r="CU911" s="100"/>
    </row>
    <row r="912" spans="6:99" s="36" customFormat="1" ht="11.1" customHeight="1" x14ac:dyDescent="0.25">
      <c r="F912" s="33"/>
      <c r="G912" s="33"/>
      <c r="H912" s="33"/>
      <c r="I912" s="34"/>
      <c r="J912" s="34"/>
      <c r="K912" s="14"/>
      <c r="L912" s="32"/>
      <c r="M912" s="14"/>
      <c r="N912" s="14"/>
      <c r="O912" s="2"/>
      <c r="P912"/>
      <c r="Q912" s="2"/>
      <c r="R912"/>
      <c r="S912"/>
      <c r="T912"/>
      <c r="U912" s="2"/>
      <c r="V912" s="2"/>
      <c r="W912" s="2"/>
      <c r="X912" s="2"/>
      <c r="Y912" s="2"/>
      <c r="Z912" s="11"/>
      <c r="AA912" s="15"/>
      <c r="AB912" s="15"/>
      <c r="AC912" s="15"/>
      <c r="AD912" s="35"/>
      <c r="AE912" s="99"/>
      <c r="AF912" s="99"/>
      <c r="AG912" s="35"/>
      <c r="AH912" s="35"/>
      <c r="AI912" s="35"/>
      <c r="AJ912" s="1"/>
      <c r="AK912" s="1"/>
      <c r="AL912" s="1"/>
      <c r="AM912" s="1"/>
      <c r="AN912" s="1"/>
      <c r="AO912" s="1"/>
      <c r="AP912"/>
      <c r="AQ912"/>
      <c r="AR912"/>
      <c r="AS912"/>
      <c r="AT912" s="50"/>
      <c r="AU912" s="97"/>
      <c r="AV912" s="97"/>
      <c r="AW912" s="97"/>
      <c r="AX912" s="97"/>
      <c r="AY912" s="97"/>
      <c r="BD912" s="35"/>
      <c r="BE912" s="35"/>
      <c r="BV912" s="98"/>
      <c r="BW912" s="98"/>
      <c r="BX912" s="98"/>
      <c r="BY912" s="112"/>
      <c r="BZ912" s="112"/>
      <c r="CA912" s="112"/>
      <c r="CB912" s="98"/>
      <c r="CC912" s="98"/>
      <c r="CD912" s="98"/>
      <c r="CE912" s="98"/>
      <c r="CG912" s="100"/>
      <c r="CH912" s="100"/>
      <c r="CI912" s="100"/>
      <c r="CJ912" s="100"/>
      <c r="CK912" s="100"/>
      <c r="CL912" s="100"/>
      <c r="CM912" s="100"/>
      <c r="CN912" s="100"/>
      <c r="CO912" s="100"/>
      <c r="CP912" s="100"/>
      <c r="CQ912" s="100"/>
      <c r="CR912" s="100"/>
      <c r="CS912" s="100"/>
      <c r="CT912" s="100"/>
      <c r="CU912" s="100"/>
    </row>
    <row r="913" spans="6:99" s="36" customFormat="1" ht="11.1" customHeight="1" x14ac:dyDescent="0.25">
      <c r="F913" s="33"/>
      <c r="G913" s="33"/>
      <c r="H913" s="33"/>
      <c r="I913" s="34"/>
      <c r="J913" s="34"/>
      <c r="K913" s="14"/>
      <c r="L913" s="32"/>
      <c r="M913" s="14"/>
      <c r="N913" s="14"/>
      <c r="O913" s="2"/>
      <c r="P913"/>
      <c r="Q913" s="2"/>
      <c r="R913"/>
      <c r="S913"/>
      <c r="T913"/>
      <c r="U913" s="2"/>
      <c r="V913" s="2"/>
      <c r="W913" s="2"/>
      <c r="X913" s="2"/>
      <c r="Y913" s="2"/>
      <c r="Z913" s="11"/>
      <c r="AA913" s="15"/>
      <c r="AB913" s="15"/>
      <c r="AC913" s="15"/>
      <c r="AD913" s="35"/>
      <c r="AE913" s="99"/>
      <c r="AF913" s="99"/>
      <c r="AG913" s="35"/>
      <c r="AH913" s="35"/>
      <c r="AI913" s="35"/>
      <c r="AJ913" s="1"/>
      <c r="AK913" s="1"/>
      <c r="AL913" s="1"/>
      <c r="AM913" s="1"/>
      <c r="AN913" s="1"/>
      <c r="AO913" s="1"/>
      <c r="AP913"/>
      <c r="AQ913"/>
      <c r="AR913"/>
      <c r="AS913"/>
      <c r="AT913" s="50"/>
      <c r="AU913" s="97"/>
      <c r="AV913" s="97"/>
      <c r="AW913" s="97"/>
      <c r="AX913" s="97"/>
      <c r="AY913" s="97"/>
      <c r="BD913" s="35"/>
      <c r="BE913" s="35"/>
      <c r="BV913" s="98"/>
      <c r="BW913" s="98"/>
      <c r="BX913" s="98"/>
      <c r="BY913" s="112"/>
      <c r="BZ913" s="112"/>
      <c r="CA913" s="112"/>
      <c r="CB913" s="98"/>
      <c r="CC913" s="98"/>
      <c r="CD913" s="98"/>
      <c r="CE913" s="98"/>
      <c r="CG913" s="100"/>
      <c r="CH913" s="100"/>
      <c r="CI913" s="100"/>
      <c r="CJ913" s="100"/>
      <c r="CK913" s="100"/>
      <c r="CL913" s="100"/>
      <c r="CM913" s="100"/>
      <c r="CN913" s="100"/>
      <c r="CO913" s="100"/>
      <c r="CP913" s="100"/>
      <c r="CQ913" s="100"/>
      <c r="CR913" s="100"/>
      <c r="CS913" s="100"/>
      <c r="CT913" s="100"/>
      <c r="CU913" s="100"/>
    </row>
    <row r="914" spans="6:99" s="36" customFormat="1" ht="11.1" customHeight="1" x14ac:dyDescent="0.25">
      <c r="F914" s="33"/>
      <c r="G914" s="33"/>
      <c r="H914" s="33"/>
      <c r="I914" s="34"/>
      <c r="J914" s="34"/>
      <c r="K914" s="14"/>
      <c r="L914" s="32"/>
      <c r="M914" s="14"/>
      <c r="N914" s="14"/>
      <c r="O914" s="2"/>
      <c r="P914"/>
      <c r="Q914" s="2"/>
      <c r="R914"/>
      <c r="S914"/>
      <c r="T914"/>
      <c r="U914" s="2"/>
      <c r="V914" s="2"/>
      <c r="W914" s="2"/>
      <c r="X914" s="2"/>
      <c r="Y914" s="2"/>
      <c r="Z914" s="11"/>
      <c r="AA914" s="15"/>
      <c r="AB914" s="15"/>
      <c r="AC914" s="15"/>
      <c r="AD914" s="35"/>
      <c r="AE914" s="99"/>
      <c r="AF914" s="99"/>
      <c r="AG914" s="35"/>
      <c r="AH914" s="35"/>
      <c r="AI914" s="35"/>
      <c r="AJ914" s="1"/>
      <c r="AK914" s="1"/>
      <c r="AL914" s="1"/>
      <c r="AM914" s="1"/>
      <c r="AN914" s="1"/>
      <c r="AO914" s="1"/>
      <c r="AP914"/>
      <c r="AQ914"/>
      <c r="AR914"/>
      <c r="AS914"/>
      <c r="AT914" s="50"/>
      <c r="AU914" s="97"/>
      <c r="AV914" s="97"/>
      <c r="AW914" s="97"/>
      <c r="AX914" s="97"/>
      <c r="AY914" s="97"/>
      <c r="BD914" s="35"/>
      <c r="BE914" s="35"/>
      <c r="BV914" s="98"/>
      <c r="BW914" s="98"/>
      <c r="BX914" s="98"/>
      <c r="BY914" s="112"/>
      <c r="BZ914" s="112"/>
      <c r="CA914" s="112"/>
      <c r="CB914" s="98"/>
      <c r="CC914" s="98"/>
      <c r="CD914" s="98"/>
      <c r="CE914" s="98"/>
      <c r="CG914" s="100"/>
      <c r="CH914" s="100"/>
      <c r="CI914" s="100"/>
      <c r="CJ914" s="100"/>
      <c r="CK914" s="100"/>
      <c r="CL914" s="100"/>
      <c r="CM914" s="100"/>
      <c r="CN914" s="100"/>
      <c r="CO914" s="100"/>
      <c r="CP914" s="100"/>
      <c r="CQ914" s="100"/>
      <c r="CR914" s="100"/>
      <c r="CS914" s="100"/>
      <c r="CT914" s="100"/>
      <c r="CU914" s="100"/>
    </row>
    <row r="915" spans="6:99" s="36" customFormat="1" ht="11.1" customHeight="1" x14ac:dyDescent="0.25">
      <c r="F915" s="33"/>
      <c r="G915" s="33"/>
      <c r="H915" s="33"/>
      <c r="I915" s="34"/>
      <c r="J915" s="34"/>
      <c r="K915" s="14"/>
      <c r="L915" s="32"/>
      <c r="M915" s="14"/>
      <c r="N915" s="14"/>
      <c r="O915" s="2"/>
      <c r="P915"/>
      <c r="Q915" s="2"/>
      <c r="R915"/>
      <c r="S915"/>
      <c r="T915"/>
      <c r="U915" s="2"/>
      <c r="V915" s="2"/>
      <c r="W915" s="2"/>
      <c r="X915" s="2"/>
      <c r="Y915" s="2"/>
      <c r="Z915" s="11"/>
      <c r="AA915" s="15"/>
      <c r="AB915" s="15"/>
      <c r="AC915" s="15"/>
      <c r="AD915" s="35"/>
      <c r="AE915" s="99"/>
      <c r="AF915" s="99"/>
      <c r="AG915" s="35"/>
      <c r="AH915" s="35"/>
      <c r="AI915" s="35"/>
      <c r="AJ915" s="1"/>
      <c r="AK915" s="1"/>
      <c r="AL915" s="1"/>
      <c r="AM915" s="1"/>
      <c r="AN915" s="1"/>
      <c r="AO915" s="1"/>
      <c r="AP915"/>
      <c r="AQ915"/>
      <c r="AR915"/>
      <c r="AS915"/>
      <c r="AT915" s="50"/>
      <c r="AU915" s="97"/>
      <c r="AV915" s="97"/>
      <c r="AW915" s="97"/>
      <c r="AX915" s="97"/>
      <c r="AY915" s="97"/>
      <c r="BD915" s="35"/>
      <c r="BE915" s="35"/>
      <c r="BV915" s="98"/>
      <c r="BW915" s="98"/>
      <c r="BX915" s="98"/>
      <c r="BY915" s="112"/>
      <c r="BZ915" s="112"/>
      <c r="CA915" s="112"/>
      <c r="CB915" s="98"/>
      <c r="CC915" s="98"/>
      <c r="CD915" s="98"/>
      <c r="CE915" s="98"/>
      <c r="CG915" s="100"/>
      <c r="CH915" s="100"/>
      <c r="CI915" s="100"/>
      <c r="CJ915" s="100"/>
      <c r="CK915" s="100"/>
      <c r="CL915" s="100"/>
      <c r="CM915" s="100"/>
      <c r="CN915" s="100"/>
      <c r="CO915" s="100"/>
      <c r="CP915" s="100"/>
      <c r="CQ915" s="100"/>
      <c r="CR915" s="100"/>
      <c r="CS915" s="100"/>
      <c r="CT915" s="100"/>
      <c r="CU915" s="100"/>
    </row>
    <row r="916" spans="6:99" s="36" customFormat="1" ht="11.1" customHeight="1" x14ac:dyDescent="0.25">
      <c r="F916" s="33"/>
      <c r="G916" s="33"/>
      <c r="H916" s="33"/>
      <c r="I916" s="34"/>
      <c r="J916" s="34"/>
      <c r="K916" s="14"/>
      <c r="L916" s="32"/>
      <c r="M916" s="14"/>
      <c r="N916" s="14"/>
      <c r="O916" s="2"/>
      <c r="P916"/>
      <c r="Q916" s="2"/>
      <c r="R916"/>
      <c r="S916"/>
      <c r="T916"/>
      <c r="U916" s="2"/>
      <c r="V916" s="2"/>
      <c r="W916" s="2"/>
      <c r="X916" s="2"/>
      <c r="Y916" s="2"/>
      <c r="Z916" s="11"/>
      <c r="AA916" s="15"/>
      <c r="AB916" s="15"/>
      <c r="AC916" s="15"/>
      <c r="AD916" s="35"/>
      <c r="AE916" s="99"/>
      <c r="AF916" s="99"/>
      <c r="AG916" s="35"/>
      <c r="AH916" s="35"/>
      <c r="AI916" s="35"/>
      <c r="AJ916" s="1"/>
      <c r="AK916" s="1"/>
      <c r="AL916" s="1"/>
      <c r="AM916" s="1"/>
      <c r="AN916" s="1"/>
      <c r="AO916" s="1"/>
      <c r="AP916"/>
      <c r="AQ916"/>
      <c r="AR916"/>
      <c r="AS916"/>
      <c r="AT916" s="50"/>
      <c r="AU916" s="97"/>
      <c r="AV916" s="97"/>
      <c r="AW916" s="97"/>
      <c r="AX916" s="97"/>
      <c r="AY916" s="97"/>
      <c r="BD916" s="35"/>
      <c r="BE916" s="35"/>
      <c r="BV916" s="98"/>
      <c r="BW916" s="98"/>
      <c r="BX916" s="98"/>
      <c r="BY916" s="112"/>
      <c r="BZ916" s="112"/>
      <c r="CA916" s="112"/>
      <c r="CB916" s="98"/>
      <c r="CC916" s="98"/>
      <c r="CD916" s="98"/>
      <c r="CE916" s="98"/>
      <c r="CG916" s="100"/>
      <c r="CH916" s="100"/>
      <c r="CI916" s="100"/>
      <c r="CJ916" s="100"/>
      <c r="CK916" s="100"/>
      <c r="CL916" s="100"/>
      <c r="CM916" s="100"/>
      <c r="CN916" s="100"/>
      <c r="CO916" s="100"/>
      <c r="CP916" s="100"/>
      <c r="CQ916" s="100"/>
      <c r="CR916" s="100"/>
      <c r="CS916" s="100"/>
      <c r="CT916" s="100"/>
      <c r="CU916" s="100"/>
    </row>
    <row r="917" spans="6:99" s="36" customFormat="1" ht="11.1" customHeight="1" x14ac:dyDescent="0.25">
      <c r="F917" s="33"/>
      <c r="G917" s="33"/>
      <c r="H917" s="33"/>
      <c r="I917" s="34"/>
      <c r="J917" s="34"/>
      <c r="K917" s="14"/>
      <c r="L917" s="32"/>
      <c r="M917" s="14"/>
      <c r="N917" s="14"/>
      <c r="O917" s="2"/>
      <c r="P917"/>
      <c r="Q917" s="2"/>
      <c r="R917"/>
      <c r="S917"/>
      <c r="T917"/>
      <c r="U917" s="2"/>
      <c r="V917" s="2"/>
      <c r="W917" s="2"/>
      <c r="X917" s="2"/>
      <c r="Y917" s="2"/>
      <c r="Z917" s="11"/>
      <c r="AA917" s="15"/>
      <c r="AB917" s="15"/>
      <c r="AC917" s="15"/>
      <c r="AD917" s="35"/>
      <c r="AE917" s="99"/>
      <c r="AF917" s="99"/>
      <c r="AG917" s="35"/>
      <c r="AH917" s="35"/>
      <c r="AI917" s="35"/>
      <c r="AJ917" s="1"/>
      <c r="AK917" s="1"/>
      <c r="AL917" s="1"/>
      <c r="AM917" s="1"/>
      <c r="AN917" s="1"/>
      <c r="AO917" s="1"/>
      <c r="AP917"/>
      <c r="AQ917"/>
      <c r="AR917"/>
      <c r="AS917"/>
      <c r="AT917" s="50"/>
      <c r="AU917" s="97"/>
      <c r="AV917" s="97"/>
      <c r="AW917" s="97"/>
      <c r="AX917" s="97"/>
      <c r="AY917" s="97"/>
      <c r="BD917" s="35"/>
      <c r="BE917" s="35"/>
      <c r="BV917" s="98"/>
      <c r="BW917" s="98"/>
      <c r="BX917" s="98"/>
      <c r="BY917" s="112"/>
      <c r="BZ917" s="112"/>
      <c r="CA917" s="112"/>
      <c r="CB917" s="98"/>
      <c r="CC917" s="98"/>
      <c r="CD917" s="98"/>
      <c r="CE917" s="98"/>
      <c r="CG917" s="100"/>
      <c r="CH917" s="100"/>
      <c r="CI917" s="100"/>
      <c r="CJ917" s="100"/>
      <c r="CK917" s="100"/>
      <c r="CL917" s="100"/>
      <c r="CM917" s="100"/>
      <c r="CN917" s="100"/>
      <c r="CO917" s="100"/>
      <c r="CP917" s="100"/>
      <c r="CQ917" s="100"/>
      <c r="CR917" s="100"/>
      <c r="CS917" s="100"/>
      <c r="CT917" s="100"/>
      <c r="CU917" s="100"/>
    </row>
    <row r="918" spans="6:99" s="36" customFormat="1" ht="11.1" customHeight="1" x14ac:dyDescent="0.25">
      <c r="F918" s="33"/>
      <c r="G918" s="33"/>
      <c r="H918" s="33"/>
      <c r="I918" s="34"/>
      <c r="J918" s="34"/>
      <c r="K918" s="14"/>
      <c r="L918" s="32"/>
      <c r="M918" s="14"/>
      <c r="N918" s="14"/>
      <c r="O918" s="2"/>
      <c r="P918"/>
      <c r="Q918" s="2"/>
      <c r="R918"/>
      <c r="S918"/>
      <c r="T918"/>
      <c r="U918" s="2"/>
      <c r="V918" s="2"/>
      <c r="W918" s="2"/>
      <c r="X918" s="2"/>
      <c r="Y918" s="2"/>
      <c r="Z918" s="11"/>
      <c r="AA918" s="15"/>
      <c r="AB918" s="15"/>
      <c r="AC918" s="15"/>
      <c r="AD918" s="35"/>
      <c r="AE918" s="99"/>
      <c r="AF918" s="99"/>
      <c r="AG918" s="35"/>
      <c r="AH918" s="35"/>
      <c r="AI918" s="35"/>
      <c r="AJ918" s="1"/>
      <c r="AK918" s="1"/>
      <c r="AL918" s="1"/>
      <c r="AM918" s="1"/>
      <c r="AN918" s="1"/>
      <c r="AO918" s="1"/>
      <c r="AP918"/>
      <c r="AQ918"/>
      <c r="AR918"/>
      <c r="AS918"/>
      <c r="AT918" s="50"/>
      <c r="AU918" s="97"/>
      <c r="AV918" s="97"/>
      <c r="AW918" s="97"/>
      <c r="AX918" s="97"/>
      <c r="AY918" s="97"/>
      <c r="BD918" s="35"/>
      <c r="BE918" s="35"/>
      <c r="BV918" s="98"/>
      <c r="BW918" s="98"/>
      <c r="BX918" s="98"/>
      <c r="BY918" s="112"/>
      <c r="BZ918" s="112"/>
      <c r="CA918" s="112"/>
      <c r="CB918" s="98"/>
      <c r="CC918" s="98"/>
      <c r="CD918" s="98"/>
      <c r="CE918" s="98"/>
      <c r="CG918" s="100"/>
      <c r="CH918" s="100"/>
      <c r="CI918" s="100"/>
      <c r="CJ918" s="100"/>
      <c r="CK918" s="100"/>
      <c r="CL918" s="100"/>
      <c r="CM918" s="100"/>
      <c r="CN918" s="100"/>
      <c r="CO918" s="100"/>
      <c r="CP918" s="100"/>
      <c r="CQ918" s="100"/>
      <c r="CR918" s="100"/>
      <c r="CS918" s="100"/>
      <c r="CT918" s="100"/>
      <c r="CU918" s="100"/>
    </row>
    <row r="919" spans="6:99" s="36" customFormat="1" ht="11.1" customHeight="1" x14ac:dyDescent="0.25">
      <c r="F919" s="33"/>
      <c r="G919" s="33"/>
      <c r="H919" s="33"/>
      <c r="I919" s="34"/>
      <c r="J919" s="34"/>
      <c r="K919" s="14"/>
      <c r="L919" s="32"/>
      <c r="M919" s="14"/>
      <c r="N919" s="14"/>
      <c r="O919" s="2"/>
      <c r="P919"/>
      <c r="Q919" s="2"/>
      <c r="R919"/>
      <c r="S919"/>
      <c r="T919"/>
      <c r="U919" s="2"/>
      <c r="V919" s="2"/>
      <c r="W919" s="2"/>
      <c r="X919" s="2"/>
      <c r="Y919" s="2"/>
      <c r="Z919" s="11"/>
      <c r="AA919" s="15"/>
      <c r="AB919" s="15"/>
      <c r="AC919" s="15"/>
      <c r="AD919" s="35"/>
      <c r="AE919" s="99"/>
      <c r="AF919" s="99"/>
      <c r="AG919" s="35"/>
      <c r="AH919" s="35"/>
      <c r="AI919" s="35"/>
      <c r="AJ919" s="1"/>
      <c r="AK919" s="1"/>
      <c r="AL919" s="1"/>
      <c r="AM919" s="1"/>
      <c r="AN919" s="1"/>
      <c r="AO919" s="1"/>
      <c r="AP919"/>
      <c r="AQ919"/>
      <c r="AR919"/>
      <c r="AS919"/>
      <c r="AT919" s="50"/>
      <c r="AU919" s="97"/>
      <c r="AV919" s="97"/>
      <c r="AW919" s="97"/>
      <c r="AX919" s="97"/>
      <c r="AY919" s="97"/>
      <c r="BD919" s="35"/>
      <c r="BE919" s="35"/>
      <c r="BV919" s="98"/>
      <c r="BW919" s="98"/>
      <c r="BX919" s="98"/>
      <c r="BY919" s="112"/>
      <c r="BZ919" s="112"/>
      <c r="CA919" s="112"/>
      <c r="CB919" s="98"/>
      <c r="CC919" s="98"/>
      <c r="CD919" s="98"/>
      <c r="CE919" s="98"/>
      <c r="CG919" s="100"/>
      <c r="CH919" s="100"/>
      <c r="CI919" s="100"/>
      <c r="CJ919" s="100"/>
      <c r="CK919" s="100"/>
      <c r="CL919" s="100"/>
      <c r="CM919" s="100"/>
      <c r="CN919" s="100"/>
      <c r="CO919" s="100"/>
      <c r="CP919" s="100"/>
      <c r="CQ919" s="100"/>
      <c r="CR919" s="100"/>
      <c r="CS919" s="100"/>
      <c r="CT919" s="100"/>
      <c r="CU919" s="100"/>
    </row>
    <row r="920" spans="6:99" s="36" customFormat="1" ht="11.1" customHeight="1" x14ac:dyDescent="0.25">
      <c r="F920" s="33"/>
      <c r="G920" s="33"/>
      <c r="H920" s="33"/>
      <c r="I920" s="34"/>
      <c r="J920" s="34"/>
      <c r="K920" s="14"/>
      <c r="L920" s="32"/>
      <c r="M920" s="14"/>
      <c r="N920" s="14"/>
      <c r="O920" s="2"/>
      <c r="P920"/>
      <c r="Q920" s="2"/>
      <c r="R920"/>
      <c r="S920"/>
      <c r="T920"/>
      <c r="U920" s="2"/>
      <c r="V920" s="2"/>
      <c r="W920" s="2"/>
      <c r="X920" s="2"/>
      <c r="Y920" s="2"/>
      <c r="Z920" s="11"/>
      <c r="AA920" s="15"/>
      <c r="AB920" s="15"/>
      <c r="AC920" s="15"/>
      <c r="AD920" s="35"/>
      <c r="AE920" s="99"/>
      <c r="AF920" s="99"/>
      <c r="AG920" s="35"/>
      <c r="AH920" s="35"/>
      <c r="AI920" s="35"/>
      <c r="AJ920" s="1"/>
      <c r="AK920" s="1"/>
      <c r="AL920" s="1"/>
      <c r="AM920" s="1"/>
      <c r="AN920" s="1"/>
      <c r="AO920" s="1"/>
      <c r="AP920"/>
      <c r="AQ920"/>
      <c r="AR920"/>
      <c r="AS920"/>
      <c r="AT920" s="50"/>
      <c r="AU920" s="97"/>
      <c r="AV920" s="97"/>
      <c r="AW920" s="97"/>
      <c r="AX920" s="97"/>
      <c r="AY920" s="97"/>
      <c r="BD920" s="35"/>
      <c r="BE920" s="35"/>
      <c r="BV920" s="98"/>
      <c r="BW920" s="98"/>
      <c r="BX920" s="98"/>
      <c r="BY920" s="112"/>
      <c r="BZ920" s="112"/>
      <c r="CA920" s="112"/>
      <c r="CB920" s="98"/>
      <c r="CC920" s="98"/>
      <c r="CD920" s="98"/>
      <c r="CE920" s="98"/>
      <c r="CG920" s="100"/>
      <c r="CH920" s="100"/>
      <c r="CI920" s="100"/>
      <c r="CJ920" s="100"/>
      <c r="CK920" s="100"/>
      <c r="CL920" s="100"/>
      <c r="CM920" s="100"/>
      <c r="CN920" s="100"/>
      <c r="CO920" s="100"/>
      <c r="CP920" s="100"/>
      <c r="CQ920" s="100"/>
      <c r="CR920" s="100"/>
      <c r="CS920" s="100"/>
      <c r="CT920" s="100"/>
      <c r="CU920" s="100"/>
    </row>
    <row r="921" spans="6:99" s="36" customFormat="1" ht="11.1" customHeight="1" x14ac:dyDescent="0.25">
      <c r="F921" s="33"/>
      <c r="G921" s="33"/>
      <c r="H921" s="33"/>
      <c r="I921" s="34"/>
      <c r="J921" s="34"/>
      <c r="K921" s="14"/>
      <c r="L921" s="32"/>
      <c r="M921" s="14"/>
      <c r="N921" s="14"/>
      <c r="O921" s="2"/>
      <c r="P921"/>
      <c r="Q921" s="2"/>
      <c r="R921"/>
      <c r="S921"/>
      <c r="T921"/>
      <c r="U921" s="2"/>
      <c r="V921" s="2"/>
      <c r="W921" s="2"/>
      <c r="X921" s="2"/>
      <c r="Y921" s="2"/>
      <c r="Z921" s="11"/>
      <c r="AA921" s="15"/>
      <c r="AB921" s="15"/>
      <c r="AC921" s="15"/>
      <c r="AD921" s="35"/>
      <c r="AE921" s="99"/>
      <c r="AF921" s="99"/>
      <c r="AG921" s="35"/>
      <c r="AH921" s="35"/>
      <c r="AI921" s="35"/>
      <c r="AJ921" s="1"/>
      <c r="AK921" s="1"/>
      <c r="AL921" s="1"/>
      <c r="AM921" s="1"/>
      <c r="AN921" s="1"/>
      <c r="AO921" s="1"/>
      <c r="AP921"/>
      <c r="AQ921"/>
      <c r="AR921"/>
      <c r="AS921"/>
      <c r="AT921" s="50"/>
      <c r="AU921" s="97"/>
      <c r="AV921" s="97"/>
      <c r="AW921" s="97"/>
      <c r="AX921" s="97"/>
      <c r="AY921" s="97"/>
      <c r="BD921" s="35"/>
      <c r="BE921" s="35"/>
      <c r="BV921" s="98"/>
      <c r="BW921" s="98"/>
      <c r="BX921" s="98"/>
      <c r="BY921" s="112"/>
      <c r="BZ921" s="112"/>
      <c r="CA921" s="112"/>
      <c r="CB921" s="98"/>
      <c r="CC921" s="98"/>
      <c r="CD921" s="98"/>
      <c r="CE921" s="98"/>
      <c r="CG921" s="100"/>
      <c r="CH921" s="100"/>
      <c r="CI921" s="100"/>
      <c r="CJ921" s="100"/>
      <c r="CK921" s="100"/>
      <c r="CL921" s="100"/>
      <c r="CM921" s="100"/>
      <c r="CN921" s="100"/>
      <c r="CO921" s="100"/>
      <c r="CP921" s="100"/>
      <c r="CQ921" s="100"/>
      <c r="CR921" s="100"/>
      <c r="CS921" s="100"/>
      <c r="CT921" s="100"/>
      <c r="CU921" s="100"/>
    </row>
    <row r="922" spans="6:99" s="36" customFormat="1" ht="11.1" customHeight="1" x14ac:dyDescent="0.25">
      <c r="F922" s="33"/>
      <c r="G922" s="33"/>
      <c r="H922" s="33"/>
      <c r="I922" s="34"/>
      <c r="J922" s="34"/>
      <c r="K922" s="14"/>
      <c r="L922" s="32"/>
      <c r="M922" s="14"/>
      <c r="N922" s="14"/>
      <c r="O922" s="2"/>
      <c r="P922"/>
      <c r="Q922" s="2"/>
      <c r="R922"/>
      <c r="S922"/>
      <c r="T922"/>
      <c r="U922" s="2"/>
      <c r="V922" s="2"/>
      <c r="W922" s="2"/>
      <c r="X922" s="2"/>
      <c r="Y922" s="2"/>
      <c r="Z922" s="11"/>
      <c r="AA922" s="15"/>
      <c r="AB922" s="15"/>
      <c r="AC922" s="15"/>
      <c r="AD922" s="35"/>
      <c r="AE922" s="99"/>
      <c r="AF922" s="99"/>
      <c r="AG922" s="35"/>
      <c r="AH922" s="35"/>
      <c r="AI922" s="35"/>
      <c r="AJ922" s="1"/>
      <c r="AK922" s="1"/>
      <c r="AL922" s="1"/>
      <c r="AM922" s="1"/>
      <c r="AN922" s="1"/>
      <c r="AO922" s="1"/>
      <c r="AP922"/>
      <c r="AQ922"/>
      <c r="AR922"/>
      <c r="AS922"/>
      <c r="AT922" s="50"/>
      <c r="AU922" s="97"/>
      <c r="AV922" s="97"/>
      <c r="AW922" s="97"/>
      <c r="AX922" s="97"/>
      <c r="AY922" s="97"/>
      <c r="BD922" s="35"/>
      <c r="BE922" s="35"/>
      <c r="BV922" s="98"/>
      <c r="BW922" s="98"/>
      <c r="BX922" s="98"/>
      <c r="BY922" s="112"/>
      <c r="BZ922" s="112"/>
      <c r="CA922" s="112"/>
      <c r="CB922" s="98"/>
      <c r="CC922" s="98"/>
      <c r="CD922" s="98"/>
      <c r="CE922" s="98"/>
      <c r="CG922" s="100"/>
      <c r="CH922" s="100"/>
      <c r="CI922" s="100"/>
      <c r="CJ922" s="100"/>
      <c r="CK922" s="100"/>
      <c r="CL922" s="100"/>
      <c r="CM922" s="100"/>
      <c r="CN922" s="100"/>
      <c r="CO922" s="100"/>
      <c r="CP922" s="100"/>
      <c r="CQ922" s="100"/>
      <c r="CR922" s="100"/>
      <c r="CS922" s="100"/>
      <c r="CT922" s="100"/>
      <c r="CU922" s="100"/>
    </row>
    <row r="923" spans="6:99" s="36" customFormat="1" ht="11.1" customHeight="1" x14ac:dyDescent="0.25">
      <c r="F923" s="33"/>
      <c r="G923" s="33"/>
      <c r="H923" s="33"/>
      <c r="I923" s="34"/>
      <c r="J923" s="34"/>
      <c r="K923" s="14"/>
      <c r="L923" s="32"/>
      <c r="M923" s="14"/>
      <c r="N923" s="14"/>
      <c r="O923" s="2"/>
      <c r="P923"/>
      <c r="Q923" s="2"/>
      <c r="R923"/>
      <c r="S923"/>
      <c r="T923"/>
      <c r="U923" s="2"/>
      <c r="V923" s="2"/>
      <c r="W923" s="2"/>
      <c r="X923" s="2"/>
      <c r="Y923" s="2"/>
      <c r="Z923" s="11"/>
      <c r="AA923" s="15"/>
      <c r="AB923" s="15"/>
      <c r="AC923" s="15"/>
      <c r="AD923" s="35"/>
      <c r="AE923" s="99"/>
      <c r="AF923" s="99"/>
      <c r="AG923" s="35"/>
      <c r="AH923" s="35"/>
      <c r="AI923" s="35"/>
      <c r="AJ923" s="1"/>
      <c r="AK923" s="1"/>
      <c r="AL923" s="1"/>
      <c r="AM923" s="1"/>
      <c r="AN923" s="1"/>
      <c r="AO923" s="1"/>
      <c r="AP923"/>
      <c r="AQ923"/>
      <c r="AR923"/>
      <c r="AS923"/>
      <c r="AT923" s="50"/>
      <c r="AU923" s="97"/>
      <c r="AV923" s="97"/>
      <c r="AW923" s="97"/>
      <c r="AX923" s="97"/>
      <c r="AY923" s="97"/>
      <c r="BD923" s="35"/>
      <c r="BE923" s="35"/>
      <c r="BV923" s="98"/>
      <c r="BW923" s="98"/>
      <c r="BX923" s="98"/>
      <c r="BY923" s="112"/>
      <c r="BZ923" s="112"/>
      <c r="CA923" s="112"/>
      <c r="CB923" s="98"/>
      <c r="CC923" s="98"/>
      <c r="CD923" s="98"/>
      <c r="CE923" s="98"/>
      <c r="CG923" s="100"/>
      <c r="CH923" s="100"/>
      <c r="CI923" s="100"/>
      <c r="CJ923" s="100"/>
      <c r="CK923" s="100"/>
      <c r="CL923" s="100"/>
      <c r="CM923" s="100"/>
      <c r="CN923" s="100"/>
      <c r="CO923" s="100"/>
      <c r="CP923" s="100"/>
      <c r="CQ923" s="100"/>
      <c r="CR923" s="100"/>
      <c r="CS923" s="100"/>
      <c r="CT923" s="100"/>
      <c r="CU923" s="100"/>
    </row>
    <row r="924" spans="6:99" s="36" customFormat="1" ht="11.1" customHeight="1" x14ac:dyDescent="0.25">
      <c r="F924" s="33"/>
      <c r="G924" s="33"/>
      <c r="H924" s="33"/>
      <c r="I924" s="34"/>
      <c r="J924" s="34"/>
      <c r="K924" s="14"/>
      <c r="L924" s="32"/>
      <c r="M924" s="14"/>
      <c r="N924" s="14"/>
      <c r="O924" s="2"/>
      <c r="P924"/>
      <c r="Q924" s="2"/>
      <c r="R924"/>
      <c r="S924"/>
      <c r="T924"/>
      <c r="U924" s="2"/>
      <c r="V924" s="2"/>
      <c r="W924" s="2"/>
      <c r="X924" s="2"/>
      <c r="Y924" s="2"/>
      <c r="Z924" s="11"/>
      <c r="AA924" s="15"/>
      <c r="AB924" s="15"/>
      <c r="AC924" s="15"/>
      <c r="AD924" s="35"/>
      <c r="AE924" s="99"/>
      <c r="AF924" s="99"/>
      <c r="AG924" s="35"/>
      <c r="AH924" s="35"/>
      <c r="AI924" s="35"/>
      <c r="AJ924" s="1"/>
      <c r="AK924" s="1"/>
      <c r="AL924" s="1"/>
      <c r="AM924" s="1"/>
      <c r="AN924" s="1"/>
      <c r="AO924" s="1"/>
      <c r="AP924"/>
      <c r="AQ924"/>
      <c r="AR924"/>
      <c r="AS924"/>
      <c r="AT924" s="50"/>
      <c r="AU924" s="97"/>
      <c r="AV924" s="97"/>
      <c r="AW924" s="97"/>
      <c r="AX924" s="97"/>
      <c r="AY924" s="97"/>
      <c r="BD924" s="35"/>
      <c r="BE924" s="35"/>
      <c r="BV924" s="98"/>
      <c r="BW924" s="98"/>
      <c r="BX924" s="98"/>
      <c r="BY924" s="112"/>
      <c r="BZ924" s="112"/>
      <c r="CA924" s="112"/>
      <c r="CB924" s="98"/>
      <c r="CC924" s="98"/>
      <c r="CD924" s="98"/>
      <c r="CE924" s="98"/>
      <c r="CG924" s="100"/>
      <c r="CH924" s="100"/>
      <c r="CI924" s="100"/>
      <c r="CJ924" s="100"/>
      <c r="CK924" s="100"/>
      <c r="CL924" s="100"/>
      <c r="CM924" s="100"/>
      <c r="CN924" s="100"/>
      <c r="CO924" s="100"/>
      <c r="CP924" s="100"/>
      <c r="CQ924" s="100"/>
      <c r="CR924" s="100"/>
      <c r="CS924" s="100"/>
      <c r="CT924" s="100"/>
      <c r="CU924" s="100"/>
    </row>
    <row r="925" spans="6:99" s="36" customFormat="1" ht="11.1" customHeight="1" x14ac:dyDescent="0.25">
      <c r="F925" s="33"/>
      <c r="G925" s="33"/>
      <c r="H925" s="33"/>
      <c r="I925" s="34"/>
      <c r="J925" s="34"/>
      <c r="K925" s="14"/>
      <c r="L925" s="32"/>
      <c r="M925" s="14"/>
      <c r="N925" s="14"/>
      <c r="O925" s="2"/>
      <c r="P925"/>
      <c r="Q925" s="2"/>
      <c r="R925"/>
      <c r="S925"/>
      <c r="T925"/>
      <c r="U925" s="2"/>
      <c r="V925" s="2"/>
      <c r="W925" s="2"/>
      <c r="X925" s="2"/>
      <c r="Y925" s="2"/>
      <c r="Z925" s="11"/>
      <c r="AA925" s="15"/>
      <c r="AB925" s="15"/>
      <c r="AC925" s="15"/>
      <c r="AD925" s="35"/>
      <c r="AE925" s="99"/>
      <c r="AF925" s="99"/>
      <c r="AG925" s="35"/>
      <c r="AH925" s="35"/>
      <c r="AI925" s="35"/>
      <c r="AJ925" s="1"/>
      <c r="AK925" s="1"/>
      <c r="AL925" s="1"/>
      <c r="AM925" s="1"/>
      <c r="AN925" s="1"/>
      <c r="AO925" s="1"/>
      <c r="AP925"/>
      <c r="AQ925"/>
      <c r="AR925"/>
      <c r="AS925"/>
      <c r="AT925" s="50"/>
      <c r="AU925" s="97"/>
      <c r="AV925" s="97"/>
      <c r="AW925" s="97"/>
      <c r="AX925" s="97"/>
      <c r="AY925" s="97"/>
      <c r="BD925" s="35"/>
      <c r="BE925" s="35"/>
      <c r="BV925" s="98"/>
      <c r="BW925" s="98"/>
      <c r="BX925" s="98"/>
      <c r="BY925" s="112"/>
      <c r="BZ925" s="112"/>
      <c r="CA925" s="112"/>
      <c r="CB925" s="98"/>
      <c r="CC925" s="98"/>
      <c r="CD925" s="98"/>
      <c r="CE925" s="98"/>
      <c r="CG925" s="100"/>
      <c r="CH925" s="100"/>
      <c r="CI925" s="100"/>
      <c r="CJ925" s="100"/>
      <c r="CK925" s="100"/>
      <c r="CL925" s="100"/>
      <c r="CM925" s="100"/>
      <c r="CN925" s="100"/>
      <c r="CO925" s="100"/>
      <c r="CP925" s="100"/>
      <c r="CQ925" s="100"/>
      <c r="CR925" s="100"/>
      <c r="CS925" s="100"/>
      <c r="CT925" s="100"/>
      <c r="CU925" s="100"/>
    </row>
    <row r="926" spans="6:99" s="36" customFormat="1" ht="11.1" customHeight="1" x14ac:dyDescent="0.25">
      <c r="F926" s="33"/>
      <c r="G926" s="33"/>
      <c r="H926" s="33"/>
      <c r="I926" s="34"/>
      <c r="J926" s="34"/>
      <c r="K926" s="14"/>
      <c r="L926" s="32"/>
      <c r="M926" s="14"/>
      <c r="N926" s="14"/>
      <c r="O926" s="2"/>
      <c r="P926"/>
      <c r="Q926" s="2"/>
      <c r="R926"/>
      <c r="S926"/>
      <c r="T926"/>
      <c r="U926" s="2"/>
      <c r="V926" s="2"/>
      <c r="W926" s="2"/>
      <c r="X926" s="2"/>
      <c r="Y926" s="2"/>
      <c r="Z926" s="11"/>
      <c r="AA926" s="15"/>
      <c r="AB926" s="15"/>
      <c r="AC926" s="15"/>
      <c r="AD926" s="35"/>
      <c r="AE926" s="99"/>
      <c r="AF926" s="99"/>
      <c r="AG926" s="35"/>
      <c r="AH926" s="35"/>
      <c r="AI926" s="35"/>
      <c r="AJ926" s="1"/>
      <c r="AK926" s="1"/>
      <c r="AL926" s="1"/>
      <c r="AM926" s="1"/>
      <c r="AN926" s="1"/>
      <c r="AO926" s="1"/>
      <c r="AP926"/>
      <c r="AQ926"/>
      <c r="AR926"/>
      <c r="AS926"/>
      <c r="AT926" s="50"/>
      <c r="AU926" s="97"/>
      <c r="AV926" s="97"/>
      <c r="AW926" s="97"/>
      <c r="AX926" s="97"/>
      <c r="AY926" s="97"/>
      <c r="BD926" s="35"/>
      <c r="BE926" s="35"/>
      <c r="BV926" s="98"/>
      <c r="BW926" s="98"/>
      <c r="BX926" s="98"/>
      <c r="BY926" s="112"/>
      <c r="BZ926" s="112"/>
      <c r="CA926" s="112"/>
      <c r="CB926" s="98"/>
      <c r="CC926" s="98"/>
      <c r="CD926" s="98"/>
      <c r="CE926" s="98"/>
      <c r="CG926" s="100"/>
      <c r="CH926" s="100"/>
      <c r="CI926" s="100"/>
      <c r="CJ926" s="100"/>
      <c r="CK926" s="100"/>
      <c r="CL926" s="100"/>
      <c r="CM926" s="100"/>
      <c r="CN926" s="100"/>
      <c r="CO926" s="100"/>
      <c r="CP926" s="100"/>
      <c r="CQ926" s="100"/>
      <c r="CR926" s="100"/>
      <c r="CS926" s="100"/>
      <c r="CT926" s="100"/>
      <c r="CU926" s="100"/>
    </row>
    <row r="927" spans="6:99" s="36" customFormat="1" ht="11.1" customHeight="1" x14ac:dyDescent="0.25">
      <c r="F927" s="33"/>
      <c r="G927" s="33"/>
      <c r="H927" s="33"/>
      <c r="I927" s="34"/>
      <c r="J927" s="34"/>
      <c r="K927" s="14"/>
      <c r="L927" s="32"/>
      <c r="M927" s="14"/>
      <c r="N927" s="14"/>
      <c r="O927" s="2"/>
      <c r="P927"/>
      <c r="Q927" s="2"/>
      <c r="R927"/>
      <c r="S927"/>
      <c r="T927"/>
      <c r="U927" s="2"/>
      <c r="V927" s="2"/>
      <c r="W927" s="2"/>
      <c r="X927" s="2"/>
      <c r="Y927" s="2"/>
      <c r="Z927" s="11"/>
      <c r="AA927" s="15"/>
      <c r="AB927" s="15"/>
      <c r="AC927" s="15"/>
      <c r="AD927" s="35"/>
      <c r="AE927" s="99"/>
      <c r="AF927" s="99"/>
      <c r="AG927" s="35"/>
      <c r="AH927" s="35"/>
      <c r="AI927" s="35"/>
      <c r="AJ927" s="1"/>
      <c r="AK927" s="1"/>
      <c r="AL927" s="1"/>
      <c r="AM927" s="1"/>
      <c r="AN927" s="1"/>
      <c r="AO927" s="1"/>
      <c r="AP927"/>
      <c r="AQ927"/>
      <c r="AR927"/>
      <c r="AS927"/>
      <c r="AT927" s="50"/>
      <c r="AU927" s="97"/>
      <c r="AV927" s="97"/>
      <c r="AW927" s="97"/>
      <c r="AX927" s="97"/>
      <c r="AY927" s="97"/>
      <c r="BD927" s="35"/>
      <c r="BE927" s="35"/>
      <c r="BV927" s="98"/>
      <c r="BW927" s="98"/>
      <c r="BX927" s="98"/>
      <c r="BY927" s="112"/>
      <c r="BZ927" s="112"/>
      <c r="CA927" s="112"/>
      <c r="CB927" s="98"/>
      <c r="CC927" s="98"/>
      <c r="CD927" s="98"/>
      <c r="CE927" s="98"/>
      <c r="CG927" s="100"/>
      <c r="CH927" s="100"/>
      <c r="CI927" s="100"/>
      <c r="CJ927" s="100"/>
      <c r="CK927" s="100"/>
      <c r="CL927" s="100"/>
      <c r="CM927" s="100"/>
      <c r="CN927" s="100"/>
      <c r="CO927" s="100"/>
      <c r="CP927" s="100"/>
      <c r="CQ927" s="100"/>
      <c r="CR927" s="100"/>
      <c r="CS927" s="100"/>
      <c r="CT927" s="100"/>
      <c r="CU927" s="100"/>
    </row>
    <row r="928" spans="6:99" s="36" customFormat="1" ht="11.1" customHeight="1" x14ac:dyDescent="0.25">
      <c r="F928" s="33"/>
      <c r="G928" s="33"/>
      <c r="H928" s="33"/>
      <c r="I928" s="34"/>
      <c r="J928" s="34"/>
      <c r="K928" s="14"/>
      <c r="L928" s="32"/>
      <c r="M928" s="14"/>
      <c r="N928" s="14"/>
      <c r="O928" s="2"/>
      <c r="P928"/>
      <c r="Q928" s="2"/>
      <c r="R928"/>
      <c r="S928"/>
      <c r="T928"/>
      <c r="U928" s="2"/>
      <c r="V928" s="2"/>
      <c r="W928" s="2"/>
      <c r="X928" s="2"/>
      <c r="Y928" s="2"/>
      <c r="Z928" s="11"/>
      <c r="AA928" s="15"/>
      <c r="AB928" s="15"/>
      <c r="AC928" s="15"/>
      <c r="AD928" s="35"/>
      <c r="AE928" s="99"/>
      <c r="AF928" s="99"/>
      <c r="AG928" s="35"/>
      <c r="AH928" s="35"/>
      <c r="AI928" s="35"/>
      <c r="AJ928" s="1"/>
      <c r="AK928" s="1"/>
      <c r="AL928" s="1"/>
      <c r="AM928" s="1"/>
      <c r="AN928" s="1"/>
      <c r="AO928" s="1"/>
      <c r="AP928"/>
      <c r="AQ928"/>
      <c r="AR928"/>
      <c r="AS928"/>
      <c r="AT928" s="50"/>
      <c r="AU928" s="97"/>
      <c r="AV928" s="97"/>
      <c r="AW928" s="97"/>
      <c r="AX928" s="97"/>
      <c r="AY928" s="97"/>
      <c r="BD928" s="35"/>
      <c r="BE928" s="35"/>
      <c r="BV928" s="98"/>
      <c r="BW928" s="98"/>
      <c r="BX928" s="98"/>
      <c r="BY928" s="112"/>
      <c r="BZ928" s="112"/>
      <c r="CA928" s="112"/>
      <c r="CB928" s="98"/>
      <c r="CC928" s="98"/>
      <c r="CD928" s="98"/>
      <c r="CE928" s="98"/>
      <c r="CG928" s="100"/>
      <c r="CH928" s="100"/>
      <c r="CI928" s="100"/>
      <c r="CJ928" s="100"/>
      <c r="CK928" s="100"/>
      <c r="CL928" s="100"/>
      <c r="CM928" s="100"/>
      <c r="CN928" s="100"/>
      <c r="CO928" s="100"/>
      <c r="CP928" s="100"/>
      <c r="CQ928" s="100"/>
      <c r="CR928" s="100"/>
      <c r="CS928" s="100"/>
      <c r="CT928" s="100"/>
      <c r="CU928" s="100"/>
    </row>
    <row r="929" spans="6:99" s="36" customFormat="1" ht="11.1" customHeight="1" x14ac:dyDescent="0.25">
      <c r="F929" s="33"/>
      <c r="G929" s="33"/>
      <c r="H929" s="33"/>
      <c r="I929" s="34"/>
      <c r="J929" s="34"/>
      <c r="K929" s="14"/>
      <c r="L929" s="32"/>
      <c r="M929" s="14"/>
      <c r="N929" s="14"/>
      <c r="O929" s="2"/>
      <c r="P929"/>
      <c r="Q929" s="2"/>
      <c r="R929"/>
      <c r="S929"/>
      <c r="T929"/>
      <c r="U929" s="2"/>
      <c r="V929" s="2"/>
      <c r="W929" s="2"/>
      <c r="X929" s="2"/>
      <c r="Y929" s="2"/>
      <c r="Z929" s="11"/>
      <c r="AA929" s="15"/>
      <c r="AB929" s="15"/>
      <c r="AC929" s="15"/>
      <c r="AD929" s="35"/>
      <c r="AE929" s="99"/>
      <c r="AF929" s="99"/>
      <c r="AG929" s="35"/>
      <c r="AH929" s="35"/>
      <c r="AI929" s="35"/>
      <c r="AJ929" s="1"/>
      <c r="AK929" s="1"/>
      <c r="AL929" s="1"/>
      <c r="AM929" s="1"/>
      <c r="AN929" s="1"/>
      <c r="AO929" s="1"/>
      <c r="AP929"/>
      <c r="AQ929"/>
      <c r="AR929"/>
      <c r="AS929"/>
      <c r="AT929" s="50"/>
      <c r="AU929" s="97"/>
      <c r="AV929" s="97"/>
      <c r="AW929" s="97"/>
      <c r="AX929" s="97"/>
      <c r="AY929" s="97"/>
      <c r="BD929" s="35"/>
      <c r="BE929" s="35"/>
      <c r="BV929" s="98"/>
      <c r="BW929" s="98"/>
      <c r="BX929" s="98"/>
      <c r="BY929" s="112"/>
      <c r="BZ929" s="112"/>
      <c r="CA929" s="112"/>
      <c r="CB929" s="98"/>
      <c r="CC929" s="98"/>
      <c r="CD929" s="98"/>
      <c r="CE929" s="98"/>
      <c r="CG929" s="100"/>
      <c r="CH929" s="100"/>
      <c r="CI929" s="100"/>
      <c r="CJ929" s="100"/>
      <c r="CK929" s="100"/>
      <c r="CL929" s="100"/>
      <c r="CM929" s="100"/>
      <c r="CN929" s="100"/>
      <c r="CO929" s="100"/>
      <c r="CP929" s="100"/>
      <c r="CQ929" s="100"/>
      <c r="CR929" s="100"/>
      <c r="CS929" s="100"/>
      <c r="CT929" s="100"/>
      <c r="CU929" s="100"/>
    </row>
    <row r="930" spans="6:99" s="36" customFormat="1" ht="11.1" customHeight="1" x14ac:dyDescent="0.25">
      <c r="F930" s="33"/>
      <c r="G930" s="33"/>
      <c r="H930" s="33"/>
      <c r="I930" s="34"/>
      <c r="J930" s="34"/>
      <c r="K930" s="14"/>
      <c r="L930" s="32"/>
      <c r="M930" s="14"/>
      <c r="N930" s="14"/>
      <c r="O930" s="2"/>
      <c r="P930"/>
      <c r="Q930" s="2"/>
      <c r="R930"/>
      <c r="S930"/>
      <c r="T930"/>
      <c r="U930" s="2"/>
      <c r="V930" s="2"/>
      <c r="W930" s="2"/>
      <c r="X930" s="2"/>
      <c r="Y930" s="2"/>
      <c r="Z930" s="11"/>
      <c r="AA930" s="15"/>
      <c r="AB930" s="15"/>
      <c r="AC930" s="15"/>
      <c r="AD930" s="35"/>
      <c r="AE930" s="99"/>
      <c r="AF930" s="99"/>
      <c r="AG930" s="35"/>
      <c r="AH930" s="35"/>
      <c r="AI930" s="35"/>
      <c r="AJ930" s="1"/>
      <c r="AK930" s="1"/>
      <c r="AL930" s="1"/>
      <c r="AM930" s="1"/>
      <c r="AN930" s="1"/>
      <c r="AO930" s="1"/>
      <c r="AP930"/>
      <c r="AQ930"/>
      <c r="AR930"/>
      <c r="AS930"/>
      <c r="AT930" s="50"/>
      <c r="AU930" s="97"/>
      <c r="AV930" s="97"/>
      <c r="AW930" s="97"/>
      <c r="AX930" s="97"/>
      <c r="AY930" s="97"/>
      <c r="BD930" s="35"/>
      <c r="BE930" s="35"/>
      <c r="BV930" s="98"/>
      <c r="BW930" s="98"/>
      <c r="BX930" s="98"/>
      <c r="BY930" s="112"/>
      <c r="BZ930" s="112"/>
      <c r="CA930" s="112"/>
      <c r="CB930" s="98"/>
      <c r="CC930" s="98"/>
      <c r="CD930" s="98"/>
      <c r="CE930" s="98"/>
      <c r="CG930" s="100"/>
      <c r="CH930" s="100"/>
      <c r="CI930" s="100"/>
      <c r="CJ930" s="100"/>
      <c r="CK930" s="100"/>
      <c r="CL930" s="100"/>
      <c r="CM930" s="100"/>
      <c r="CN930" s="100"/>
      <c r="CO930" s="100"/>
      <c r="CP930" s="100"/>
      <c r="CQ930" s="100"/>
      <c r="CR930" s="100"/>
      <c r="CS930" s="100"/>
      <c r="CT930" s="100"/>
      <c r="CU930" s="100"/>
    </row>
    <row r="931" spans="6:99" s="36" customFormat="1" ht="11.1" customHeight="1" x14ac:dyDescent="0.25">
      <c r="F931" s="33"/>
      <c r="G931" s="33"/>
      <c r="H931" s="33"/>
      <c r="I931" s="34"/>
      <c r="J931" s="34"/>
      <c r="K931" s="14"/>
      <c r="L931" s="32"/>
      <c r="M931" s="14"/>
      <c r="N931" s="14"/>
      <c r="O931" s="2"/>
      <c r="P931"/>
      <c r="Q931" s="2"/>
      <c r="R931"/>
      <c r="S931"/>
      <c r="T931"/>
      <c r="U931" s="2"/>
      <c r="V931" s="2"/>
      <c r="W931" s="2"/>
      <c r="X931" s="2"/>
      <c r="Y931" s="2"/>
      <c r="Z931" s="11"/>
      <c r="AA931" s="15"/>
      <c r="AB931" s="15"/>
      <c r="AC931" s="15"/>
      <c r="AD931" s="35"/>
      <c r="AE931" s="99"/>
      <c r="AF931" s="99"/>
      <c r="AG931" s="35"/>
      <c r="AH931" s="35"/>
      <c r="AI931" s="35"/>
      <c r="AJ931" s="1"/>
      <c r="AK931" s="1"/>
      <c r="AL931" s="1"/>
      <c r="AM931" s="1"/>
      <c r="AN931" s="1"/>
      <c r="AO931" s="1"/>
      <c r="AP931"/>
      <c r="AQ931"/>
      <c r="AR931"/>
      <c r="AS931"/>
      <c r="AT931" s="50"/>
      <c r="AU931" s="97"/>
      <c r="AV931" s="97"/>
      <c r="AW931" s="97"/>
      <c r="AX931" s="97"/>
      <c r="AY931" s="97"/>
      <c r="BD931" s="35"/>
      <c r="BE931" s="35"/>
      <c r="BV931" s="98"/>
      <c r="BW931" s="98"/>
      <c r="BX931" s="98"/>
      <c r="BY931" s="112"/>
      <c r="BZ931" s="112"/>
      <c r="CA931" s="112"/>
      <c r="CB931" s="98"/>
      <c r="CC931" s="98"/>
      <c r="CD931" s="98"/>
      <c r="CE931" s="98"/>
      <c r="CG931" s="100"/>
      <c r="CH931" s="100"/>
      <c r="CI931" s="100"/>
      <c r="CJ931" s="100"/>
      <c r="CK931" s="100"/>
      <c r="CL931" s="100"/>
      <c r="CM931" s="100"/>
      <c r="CN931" s="100"/>
      <c r="CO931" s="100"/>
      <c r="CP931" s="100"/>
      <c r="CQ931" s="100"/>
      <c r="CR931" s="100"/>
      <c r="CS931" s="100"/>
      <c r="CT931" s="100"/>
      <c r="CU931" s="100"/>
    </row>
    <row r="932" spans="6:99" s="36" customFormat="1" ht="11.1" customHeight="1" x14ac:dyDescent="0.25">
      <c r="F932" s="33"/>
      <c r="G932" s="33"/>
      <c r="H932" s="33"/>
      <c r="I932" s="34"/>
      <c r="J932" s="34"/>
      <c r="K932" s="14"/>
      <c r="L932" s="32"/>
      <c r="M932" s="14"/>
      <c r="N932" s="14"/>
      <c r="O932" s="2"/>
      <c r="P932"/>
      <c r="Q932" s="2"/>
      <c r="R932"/>
      <c r="S932"/>
      <c r="T932"/>
      <c r="U932" s="2"/>
      <c r="V932" s="2"/>
      <c r="W932" s="2"/>
      <c r="X932" s="2"/>
      <c r="Y932" s="2"/>
      <c r="Z932" s="11"/>
      <c r="AA932" s="15"/>
      <c r="AB932" s="15"/>
      <c r="AC932" s="15"/>
      <c r="AD932" s="35"/>
      <c r="AE932" s="99"/>
      <c r="AF932" s="99"/>
      <c r="AG932" s="35"/>
      <c r="AH932" s="35"/>
      <c r="AI932" s="35"/>
      <c r="AJ932" s="1"/>
      <c r="AK932" s="1"/>
      <c r="AL932" s="1"/>
      <c r="AM932" s="1"/>
      <c r="AN932" s="1"/>
      <c r="AO932" s="1"/>
      <c r="AP932"/>
      <c r="AQ932"/>
      <c r="AR932"/>
      <c r="AS932"/>
      <c r="AT932" s="50"/>
      <c r="AU932" s="97"/>
      <c r="AV932" s="97"/>
      <c r="AW932" s="97"/>
      <c r="AX932" s="97"/>
      <c r="AY932" s="97"/>
      <c r="BD932" s="35"/>
      <c r="BE932" s="35"/>
      <c r="BV932" s="98"/>
      <c r="BW932" s="98"/>
      <c r="BX932" s="98"/>
      <c r="BY932" s="112"/>
      <c r="BZ932" s="112"/>
      <c r="CA932" s="112"/>
      <c r="CB932" s="98"/>
      <c r="CC932" s="98"/>
      <c r="CD932" s="98"/>
      <c r="CE932" s="98"/>
      <c r="CG932" s="100"/>
      <c r="CH932" s="100"/>
      <c r="CI932" s="100"/>
      <c r="CJ932" s="100"/>
      <c r="CK932" s="100"/>
      <c r="CL932" s="100"/>
      <c r="CM932" s="100"/>
      <c r="CN932" s="100"/>
      <c r="CO932" s="100"/>
      <c r="CP932" s="100"/>
      <c r="CQ932" s="100"/>
      <c r="CR932" s="100"/>
      <c r="CS932" s="100"/>
      <c r="CT932" s="100"/>
      <c r="CU932" s="100"/>
    </row>
    <row r="933" spans="6:99" s="36" customFormat="1" ht="11.1" customHeight="1" x14ac:dyDescent="0.25">
      <c r="F933" s="33"/>
      <c r="G933" s="33"/>
      <c r="H933" s="33"/>
      <c r="I933" s="34"/>
      <c r="J933" s="34"/>
      <c r="K933" s="14"/>
      <c r="L933" s="32"/>
      <c r="M933" s="14"/>
      <c r="N933" s="14"/>
      <c r="O933" s="2"/>
      <c r="P933"/>
      <c r="Q933" s="2"/>
      <c r="R933"/>
      <c r="S933"/>
      <c r="T933"/>
      <c r="U933" s="2"/>
      <c r="V933" s="2"/>
      <c r="W933" s="2"/>
      <c r="X933" s="2"/>
      <c r="Y933" s="2"/>
      <c r="Z933" s="11"/>
      <c r="AA933" s="15"/>
      <c r="AB933" s="15"/>
      <c r="AC933" s="15"/>
      <c r="AD933" s="35"/>
      <c r="AE933" s="99"/>
      <c r="AF933" s="99"/>
      <c r="AG933" s="35"/>
      <c r="AH933" s="35"/>
      <c r="AI933" s="35"/>
      <c r="AJ933" s="1"/>
      <c r="AK933" s="1"/>
      <c r="AL933" s="1"/>
      <c r="AM933" s="1"/>
      <c r="AN933" s="1"/>
      <c r="AO933" s="1"/>
      <c r="AP933"/>
      <c r="AQ933"/>
      <c r="AR933"/>
      <c r="AS933"/>
      <c r="AT933" s="50"/>
      <c r="AU933" s="97"/>
      <c r="AV933" s="97"/>
      <c r="AW933" s="97"/>
      <c r="AX933" s="97"/>
      <c r="AY933" s="97"/>
      <c r="BD933" s="35"/>
      <c r="BE933" s="35"/>
      <c r="BV933" s="98"/>
      <c r="BW933" s="98"/>
      <c r="BX933" s="98"/>
      <c r="BY933" s="112"/>
      <c r="BZ933" s="112"/>
      <c r="CA933" s="112"/>
      <c r="CB933" s="98"/>
      <c r="CC933" s="98"/>
      <c r="CD933" s="98"/>
      <c r="CE933" s="98"/>
      <c r="CG933" s="100"/>
      <c r="CH933" s="100"/>
      <c r="CI933" s="100"/>
      <c r="CJ933" s="100"/>
      <c r="CK933" s="100"/>
      <c r="CL933" s="100"/>
      <c r="CM933" s="100"/>
      <c r="CN933" s="100"/>
      <c r="CO933" s="100"/>
      <c r="CP933" s="100"/>
      <c r="CQ933" s="100"/>
      <c r="CR933" s="100"/>
      <c r="CS933" s="100"/>
      <c r="CT933" s="100"/>
      <c r="CU933" s="100"/>
    </row>
    <row r="934" spans="6:99" s="36" customFormat="1" ht="11.1" customHeight="1" x14ac:dyDescent="0.25">
      <c r="F934" s="33"/>
      <c r="G934" s="33"/>
      <c r="H934" s="33"/>
      <c r="I934" s="34"/>
      <c r="J934" s="34"/>
      <c r="K934" s="14"/>
      <c r="L934" s="32"/>
      <c r="M934" s="14"/>
      <c r="N934" s="14"/>
      <c r="O934" s="2"/>
      <c r="P934"/>
      <c r="Q934" s="2"/>
      <c r="R934"/>
      <c r="S934"/>
      <c r="T934"/>
      <c r="U934" s="2"/>
      <c r="V934" s="2"/>
      <c r="W934" s="2"/>
      <c r="X934" s="2"/>
      <c r="Y934" s="2"/>
      <c r="Z934" s="11"/>
      <c r="AA934" s="15"/>
      <c r="AB934" s="15"/>
      <c r="AC934" s="15"/>
      <c r="AD934" s="35"/>
      <c r="AE934" s="99"/>
      <c r="AF934" s="99"/>
      <c r="AG934" s="35"/>
      <c r="AH934" s="35"/>
      <c r="AI934" s="35"/>
      <c r="AJ934" s="1"/>
      <c r="AK934" s="1"/>
      <c r="AL934" s="1"/>
      <c r="AM934" s="1"/>
      <c r="AN934" s="1"/>
      <c r="AO934" s="1"/>
      <c r="AP934"/>
      <c r="AQ934"/>
      <c r="AR934"/>
      <c r="AS934"/>
      <c r="AT934" s="50"/>
      <c r="AU934" s="97"/>
      <c r="AV934" s="97"/>
      <c r="AW934" s="97"/>
      <c r="AX934" s="97"/>
      <c r="AY934" s="97"/>
      <c r="BD934" s="35"/>
      <c r="BE934" s="35"/>
      <c r="BV934" s="98"/>
      <c r="BW934" s="98"/>
      <c r="BX934" s="98"/>
      <c r="BY934" s="112"/>
      <c r="BZ934" s="112"/>
      <c r="CA934" s="112"/>
      <c r="CB934" s="98"/>
      <c r="CC934" s="98"/>
      <c r="CD934" s="98"/>
      <c r="CE934" s="98"/>
      <c r="CG934" s="100"/>
      <c r="CH934" s="100"/>
      <c r="CI934" s="100"/>
      <c r="CJ934" s="100"/>
      <c r="CK934" s="100"/>
      <c r="CL934" s="100"/>
      <c r="CM934" s="100"/>
      <c r="CN934" s="100"/>
      <c r="CO934" s="100"/>
      <c r="CP934" s="100"/>
      <c r="CQ934" s="100"/>
      <c r="CR934" s="100"/>
      <c r="CS934" s="100"/>
      <c r="CT934" s="100"/>
      <c r="CU934" s="100"/>
    </row>
    <row r="935" spans="6:99" s="36" customFormat="1" ht="11.1" customHeight="1" x14ac:dyDescent="0.25">
      <c r="F935" s="33"/>
      <c r="G935" s="33"/>
      <c r="H935" s="33"/>
      <c r="I935" s="34"/>
      <c r="J935" s="34"/>
      <c r="K935" s="14"/>
      <c r="L935" s="32"/>
      <c r="M935" s="14"/>
      <c r="N935" s="14"/>
      <c r="O935" s="2"/>
      <c r="P935"/>
      <c r="Q935" s="2"/>
      <c r="R935"/>
      <c r="S935"/>
      <c r="T935"/>
      <c r="U935" s="2"/>
      <c r="V935" s="2"/>
      <c r="W935" s="2"/>
      <c r="X935" s="2"/>
      <c r="Y935" s="2"/>
      <c r="Z935" s="11"/>
      <c r="AA935" s="15"/>
      <c r="AB935" s="15"/>
      <c r="AC935" s="15"/>
      <c r="AD935" s="35"/>
      <c r="AE935" s="99"/>
      <c r="AF935" s="99"/>
      <c r="AG935" s="35"/>
      <c r="AH935" s="35"/>
      <c r="AI935" s="35"/>
      <c r="AJ935" s="1"/>
      <c r="AK935" s="1"/>
      <c r="AL935" s="1"/>
      <c r="AM935" s="1"/>
      <c r="AN935" s="1"/>
      <c r="AO935" s="1"/>
      <c r="AP935"/>
      <c r="AQ935"/>
      <c r="AR935"/>
      <c r="AS935"/>
      <c r="AT935" s="50"/>
      <c r="AU935" s="97"/>
      <c r="AV935" s="97"/>
      <c r="AW935" s="97"/>
      <c r="AX935" s="97"/>
      <c r="AY935" s="97"/>
      <c r="BD935" s="35"/>
      <c r="BE935" s="35"/>
      <c r="BV935" s="98"/>
      <c r="BW935" s="98"/>
      <c r="BX935" s="98"/>
      <c r="BY935" s="112"/>
      <c r="BZ935" s="112"/>
      <c r="CA935" s="112"/>
      <c r="CB935" s="98"/>
      <c r="CC935" s="98"/>
      <c r="CD935" s="98"/>
      <c r="CE935" s="98"/>
      <c r="CG935" s="100"/>
      <c r="CH935" s="100"/>
      <c r="CI935" s="100"/>
      <c r="CJ935" s="100"/>
      <c r="CK935" s="100"/>
      <c r="CL935" s="100"/>
      <c r="CM935" s="100"/>
      <c r="CN935" s="100"/>
      <c r="CO935" s="100"/>
      <c r="CP935" s="100"/>
      <c r="CQ935" s="100"/>
      <c r="CR935" s="100"/>
      <c r="CS935" s="100"/>
      <c r="CT935" s="100"/>
      <c r="CU935" s="100"/>
    </row>
    <row r="936" spans="6:99" s="36" customFormat="1" ht="11.1" customHeight="1" x14ac:dyDescent="0.25">
      <c r="F936" s="33"/>
      <c r="G936" s="33"/>
      <c r="H936" s="33"/>
      <c r="I936" s="34"/>
      <c r="J936" s="34"/>
      <c r="K936" s="14"/>
      <c r="L936" s="32"/>
      <c r="M936" s="14"/>
      <c r="N936" s="14"/>
      <c r="O936" s="2"/>
      <c r="P936"/>
      <c r="Q936" s="2"/>
      <c r="R936"/>
      <c r="S936"/>
      <c r="T936"/>
      <c r="U936" s="2"/>
      <c r="V936" s="2"/>
      <c r="W936" s="2"/>
      <c r="X936" s="2"/>
      <c r="Y936" s="2"/>
      <c r="Z936" s="11"/>
      <c r="AA936" s="15"/>
      <c r="AB936" s="15"/>
      <c r="AC936" s="15"/>
      <c r="AD936" s="35"/>
      <c r="AE936" s="99"/>
      <c r="AF936" s="99"/>
      <c r="AG936" s="35"/>
      <c r="AH936" s="35"/>
      <c r="AI936" s="35"/>
      <c r="AJ936" s="1"/>
      <c r="AK936" s="1"/>
      <c r="AL936" s="1"/>
      <c r="AM936" s="1"/>
      <c r="AN936" s="1"/>
      <c r="AO936" s="1"/>
      <c r="AP936"/>
      <c r="AQ936"/>
      <c r="AR936"/>
      <c r="AS936"/>
      <c r="AT936" s="50"/>
      <c r="AU936" s="97"/>
      <c r="AV936" s="97"/>
      <c r="AW936" s="97"/>
      <c r="AX936" s="97"/>
      <c r="AY936" s="97"/>
      <c r="BD936" s="35"/>
      <c r="BE936" s="35"/>
      <c r="BV936" s="98"/>
      <c r="BW936" s="98"/>
      <c r="BX936" s="98"/>
      <c r="BY936" s="112"/>
      <c r="BZ936" s="112"/>
      <c r="CA936" s="112"/>
      <c r="CB936" s="98"/>
      <c r="CC936" s="98"/>
      <c r="CD936" s="98"/>
      <c r="CE936" s="98"/>
      <c r="CG936" s="100"/>
      <c r="CH936" s="100"/>
      <c r="CI936" s="100"/>
      <c r="CJ936" s="100"/>
      <c r="CK936" s="100"/>
      <c r="CL936" s="100"/>
      <c r="CM936" s="100"/>
      <c r="CN936" s="100"/>
      <c r="CO936" s="100"/>
      <c r="CP936" s="100"/>
      <c r="CQ936" s="100"/>
      <c r="CR936" s="100"/>
      <c r="CS936" s="100"/>
      <c r="CT936" s="100"/>
      <c r="CU936" s="100"/>
    </row>
    <row r="937" spans="6:99" s="36" customFormat="1" ht="11.1" customHeight="1" x14ac:dyDescent="0.25">
      <c r="F937" s="33"/>
      <c r="G937" s="33"/>
      <c r="H937" s="33"/>
      <c r="I937" s="34"/>
      <c r="J937" s="34"/>
      <c r="K937" s="14"/>
      <c r="L937" s="32"/>
      <c r="M937" s="14"/>
      <c r="N937" s="14"/>
      <c r="O937" s="2"/>
      <c r="P937"/>
      <c r="Q937" s="2"/>
      <c r="R937"/>
      <c r="S937"/>
      <c r="T937"/>
      <c r="U937" s="2"/>
      <c r="V937" s="2"/>
      <c r="W937" s="2"/>
      <c r="X937" s="2"/>
      <c r="Y937" s="2"/>
      <c r="Z937" s="11"/>
      <c r="AA937" s="15"/>
      <c r="AB937" s="15"/>
      <c r="AC937" s="15"/>
      <c r="AD937" s="35"/>
      <c r="AE937" s="99"/>
      <c r="AF937" s="99"/>
      <c r="AG937" s="35"/>
      <c r="AH937" s="35"/>
      <c r="AI937" s="35"/>
      <c r="AJ937" s="1"/>
      <c r="AK937" s="1"/>
      <c r="AL937" s="1"/>
      <c r="AM937" s="1"/>
      <c r="AN937" s="1"/>
      <c r="AO937" s="1"/>
      <c r="AP937"/>
      <c r="AQ937"/>
      <c r="AR937"/>
      <c r="AS937"/>
      <c r="AT937" s="50"/>
      <c r="AU937" s="97"/>
      <c r="AV937" s="97"/>
      <c r="AW937" s="97"/>
      <c r="AX937" s="97"/>
      <c r="AY937" s="97"/>
      <c r="BD937" s="35"/>
      <c r="BE937" s="35"/>
      <c r="BV937" s="98"/>
      <c r="BW937" s="98"/>
      <c r="BX937" s="98"/>
      <c r="BY937" s="112"/>
      <c r="BZ937" s="112"/>
      <c r="CA937" s="112"/>
      <c r="CB937" s="98"/>
      <c r="CC937" s="98"/>
      <c r="CD937" s="98"/>
      <c r="CE937" s="98"/>
      <c r="CG937" s="100"/>
      <c r="CH937" s="100"/>
      <c r="CI937" s="100"/>
      <c r="CJ937" s="100"/>
      <c r="CK937" s="100"/>
      <c r="CL937" s="100"/>
      <c r="CM937" s="100"/>
      <c r="CN937" s="100"/>
      <c r="CO937" s="100"/>
      <c r="CP937" s="100"/>
      <c r="CQ937" s="100"/>
      <c r="CR937" s="100"/>
      <c r="CS937" s="100"/>
      <c r="CT937" s="100"/>
      <c r="CU937" s="100"/>
    </row>
    <row r="938" spans="6:99" s="36" customFormat="1" ht="11.1" customHeight="1" x14ac:dyDescent="0.25">
      <c r="F938" s="33"/>
      <c r="G938" s="33"/>
      <c r="H938" s="33"/>
      <c r="I938" s="34"/>
      <c r="J938" s="34"/>
      <c r="K938" s="14"/>
      <c r="L938" s="32"/>
      <c r="M938" s="14"/>
      <c r="N938" s="14"/>
      <c r="O938" s="2"/>
      <c r="P938"/>
      <c r="Q938" s="2"/>
      <c r="R938"/>
      <c r="S938"/>
      <c r="T938"/>
      <c r="U938" s="2"/>
      <c r="V938" s="2"/>
      <c r="W938" s="2"/>
      <c r="X938" s="2"/>
      <c r="Y938" s="2"/>
      <c r="Z938" s="11"/>
      <c r="AA938" s="15"/>
      <c r="AB938" s="15"/>
      <c r="AC938" s="15"/>
      <c r="AD938" s="35"/>
      <c r="AE938" s="99"/>
      <c r="AF938" s="99"/>
      <c r="AG938" s="35"/>
      <c r="AH938" s="35"/>
      <c r="AI938" s="35"/>
      <c r="AJ938" s="1"/>
      <c r="AK938" s="1"/>
      <c r="AL938" s="1"/>
      <c r="AM938" s="1"/>
      <c r="AN938" s="1"/>
      <c r="AO938" s="1"/>
      <c r="AP938"/>
      <c r="AQ938"/>
      <c r="AR938"/>
      <c r="AS938"/>
      <c r="AT938" s="50"/>
      <c r="AU938" s="97"/>
      <c r="AV938" s="97"/>
      <c r="AW938" s="97"/>
      <c r="AX938" s="97"/>
      <c r="AY938" s="97"/>
      <c r="BD938" s="35"/>
      <c r="BE938" s="35"/>
      <c r="BV938" s="98"/>
      <c r="BW938" s="98"/>
      <c r="BX938" s="98"/>
      <c r="BY938" s="112"/>
      <c r="BZ938" s="112"/>
      <c r="CA938" s="112"/>
      <c r="CB938" s="98"/>
      <c r="CC938" s="98"/>
      <c r="CD938" s="98"/>
      <c r="CE938" s="98"/>
      <c r="CG938" s="100"/>
      <c r="CH938" s="100"/>
      <c r="CI938" s="100"/>
      <c r="CJ938" s="100"/>
      <c r="CK938" s="100"/>
      <c r="CL938" s="100"/>
      <c r="CM938" s="100"/>
      <c r="CN938" s="100"/>
      <c r="CO938" s="100"/>
      <c r="CP938" s="100"/>
      <c r="CQ938" s="100"/>
      <c r="CR938" s="100"/>
      <c r="CS938" s="100"/>
      <c r="CT938" s="100"/>
      <c r="CU938" s="100"/>
    </row>
    <row r="939" spans="6:99" s="36" customFormat="1" ht="11.1" customHeight="1" x14ac:dyDescent="0.25">
      <c r="F939" s="33"/>
      <c r="G939" s="33"/>
      <c r="H939" s="33"/>
      <c r="I939" s="34"/>
      <c r="J939" s="34"/>
      <c r="K939" s="14"/>
      <c r="L939" s="32"/>
      <c r="M939" s="14"/>
      <c r="N939" s="14"/>
      <c r="O939" s="2"/>
      <c r="P939"/>
      <c r="Q939" s="2"/>
      <c r="R939"/>
      <c r="S939"/>
      <c r="T939"/>
      <c r="U939" s="2"/>
      <c r="V939" s="2"/>
      <c r="W939" s="2"/>
      <c r="X939" s="2"/>
      <c r="Y939" s="2"/>
      <c r="Z939" s="11"/>
      <c r="AA939" s="15"/>
      <c r="AB939" s="15"/>
      <c r="AC939" s="15"/>
      <c r="AD939" s="35"/>
      <c r="AE939" s="99"/>
      <c r="AF939" s="99"/>
      <c r="AG939" s="35"/>
      <c r="AH939" s="35"/>
      <c r="AI939" s="35"/>
      <c r="AJ939" s="1"/>
      <c r="AK939" s="1"/>
      <c r="AL939" s="1"/>
      <c r="AM939" s="1"/>
      <c r="AN939" s="1"/>
      <c r="AO939" s="1"/>
      <c r="AP939"/>
      <c r="AQ939"/>
      <c r="AR939"/>
      <c r="AS939"/>
      <c r="AT939" s="50"/>
      <c r="AU939" s="97"/>
      <c r="AV939" s="97"/>
      <c r="AW939" s="97"/>
      <c r="AX939" s="97"/>
      <c r="AY939" s="97"/>
      <c r="BD939" s="35"/>
      <c r="BE939" s="35"/>
      <c r="BV939" s="98"/>
      <c r="BW939" s="98"/>
      <c r="BX939" s="98"/>
      <c r="BY939" s="112"/>
      <c r="BZ939" s="112"/>
      <c r="CA939" s="112"/>
      <c r="CB939" s="98"/>
      <c r="CC939" s="98"/>
      <c r="CD939" s="98"/>
      <c r="CE939" s="98"/>
      <c r="CG939" s="100"/>
      <c r="CH939" s="100"/>
      <c r="CI939" s="100"/>
      <c r="CJ939" s="100"/>
      <c r="CK939" s="100"/>
      <c r="CL939" s="100"/>
      <c r="CM939" s="100"/>
      <c r="CN939" s="100"/>
      <c r="CO939" s="100"/>
      <c r="CP939" s="100"/>
      <c r="CQ939" s="100"/>
      <c r="CR939" s="100"/>
      <c r="CS939" s="100"/>
      <c r="CT939" s="100"/>
      <c r="CU939" s="100"/>
    </row>
    <row r="940" spans="6:99" s="36" customFormat="1" ht="11.1" customHeight="1" x14ac:dyDescent="0.25">
      <c r="F940" s="33"/>
      <c r="G940" s="33"/>
      <c r="H940" s="33"/>
      <c r="I940" s="34"/>
      <c r="J940" s="34"/>
      <c r="K940" s="14"/>
      <c r="L940" s="32"/>
      <c r="M940" s="14"/>
      <c r="N940" s="14"/>
      <c r="O940" s="2"/>
      <c r="P940"/>
      <c r="Q940" s="2"/>
      <c r="R940"/>
      <c r="S940"/>
      <c r="T940"/>
      <c r="U940" s="2"/>
      <c r="V940" s="2"/>
      <c r="W940" s="2"/>
      <c r="X940" s="2"/>
      <c r="Y940" s="2"/>
      <c r="Z940" s="11"/>
      <c r="AA940" s="15"/>
      <c r="AB940" s="15"/>
      <c r="AC940" s="15"/>
      <c r="AD940" s="35"/>
      <c r="AE940" s="99"/>
      <c r="AF940" s="99"/>
      <c r="AG940" s="35"/>
      <c r="AH940" s="35"/>
      <c r="AI940" s="35"/>
      <c r="AJ940" s="1"/>
      <c r="AK940" s="1"/>
      <c r="AL940" s="1"/>
      <c r="AM940" s="1"/>
      <c r="AN940" s="1"/>
      <c r="AO940" s="1"/>
      <c r="AP940"/>
      <c r="AQ940"/>
      <c r="AR940"/>
      <c r="AS940"/>
      <c r="AT940" s="50"/>
      <c r="AU940" s="97"/>
      <c r="AV940" s="97"/>
      <c r="AW940" s="97"/>
      <c r="AX940" s="97"/>
      <c r="AY940" s="97"/>
      <c r="BD940" s="35"/>
      <c r="BE940" s="35"/>
      <c r="BV940" s="98"/>
      <c r="BW940" s="98"/>
      <c r="BX940" s="98"/>
      <c r="BY940" s="112"/>
      <c r="BZ940" s="112"/>
      <c r="CA940" s="112"/>
      <c r="CB940" s="98"/>
      <c r="CC940" s="98"/>
      <c r="CD940" s="98"/>
      <c r="CE940" s="98"/>
      <c r="CG940" s="100"/>
      <c r="CH940" s="100"/>
      <c r="CI940" s="100"/>
      <c r="CJ940" s="100"/>
      <c r="CK940" s="100"/>
      <c r="CL940" s="100"/>
      <c r="CM940" s="100"/>
      <c r="CN940" s="100"/>
      <c r="CO940" s="100"/>
      <c r="CP940" s="100"/>
      <c r="CQ940" s="100"/>
      <c r="CR940" s="100"/>
      <c r="CS940" s="100"/>
      <c r="CT940" s="100"/>
      <c r="CU940" s="100"/>
    </row>
    <row r="941" spans="6:99" s="36" customFormat="1" ht="11.1" customHeight="1" x14ac:dyDescent="0.25">
      <c r="F941" s="33"/>
      <c r="G941" s="33"/>
      <c r="H941" s="33"/>
      <c r="I941" s="34"/>
      <c r="J941" s="34"/>
      <c r="K941" s="14"/>
      <c r="L941" s="32"/>
      <c r="M941" s="14"/>
      <c r="N941" s="14"/>
      <c r="O941" s="2"/>
      <c r="P941"/>
      <c r="Q941" s="2"/>
      <c r="R941"/>
      <c r="S941"/>
      <c r="T941"/>
      <c r="U941" s="2"/>
      <c r="V941" s="2"/>
      <c r="W941" s="2"/>
      <c r="X941" s="2"/>
      <c r="Y941" s="2"/>
      <c r="Z941" s="11"/>
      <c r="AA941" s="15"/>
      <c r="AB941" s="15"/>
      <c r="AC941" s="15"/>
      <c r="AD941" s="35"/>
      <c r="AE941" s="99"/>
      <c r="AF941" s="99"/>
      <c r="AG941" s="35"/>
      <c r="AH941" s="35"/>
      <c r="AI941" s="35"/>
      <c r="AJ941" s="1"/>
      <c r="AK941" s="1"/>
      <c r="AL941" s="1"/>
      <c r="AM941" s="1"/>
      <c r="AN941" s="1"/>
      <c r="AO941" s="1"/>
      <c r="AP941"/>
      <c r="AQ941"/>
      <c r="AR941"/>
      <c r="AS941"/>
      <c r="AT941" s="50"/>
      <c r="AU941" s="97"/>
      <c r="AV941" s="97"/>
      <c r="AW941" s="97"/>
      <c r="AX941" s="97"/>
      <c r="AY941" s="97"/>
      <c r="BD941" s="35"/>
      <c r="BE941" s="35"/>
      <c r="BV941" s="98"/>
      <c r="BW941" s="98"/>
      <c r="BX941" s="98"/>
      <c r="BY941" s="112"/>
      <c r="BZ941" s="112"/>
      <c r="CA941" s="112"/>
      <c r="CB941" s="98"/>
      <c r="CC941" s="98"/>
      <c r="CD941" s="98"/>
      <c r="CE941" s="98"/>
      <c r="CG941" s="100"/>
      <c r="CH941" s="100"/>
      <c r="CI941" s="100"/>
      <c r="CJ941" s="100"/>
      <c r="CK941" s="100"/>
      <c r="CL941" s="100"/>
      <c r="CM941" s="100"/>
      <c r="CN941" s="100"/>
      <c r="CO941" s="100"/>
      <c r="CP941" s="100"/>
      <c r="CQ941" s="100"/>
      <c r="CR941" s="100"/>
      <c r="CS941" s="100"/>
      <c r="CT941" s="100"/>
      <c r="CU941" s="100"/>
    </row>
    <row r="942" spans="6:99" s="36" customFormat="1" ht="11.1" customHeight="1" x14ac:dyDescent="0.25">
      <c r="F942" s="33"/>
      <c r="G942" s="33"/>
      <c r="H942" s="33"/>
      <c r="I942" s="34"/>
      <c r="J942" s="34"/>
      <c r="K942" s="14"/>
      <c r="L942" s="32"/>
      <c r="M942" s="14"/>
      <c r="N942" s="14"/>
      <c r="O942" s="2"/>
      <c r="P942"/>
      <c r="Q942" s="2"/>
      <c r="R942"/>
      <c r="S942"/>
      <c r="T942"/>
      <c r="U942" s="2"/>
      <c r="V942" s="2"/>
      <c r="W942" s="2"/>
      <c r="X942" s="2"/>
      <c r="Y942" s="2"/>
      <c r="Z942" s="11"/>
      <c r="AA942" s="15"/>
      <c r="AB942" s="15"/>
      <c r="AC942" s="15"/>
      <c r="AD942" s="35"/>
      <c r="AE942" s="99"/>
      <c r="AF942" s="99"/>
      <c r="AG942" s="35"/>
      <c r="AH942" s="35"/>
      <c r="AI942" s="35"/>
      <c r="AJ942" s="1"/>
      <c r="AK942" s="1"/>
      <c r="AL942" s="1"/>
      <c r="AM942" s="1"/>
      <c r="AN942" s="1"/>
      <c r="AO942" s="1"/>
      <c r="AP942"/>
      <c r="AQ942"/>
      <c r="AR942"/>
      <c r="AS942"/>
      <c r="AT942" s="50"/>
      <c r="AU942" s="97"/>
      <c r="AV942" s="97"/>
      <c r="AW942" s="97"/>
      <c r="AX942" s="97"/>
      <c r="AY942" s="97"/>
      <c r="BD942" s="35"/>
      <c r="BE942" s="35"/>
      <c r="BV942" s="98"/>
      <c r="BW942" s="98"/>
      <c r="BX942" s="98"/>
      <c r="BY942" s="112"/>
      <c r="BZ942" s="112"/>
      <c r="CA942" s="112"/>
      <c r="CB942" s="98"/>
      <c r="CC942" s="98"/>
      <c r="CD942" s="98"/>
      <c r="CE942" s="98"/>
      <c r="CG942" s="100"/>
      <c r="CH942" s="100"/>
      <c r="CI942" s="100"/>
      <c r="CJ942" s="100"/>
      <c r="CK942" s="100"/>
      <c r="CL942" s="100"/>
      <c r="CM942" s="100"/>
      <c r="CN942" s="100"/>
      <c r="CO942" s="100"/>
      <c r="CP942" s="100"/>
      <c r="CQ942" s="100"/>
      <c r="CR942" s="100"/>
      <c r="CS942" s="100"/>
      <c r="CT942" s="100"/>
      <c r="CU942" s="100"/>
    </row>
    <row r="943" spans="6:99" s="36" customFormat="1" ht="11.1" customHeight="1" x14ac:dyDescent="0.25">
      <c r="F943" s="33"/>
      <c r="G943" s="33"/>
      <c r="H943" s="33"/>
      <c r="I943" s="34"/>
      <c r="J943" s="34"/>
      <c r="K943" s="14"/>
      <c r="L943" s="32"/>
      <c r="M943" s="14"/>
      <c r="N943" s="14"/>
      <c r="O943" s="2"/>
      <c r="P943"/>
      <c r="Q943" s="2"/>
      <c r="R943"/>
      <c r="S943"/>
      <c r="T943"/>
      <c r="U943" s="2"/>
      <c r="V943" s="2"/>
      <c r="W943" s="2"/>
      <c r="X943" s="2"/>
      <c r="Y943" s="2"/>
      <c r="Z943" s="11"/>
      <c r="AA943" s="15"/>
      <c r="AB943" s="15"/>
      <c r="AC943" s="15"/>
      <c r="AD943" s="35"/>
      <c r="AE943" s="99"/>
      <c r="AF943" s="99"/>
      <c r="AG943" s="35"/>
      <c r="AH943" s="35"/>
      <c r="AI943" s="35"/>
      <c r="AJ943" s="1"/>
      <c r="AK943" s="1"/>
      <c r="AL943" s="1"/>
      <c r="AM943" s="1"/>
      <c r="AN943" s="1"/>
      <c r="AO943" s="1"/>
      <c r="AP943"/>
      <c r="AQ943"/>
      <c r="AR943"/>
      <c r="AS943"/>
      <c r="AT943" s="50"/>
      <c r="AU943" s="97"/>
      <c r="AV943" s="97"/>
      <c r="AW943" s="97"/>
      <c r="AX943" s="97"/>
      <c r="AY943" s="97"/>
      <c r="BD943" s="35"/>
      <c r="BE943" s="35"/>
      <c r="BV943" s="98"/>
      <c r="BW943" s="98"/>
      <c r="BX943" s="98"/>
      <c r="BY943" s="112"/>
      <c r="BZ943" s="112"/>
      <c r="CA943" s="112"/>
      <c r="CB943" s="98"/>
      <c r="CC943" s="98"/>
      <c r="CD943" s="98"/>
      <c r="CE943" s="98"/>
      <c r="CG943" s="100"/>
      <c r="CH943" s="100"/>
      <c r="CI943" s="100"/>
      <c r="CJ943" s="100"/>
      <c r="CK943" s="100"/>
      <c r="CL943" s="100"/>
      <c r="CM943" s="100"/>
      <c r="CN943" s="100"/>
      <c r="CO943" s="100"/>
      <c r="CP943" s="100"/>
      <c r="CQ943" s="100"/>
      <c r="CR943" s="100"/>
      <c r="CS943" s="100"/>
      <c r="CT943" s="100"/>
      <c r="CU943" s="100"/>
    </row>
    <row r="944" spans="6:99" s="36" customFormat="1" ht="11.1" customHeight="1" x14ac:dyDescent="0.25">
      <c r="F944" s="33"/>
      <c r="G944" s="33"/>
      <c r="H944" s="33"/>
      <c r="I944" s="34"/>
      <c r="J944" s="34"/>
      <c r="K944" s="14"/>
      <c r="L944" s="32"/>
      <c r="M944" s="14"/>
      <c r="N944" s="14"/>
      <c r="O944" s="2"/>
      <c r="P944"/>
      <c r="Q944" s="2"/>
      <c r="R944"/>
      <c r="S944"/>
      <c r="T944"/>
      <c r="U944" s="2"/>
      <c r="V944" s="2"/>
      <c r="W944" s="2"/>
      <c r="X944" s="2"/>
      <c r="Y944" s="2"/>
      <c r="Z944" s="11"/>
      <c r="AA944" s="15"/>
      <c r="AB944" s="15"/>
      <c r="AC944" s="15"/>
      <c r="AD944" s="35"/>
      <c r="AE944" s="99"/>
      <c r="AF944" s="99"/>
      <c r="AG944" s="35"/>
      <c r="AH944" s="35"/>
      <c r="AI944" s="35"/>
      <c r="AJ944" s="1"/>
      <c r="AK944" s="1"/>
      <c r="AL944" s="1"/>
      <c r="AM944" s="1"/>
      <c r="AN944" s="1"/>
      <c r="AO944" s="1"/>
      <c r="AP944"/>
      <c r="AQ944"/>
      <c r="AR944"/>
      <c r="AS944"/>
      <c r="AT944" s="50"/>
      <c r="AU944" s="97"/>
      <c r="AV944" s="97"/>
      <c r="AW944" s="97"/>
      <c r="AX944" s="97"/>
      <c r="AY944" s="97"/>
      <c r="BD944" s="35"/>
      <c r="BE944" s="35"/>
      <c r="BV944" s="98"/>
      <c r="BW944" s="98"/>
      <c r="BX944" s="98"/>
      <c r="BY944" s="112"/>
      <c r="BZ944" s="112"/>
      <c r="CA944" s="112"/>
      <c r="CB944" s="98"/>
      <c r="CC944" s="98"/>
      <c r="CD944" s="98"/>
      <c r="CE944" s="98"/>
      <c r="CG944" s="100"/>
      <c r="CH944" s="100"/>
      <c r="CI944" s="100"/>
      <c r="CJ944" s="100"/>
      <c r="CK944" s="100"/>
      <c r="CL944" s="100"/>
      <c r="CM944" s="100"/>
      <c r="CN944" s="100"/>
      <c r="CO944" s="100"/>
      <c r="CP944" s="100"/>
      <c r="CQ944" s="100"/>
      <c r="CR944" s="100"/>
      <c r="CS944" s="100"/>
      <c r="CT944" s="100"/>
      <c r="CU944" s="100"/>
    </row>
    <row r="945" spans="6:99" s="36" customFormat="1" ht="11.1" customHeight="1" x14ac:dyDescent="0.25">
      <c r="F945" s="33"/>
      <c r="G945" s="33"/>
      <c r="H945" s="33"/>
      <c r="I945" s="34"/>
      <c r="J945" s="34"/>
      <c r="K945" s="14"/>
      <c r="L945" s="32"/>
      <c r="M945" s="14"/>
      <c r="N945" s="14"/>
      <c r="O945" s="2"/>
      <c r="P945"/>
      <c r="Q945" s="2"/>
      <c r="R945"/>
      <c r="S945"/>
      <c r="T945"/>
      <c r="U945" s="2"/>
      <c r="V945" s="2"/>
      <c r="W945" s="2"/>
      <c r="X945" s="2"/>
      <c r="Y945" s="2"/>
      <c r="Z945" s="11"/>
      <c r="AA945" s="15"/>
      <c r="AB945" s="15"/>
      <c r="AC945" s="15"/>
      <c r="AD945" s="35"/>
      <c r="AE945" s="99"/>
      <c r="AF945" s="99"/>
      <c r="AG945" s="35"/>
      <c r="AH945" s="35"/>
      <c r="AI945" s="35"/>
      <c r="AJ945" s="1"/>
      <c r="AK945" s="1"/>
      <c r="AL945" s="1"/>
      <c r="AM945" s="1"/>
      <c r="AN945" s="1"/>
      <c r="AO945" s="1"/>
      <c r="AP945"/>
      <c r="AQ945"/>
      <c r="AR945"/>
      <c r="AS945"/>
      <c r="AT945" s="50"/>
      <c r="AU945" s="97"/>
      <c r="AV945" s="97"/>
      <c r="AW945" s="97"/>
      <c r="AX945" s="97"/>
      <c r="AY945" s="97"/>
      <c r="BD945" s="35"/>
      <c r="BE945" s="35"/>
      <c r="BV945" s="98"/>
      <c r="BW945" s="98"/>
      <c r="BX945" s="98"/>
      <c r="BY945" s="112"/>
      <c r="BZ945" s="112"/>
      <c r="CA945" s="112"/>
      <c r="CB945" s="98"/>
      <c r="CC945" s="98"/>
      <c r="CD945" s="98"/>
      <c r="CE945" s="98"/>
      <c r="CG945" s="100"/>
      <c r="CH945" s="100"/>
      <c r="CI945" s="100"/>
      <c r="CJ945" s="100"/>
      <c r="CK945" s="100"/>
      <c r="CL945" s="100"/>
      <c r="CM945" s="100"/>
      <c r="CN945" s="100"/>
      <c r="CO945" s="100"/>
      <c r="CP945" s="100"/>
      <c r="CQ945" s="100"/>
      <c r="CR945" s="100"/>
      <c r="CS945" s="100"/>
      <c r="CT945" s="100"/>
      <c r="CU945" s="100"/>
    </row>
    <row r="946" spans="6:99" s="36" customFormat="1" ht="11.1" customHeight="1" x14ac:dyDescent="0.25">
      <c r="F946" s="33"/>
      <c r="G946" s="33"/>
      <c r="H946" s="33"/>
      <c r="I946" s="34"/>
      <c r="J946" s="34"/>
      <c r="K946" s="14"/>
      <c r="L946" s="32"/>
      <c r="M946" s="14"/>
      <c r="N946" s="14"/>
      <c r="O946" s="2"/>
      <c r="P946"/>
      <c r="Q946" s="2"/>
      <c r="R946"/>
      <c r="S946"/>
      <c r="T946"/>
      <c r="U946" s="2"/>
      <c r="V946" s="2"/>
      <c r="W946" s="2"/>
      <c r="X946" s="2"/>
      <c r="Y946" s="2"/>
      <c r="Z946" s="11"/>
      <c r="AA946" s="15"/>
      <c r="AB946" s="15"/>
      <c r="AC946" s="15"/>
      <c r="AD946" s="35"/>
      <c r="AE946" s="99"/>
      <c r="AF946" s="99"/>
      <c r="AG946" s="35"/>
      <c r="AH946" s="35"/>
      <c r="AI946" s="35"/>
      <c r="AJ946" s="1"/>
      <c r="AK946" s="1"/>
      <c r="AL946" s="1"/>
      <c r="AM946" s="1"/>
      <c r="AN946" s="1"/>
      <c r="AO946" s="1"/>
      <c r="AP946"/>
      <c r="AQ946"/>
      <c r="AR946"/>
      <c r="AS946"/>
      <c r="AT946" s="50"/>
      <c r="AU946" s="97"/>
      <c r="AV946" s="97"/>
      <c r="AW946" s="97"/>
      <c r="AX946" s="97"/>
      <c r="AY946" s="97"/>
      <c r="BD946" s="35"/>
      <c r="BE946" s="35"/>
      <c r="BV946" s="98"/>
      <c r="BW946" s="98"/>
      <c r="BX946" s="98"/>
      <c r="BY946" s="112"/>
      <c r="BZ946" s="112"/>
      <c r="CA946" s="112"/>
      <c r="CB946" s="98"/>
      <c r="CC946" s="98"/>
      <c r="CD946" s="98"/>
      <c r="CE946" s="98"/>
      <c r="CG946" s="100"/>
      <c r="CH946" s="100"/>
      <c r="CI946" s="100"/>
      <c r="CJ946" s="100"/>
      <c r="CK946" s="100"/>
      <c r="CL946" s="100"/>
      <c r="CM946" s="100"/>
      <c r="CN946" s="100"/>
      <c r="CO946" s="100"/>
      <c r="CP946" s="100"/>
      <c r="CQ946" s="100"/>
      <c r="CR946" s="100"/>
      <c r="CS946" s="100"/>
      <c r="CT946" s="100"/>
      <c r="CU946" s="100"/>
    </row>
    <row r="947" spans="6:99" s="36" customFormat="1" ht="11.1" customHeight="1" x14ac:dyDescent="0.25">
      <c r="F947" s="33"/>
      <c r="G947" s="33"/>
      <c r="H947" s="33"/>
      <c r="I947" s="34"/>
      <c r="J947" s="34"/>
      <c r="K947" s="14"/>
      <c r="L947" s="32"/>
      <c r="M947" s="14"/>
      <c r="N947" s="14"/>
      <c r="O947" s="2"/>
      <c r="P947"/>
      <c r="Q947" s="2"/>
      <c r="R947"/>
      <c r="S947"/>
      <c r="T947"/>
      <c r="U947" s="2"/>
      <c r="V947" s="2"/>
      <c r="W947" s="2"/>
      <c r="X947" s="2"/>
      <c r="Y947" s="2"/>
      <c r="Z947" s="11"/>
      <c r="AA947" s="15"/>
      <c r="AB947" s="15"/>
      <c r="AC947" s="15"/>
      <c r="AD947" s="35"/>
      <c r="AE947" s="99"/>
      <c r="AF947" s="99"/>
      <c r="AG947" s="35"/>
      <c r="AH947" s="35"/>
      <c r="AI947" s="35"/>
      <c r="AJ947" s="1"/>
      <c r="AK947" s="1"/>
      <c r="AL947" s="1"/>
      <c r="AM947" s="1"/>
      <c r="AN947" s="1"/>
      <c r="AO947" s="1"/>
      <c r="AP947"/>
      <c r="AQ947"/>
      <c r="AR947"/>
      <c r="AS947"/>
      <c r="AT947" s="50"/>
      <c r="AU947" s="97"/>
      <c r="AV947" s="97"/>
      <c r="AW947" s="97"/>
      <c r="AX947" s="97"/>
      <c r="AY947" s="97"/>
      <c r="BD947" s="35"/>
      <c r="BE947" s="35"/>
      <c r="BV947" s="98"/>
      <c r="BW947" s="98"/>
      <c r="BX947" s="98"/>
      <c r="BY947" s="112"/>
      <c r="BZ947" s="112"/>
      <c r="CA947" s="112"/>
      <c r="CB947" s="98"/>
      <c r="CC947" s="98"/>
      <c r="CD947" s="98"/>
      <c r="CE947" s="98"/>
      <c r="CG947" s="100"/>
      <c r="CH947" s="100"/>
      <c r="CI947" s="100"/>
      <c r="CJ947" s="100"/>
      <c r="CK947" s="100"/>
      <c r="CL947" s="100"/>
      <c r="CM947" s="100"/>
      <c r="CN947" s="100"/>
      <c r="CO947" s="100"/>
      <c r="CP947" s="100"/>
      <c r="CQ947" s="100"/>
      <c r="CR947" s="100"/>
      <c r="CS947" s="100"/>
      <c r="CT947" s="100"/>
      <c r="CU947" s="100"/>
    </row>
    <row r="948" spans="6:99" s="36" customFormat="1" ht="11.1" customHeight="1" x14ac:dyDescent="0.25">
      <c r="F948" s="33"/>
      <c r="G948" s="33"/>
      <c r="H948" s="33"/>
      <c r="I948" s="34"/>
      <c r="J948" s="34"/>
      <c r="K948" s="14"/>
      <c r="L948" s="32"/>
      <c r="M948" s="14"/>
      <c r="N948" s="14"/>
      <c r="O948" s="2"/>
      <c r="P948"/>
      <c r="Q948" s="2"/>
      <c r="R948"/>
      <c r="S948"/>
      <c r="T948"/>
      <c r="U948" s="2"/>
      <c r="V948" s="2"/>
      <c r="W948" s="2"/>
      <c r="X948" s="2"/>
      <c r="Y948" s="2"/>
      <c r="Z948" s="11"/>
      <c r="AA948" s="15"/>
      <c r="AB948" s="15"/>
      <c r="AC948" s="15"/>
      <c r="AD948" s="35"/>
      <c r="AE948" s="99"/>
      <c r="AF948" s="99"/>
      <c r="AG948" s="35"/>
      <c r="AH948" s="35"/>
      <c r="AI948" s="35"/>
      <c r="AJ948" s="1"/>
      <c r="AK948" s="1"/>
      <c r="AL948" s="1"/>
      <c r="AM948" s="1"/>
      <c r="AN948" s="1"/>
      <c r="AO948" s="1"/>
      <c r="AP948"/>
      <c r="AQ948"/>
      <c r="AR948"/>
      <c r="AS948"/>
      <c r="AT948" s="50"/>
      <c r="AU948" s="97"/>
      <c r="AV948" s="97"/>
      <c r="AW948" s="97"/>
      <c r="AX948" s="97"/>
      <c r="AY948" s="97"/>
      <c r="BD948" s="35"/>
      <c r="BE948" s="35"/>
      <c r="BV948" s="98"/>
      <c r="BW948" s="98"/>
      <c r="BX948" s="98"/>
      <c r="BY948" s="112"/>
      <c r="BZ948" s="112"/>
      <c r="CA948" s="112"/>
      <c r="CB948" s="98"/>
      <c r="CC948" s="98"/>
      <c r="CD948" s="98"/>
      <c r="CE948" s="98"/>
      <c r="CG948" s="100"/>
      <c r="CH948" s="100"/>
      <c r="CI948" s="100"/>
      <c r="CJ948" s="100"/>
      <c r="CK948" s="100"/>
      <c r="CL948" s="100"/>
      <c r="CM948" s="100"/>
      <c r="CN948" s="100"/>
      <c r="CO948" s="100"/>
      <c r="CP948" s="100"/>
      <c r="CQ948" s="100"/>
      <c r="CR948" s="100"/>
      <c r="CS948" s="100"/>
      <c r="CT948" s="100"/>
      <c r="CU948" s="100"/>
    </row>
    <row r="949" spans="6:99" s="36" customFormat="1" ht="11.1" customHeight="1" x14ac:dyDescent="0.25">
      <c r="F949" s="33"/>
      <c r="G949" s="33"/>
      <c r="H949" s="33"/>
      <c r="I949" s="34"/>
      <c r="J949" s="34"/>
      <c r="K949" s="14"/>
      <c r="L949" s="32"/>
      <c r="M949" s="14"/>
      <c r="N949" s="14"/>
      <c r="O949" s="2"/>
      <c r="P949"/>
      <c r="Q949" s="2"/>
      <c r="R949"/>
      <c r="S949"/>
      <c r="T949"/>
      <c r="U949" s="2"/>
      <c r="V949" s="2"/>
      <c r="W949" s="2"/>
      <c r="X949" s="2"/>
      <c r="Y949" s="2"/>
      <c r="Z949" s="11"/>
      <c r="AA949" s="15"/>
      <c r="AB949" s="15"/>
      <c r="AC949" s="15"/>
      <c r="AD949" s="35"/>
      <c r="AE949" s="99"/>
      <c r="AF949" s="99"/>
      <c r="AG949" s="35"/>
      <c r="AH949" s="35"/>
      <c r="AI949" s="35"/>
      <c r="AJ949" s="1"/>
      <c r="AK949" s="1"/>
      <c r="AL949" s="1"/>
      <c r="AM949" s="1"/>
      <c r="AN949" s="1"/>
      <c r="AO949" s="1"/>
      <c r="AP949"/>
      <c r="AQ949"/>
      <c r="AR949"/>
      <c r="AS949"/>
      <c r="AT949" s="50"/>
      <c r="AU949" s="97"/>
      <c r="AV949" s="97"/>
      <c r="AW949" s="97"/>
      <c r="AX949" s="97"/>
      <c r="AY949" s="97"/>
      <c r="BD949" s="35"/>
      <c r="BE949" s="35"/>
      <c r="BV949" s="98"/>
      <c r="BW949" s="98"/>
      <c r="BX949" s="98"/>
      <c r="BY949" s="112"/>
      <c r="BZ949" s="112"/>
      <c r="CA949" s="112"/>
      <c r="CB949" s="98"/>
      <c r="CC949" s="98"/>
      <c r="CD949" s="98"/>
      <c r="CE949" s="98"/>
      <c r="CG949" s="100"/>
      <c r="CH949" s="100"/>
      <c r="CI949" s="100"/>
      <c r="CJ949" s="100"/>
      <c r="CK949" s="100"/>
      <c r="CL949" s="100"/>
      <c r="CM949" s="100"/>
      <c r="CN949" s="100"/>
      <c r="CO949" s="100"/>
      <c r="CP949" s="100"/>
      <c r="CQ949" s="100"/>
      <c r="CR949" s="100"/>
      <c r="CS949" s="100"/>
      <c r="CT949" s="100"/>
      <c r="CU949" s="100"/>
    </row>
    <row r="950" spans="6:99" s="36" customFormat="1" ht="11.1" customHeight="1" x14ac:dyDescent="0.25">
      <c r="F950" s="33"/>
      <c r="G950" s="33"/>
      <c r="H950" s="33"/>
      <c r="I950" s="34"/>
      <c r="J950" s="34"/>
      <c r="K950" s="14"/>
      <c r="L950" s="32"/>
      <c r="M950" s="14"/>
      <c r="N950" s="14"/>
      <c r="O950" s="2"/>
      <c r="P950"/>
      <c r="Q950" s="2"/>
      <c r="R950"/>
      <c r="S950"/>
      <c r="T950"/>
      <c r="U950" s="2"/>
      <c r="V950" s="2"/>
      <c r="W950" s="2"/>
      <c r="X950" s="2"/>
      <c r="Y950" s="2"/>
      <c r="Z950" s="11"/>
      <c r="AA950" s="15"/>
      <c r="AB950" s="15"/>
      <c r="AC950" s="15"/>
      <c r="AD950" s="35"/>
      <c r="AE950" s="99"/>
      <c r="AF950" s="99"/>
      <c r="AG950" s="35"/>
      <c r="AH950" s="35"/>
      <c r="AI950" s="35"/>
      <c r="AJ950" s="1"/>
      <c r="AK950" s="1"/>
      <c r="AL950" s="1"/>
      <c r="AM950" s="1"/>
      <c r="AN950" s="1"/>
      <c r="AO950" s="1"/>
      <c r="AP950"/>
      <c r="AQ950"/>
      <c r="AR950"/>
      <c r="AS950"/>
      <c r="AT950" s="50"/>
      <c r="AU950" s="97"/>
      <c r="AV950" s="97"/>
      <c r="AW950" s="97"/>
      <c r="AX950" s="97"/>
      <c r="AY950" s="97"/>
      <c r="BD950" s="35"/>
      <c r="BE950" s="35"/>
      <c r="BV950" s="98"/>
      <c r="BW950" s="98"/>
      <c r="BX950" s="98"/>
      <c r="BY950" s="112"/>
      <c r="BZ950" s="112"/>
      <c r="CA950" s="112"/>
      <c r="CB950" s="98"/>
      <c r="CC950" s="98"/>
      <c r="CD950" s="98"/>
      <c r="CE950" s="98"/>
      <c r="CG950" s="100"/>
      <c r="CH950" s="100"/>
      <c r="CI950" s="100"/>
      <c r="CJ950" s="100"/>
      <c r="CK950" s="100"/>
      <c r="CL950" s="100"/>
      <c r="CM950" s="100"/>
      <c r="CN950" s="100"/>
      <c r="CO950" s="100"/>
      <c r="CP950" s="100"/>
      <c r="CQ950" s="100"/>
      <c r="CR950" s="100"/>
      <c r="CS950" s="100"/>
      <c r="CT950" s="100"/>
      <c r="CU950" s="100"/>
    </row>
    <row r="951" spans="6:99" s="36" customFormat="1" ht="11.1" customHeight="1" x14ac:dyDescent="0.25">
      <c r="F951" s="33"/>
      <c r="G951" s="33"/>
      <c r="H951" s="33"/>
      <c r="I951" s="34"/>
      <c r="J951" s="34"/>
      <c r="K951" s="14"/>
      <c r="L951" s="32"/>
      <c r="M951" s="14"/>
      <c r="N951" s="14"/>
      <c r="O951" s="2"/>
      <c r="P951"/>
      <c r="Q951" s="2"/>
      <c r="R951"/>
      <c r="S951"/>
      <c r="T951"/>
      <c r="U951" s="2"/>
      <c r="V951" s="2"/>
      <c r="W951" s="2"/>
      <c r="X951" s="2"/>
      <c r="Y951" s="2"/>
      <c r="Z951" s="11"/>
      <c r="AA951" s="15"/>
      <c r="AB951" s="15"/>
      <c r="AC951" s="15"/>
      <c r="AD951" s="35"/>
      <c r="AE951" s="99"/>
      <c r="AF951" s="99"/>
      <c r="AG951" s="35"/>
      <c r="AH951" s="35"/>
      <c r="AI951" s="35"/>
      <c r="AJ951" s="1"/>
      <c r="AK951" s="1"/>
      <c r="AL951" s="1"/>
      <c r="AM951" s="1"/>
      <c r="AN951" s="1"/>
      <c r="AO951" s="1"/>
      <c r="AP951"/>
      <c r="AQ951"/>
      <c r="AR951"/>
      <c r="AS951"/>
      <c r="AT951" s="50"/>
      <c r="AU951" s="97"/>
      <c r="AV951" s="97"/>
      <c r="AW951" s="97"/>
      <c r="AX951" s="97"/>
      <c r="AY951" s="97"/>
      <c r="BD951" s="35"/>
      <c r="BE951" s="35"/>
      <c r="BV951" s="98"/>
      <c r="BW951" s="98"/>
      <c r="BX951" s="98"/>
      <c r="BY951" s="112"/>
      <c r="BZ951" s="112"/>
      <c r="CA951" s="112"/>
      <c r="CB951" s="98"/>
      <c r="CC951" s="98"/>
      <c r="CD951" s="98"/>
      <c r="CE951" s="98"/>
      <c r="CG951" s="100"/>
      <c r="CH951" s="100"/>
      <c r="CI951" s="100"/>
      <c r="CJ951" s="100"/>
      <c r="CK951" s="100"/>
      <c r="CL951" s="100"/>
      <c r="CM951" s="100"/>
      <c r="CN951" s="100"/>
      <c r="CO951" s="100"/>
      <c r="CP951" s="100"/>
      <c r="CQ951" s="100"/>
      <c r="CR951" s="100"/>
      <c r="CS951" s="100"/>
      <c r="CT951" s="100"/>
      <c r="CU951" s="100"/>
    </row>
    <row r="952" spans="6:99" s="36" customFormat="1" ht="11.1" customHeight="1" x14ac:dyDescent="0.25">
      <c r="F952" s="33"/>
      <c r="G952" s="33"/>
      <c r="H952" s="33"/>
      <c r="I952" s="34"/>
      <c r="J952" s="34"/>
      <c r="K952" s="14"/>
      <c r="L952" s="32"/>
      <c r="M952" s="14"/>
      <c r="N952" s="14"/>
      <c r="O952" s="2"/>
      <c r="P952"/>
      <c r="Q952" s="2"/>
      <c r="R952"/>
      <c r="S952"/>
      <c r="T952"/>
      <c r="U952" s="2"/>
      <c r="V952" s="2"/>
      <c r="W952" s="2"/>
      <c r="X952" s="2"/>
      <c r="Y952" s="2"/>
      <c r="Z952" s="11"/>
      <c r="AA952" s="15"/>
      <c r="AB952" s="15"/>
      <c r="AC952" s="15"/>
      <c r="AD952" s="35"/>
      <c r="AE952" s="99"/>
      <c r="AF952" s="99"/>
      <c r="AG952" s="35"/>
      <c r="AH952" s="35"/>
      <c r="AI952" s="35"/>
      <c r="AJ952" s="1"/>
      <c r="AK952" s="1"/>
      <c r="AL952" s="1"/>
      <c r="AM952" s="1"/>
      <c r="AN952" s="1"/>
      <c r="AO952" s="1"/>
      <c r="AP952"/>
      <c r="AQ952"/>
      <c r="AR952"/>
      <c r="AS952"/>
      <c r="AT952" s="50"/>
      <c r="AU952" s="97"/>
      <c r="AV952" s="97"/>
      <c r="AW952" s="97"/>
      <c r="AX952" s="97"/>
      <c r="AY952" s="97"/>
      <c r="BD952" s="35"/>
      <c r="BE952" s="35"/>
      <c r="BV952" s="98"/>
      <c r="BW952" s="98"/>
      <c r="BX952" s="98"/>
      <c r="BY952" s="112"/>
      <c r="BZ952" s="112"/>
      <c r="CA952" s="112"/>
      <c r="CB952" s="98"/>
      <c r="CC952" s="98"/>
      <c r="CD952" s="98"/>
      <c r="CE952" s="98"/>
      <c r="CG952" s="100"/>
      <c r="CH952" s="100"/>
      <c r="CI952" s="100"/>
      <c r="CJ952" s="100"/>
      <c r="CK952" s="100"/>
      <c r="CL952" s="100"/>
      <c r="CM952" s="100"/>
      <c r="CN952" s="100"/>
      <c r="CO952" s="100"/>
      <c r="CP952" s="100"/>
      <c r="CQ952" s="100"/>
      <c r="CR952" s="100"/>
      <c r="CS952" s="100"/>
      <c r="CT952" s="100"/>
      <c r="CU952" s="100"/>
    </row>
    <row r="953" spans="6:99" s="36" customFormat="1" ht="11.1" customHeight="1" x14ac:dyDescent="0.25">
      <c r="F953" s="33"/>
      <c r="G953" s="33"/>
      <c r="H953" s="33"/>
      <c r="I953" s="34"/>
      <c r="J953" s="34"/>
      <c r="K953" s="14"/>
      <c r="L953" s="32"/>
      <c r="M953" s="14"/>
      <c r="N953" s="14"/>
      <c r="O953" s="2"/>
      <c r="P953"/>
      <c r="Q953" s="2"/>
      <c r="R953"/>
      <c r="S953"/>
      <c r="T953"/>
      <c r="U953" s="2"/>
      <c r="V953" s="2"/>
      <c r="W953" s="2"/>
      <c r="X953" s="2"/>
      <c r="Y953" s="2"/>
      <c r="Z953" s="11"/>
      <c r="AA953" s="15"/>
      <c r="AB953" s="15"/>
      <c r="AC953" s="15"/>
      <c r="AD953" s="35"/>
      <c r="AE953" s="99"/>
      <c r="AF953" s="99"/>
      <c r="AG953" s="35"/>
      <c r="AH953" s="35"/>
      <c r="AI953" s="35"/>
      <c r="AJ953" s="1"/>
      <c r="AK953" s="1"/>
      <c r="AL953" s="1"/>
      <c r="AM953" s="1"/>
      <c r="AN953" s="1"/>
      <c r="AO953" s="1"/>
      <c r="AP953"/>
      <c r="AQ953"/>
      <c r="AR953"/>
      <c r="AS953"/>
      <c r="AT953" s="50"/>
      <c r="AU953" s="97"/>
      <c r="AV953" s="97"/>
      <c r="AW953" s="97"/>
      <c r="AX953" s="97"/>
      <c r="AY953" s="97"/>
      <c r="BD953" s="35"/>
      <c r="BE953" s="35"/>
      <c r="BV953" s="98"/>
      <c r="BW953" s="98"/>
      <c r="BX953" s="98"/>
      <c r="BY953" s="112"/>
      <c r="BZ953" s="112"/>
      <c r="CA953" s="112"/>
      <c r="CB953" s="98"/>
      <c r="CC953" s="98"/>
      <c r="CD953" s="98"/>
      <c r="CE953" s="98"/>
      <c r="CG953" s="100"/>
      <c r="CH953" s="100"/>
      <c r="CI953" s="100"/>
      <c r="CJ953" s="100"/>
      <c r="CK953" s="100"/>
      <c r="CL953" s="100"/>
      <c r="CM953" s="100"/>
      <c r="CN953" s="100"/>
      <c r="CO953" s="100"/>
      <c r="CP953" s="100"/>
      <c r="CQ953" s="100"/>
      <c r="CR953" s="100"/>
      <c r="CS953" s="100"/>
      <c r="CT953" s="100"/>
      <c r="CU953" s="100"/>
    </row>
    <row r="954" spans="6:99" s="36" customFormat="1" ht="11.1" customHeight="1" x14ac:dyDescent="0.25">
      <c r="F954" s="33"/>
      <c r="G954" s="33"/>
      <c r="H954" s="33"/>
      <c r="I954" s="34"/>
      <c r="J954" s="34"/>
      <c r="K954" s="14"/>
      <c r="L954" s="32"/>
      <c r="M954" s="14"/>
      <c r="N954" s="14"/>
      <c r="O954" s="2"/>
      <c r="P954"/>
      <c r="Q954" s="2"/>
      <c r="R954"/>
      <c r="S954"/>
      <c r="T954"/>
      <c r="U954" s="2"/>
      <c r="V954" s="2"/>
      <c r="W954" s="2"/>
      <c r="X954" s="2"/>
      <c r="Y954" s="2"/>
      <c r="Z954" s="11"/>
      <c r="AA954" s="15"/>
      <c r="AB954" s="15"/>
      <c r="AC954" s="15"/>
      <c r="AD954" s="35"/>
      <c r="AE954" s="99"/>
      <c r="AF954" s="99"/>
      <c r="AG954" s="35"/>
      <c r="AH954" s="35"/>
      <c r="AI954" s="35"/>
      <c r="AJ954" s="1"/>
      <c r="AK954" s="1"/>
      <c r="AL954" s="1"/>
      <c r="AM954" s="1"/>
      <c r="AN954" s="1"/>
      <c r="AO954" s="1"/>
      <c r="AP954"/>
      <c r="AQ954"/>
      <c r="AR954"/>
      <c r="AS954"/>
      <c r="AT954" s="50"/>
      <c r="AU954" s="97"/>
      <c r="AV954" s="97"/>
      <c r="AW954" s="97"/>
      <c r="AX954" s="97"/>
      <c r="AY954" s="97"/>
      <c r="BD954" s="35"/>
      <c r="BE954" s="35"/>
      <c r="BV954" s="98"/>
      <c r="BW954" s="98"/>
      <c r="BX954" s="98"/>
      <c r="BY954" s="112"/>
      <c r="BZ954" s="112"/>
      <c r="CA954" s="112"/>
      <c r="CB954" s="98"/>
      <c r="CC954" s="98"/>
      <c r="CD954" s="98"/>
      <c r="CE954" s="98"/>
      <c r="CG954" s="100"/>
      <c r="CH954" s="100"/>
      <c r="CI954" s="100"/>
      <c r="CJ954" s="100"/>
      <c r="CK954" s="100"/>
      <c r="CL954" s="100"/>
      <c r="CM954" s="100"/>
      <c r="CN954" s="100"/>
      <c r="CO954" s="100"/>
      <c r="CP954" s="100"/>
      <c r="CQ954" s="100"/>
      <c r="CR954" s="100"/>
      <c r="CS954" s="100"/>
      <c r="CT954" s="100"/>
      <c r="CU954" s="100"/>
    </row>
    <row r="955" spans="6:99" s="36" customFormat="1" ht="11.1" customHeight="1" x14ac:dyDescent="0.25">
      <c r="F955" s="33"/>
      <c r="G955" s="33"/>
      <c r="H955" s="33"/>
      <c r="I955" s="34"/>
      <c r="J955" s="34"/>
      <c r="K955" s="14"/>
      <c r="L955" s="32"/>
      <c r="M955" s="14"/>
      <c r="N955" s="14"/>
      <c r="O955" s="2"/>
      <c r="P955"/>
      <c r="Q955" s="2"/>
      <c r="R955"/>
      <c r="S955"/>
      <c r="T955"/>
      <c r="U955" s="2"/>
      <c r="V955" s="2"/>
      <c r="W955" s="2"/>
      <c r="X955" s="2"/>
      <c r="Y955" s="2"/>
      <c r="Z955" s="11"/>
      <c r="AA955" s="15"/>
      <c r="AB955" s="15"/>
      <c r="AC955" s="15"/>
      <c r="AD955" s="35"/>
      <c r="AE955" s="99"/>
      <c r="AF955" s="99"/>
      <c r="AG955" s="35"/>
      <c r="AH955" s="35"/>
      <c r="AI955" s="35"/>
      <c r="AJ955" s="1"/>
      <c r="AK955" s="1"/>
      <c r="AL955" s="1"/>
      <c r="AM955" s="1"/>
      <c r="AN955" s="1"/>
      <c r="AO955" s="1"/>
      <c r="AP955"/>
      <c r="AQ955"/>
      <c r="AR955"/>
      <c r="AS955"/>
      <c r="AT955" s="50"/>
      <c r="AU955" s="97"/>
      <c r="AV955" s="97"/>
      <c r="AW955" s="97"/>
      <c r="AX955" s="97"/>
      <c r="AY955" s="97"/>
      <c r="BD955" s="35"/>
      <c r="BE955" s="35"/>
      <c r="BV955" s="98"/>
      <c r="BW955" s="98"/>
      <c r="BX955" s="98"/>
      <c r="BY955" s="112"/>
      <c r="BZ955" s="112"/>
      <c r="CA955" s="112"/>
      <c r="CB955" s="98"/>
      <c r="CC955" s="98"/>
      <c r="CD955" s="98"/>
      <c r="CE955" s="98"/>
      <c r="CG955" s="100"/>
      <c r="CH955" s="100"/>
      <c r="CI955" s="100"/>
      <c r="CJ955" s="100"/>
      <c r="CK955" s="100"/>
      <c r="CL955" s="100"/>
      <c r="CM955" s="100"/>
      <c r="CN955" s="100"/>
      <c r="CO955" s="100"/>
      <c r="CP955" s="100"/>
      <c r="CQ955" s="100"/>
      <c r="CR955" s="100"/>
      <c r="CS955" s="100"/>
      <c r="CT955" s="100"/>
      <c r="CU955" s="100"/>
    </row>
    <row r="956" spans="6:99" s="36" customFormat="1" ht="11.1" customHeight="1" x14ac:dyDescent="0.25">
      <c r="F956" s="33"/>
      <c r="G956" s="33"/>
      <c r="H956" s="33"/>
      <c r="I956" s="34"/>
      <c r="J956" s="34"/>
      <c r="K956" s="14"/>
      <c r="L956" s="32"/>
      <c r="M956" s="14"/>
      <c r="N956" s="14"/>
      <c r="O956" s="2"/>
      <c r="P956"/>
      <c r="Q956" s="2"/>
      <c r="R956"/>
      <c r="S956"/>
      <c r="T956"/>
      <c r="U956" s="2"/>
      <c r="V956" s="2"/>
      <c r="W956" s="2"/>
      <c r="X956" s="2"/>
      <c r="Y956" s="2"/>
      <c r="Z956" s="11"/>
      <c r="AA956" s="15"/>
      <c r="AB956" s="15"/>
      <c r="AC956" s="15"/>
      <c r="AD956" s="35"/>
      <c r="AE956" s="99"/>
      <c r="AF956" s="99"/>
      <c r="AG956" s="35"/>
      <c r="AH956" s="35"/>
      <c r="AI956" s="35"/>
      <c r="AJ956" s="1"/>
      <c r="AK956" s="1"/>
      <c r="AL956" s="1"/>
      <c r="AM956" s="1"/>
      <c r="AN956" s="1"/>
      <c r="AO956" s="1"/>
      <c r="AP956"/>
      <c r="AQ956"/>
      <c r="AR956"/>
      <c r="AS956"/>
      <c r="AT956" s="50"/>
      <c r="AU956" s="97"/>
      <c r="AV956" s="97"/>
      <c r="AW956" s="97"/>
      <c r="AX956" s="97"/>
      <c r="AY956" s="97"/>
      <c r="BD956" s="35"/>
      <c r="BE956" s="35"/>
      <c r="BV956" s="98"/>
      <c r="BW956" s="98"/>
      <c r="BX956" s="98"/>
      <c r="BY956" s="112"/>
      <c r="BZ956" s="112"/>
      <c r="CA956" s="112"/>
      <c r="CB956" s="98"/>
      <c r="CC956" s="98"/>
      <c r="CD956" s="98"/>
      <c r="CE956" s="98"/>
      <c r="CG956" s="100"/>
      <c r="CH956" s="100"/>
      <c r="CI956" s="100"/>
      <c r="CJ956" s="100"/>
      <c r="CK956" s="100"/>
      <c r="CL956" s="100"/>
      <c r="CM956" s="100"/>
      <c r="CN956" s="100"/>
      <c r="CO956" s="100"/>
      <c r="CP956" s="100"/>
      <c r="CQ956" s="100"/>
      <c r="CR956" s="100"/>
      <c r="CS956" s="100"/>
      <c r="CT956" s="100"/>
      <c r="CU956" s="100"/>
    </row>
    <row r="957" spans="6:99" s="36" customFormat="1" ht="11.1" customHeight="1" x14ac:dyDescent="0.25">
      <c r="F957" s="33"/>
      <c r="G957" s="33"/>
      <c r="H957" s="33"/>
      <c r="I957" s="34"/>
      <c r="J957" s="34"/>
      <c r="K957" s="14"/>
      <c r="L957" s="32"/>
      <c r="M957" s="14"/>
      <c r="N957" s="14"/>
      <c r="O957" s="2"/>
      <c r="P957"/>
      <c r="Q957" s="2"/>
      <c r="R957"/>
      <c r="S957"/>
      <c r="T957"/>
      <c r="U957" s="2"/>
      <c r="V957" s="2"/>
      <c r="W957" s="2"/>
      <c r="X957" s="2"/>
      <c r="Y957" s="2"/>
      <c r="Z957" s="11"/>
      <c r="AA957" s="15"/>
      <c r="AB957" s="15"/>
      <c r="AC957" s="15"/>
      <c r="AD957" s="35"/>
      <c r="AE957" s="99"/>
      <c r="AF957" s="99"/>
      <c r="AG957" s="35"/>
      <c r="AH957" s="35"/>
      <c r="AI957" s="35"/>
      <c r="AJ957" s="1"/>
      <c r="AK957" s="1"/>
      <c r="AL957" s="1"/>
      <c r="AM957" s="1"/>
      <c r="AN957" s="1"/>
      <c r="AO957" s="1"/>
      <c r="AP957"/>
      <c r="AQ957"/>
      <c r="AR957"/>
      <c r="AS957"/>
      <c r="AT957" s="50"/>
      <c r="AU957" s="97"/>
      <c r="AV957" s="97"/>
      <c r="AW957" s="97"/>
      <c r="AX957" s="97"/>
      <c r="AY957" s="97"/>
      <c r="BD957" s="35"/>
      <c r="BE957" s="35"/>
      <c r="BV957" s="98"/>
      <c r="BW957" s="98"/>
      <c r="BX957" s="98"/>
      <c r="BY957" s="112"/>
      <c r="BZ957" s="112"/>
      <c r="CA957" s="112"/>
      <c r="CB957" s="98"/>
      <c r="CC957" s="98"/>
      <c r="CD957" s="98"/>
      <c r="CE957" s="98"/>
      <c r="CG957" s="100"/>
      <c r="CH957" s="100"/>
      <c r="CI957" s="100"/>
      <c r="CJ957" s="100"/>
      <c r="CK957" s="100"/>
      <c r="CL957" s="100"/>
      <c r="CM957" s="100"/>
      <c r="CN957" s="100"/>
      <c r="CO957" s="100"/>
      <c r="CP957" s="100"/>
      <c r="CQ957" s="100"/>
      <c r="CR957" s="100"/>
      <c r="CS957" s="100"/>
      <c r="CT957" s="100"/>
      <c r="CU957" s="100"/>
    </row>
    <row r="958" spans="6:99" s="36" customFormat="1" ht="11.1" customHeight="1" x14ac:dyDescent="0.25">
      <c r="F958" s="33"/>
      <c r="G958" s="33"/>
      <c r="H958" s="33"/>
      <c r="I958" s="34"/>
      <c r="J958" s="34"/>
      <c r="K958" s="14"/>
      <c r="L958" s="32"/>
      <c r="M958" s="14"/>
      <c r="N958" s="14"/>
      <c r="O958" s="2"/>
      <c r="P958"/>
      <c r="Q958" s="2"/>
      <c r="R958"/>
      <c r="S958"/>
      <c r="T958"/>
      <c r="U958" s="2"/>
      <c r="V958" s="2"/>
      <c r="W958" s="2"/>
      <c r="X958" s="2"/>
      <c r="Y958" s="2"/>
      <c r="Z958" s="11"/>
      <c r="AA958" s="15"/>
      <c r="AB958" s="15"/>
      <c r="AC958" s="15"/>
      <c r="AD958" s="35"/>
      <c r="AE958" s="99"/>
      <c r="AF958" s="99"/>
      <c r="AG958" s="35"/>
      <c r="AH958" s="35"/>
      <c r="AI958" s="35"/>
      <c r="AJ958" s="1"/>
      <c r="AK958" s="1"/>
      <c r="AL958" s="1"/>
      <c r="AM958" s="1"/>
      <c r="AN958" s="1"/>
      <c r="AO958" s="1"/>
      <c r="AP958"/>
      <c r="AQ958"/>
      <c r="AR958"/>
      <c r="AS958"/>
      <c r="AT958" s="50"/>
      <c r="AU958" s="97"/>
      <c r="AV958" s="97"/>
      <c r="AW958" s="97"/>
      <c r="AX958" s="97"/>
      <c r="AY958" s="97"/>
      <c r="BD958" s="35"/>
      <c r="BE958" s="35"/>
      <c r="BV958" s="98"/>
      <c r="BW958" s="98"/>
      <c r="BX958" s="98"/>
      <c r="BY958" s="112"/>
      <c r="BZ958" s="112"/>
      <c r="CA958" s="112"/>
      <c r="CB958" s="98"/>
      <c r="CC958" s="98"/>
      <c r="CD958" s="98"/>
      <c r="CE958" s="98"/>
      <c r="CG958" s="100"/>
      <c r="CH958" s="100"/>
      <c r="CI958" s="100"/>
      <c r="CJ958" s="100"/>
      <c r="CK958" s="100"/>
      <c r="CL958" s="100"/>
      <c r="CM958" s="100"/>
      <c r="CN958" s="100"/>
      <c r="CO958" s="100"/>
      <c r="CP958" s="100"/>
      <c r="CQ958" s="100"/>
      <c r="CR958" s="100"/>
      <c r="CS958" s="100"/>
      <c r="CT958" s="100"/>
      <c r="CU958" s="100"/>
    </row>
    <row r="959" spans="6:99" s="36" customFormat="1" ht="11.1" customHeight="1" x14ac:dyDescent="0.25">
      <c r="F959" s="33"/>
      <c r="G959" s="33"/>
      <c r="H959" s="33"/>
      <c r="I959" s="34"/>
      <c r="J959" s="34"/>
      <c r="K959" s="14"/>
      <c r="L959" s="32"/>
      <c r="M959" s="14"/>
      <c r="N959" s="14"/>
      <c r="O959" s="2"/>
      <c r="P959"/>
      <c r="Q959" s="2"/>
      <c r="R959"/>
      <c r="S959"/>
      <c r="T959"/>
      <c r="U959" s="2"/>
      <c r="V959" s="2"/>
      <c r="W959" s="2"/>
      <c r="X959" s="2"/>
      <c r="Y959" s="2"/>
      <c r="Z959" s="11"/>
      <c r="AA959" s="15"/>
      <c r="AB959" s="15"/>
      <c r="AC959" s="15"/>
      <c r="AD959" s="35"/>
      <c r="AE959" s="99"/>
      <c r="AF959" s="99"/>
      <c r="AG959" s="35"/>
      <c r="AH959" s="35"/>
      <c r="AI959" s="35"/>
      <c r="AJ959" s="1"/>
      <c r="AK959" s="1"/>
      <c r="AL959" s="1"/>
      <c r="AM959" s="1"/>
      <c r="AN959" s="1"/>
      <c r="AO959" s="1"/>
      <c r="AP959"/>
      <c r="AQ959"/>
      <c r="AR959"/>
      <c r="AS959"/>
      <c r="AT959" s="50"/>
      <c r="AU959" s="97"/>
      <c r="AV959" s="97"/>
      <c r="AW959" s="97"/>
      <c r="AX959" s="97"/>
      <c r="AY959" s="97"/>
      <c r="BD959" s="35"/>
      <c r="BE959" s="35"/>
      <c r="BV959" s="98"/>
      <c r="BW959" s="98"/>
      <c r="BX959" s="98"/>
      <c r="BY959" s="112"/>
      <c r="BZ959" s="112"/>
      <c r="CA959" s="112"/>
      <c r="CB959" s="98"/>
      <c r="CC959" s="98"/>
      <c r="CD959" s="98"/>
      <c r="CE959" s="98"/>
      <c r="CG959" s="100"/>
      <c r="CH959" s="100"/>
      <c r="CI959" s="100"/>
      <c r="CJ959" s="100"/>
      <c r="CK959" s="100"/>
      <c r="CL959" s="100"/>
      <c r="CM959" s="100"/>
      <c r="CN959" s="100"/>
      <c r="CO959" s="100"/>
      <c r="CP959" s="100"/>
      <c r="CQ959" s="100"/>
      <c r="CR959" s="100"/>
      <c r="CS959" s="100"/>
      <c r="CT959" s="100"/>
      <c r="CU959" s="100"/>
    </row>
    <row r="960" spans="6:99" s="36" customFormat="1" ht="11.1" customHeight="1" x14ac:dyDescent="0.25">
      <c r="F960" s="33"/>
      <c r="G960" s="33"/>
      <c r="H960" s="33"/>
      <c r="I960" s="34"/>
      <c r="J960" s="34"/>
      <c r="K960" s="14"/>
      <c r="L960" s="32"/>
      <c r="M960" s="14"/>
      <c r="N960" s="14"/>
      <c r="O960" s="2"/>
      <c r="P960"/>
      <c r="Q960" s="2"/>
      <c r="R960"/>
      <c r="S960"/>
      <c r="T960"/>
      <c r="U960" s="2"/>
      <c r="V960" s="2"/>
      <c r="W960" s="2"/>
      <c r="X960" s="2"/>
      <c r="Y960" s="2"/>
      <c r="Z960" s="11"/>
      <c r="AA960" s="15"/>
      <c r="AB960" s="15"/>
      <c r="AC960" s="15"/>
      <c r="AD960" s="35"/>
      <c r="AE960" s="99"/>
      <c r="AF960" s="99"/>
      <c r="AG960" s="35"/>
      <c r="AH960" s="35"/>
      <c r="AI960" s="35"/>
      <c r="AJ960" s="1"/>
      <c r="AK960" s="1"/>
      <c r="AL960" s="1"/>
      <c r="AM960" s="1"/>
      <c r="AN960" s="1"/>
      <c r="AO960" s="1"/>
      <c r="AP960"/>
      <c r="AQ960"/>
      <c r="AR960"/>
      <c r="AS960"/>
      <c r="AT960" s="50"/>
      <c r="AU960" s="97"/>
      <c r="AV960" s="97"/>
      <c r="AW960" s="97"/>
      <c r="AX960" s="97"/>
      <c r="AY960" s="97"/>
      <c r="BD960" s="35"/>
      <c r="BE960" s="35"/>
      <c r="BV960" s="98"/>
      <c r="BW960" s="98"/>
      <c r="BX960" s="98"/>
      <c r="BY960" s="112"/>
      <c r="BZ960" s="112"/>
      <c r="CA960" s="112"/>
      <c r="CB960" s="98"/>
      <c r="CC960" s="98"/>
      <c r="CD960" s="98"/>
      <c r="CE960" s="98"/>
      <c r="CG960" s="100"/>
      <c r="CH960" s="100"/>
      <c r="CI960" s="100"/>
      <c r="CJ960" s="100"/>
      <c r="CK960" s="100"/>
      <c r="CL960" s="100"/>
      <c r="CM960" s="100"/>
      <c r="CN960" s="100"/>
      <c r="CO960" s="100"/>
      <c r="CP960" s="100"/>
      <c r="CQ960" s="100"/>
      <c r="CR960" s="100"/>
      <c r="CS960" s="100"/>
      <c r="CT960" s="100"/>
      <c r="CU960" s="100"/>
    </row>
    <row r="961" spans="6:99" s="36" customFormat="1" ht="11.1" customHeight="1" x14ac:dyDescent="0.25">
      <c r="F961" s="33"/>
      <c r="G961" s="33"/>
      <c r="H961" s="33"/>
      <c r="I961" s="34"/>
      <c r="J961" s="34"/>
      <c r="K961" s="14"/>
      <c r="L961" s="32"/>
      <c r="M961" s="14"/>
      <c r="N961" s="14"/>
      <c r="O961" s="2"/>
      <c r="P961"/>
      <c r="Q961" s="2"/>
      <c r="R961"/>
      <c r="S961"/>
      <c r="T961"/>
      <c r="U961" s="2"/>
      <c r="V961" s="2"/>
      <c r="W961" s="2"/>
      <c r="X961" s="2"/>
      <c r="Y961" s="2"/>
      <c r="Z961" s="11"/>
      <c r="AA961" s="15"/>
      <c r="AB961" s="15"/>
      <c r="AC961" s="15"/>
      <c r="AD961" s="35"/>
      <c r="AE961" s="99"/>
      <c r="AF961" s="99"/>
      <c r="AG961" s="35"/>
      <c r="AH961" s="35"/>
      <c r="AI961" s="35"/>
      <c r="AJ961" s="1"/>
      <c r="AK961" s="1"/>
      <c r="AL961" s="1"/>
      <c r="AM961" s="1"/>
      <c r="AN961" s="1"/>
      <c r="AO961" s="1"/>
      <c r="AP961"/>
      <c r="AQ961"/>
      <c r="AR961"/>
      <c r="AS961"/>
      <c r="AT961" s="50"/>
      <c r="AU961" s="97"/>
      <c r="AV961" s="97"/>
      <c r="AW961" s="97"/>
      <c r="AX961" s="97"/>
      <c r="AY961" s="97"/>
      <c r="BD961" s="35"/>
      <c r="BE961" s="35"/>
      <c r="BV961" s="98"/>
      <c r="BW961" s="98"/>
      <c r="BX961" s="98"/>
      <c r="BY961" s="112"/>
      <c r="BZ961" s="112"/>
      <c r="CA961" s="112"/>
      <c r="CB961" s="98"/>
      <c r="CC961" s="98"/>
      <c r="CD961" s="98"/>
      <c r="CE961" s="98"/>
      <c r="CG961" s="100"/>
      <c r="CH961" s="100"/>
      <c r="CI961" s="100"/>
      <c r="CJ961" s="100"/>
      <c r="CK961" s="100"/>
      <c r="CL961" s="100"/>
      <c r="CM961" s="100"/>
      <c r="CN961" s="100"/>
      <c r="CO961" s="100"/>
      <c r="CP961" s="100"/>
      <c r="CQ961" s="100"/>
      <c r="CR961" s="100"/>
      <c r="CS961" s="100"/>
      <c r="CT961" s="100"/>
      <c r="CU961" s="100"/>
    </row>
    <row r="962" spans="6:99" s="36" customFormat="1" ht="11.1" customHeight="1" x14ac:dyDescent="0.25">
      <c r="F962" s="33"/>
      <c r="G962" s="33"/>
      <c r="H962" s="33"/>
      <c r="I962" s="34"/>
      <c r="J962" s="34"/>
      <c r="K962" s="14"/>
      <c r="L962" s="32"/>
      <c r="M962" s="14"/>
      <c r="N962" s="14"/>
      <c r="O962" s="2"/>
      <c r="P962"/>
      <c r="Q962" s="2"/>
      <c r="R962"/>
      <c r="S962"/>
      <c r="T962"/>
      <c r="U962" s="2"/>
      <c r="V962" s="2"/>
      <c r="W962" s="2"/>
      <c r="X962" s="2"/>
      <c r="Y962" s="2"/>
      <c r="Z962" s="11"/>
      <c r="AA962" s="15"/>
      <c r="AB962" s="15"/>
      <c r="AC962" s="15"/>
      <c r="AD962" s="35"/>
      <c r="AE962" s="99"/>
      <c r="AF962" s="99"/>
      <c r="AG962" s="35"/>
      <c r="AH962" s="35"/>
      <c r="AI962" s="35"/>
      <c r="AJ962" s="1"/>
      <c r="AK962" s="1"/>
      <c r="AL962" s="1"/>
      <c r="AM962" s="1"/>
      <c r="AN962" s="1"/>
      <c r="AO962" s="1"/>
      <c r="AP962"/>
      <c r="AQ962"/>
      <c r="AR962"/>
      <c r="AS962"/>
      <c r="AT962" s="50"/>
      <c r="AU962" s="97"/>
      <c r="AV962" s="97"/>
      <c r="AW962" s="97"/>
      <c r="AX962" s="97"/>
      <c r="AY962" s="97"/>
      <c r="BD962" s="35"/>
      <c r="BE962" s="35"/>
      <c r="BV962" s="98"/>
      <c r="BW962" s="98"/>
      <c r="BX962" s="98"/>
      <c r="BY962" s="112"/>
      <c r="BZ962" s="112"/>
      <c r="CA962" s="112"/>
      <c r="CB962" s="98"/>
      <c r="CC962" s="98"/>
      <c r="CD962" s="98"/>
      <c r="CE962" s="98"/>
      <c r="CG962" s="100"/>
      <c r="CH962" s="100"/>
      <c r="CI962" s="100"/>
      <c r="CJ962" s="100"/>
      <c r="CK962" s="100"/>
      <c r="CL962" s="100"/>
      <c r="CM962" s="100"/>
      <c r="CN962" s="100"/>
      <c r="CO962" s="100"/>
      <c r="CP962" s="100"/>
      <c r="CQ962" s="100"/>
      <c r="CR962" s="100"/>
      <c r="CS962" s="100"/>
      <c r="CT962" s="100"/>
      <c r="CU962" s="100"/>
    </row>
    <row r="963" spans="6:99" s="36" customFormat="1" ht="11.1" customHeight="1" x14ac:dyDescent="0.25">
      <c r="F963" s="33"/>
      <c r="G963" s="33"/>
      <c r="H963" s="33"/>
      <c r="I963" s="34"/>
      <c r="J963" s="34"/>
      <c r="K963" s="14"/>
      <c r="L963" s="32"/>
      <c r="M963" s="14"/>
      <c r="N963" s="14"/>
      <c r="O963" s="2"/>
      <c r="P963"/>
      <c r="Q963" s="2"/>
      <c r="R963"/>
      <c r="S963"/>
      <c r="T963"/>
      <c r="U963" s="2"/>
      <c r="V963" s="2"/>
      <c r="W963" s="2"/>
      <c r="X963" s="2"/>
      <c r="Y963" s="2"/>
      <c r="Z963" s="11"/>
      <c r="AA963" s="15"/>
      <c r="AB963" s="15"/>
      <c r="AC963" s="15"/>
      <c r="AD963" s="35"/>
      <c r="AE963" s="99"/>
      <c r="AF963" s="99"/>
      <c r="AG963" s="35"/>
      <c r="AH963" s="35"/>
      <c r="AI963" s="35"/>
      <c r="AJ963" s="1"/>
      <c r="AK963" s="1"/>
      <c r="AL963" s="1"/>
      <c r="AM963" s="1"/>
      <c r="AN963" s="1"/>
      <c r="AO963" s="1"/>
      <c r="AP963"/>
      <c r="AQ963"/>
      <c r="AR963"/>
      <c r="AS963"/>
      <c r="AT963" s="50"/>
      <c r="AU963" s="97"/>
      <c r="AV963" s="97"/>
      <c r="AW963" s="97"/>
      <c r="AX963" s="97"/>
      <c r="AY963" s="97"/>
      <c r="BD963" s="35"/>
      <c r="BE963" s="35"/>
      <c r="BV963" s="98"/>
      <c r="BW963" s="98"/>
      <c r="BX963" s="98"/>
      <c r="BY963" s="112"/>
      <c r="BZ963" s="112"/>
      <c r="CA963" s="112"/>
      <c r="CB963" s="98"/>
      <c r="CC963" s="98"/>
      <c r="CD963" s="98"/>
      <c r="CE963" s="98"/>
      <c r="CG963" s="100"/>
      <c r="CH963" s="100"/>
      <c r="CI963" s="100"/>
      <c r="CJ963" s="100"/>
      <c r="CK963" s="100"/>
      <c r="CL963" s="100"/>
      <c r="CM963" s="100"/>
      <c r="CN963" s="100"/>
      <c r="CO963" s="100"/>
      <c r="CP963" s="100"/>
      <c r="CQ963" s="100"/>
      <c r="CR963" s="100"/>
      <c r="CS963" s="100"/>
      <c r="CT963" s="100"/>
      <c r="CU963" s="100"/>
    </row>
    <row r="964" spans="6:99" s="36" customFormat="1" ht="11.1" customHeight="1" x14ac:dyDescent="0.25">
      <c r="F964" s="33"/>
      <c r="G964" s="33"/>
      <c r="H964" s="33"/>
      <c r="I964" s="34"/>
      <c r="J964" s="34"/>
      <c r="K964" s="14"/>
      <c r="L964" s="32"/>
      <c r="M964" s="14"/>
      <c r="N964" s="14"/>
      <c r="O964" s="2"/>
      <c r="P964"/>
      <c r="Q964" s="2"/>
      <c r="R964"/>
      <c r="S964"/>
      <c r="T964"/>
      <c r="U964" s="2"/>
      <c r="V964" s="2"/>
      <c r="W964" s="2"/>
      <c r="X964" s="2"/>
      <c r="Y964" s="2"/>
      <c r="Z964" s="11"/>
      <c r="AA964" s="15"/>
      <c r="AB964" s="15"/>
      <c r="AC964" s="15"/>
      <c r="AD964" s="35"/>
      <c r="AE964" s="99"/>
      <c r="AF964" s="99"/>
      <c r="AG964" s="35"/>
      <c r="AH964" s="35"/>
      <c r="AI964" s="35"/>
      <c r="AJ964" s="1"/>
      <c r="AK964" s="1"/>
      <c r="AL964" s="1"/>
      <c r="AM964" s="1"/>
      <c r="AN964" s="1"/>
      <c r="AO964" s="1"/>
      <c r="AP964"/>
      <c r="AQ964"/>
      <c r="AR964"/>
      <c r="AS964"/>
      <c r="AT964" s="50"/>
      <c r="AU964" s="97"/>
      <c r="AV964" s="97"/>
      <c r="AW964" s="97"/>
      <c r="AX964" s="97"/>
      <c r="AY964" s="97"/>
      <c r="BD964" s="35"/>
      <c r="BE964" s="35"/>
      <c r="BV964" s="98"/>
      <c r="BW964" s="98"/>
      <c r="BX964" s="98"/>
      <c r="BY964" s="112"/>
      <c r="BZ964" s="112"/>
      <c r="CA964" s="112"/>
      <c r="CB964" s="98"/>
      <c r="CC964" s="98"/>
      <c r="CD964" s="98"/>
      <c r="CE964" s="98"/>
      <c r="CG964" s="100"/>
      <c r="CH964" s="100"/>
      <c r="CI964" s="100"/>
      <c r="CJ964" s="100"/>
      <c r="CK964" s="100"/>
      <c r="CL964" s="100"/>
      <c r="CM964" s="100"/>
      <c r="CN964" s="100"/>
      <c r="CO964" s="100"/>
      <c r="CP964" s="100"/>
      <c r="CQ964" s="100"/>
      <c r="CR964" s="100"/>
      <c r="CS964" s="100"/>
      <c r="CT964" s="100"/>
      <c r="CU964" s="100"/>
    </row>
    <row r="965" spans="6:99" s="36" customFormat="1" ht="11.1" customHeight="1" x14ac:dyDescent="0.25">
      <c r="F965" s="33"/>
      <c r="G965" s="33"/>
      <c r="H965" s="33"/>
      <c r="I965" s="34"/>
      <c r="J965" s="34"/>
      <c r="K965" s="14"/>
      <c r="L965" s="32"/>
      <c r="M965" s="14"/>
      <c r="N965" s="14"/>
      <c r="O965" s="2"/>
      <c r="P965"/>
      <c r="Q965" s="2"/>
      <c r="R965"/>
      <c r="S965"/>
      <c r="T965"/>
      <c r="U965" s="2"/>
      <c r="V965" s="2"/>
      <c r="W965" s="2"/>
      <c r="X965" s="2"/>
      <c r="Y965" s="2"/>
      <c r="Z965" s="11"/>
      <c r="AA965" s="15"/>
      <c r="AB965" s="15"/>
      <c r="AC965" s="15"/>
      <c r="AD965" s="35"/>
      <c r="AE965" s="99"/>
      <c r="AF965" s="99"/>
      <c r="AG965" s="35"/>
      <c r="AH965" s="35"/>
      <c r="AI965" s="35"/>
      <c r="AJ965" s="1"/>
      <c r="AK965" s="1"/>
      <c r="AL965" s="1"/>
      <c r="AM965" s="1"/>
      <c r="AN965" s="1"/>
      <c r="AO965" s="1"/>
      <c r="AP965"/>
      <c r="AQ965"/>
      <c r="AR965"/>
      <c r="AS965"/>
      <c r="AT965" s="50"/>
      <c r="AU965" s="97"/>
      <c r="AV965" s="97"/>
      <c r="AW965" s="97"/>
      <c r="AX965" s="97"/>
      <c r="AY965" s="97"/>
      <c r="BD965" s="35"/>
      <c r="BE965" s="35"/>
      <c r="BV965" s="98"/>
      <c r="BW965" s="98"/>
      <c r="BX965" s="98"/>
      <c r="BY965" s="112"/>
      <c r="BZ965" s="112"/>
      <c r="CA965" s="112"/>
      <c r="CB965" s="98"/>
      <c r="CC965" s="98"/>
      <c r="CD965" s="98"/>
      <c r="CE965" s="98"/>
      <c r="CG965" s="100"/>
      <c r="CH965" s="100"/>
      <c r="CI965" s="100"/>
      <c r="CJ965" s="100"/>
      <c r="CK965" s="100"/>
      <c r="CL965" s="100"/>
      <c r="CM965" s="100"/>
      <c r="CN965" s="100"/>
      <c r="CO965" s="100"/>
      <c r="CP965" s="100"/>
      <c r="CQ965" s="100"/>
      <c r="CR965" s="100"/>
      <c r="CS965" s="100"/>
      <c r="CT965" s="100"/>
      <c r="CU965" s="100"/>
    </row>
    <row r="966" spans="6:99" s="36" customFormat="1" ht="11.1" customHeight="1" x14ac:dyDescent="0.25">
      <c r="F966" s="33"/>
      <c r="G966" s="33"/>
      <c r="H966" s="33"/>
      <c r="I966" s="34"/>
      <c r="J966" s="34"/>
      <c r="K966" s="14"/>
      <c r="L966" s="32"/>
      <c r="M966" s="14"/>
      <c r="N966" s="14"/>
      <c r="O966" s="2"/>
      <c r="P966"/>
      <c r="Q966" s="2"/>
      <c r="R966"/>
      <c r="S966"/>
      <c r="T966"/>
      <c r="U966" s="2"/>
      <c r="V966" s="2"/>
      <c r="W966" s="2"/>
      <c r="X966" s="2"/>
      <c r="Y966" s="2"/>
      <c r="Z966" s="11"/>
      <c r="AA966" s="15"/>
      <c r="AB966" s="15"/>
      <c r="AC966" s="15"/>
      <c r="AD966" s="35"/>
      <c r="AE966" s="99"/>
      <c r="AF966" s="99"/>
      <c r="AG966" s="35"/>
      <c r="AH966" s="35"/>
      <c r="AI966" s="35"/>
      <c r="AJ966" s="1"/>
      <c r="AK966" s="1"/>
      <c r="AL966" s="1"/>
      <c r="AM966" s="1"/>
      <c r="AN966" s="1"/>
      <c r="AO966" s="1"/>
      <c r="AP966"/>
      <c r="AQ966"/>
      <c r="AR966"/>
      <c r="AS966"/>
      <c r="AT966" s="50"/>
      <c r="AU966" s="97"/>
      <c r="AV966" s="97"/>
      <c r="AW966" s="97"/>
      <c r="AX966" s="97"/>
      <c r="AY966" s="97"/>
      <c r="BD966" s="35"/>
      <c r="BE966" s="35"/>
      <c r="BV966" s="98"/>
      <c r="BW966" s="98"/>
      <c r="BX966" s="98"/>
      <c r="BY966" s="112"/>
      <c r="BZ966" s="112"/>
      <c r="CA966" s="112"/>
      <c r="CB966" s="98"/>
      <c r="CC966" s="98"/>
      <c r="CD966" s="98"/>
      <c r="CE966" s="98"/>
      <c r="CG966" s="100"/>
      <c r="CH966" s="100"/>
      <c r="CI966" s="100"/>
      <c r="CJ966" s="100"/>
      <c r="CK966" s="100"/>
      <c r="CL966" s="100"/>
      <c r="CM966" s="100"/>
      <c r="CN966" s="100"/>
      <c r="CO966" s="100"/>
      <c r="CP966" s="100"/>
      <c r="CQ966" s="100"/>
      <c r="CR966" s="100"/>
      <c r="CS966" s="100"/>
      <c r="CT966" s="100"/>
      <c r="CU966" s="100"/>
    </row>
    <row r="967" spans="6:99" s="36" customFormat="1" ht="11.1" customHeight="1" x14ac:dyDescent="0.25">
      <c r="F967" s="33"/>
      <c r="G967" s="33"/>
      <c r="H967" s="33"/>
      <c r="I967" s="34"/>
      <c r="J967" s="34"/>
      <c r="K967" s="14"/>
      <c r="L967" s="32"/>
      <c r="M967" s="14"/>
      <c r="N967" s="14"/>
      <c r="O967" s="2"/>
      <c r="P967"/>
      <c r="Q967" s="2"/>
      <c r="R967"/>
      <c r="S967"/>
      <c r="T967"/>
      <c r="U967" s="2"/>
      <c r="V967" s="2"/>
      <c r="W967" s="2"/>
      <c r="X967" s="2"/>
      <c r="Y967" s="2"/>
      <c r="Z967" s="11"/>
      <c r="AA967" s="15"/>
      <c r="AB967" s="15"/>
      <c r="AC967" s="15"/>
      <c r="AD967" s="35"/>
      <c r="AE967" s="99"/>
      <c r="AF967" s="99"/>
      <c r="AG967" s="35"/>
      <c r="AH967" s="35"/>
      <c r="AI967" s="35"/>
      <c r="AJ967" s="1"/>
      <c r="AK967" s="1"/>
      <c r="AL967" s="1"/>
      <c r="AM967" s="1"/>
      <c r="AN967" s="1"/>
      <c r="AO967" s="1"/>
      <c r="AP967"/>
      <c r="AQ967"/>
      <c r="AR967"/>
      <c r="AS967"/>
      <c r="AT967" s="50"/>
      <c r="AU967" s="97"/>
      <c r="AV967" s="97"/>
      <c r="AW967" s="97"/>
      <c r="AX967" s="97"/>
      <c r="AY967" s="97"/>
      <c r="BD967" s="35"/>
      <c r="BE967" s="35"/>
      <c r="BV967" s="98"/>
      <c r="BW967" s="98"/>
      <c r="BX967" s="98"/>
      <c r="BY967" s="112"/>
      <c r="BZ967" s="112"/>
      <c r="CA967" s="112"/>
      <c r="CB967" s="98"/>
      <c r="CC967" s="98"/>
      <c r="CD967" s="98"/>
      <c r="CE967" s="98"/>
      <c r="CG967" s="100"/>
      <c r="CH967" s="100"/>
      <c r="CI967" s="100"/>
      <c r="CJ967" s="100"/>
      <c r="CK967" s="100"/>
      <c r="CL967" s="100"/>
      <c r="CM967" s="100"/>
      <c r="CN967" s="100"/>
      <c r="CO967" s="100"/>
      <c r="CP967" s="100"/>
      <c r="CQ967" s="100"/>
      <c r="CR967" s="100"/>
      <c r="CS967" s="100"/>
      <c r="CT967" s="100"/>
      <c r="CU967" s="100"/>
    </row>
    <row r="968" spans="6:99" s="36" customFormat="1" ht="11.1" customHeight="1" x14ac:dyDescent="0.25">
      <c r="F968" s="33"/>
      <c r="G968" s="33"/>
      <c r="H968" s="33"/>
      <c r="I968" s="34"/>
      <c r="J968" s="34"/>
      <c r="K968" s="14"/>
      <c r="L968" s="32"/>
      <c r="M968" s="14"/>
      <c r="N968" s="14"/>
      <c r="O968" s="2"/>
      <c r="P968"/>
      <c r="Q968" s="2"/>
      <c r="R968"/>
      <c r="S968"/>
      <c r="T968"/>
      <c r="U968" s="2"/>
      <c r="V968" s="2"/>
      <c r="W968" s="2"/>
      <c r="X968" s="2"/>
      <c r="Y968" s="2"/>
      <c r="Z968" s="11"/>
      <c r="AA968" s="15"/>
      <c r="AB968" s="15"/>
      <c r="AC968" s="15"/>
      <c r="AD968" s="35"/>
      <c r="AE968" s="99"/>
      <c r="AF968" s="99"/>
      <c r="AG968" s="35"/>
      <c r="AH968" s="35"/>
      <c r="AI968" s="35"/>
      <c r="AJ968" s="1"/>
      <c r="AK968" s="1"/>
      <c r="AL968" s="1"/>
      <c r="AM968" s="1"/>
      <c r="AN968" s="1"/>
      <c r="AO968" s="1"/>
      <c r="AP968"/>
      <c r="AQ968"/>
      <c r="AR968"/>
      <c r="AS968"/>
      <c r="AT968" s="50"/>
      <c r="AU968" s="97"/>
      <c r="AV968" s="97"/>
      <c r="AW968" s="97"/>
      <c r="AX968" s="97"/>
      <c r="AY968" s="97"/>
      <c r="BD968" s="35"/>
      <c r="BE968" s="35"/>
      <c r="BV968" s="98"/>
      <c r="BW968" s="98"/>
      <c r="BX968" s="98"/>
      <c r="BY968" s="112"/>
      <c r="BZ968" s="112"/>
      <c r="CA968" s="112"/>
      <c r="CB968" s="98"/>
      <c r="CC968" s="98"/>
      <c r="CD968" s="98"/>
      <c r="CE968" s="98"/>
      <c r="CG968" s="100"/>
      <c r="CH968" s="100"/>
      <c r="CI968" s="100"/>
      <c r="CJ968" s="100"/>
      <c r="CK968" s="100"/>
      <c r="CL968" s="100"/>
      <c r="CM968" s="100"/>
      <c r="CN968" s="100"/>
      <c r="CO968" s="100"/>
      <c r="CP968" s="100"/>
      <c r="CQ968" s="100"/>
      <c r="CR968" s="100"/>
      <c r="CS968" s="100"/>
      <c r="CT968" s="100"/>
      <c r="CU968" s="100"/>
    </row>
    <row r="969" spans="6:99" s="36" customFormat="1" ht="11.1" customHeight="1" x14ac:dyDescent="0.25">
      <c r="F969" s="33"/>
      <c r="G969" s="33"/>
      <c r="H969" s="33"/>
      <c r="I969" s="34"/>
      <c r="J969" s="34"/>
      <c r="K969" s="14"/>
      <c r="L969" s="32"/>
      <c r="M969" s="14"/>
      <c r="N969" s="14"/>
      <c r="O969" s="2"/>
      <c r="P969"/>
      <c r="Q969" s="2"/>
      <c r="R969"/>
      <c r="S969"/>
      <c r="T969"/>
      <c r="U969" s="2"/>
      <c r="V969" s="2"/>
      <c r="W969" s="2"/>
      <c r="X969" s="2"/>
      <c r="Y969" s="2"/>
      <c r="Z969" s="11"/>
      <c r="AA969" s="15"/>
      <c r="AB969" s="15"/>
      <c r="AC969" s="15"/>
      <c r="AD969" s="35"/>
      <c r="AE969" s="99"/>
      <c r="AF969" s="99"/>
      <c r="AG969" s="35"/>
      <c r="AH969" s="35"/>
      <c r="AI969" s="35"/>
      <c r="AJ969" s="1"/>
      <c r="AK969" s="1"/>
      <c r="AL969" s="1"/>
      <c r="AM969" s="1"/>
      <c r="AN969" s="1"/>
      <c r="AO969" s="1"/>
      <c r="AP969"/>
      <c r="AQ969"/>
      <c r="AR969"/>
      <c r="AS969"/>
      <c r="AT969" s="50"/>
      <c r="AU969" s="97"/>
      <c r="AV969" s="97"/>
      <c r="AW969" s="97"/>
      <c r="AX969" s="97"/>
      <c r="AY969" s="97"/>
      <c r="BD969" s="35"/>
      <c r="BE969" s="35"/>
      <c r="BV969" s="98"/>
      <c r="BW969" s="98"/>
      <c r="BX969" s="98"/>
      <c r="BY969" s="112"/>
      <c r="BZ969" s="112"/>
      <c r="CA969" s="112"/>
      <c r="CB969" s="98"/>
      <c r="CC969" s="98"/>
      <c r="CD969" s="98"/>
      <c r="CE969" s="98"/>
      <c r="CG969" s="100"/>
      <c r="CH969" s="100"/>
      <c r="CI969" s="100"/>
      <c r="CJ969" s="100"/>
      <c r="CK969" s="100"/>
      <c r="CL969" s="100"/>
      <c r="CM969" s="100"/>
      <c r="CN969" s="100"/>
      <c r="CO969" s="100"/>
      <c r="CP969" s="100"/>
      <c r="CQ969" s="100"/>
      <c r="CR969" s="100"/>
      <c r="CS969" s="100"/>
      <c r="CT969" s="100"/>
      <c r="CU969" s="100"/>
    </row>
    <row r="970" spans="6:99" s="36" customFormat="1" ht="11.1" customHeight="1" x14ac:dyDescent="0.25">
      <c r="F970" s="33"/>
      <c r="G970" s="33"/>
      <c r="H970" s="33"/>
      <c r="I970" s="34"/>
      <c r="J970" s="34"/>
      <c r="K970" s="14"/>
      <c r="L970" s="32"/>
      <c r="M970" s="14"/>
      <c r="N970" s="14"/>
      <c r="O970" s="2"/>
      <c r="P970"/>
      <c r="Q970" s="2"/>
      <c r="R970"/>
      <c r="S970"/>
      <c r="T970"/>
      <c r="U970" s="2"/>
      <c r="V970" s="2"/>
      <c r="W970" s="2"/>
      <c r="X970" s="2"/>
      <c r="Y970" s="2"/>
      <c r="Z970" s="11"/>
      <c r="AA970" s="15"/>
      <c r="AB970" s="15"/>
      <c r="AC970" s="15"/>
      <c r="AD970" s="35"/>
      <c r="AE970" s="99"/>
      <c r="AF970" s="99"/>
      <c r="AG970" s="35"/>
      <c r="AH970" s="35"/>
      <c r="AI970" s="35"/>
      <c r="AJ970" s="1"/>
      <c r="AK970" s="1"/>
      <c r="AL970" s="1"/>
      <c r="AM970" s="1"/>
      <c r="AN970" s="1"/>
      <c r="AO970" s="1"/>
      <c r="AP970"/>
      <c r="AQ970"/>
      <c r="AR970"/>
      <c r="AS970"/>
      <c r="AT970" s="50"/>
      <c r="AU970" s="97"/>
      <c r="AV970" s="97"/>
      <c r="AW970" s="97"/>
      <c r="AX970" s="97"/>
      <c r="AY970" s="97"/>
      <c r="BD970" s="35"/>
      <c r="BE970" s="35"/>
      <c r="BV970" s="98"/>
      <c r="BW970" s="98"/>
      <c r="BX970" s="98"/>
      <c r="BY970" s="112"/>
      <c r="BZ970" s="112"/>
      <c r="CA970" s="112"/>
      <c r="CB970" s="98"/>
      <c r="CC970" s="98"/>
      <c r="CD970" s="98"/>
      <c r="CE970" s="98"/>
      <c r="CG970" s="100"/>
      <c r="CH970" s="100"/>
      <c r="CI970" s="100"/>
      <c r="CJ970" s="100"/>
      <c r="CK970" s="100"/>
      <c r="CL970" s="100"/>
      <c r="CM970" s="100"/>
      <c r="CN970" s="100"/>
      <c r="CO970" s="100"/>
      <c r="CP970" s="100"/>
      <c r="CQ970" s="100"/>
      <c r="CR970" s="100"/>
      <c r="CS970" s="100"/>
      <c r="CT970" s="100"/>
      <c r="CU970" s="100"/>
    </row>
    <row r="971" spans="6:99" s="36" customFormat="1" ht="11.1" customHeight="1" x14ac:dyDescent="0.25">
      <c r="F971" s="33"/>
      <c r="G971" s="33"/>
      <c r="H971" s="33"/>
      <c r="I971" s="34"/>
      <c r="J971" s="34"/>
      <c r="K971" s="14"/>
      <c r="L971" s="32"/>
      <c r="M971" s="14"/>
      <c r="N971" s="14"/>
      <c r="O971" s="2"/>
      <c r="P971"/>
      <c r="Q971" s="2"/>
      <c r="R971"/>
      <c r="S971"/>
      <c r="T971"/>
      <c r="U971" s="2"/>
      <c r="V971" s="2"/>
      <c r="W971" s="2"/>
      <c r="X971" s="2"/>
      <c r="Y971" s="2"/>
      <c r="Z971" s="11"/>
      <c r="AA971" s="15"/>
      <c r="AB971" s="15"/>
      <c r="AC971" s="15"/>
      <c r="AD971" s="35"/>
      <c r="AE971" s="99"/>
      <c r="AF971" s="99"/>
      <c r="AG971" s="35"/>
      <c r="AH971" s="35"/>
      <c r="AI971" s="35"/>
      <c r="AJ971" s="1"/>
      <c r="AK971" s="1"/>
      <c r="AL971" s="1"/>
      <c r="AM971" s="1"/>
      <c r="AN971" s="1"/>
      <c r="AO971" s="1"/>
      <c r="AP971"/>
      <c r="AQ971"/>
      <c r="AR971"/>
      <c r="AS971"/>
      <c r="AT971" s="50"/>
      <c r="AU971" s="97"/>
      <c r="AV971" s="97"/>
      <c r="AW971" s="97"/>
      <c r="AX971" s="97"/>
      <c r="AY971" s="97"/>
      <c r="BD971" s="35"/>
      <c r="BE971" s="35"/>
      <c r="BV971" s="98"/>
      <c r="BW971" s="98"/>
      <c r="BX971" s="98"/>
      <c r="BY971" s="112"/>
      <c r="BZ971" s="112"/>
      <c r="CA971" s="112"/>
      <c r="CB971" s="98"/>
      <c r="CC971" s="98"/>
      <c r="CD971" s="98"/>
      <c r="CE971" s="98"/>
      <c r="CG971" s="100"/>
      <c r="CH971" s="100"/>
      <c r="CI971" s="100"/>
      <c r="CJ971" s="100"/>
      <c r="CK971" s="100"/>
      <c r="CL971" s="100"/>
      <c r="CM971" s="100"/>
      <c r="CN971" s="100"/>
      <c r="CO971" s="100"/>
      <c r="CP971" s="100"/>
      <c r="CQ971" s="100"/>
      <c r="CR971" s="100"/>
      <c r="CS971" s="100"/>
      <c r="CT971" s="100"/>
      <c r="CU971" s="100"/>
    </row>
    <row r="972" spans="6:99" s="36" customFormat="1" ht="11.1" customHeight="1" x14ac:dyDescent="0.25">
      <c r="F972" s="33"/>
      <c r="G972" s="33"/>
      <c r="H972" s="33"/>
      <c r="I972" s="34"/>
      <c r="J972" s="34"/>
      <c r="K972" s="14"/>
      <c r="L972" s="32"/>
      <c r="M972" s="14"/>
      <c r="N972" s="14"/>
      <c r="O972" s="2"/>
      <c r="P972"/>
      <c r="Q972" s="2"/>
      <c r="R972"/>
      <c r="S972"/>
      <c r="T972"/>
      <c r="U972" s="2"/>
      <c r="V972" s="2"/>
      <c r="W972" s="2"/>
      <c r="X972" s="2"/>
      <c r="Y972" s="2"/>
      <c r="Z972" s="11"/>
      <c r="AA972" s="15"/>
      <c r="AB972" s="15"/>
      <c r="AC972" s="15"/>
      <c r="AD972" s="35"/>
      <c r="AE972" s="99"/>
      <c r="AF972" s="99"/>
      <c r="AG972" s="35"/>
      <c r="AH972" s="35"/>
      <c r="AI972" s="35"/>
      <c r="AJ972" s="1"/>
      <c r="AK972" s="1"/>
      <c r="AL972" s="1"/>
      <c r="AM972" s="1"/>
      <c r="AN972" s="1"/>
      <c r="AO972" s="1"/>
      <c r="AP972"/>
      <c r="AQ972"/>
      <c r="AR972"/>
      <c r="AS972"/>
      <c r="AT972" s="50"/>
      <c r="AU972" s="97"/>
      <c r="AV972" s="97"/>
      <c r="AW972" s="97"/>
      <c r="AX972" s="97"/>
      <c r="AY972" s="97"/>
      <c r="BD972" s="35"/>
      <c r="BE972" s="35"/>
      <c r="BV972" s="98"/>
      <c r="BW972" s="98"/>
      <c r="BX972" s="98"/>
      <c r="BY972" s="112"/>
      <c r="BZ972" s="112"/>
      <c r="CA972" s="112"/>
      <c r="CB972" s="98"/>
      <c r="CC972" s="98"/>
      <c r="CD972" s="98"/>
      <c r="CE972" s="98"/>
      <c r="CG972" s="100"/>
      <c r="CH972" s="100"/>
      <c r="CI972" s="100"/>
      <c r="CJ972" s="100"/>
      <c r="CK972" s="100"/>
      <c r="CL972" s="100"/>
      <c r="CM972" s="100"/>
      <c r="CN972" s="100"/>
      <c r="CO972" s="100"/>
      <c r="CP972" s="100"/>
      <c r="CQ972" s="100"/>
      <c r="CR972" s="100"/>
      <c r="CS972" s="100"/>
      <c r="CT972" s="100"/>
      <c r="CU972" s="100"/>
    </row>
    <row r="973" spans="6:99" s="36" customFormat="1" ht="11.1" customHeight="1" x14ac:dyDescent="0.25">
      <c r="F973" s="33"/>
      <c r="G973" s="33"/>
      <c r="H973" s="33"/>
      <c r="I973" s="34"/>
      <c r="J973" s="34"/>
      <c r="K973" s="14"/>
      <c r="L973" s="32"/>
      <c r="M973" s="14"/>
      <c r="N973" s="14"/>
      <c r="O973" s="2"/>
      <c r="P973"/>
      <c r="Q973" s="2"/>
      <c r="R973"/>
      <c r="S973"/>
      <c r="T973"/>
      <c r="U973" s="2"/>
      <c r="V973" s="2"/>
      <c r="W973" s="2"/>
      <c r="X973" s="2"/>
      <c r="Y973" s="2"/>
      <c r="Z973" s="11"/>
      <c r="AA973" s="15"/>
      <c r="AB973" s="15"/>
      <c r="AC973" s="15"/>
      <c r="AD973" s="35"/>
      <c r="AE973" s="99"/>
      <c r="AF973" s="99"/>
      <c r="AG973" s="35"/>
      <c r="AH973" s="35"/>
      <c r="AI973" s="35"/>
      <c r="AJ973" s="1"/>
      <c r="AK973" s="1"/>
      <c r="AL973" s="1"/>
      <c r="AM973" s="1"/>
      <c r="AN973" s="1"/>
      <c r="AO973" s="1"/>
      <c r="AP973"/>
      <c r="AQ973"/>
      <c r="AR973"/>
      <c r="AS973"/>
      <c r="AT973" s="50"/>
      <c r="AU973" s="97"/>
      <c r="AV973" s="97"/>
      <c r="AW973" s="97"/>
      <c r="AX973" s="97"/>
      <c r="AY973" s="97"/>
      <c r="BD973" s="35"/>
      <c r="BE973" s="35"/>
      <c r="BV973" s="98"/>
      <c r="BW973" s="98"/>
      <c r="BX973" s="98"/>
      <c r="BY973" s="112"/>
      <c r="BZ973" s="112"/>
      <c r="CA973" s="112"/>
      <c r="CB973" s="98"/>
      <c r="CC973" s="98"/>
      <c r="CD973" s="98"/>
      <c r="CE973" s="98"/>
      <c r="CG973" s="100"/>
      <c r="CH973" s="100"/>
      <c r="CI973" s="100"/>
      <c r="CJ973" s="100"/>
      <c r="CK973" s="100"/>
      <c r="CL973" s="100"/>
      <c r="CM973" s="100"/>
      <c r="CN973" s="100"/>
      <c r="CO973" s="100"/>
      <c r="CP973" s="100"/>
      <c r="CQ973" s="100"/>
      <c r="CR973" s="100"/>
      <c r="CS973" s="100"/>
      <c r="CT973" s="100"/>
      <c r="CU973" s="100"/>
    </row>
    <row r="974" spans="6:99" s="36" customFormat="1" ht="11.1" customHeight="1" x14ac:dyDescent="0.25">
      <c r="F974" s="33"/>
      <c r="G974" s="33"/>
      <c r="H974" s="33"/>
      <c r="I974" s="34"/>
      <c r="J974" s="34"/>
      <c r="K974" s="14"/>
      <c r="L974" s="32"/>
      <c r="M974" s="14"/>
      <c r="N974" s="14"/>
      <c r="O974" s="2"/>
      <c r="P974"/>
      <c r="Q974" s="2"/>
      <c r="R974"/>
      <c r="S974"/>
      <c r="T974"/>
      <c r="U974" s="2"/>
      <c r="V974" s="2"/>
      <c r="W974" s="2"/>
      <c r="X974" s="2"/>
      <c r="Y974" s="2"/>
      <c r="Z974" s="11"/>
      <c r="AA974" s="15"/>
      <c r="AB974" s="15"/>
      <c r="AC974" s="15"/>
      <c r="AD974" s="35"/>
      <c r="AE974" s="99"/>
      <c r="AF974" s="99"/>
      <c r="AG974" s="35"/>
      <c r="AH974" s="35"/>
      <c r="AI974" s="35"/>
      <c r="AJ974" s="1"/>
      <c r="AK974" s="1"/>
      <c r="AL974" s="1"/>
      <c r="AM974" s="1"/>
      <c r="AN974" s="1"/>
      <c r="AO974" s="1"/>
      <c r="AP974"/>
      <c r="AQ974"/>
      <c r="AR974"/>
      <c r="AS974"/>
      <c r="AT974" s="50"/>
      <c r="AU974" s="97"/>
      <c r="AV974" s="97"/>
      <c r="AW974" s="97"/>
      <c r="AX974" s="97"/>
      <c r="AY974" s="97"/>
      <c r="BD974" s="35"/>
      <c r="BE974" s="35"/>
      <c r="BV974" s="98"/>
      <c r="BW974" s="98"/>
      <c r="BX974" s="98"/>
      <c r="BY974" s="112"/>
      <c r="BZ974" s="112"/>
      <c r="CA974" s="112"/>
      <c r="CB974" s="98"/>
      <c r="CC974" s="98"/>
      <c r="CD974" s="98"/>
      <c r="CE974" s="98"/>
      <c r="CG974" s="100"/>
      <c r="CH974" s="100"/>
      <c r="CI974" s="100"/>
      <c r="CJ974" s="100"/>
      <c r="CK974" s="100"/>
      <c r="CL974" s="100"/>
      <c r="CM974" s="100"/>
      <c r="CN974" s="100"/>
      <c r="CO974" s="100"/>
      <c r="CP974" s="100"/>
      <c r="CQ974" s="100"/>
      <c r="CR974" s="100"/>
      <c r="CS974" s="100"/>
      <c r="CT974" s="100"/>
      <c r="CU974" s="100"/>
    </row>
    <row r="975" spans="6:99" s="36" customFormat="1" ht="11.1" customHeight="1" x14ac:dyDescent="0.25">
      <c r="F975" s="33"/>
      <c r="G975" s="33"/>
      <c r="H975" s="33"/>
      <c r="I975" s="34"/>
      <c r="J975" s="34"/>
      <c r="K975" s="14"/>
      <c r="L975" s="32"/>
      <c r="M975" s="14"/>
      <c r="N975" s="14"/>
      <c r="O975" s="2"/>
      <c r="P975"/>
      <c r="Q975" s="2"/>
      <c r="R975"/>
      <c r="S975"/>
      <c r="T975"/>
      <c r="U975" s="2"/>
      <c r="V975" s="2"/>
      <c r="W975" s="2"/>
      <c r="X975" s="2"/>
      <c r="Y975" s="2"/>
      <c r="Z975" s="11"/>
      <c r="AA975" s="15"/>
      <c r="AB975" s="15"/>
      <c r="AC975" s="15"/>
      <c r="AD975" s="35"/>
      <c r="AE975" s="99"/>
      <c r="AF975" s="99"/>
      <c r="AG975" s="35"/>
      <c r="AH975" s="35"/>
      <c r="AI975" s="35"/>
      <c r="AJ975" s="1"/>
      <c r="AK975" s="1"/>
      <c r="AL975" s="1"/>
      <c r="AM975" s="1"/>
      <c r="AN975" s="1"/>
      <c r="AO975" s="1"/>
      <c r="AP975"/>
      <c r="AQ975"/>
      <c r="AR975"/>
      <c r="AS975"/>
      <c r="AT975" s="50"/>
      <c r="AU975" s="97"/>
      <c r="AV975" s="97"/>
      <c r="AW975" s="97"/>
      <c r="AX975" s="97"/>
      <c r="AY975" s="97"/>
      <c r="BD975" s="35"/>
      <c r="BE975" s="35"/>
      <c r="BV975" s="98"/>
      <c r="BW975" s="98"/>
      <c r="BX975" s="98"/>
      <c r="BY975" s="112"/>
      <c r="BZ975" s="112"/>
      <c r="CA975" s="112"/>
      <c r="CB975" s="98"/>
      <c r="CC975" s="98"/>
      <c r="CD975" s="98"/>
      <c r="CE975" s="98"/>
      <c r="CG975" s="100"/>
      <c r="CH975" s="100"/>
      <c r="CI975" s="100"/>
      <c r="CJ975" s="100"/>
      <c r="CK975" s="100"/>
      <c r="CL975" s="100"/>
      <c r="CM975" s="100"/>
      <c r="CN975" s="100"/>
      <c r="CO975" s="100"/>
      <c r="CP975" s="100"/>
      <c r="CQ975" s="100"/>
      <c r="CR975" s="100"/>
      <c r="CS975" s="100"/>
      <c r="CT975" s="100"/>
      <c r="CU975" s="100"/>
    </row>
    <row r="976" spans="6:99" s="36" customFormat="1" ht="11.1" customHeight="1" x14ac:dyDescent="0.25">
      <c r="F976" s="33"/>
      <c r="G976" s="33"/>
      <c r="H976" s="33"/>
      <c r="I976" s="34"/>
      <c r="J976" s="34"/>
      <c r="K976" s="14"/>
      <c r="L976" s="32"/>
      <c r="M976" s="14"/>
      <c r="N976" s="14"/>
      <c r="O976" s="2"/>
      <c r="P976"/>
      <c r="Q976" s="2"/>
      <c r="R976"/>
      <c r="S976"/>
      <c r="T976"/>
      <c r="U976" s="2"/>
      <c r="V976" s="2"/>
      <c r="W976" s="2"/>
      <c r="X976" s="2"/>
      <c r="Y976" s="2"/>
      <c r="Z976" s="11"/>
      <c r="AA976" s="15"/>
      <c r="AB976" s="15"/>
      <c r="AC976" s="15"/>
      <c r="AD976" s="35"/>
      <c r="AE976" s="99"/>
      <c r="AF976" s="99"/>
      <c r="AG976" s="35"/>
      <c r="AH976" s="35"/>
      <c r="AI976" s="35"/>
      <c r="AJ976" s="1"/>
      <c r="AK976" s="1"/>
      <c r="AL976" s="1"/>
      <c r="AM976" s="1"/>
      <c r="AN976" s="1"/>
      <c r="AO976" s="1"/>
      <c r="AP976"/>
      <c r="AQ976"/>
      <c r="AR976"/>
      <c r="AS976"/>
      <c r="AT976" s="50"/>
      <c r="AU976" s="97"/>
      <c r="AV976" s="97"/>
      <c r="AW976" s="97"/>
      <c r="AX976" s="97"/>
      <c r="AY976" s="97"/>
      <c r="BD976" s="35"/>
      <c r="BE976" s="35"/>
      <c r="BV976" s="98"/>
      <c r="BW976" s="98"/>
      <c r="BX976" s="98"/>
      <c r="BY976" s="112"/>
      <c r="BZ976" s="112"/>
      <c r="CA976" s="112"/>
      <c r="CB976" s="98"/>
      <c r="CC976" s="98"/>
      <c r="CD976" s="98"/>
      <c r="CE976" s="98"/>
      <c r="CG976" s="100"/>
      <c r="CH976" s="100"/>
      <c r="CI976" s="100"/>
      <c r="CJ976" s="100"/>
      <c r="CK976" s="100"/>
      <c r="CL976" s="100"/>
      <c r="CM976" s="100"/>
      <c r="CN976" s="100"/>
      <c r="CO976" s="100"/>
      <c r="CP976" s="100"/>
      <c r="CQ976" s="100"/>
      <c r="CR976" s="100"/>
      <c r="CS976" s="100"/>
      <c r="CT976" s="100"/>
      <c r="CU976" s="100"/>
    </row>
    <row r="977" spans="6:99" s="36" customFormat="1" ht="11.1" customHeight="1" x14ac:dyDescent="0.25">
      <c r="F977" s="33"/>
      <c r="G977" s="33"/>
      <c r="H977" s="33"/>
      <c r="I977" s="34"/>
      <c r="J977" s="34"/>
      <c r="K977" s="14"/>
      <c r="L977" s="32"/>
      <c r="M977" s="14"/>
      <c r="N977" s="14"/>
      <c r="O977" s="2"/>
      <c r="P977"/>
      <c r="Q977" s="2"/>
      <c r="R977"/>
      <c r="S977"/>
      <c r="T977"/>
      <c r="U977" s="2"/>
      <c r="V977" s="2"/>
      <c r="W977" s="2"/>
      <c r="X977" s="2"/>
      <c r="Y977" s="2"/>
      <c r="Z977" s="11"/>
      <c r="AA977" s="15"/>
      <c r="AB977" s="15"/>
      <c r="AC977" s="15"/>
      <c r="AD977" s="35"/>
      <c r="AE977" s="99"/>
      <c r="AF977" s="99"/>
      <c r="AG977" s="35"/>
      <c r="AH977" s="35"/>
      <c r="AI977" s="35"/>
      <c r="AJ977" s="1"/>
      <c r="AK977" s="1"/>
      <c r="AL977" s="1"/>
      <c r="AM977" s="1"/>
      <c r="AN977" s="1"/>
      <c r="AO977" s="1"/>
      <c r="AP977"/>
      <c r="AQ977"/>
      <c r="AR977"/>
      <c r="AS977"/>
      <c r="AT977" s="50"/>
      <c r="AU977" s="97"/>
      <c r="AV977" s="97"/>
      <c r="AW977" s="97"/>
      <c r="AX977" s="97"/>
      <c r="AY977" s="97"/>
      <c r="BD977" s="35"/>
      <c r="BE977" s="35"/>
      <c r="BV977" s="98"/>
      <c r="BW977" s="98"/>
      <c r="BX977" s="98"/>
      <c r="BY977" s="112"/>
      <c r="BZ977" s="112"/>
      <c r="CA977" s="112"/>
      <c r="CB977" s="98"/>
      <c r="CC977" s="98"/>
      <c r="CD977" s="98"/>
      <c r="CE977" s="98"/>
      <c r="CG977" s="100"/>
      <c r="CH977" s="100"/>
      <c r="CI977" s="100"/>
      <c r="CJ977" s="100"/>
      <c r="CK977" s="100"/>
      <c r="CL977" s="100"/>
      <c r="CM977" s="100"/>
      <c r="CN977" s="100"/>
      <c r="CO977" s="100"/>
      <c r="CP977" s="100"/>
      <c r="CQ977" s="100"/>
      <c r="CR977" s="100"/>
      <c r="CS977" s="100"/>
      <c r="CT977" s="100"/>
      <c r="CU977" s="100"/>
    </row>
    <row r="978" spans="6:99" s="36" customFormat="1" ht="11.1" customHeight="1" x14ac:dyDescent="0.25">
      <c r="F978" s="33"/>
      <c r="G978" s="33"/>
      <c r="H978" s="33"/>
      <c r="I978" s="34"/>
      <c r="J978" s="34"/>
      <c r="K978" s="14"/>
      <c r="L978" s="32"/>
      <c r="M978" s="14"/>
      <c r="N978" s="14"/>
      <c r="O978" s="2"/>
      <c r="P978"/>
      <c r="Q978" s="2"/>
      <c r="R978"/>
      <c r="S978"/>
      <c r="T978"/>
      <c r="U978" s="2"/>
      <c r="V978" s="2"/>
      <c r="W978" s="2"/>
      <c r="X978" s="2"/>
      <c r="Y978" s="2"/>
      <c r="Z978" s="11"/>
      <c r="AA978" s="15"/>
      <c r="AB978" s="15"/>
      <c r="AC978" s="15"/>
      <c r="AD978" s="35"/>
      <c r="AE978" s="99"/>
      <c r="AF978" s="99"/>
      <c r="AG978" s="35"/>
      <c r="AH978" s="35"/>
      <c r="AI978" s="35"/>
      <c r="AJ978" s="1"/>
      <c r="AK978" s="1"/>
      <c r="AL978" s="1"/>
      <c r="AM978" s="1"/>
      <c r="AN978" s="1"/>
      <c r="AO978" s="1"/>
      <c r="AP978"/>
      <c r="AQ978"/>
      <c r="AR978"/>
      <c r="AS978"/>
      <c r="AT978" s="50"/>
      <c r="AU978" s="97"/>
      <c r="AV978" s="97"/>
      <c r="AW978" s="97"/>
      <c r="AX978" s="97"/>
      <c r="AY978" s="97"/>
      <c r="BD978" s="35"/>
      <c r="BE978" s="35"/>
      <c r="BV978" s="98"/>
      <c r="BW978" s="98"/>
      <c r="BX978" s="98"/>
      <c r="BY978" s="112"/>
      <c r="BZ978" s="112"/>
      <c r="CA978" s="112"/>
      <c r="CB978" s="98"/>
      <c r="CC978" s="98"/>
      <c r="CD978" s="98"/>
      <c r="CE978" s="98"/>
      <c r="CG978" s="100"/>
      <c r="CH978" s="100"/>
      <c r="CI978" s="100"/>
      <c r="CJ978" s="100"/>
      <c r="CK978" s="100"/>
      <c r="CL978" s="100"/>
      <c r="CM978" s="100"/>
      <c r="CN978" s="100"/>
      <c r="CO978" s="100"/>
      <c r="CP978" s="100"/>
      <c r="CQ978" s="100"/>
      <c r="CR978" s="100"/>
      <c r="CS978" s="100"/>
      <c r="CT978" s="100"/>
      <c r="CU978" s="100"/>
    </row>
    <row r="979" spans="6:99" s="36" customFormat="1" ht="11.1" customHeight="1" x14ac:dyDescent="0.25">
      <c r="F979" s="33"/>
      <c r="G979" s="33"/>
      <c r="H979" s="33"/>
      <c r="I979" s="34"/>
      <c r="J979" s="34"/>
      <c r="K979" s="14"/>
      <c r="L979" s="32"/>
      <c r="M979" s="14"/>
      <c r="N979" s="14"/>
      <c r="O979" s="2"/>
      <c r="P979"/>
      <c r="Q979" s="2"/>
      <c r="R979"/>
      <c r="S979"/>
      <c r="T979"/>
      <c r="U979" s="2"/>
      <c r="V979" s="2"/>
      <c r="W979" s="2"/>
      <c r="X979" s="2"/>
      <c r="Y979" s="2"/>
      <c r="Z979" s="11"/>
      <c r="AA979" s="15"/>
      <c r="AB979" s="15"/>
      <c r="AC979" s="15"/>
      <c r="AD979" s="35"/>
      <c r="AE979" s="99"/>
      <c r="AF979" s="99"/>
      <c r="AG979" s="35"/>
      <c r="AH979" s="35"/>
      <c r="AI979" s="35"/>
      <c r="AJ979" s="1"/>
      <c r="AK979" s="1"/>
      <c r="AL979" s="1"/>
      <c r="AM979" s="1"/>
      <c r="AN979" s="1"/>
      <c r="AO979" s="1"/>
      <c r="AP979"/>
      <c r="AQ979"/>
      <c r="AR979"/>
      <c r="AS979"/>
      <c r="AT979" s="50"/>
      <c r="AU979" s="97"/>
      <c r="AV979" s="97"/>
      <c r="AW979" s="97"/>
      <c r="AX979" s="97"/>
      <c r="AY979" s="97"/>
      <c r="BD979" s="35"/>
      <c r="BE979" s="35"/>
      <c r="BV979" s="98"/>
      <c r="BW979" s="98"/>
      <c r="BX979" s="98"/>
      <c r="BY979" s="112"/>
      <c r="BZ979" s="112"/>
      <c r="CA979" s="112"/>
      <c r="CB979" s="98"/>
      <c r="CC979" s="98"/>
      <c r="CD979" s="98"/>
      <c r="CE979" s="98"/>
      <c r="CG979" s="100"/>
      <c r="CH979" s="100"/>
      <c r="CI979" s="100"/>
      <c r="CJ979" s="100"/>
      <c r="CK979" s="100"/>
      <c r="CL979" s="100"/>
      <c r="CM979" s="100"/>
      <c r="CN979" s="100"/>
      <c r="CO979" s="100"/>
      <c r="CP979" s="100"/>
      <c r="CQ979" s="100"/>
      <c r="CR979" s="100"/>
      <c r="CS979" s="100"/>
      <c r="CT979" s="100"/>
      <c r="CU979" s="100"/>
    </row>
    <row r="980" spans="6:99" s="36" customFormat="1" ht="11.1" customHeight="1" x14ac:dyDescent="0.25">
      <c r="F980" s="33"/>
      <c r="G980" s="33"/>
      <c r="H980" s="33"/>
      <c r="I980" s="34"/>
      <c r="J980" s="34"/>
      <c r="K980" s="14"/>
      <c r="L980" s="32"/>
      <c r="M980" s="14"/>
      <c r="N980" s="14"/>
      <c r="O980" s="2"/>
      <c r="P980"/>
      <c r="Q980" s="2"/>
      <c r="R980"/>
      <c r="S980"/>
      <c r="T980"/>
      <c r="U980" s="2"/>
      <c r="V980" s="2"/>
      <c r="W980" s="2"/>
      <c r="X980" s="2"/>
      <c r="Y980" s="2"/>
      <c r="Z980" s="11"/>
      <c r="AA980" s="15"/>
      <c r="AB980" s="15"/>
      <c r="AC980" s="15"/>
      <c r="AD980" s="35"/>
      <c r="AE980" s="99"/>
      <c r="AF980" s="99"/>
      <c r="AG980" s="35"/>
      <c r="AH980" s="35"/>
      <c r="AI980" s="35"/>
      <c r="AJ980" s="1"/>
      <c r="AK980" s="1"/>
      <c r="AL980" s="1"/>
      <c r="AM980" s="1"/>
      <c r="AN980" s="1"/>
      <c r="AO980" s="1"/>
      <c r="AP980"/>
      <c r="AQ980"/>
      <c r="AR980"/>
      <c r="AS980"/>
      <c r="AT980" s="50"/>
      <c r="AU980" s="97"/>
      <c r="AV980" s="97"/>
      <c r="AW980" s="97"/>
      <c r="AX980" s="97"/>
      <c r="AY980" s="97"/>
      <c r="BD980" s="35"/>
      <c r="BE980" s="35"/>
      <c r="BV980" s="98"/>
      <c r="BW980" s="98"/>
      <c r="BX980" s="98"/>
      <c r="BY980" s="112"/>
      <c r="BZ980" s="112"/>
      <c r="CA980" s="112"/>
      <c r="CB980" s="98"/>
      <c r="CC980" s="98"/>
      <c r="CD980" s="98"/>
      <c r="CE980" s="98"/>
      <c r="CG980" s="100"/>
      <c r="CH980" s="100"/>
      <c r="CI980" s="100"/>
      <c r="CJ980" s="100"/>
      <c r="CK980" s="100"/>
      <c r="CL980" s="100"/>
      <c r="CM980" s="100"/>
      <c r="CN980" s="100"/>
      <c r="CO980" s="100"/>
      <c r="CP980" s="100"/>
      <c r="CQ980" s="100"/>
      <c r="CR980" s="100"/>
      <c r="CS980" s="100"/>
      <c r="CT980" s="100"/>
      <c r="CU980" s="100"/>
    </row>
    <row r="981" spans="6:99" s="36" customFormat="1" ht="11.1" customHeight="1" x14ac:dyDescent="0.25">
      <c r="F981" s="33"/>
      <c r="G981" s="33"/>
      <c r="H981" s="33"/>
      <c r="I981" s="34"/>
      <c r="J981" s="34"/>
      <c r="K981" s="14"/>
      <c r="L981" s="32"/>
      <c r="M981" s="14"/>
      <c r="N981" s="14"/>
      <c r="O981" s="2"/>
      <c r="P981"/>
      <c r="Q981" s="2"/>
      <c r="R981"/>
      <c r="S981"/>
      <c r="T981"/>
      <c r="U981" s="2"/>
      <c r="V981" s="2"/>
      <c r="W981" s="2"/>
      <c r="X981" s="2"/>
      <c r="Y981" s="2"/>
      <c r="Z981" s="11"/>
      <c r="AA981" s="15"/>
      <c r="AB981" s="15"/>
      <c r="AC981" s="15"/>
      <c r="AD981" s="35"/>
      <c r="AE981" s="99"/>
      <c r="AF981" s="99"/>
      <c r="AG981" s="35"/>
      <c r="AH981" s="35"/>
      <c r="AI981" s="35"/>
      <c r="AJ981" s="1"/>
      <c r="AK981" s="1"/>
      <c r="AL981" s="1"/>
      <c r="AM981" s="1"/>
      <c r="AN981" s="1"/>
      <c r="AO981" s="1"/>
      <c r="AP981"/>
      <c r="AQ981"/>
      <c r="AR981"/>
      <c r="AS981"/>
      <c r="AT981" s="50"/>
      <c r="AU981" s="97"/>
      <c r="AV981" s="97"/>
      <c r="AW981" s="97"/>
      <c r="AX981" s="97"/>
      <c r="AY981" s="97"/>
      <c r="BD981" s="35"/>
      <c r="BE981" s="35"/>
      <c r="BV981" s="98"/>
      <c r="BW981" s="98"/>
      <c r="BX981" s="98"/>
      <c r="BY981" s="112"/>
      <c r="BZ981" s="112"/>
      <c r="CA981" s="112"/>
      <c r="CB981" s="98"/>
      <c r="CC981" s="98"/>
      <c r="CD981" s="98"/>
      <c r="CE981" s="98"/>
      <c r="CG981" s="100"/>
      <c r="CH981" s="100"/>
      <c r="CI981" s="100"/>
      <c r="CJ981" s="100"/>
      <c r="CK981" s="100"/>
      <c r="CL981" s="100"/>
      <c r="CM981" s="100"/>
      <c r="CN981" s="100"/>
      <c r="CO981" s="100"/>
      <c r="CP981" s="100"/>
      <c r="CQ981" s="100"/>
      <c r="CR981" s="100"/>
      <c r="CS981" s="100"/>
      <c r="CT981" s="100"/>
      <c r="CU981" s="100"/>
    </row>
    <row r="982" spans="6:99" s="36" customFormat="1" ht="11.1" customHeight="1" x14ac:dyDescent="0.25">
      <c r="F982" s="33"/>
      <c r="G982" s="33"/>
      <c r="H982" s="33"/>
      <c r="I982" s="34"/>
      <c r="J982" s="34"/>
      <c r="K982" s="14"/>
      <c r="L982" s="32"/>
      <c r="M982" s="14"/>
      <c r="N982" s="14"/>
      <c r="O982" s="2"/>
      <c r="P982"/>
      <c r="Q982" s="2"/>
      <c r="R982"/>
      <c r="S982"/>
      <c r="T982"/>
      <c r="U982" s="2"/>
      <c r="V982" s="2"/>
      <c r="W982" s="2"/>
      <c r="X982" s="2"/>
      <c r="Y982" s="2"/>
      <c r="Z982" s="11"/>
      <c r="AA982" s="15"/>
      <c r="AB982" s="15"/>
      <c r="AC982" s="15"/>
      <c r="AD982" s="35"/>
      <c r="AE982" s="99"/>
      <c r="AF982" s="99"/>
      <c r="AG982" s="35"/>
      <c r="AH982" s="35"/>
      <c r="AI982" s="35"/>
      <c r="AJ982" s="1"/>
      <c r="AK982" s="1"/>
      <c r="AL982" s="1"/>
      <c r="AM982" s="1"/>
      <c r="AN982" s="1"/>
      <c r="AO982" s="1"/>
      <c r="AP982"/>
      <c r="AQ982"/>
      <c r="AR982"/>
      <c r="AS982"/>
      <c r="AT982" s="50"/>
      <c r="AU982" s="97"/>
      <c r="AV982" s="97"/>
      <c r="AW982" s="97"/>
      <c r="AX982" s="97"/>
      <c r="AY982" s="97"/>
      <c r="BD982" s="35"/>
      <c r="BE982" s="35"/>
      <c r="BV982" s="98"/>
      <c r="BW982" s="98"/>
      <c r="BX982" s="98"/>
      <c r="BY982" s="112"/>
      <c r="BZ982" s="112"/>
      <c r="CA982" s="112"/>
      <c r="CB982" s="98"/>
      <c r="CC982" s="98"/>
      <c r="CD982" s="98"/>
      <c r="CE982" s="98"/>
      <c r="CG982" s="100"/>
      <c r="CH982" s="100"/>
      <c r="CI982" s="100"/>
      <c r="CJ982" s="100"/>
      <c r="CK982" s="100"/>
      <c r="CL982" s="100"/>
      <c r="CM982" s="100"/>
      <c r="CN982" s="100"/>
      <c r="CO982" s="100"/>
      <c r="CP982" s="100"/>
      <c r="CQ982" s="100"/>
      <c r="CR982" s="100"/>
      <c r="CS982" s="100"/>
      <c r="CT982" s="100"/>
      <c r="CU982" s="100"/>
    </row>
    <row r="983" spans="6:99" s="36" customFormat="1" ht="11.1" customHeight="1" x14ac:dyDescent="0.25">
      <c r="F983" s="33"/>
      <c r="G983" s="33"/>
      <c r="H983" s="33"/>
      <c r="I983" s="34"/>
      <c r="J983" s="34"/>
      <c r="K983" s="14"/>
      <c r="L983" s="32"/>
      <c r="M983" s="14"/>
      <c r="N983" s="14"/>
      <c r="O983" s="2"/>
      <c r="P983"/>
      <c r="Q983" s="2"/>
      <c r="R983"/>
      <c r="S983"/>
      <c r="T983"/>
      <c r="U983" s="2"/>
      <c r="V983" s="2"/>
      <c r="W983" s="2"/>
      <c r="X983" s="2"/>
      <c r="Y983" s="2"/>
      <c r="Z983" s="11"/>
      <c r="AA983" s="15"/>
      <c r="AB983" s="15"/>
      <c r="AC983" s="15"/>
      <c r="AD983" s="35"/>
      <c r="AE983" s="99"/>
      <c r="AF983" s="99"/>
      <c r="AG983" s="35"/>
      <c r="AH983" s="35"/>
      <c r="AI983" s="35"/>
      <c r="AJ983" s="1"/>
      <c r="AK983" s="1"/>
      <c r="AL983" s="1"/>
      <c r="AM983" s="1"/>
      <c r="AN983" s="1"/>
      <c r="AO983" s="1"/>
      <c r="AP983"/>
      <c r="AQ983"/>
      <c r="AR983"/>
      <c r="AS983"/>
      <c r="AT983" s="50"/>
      <c r="AU983" s="97"/>
      <c r="AV983" s="97"/>
      <c r="AW983" s="97"/>
      <c r="AX983" s="97"/>
      <c r="AY983" s="97"/>
      <c r="BD983" s="35"/>
      <c r="BE983" s="35"/>
      <c r="BV983" s="98"/>
      <c r="BW983" s="98"/>
      <c r="BX983" s="98"/>
      <c r="BY983" s="112"/>
      <c r="BZ983" s="112"/>
      <c r="CA983" s="112"/>
      <c r="CB983" s="98"/>
      <c r="CC983" s="98"/>
      <c r="CD983" s="98"/>
      <c r="CE983" s="98"/>
      <c r="CG983" s="100"/>
      <c r="CH983" s="100"/>
      <c r="CI983" s="100"/>
      <c r="CJ983" s="100"/>
      <c r="CK983" s="100"/>
      <c r="CL983" s="100"/>
      <c r="CM983" s="100"/>
      <c r="CN983" s="100"/>
      <c r="CO983" s="100"/>
      <c r="CP983" s="100"/>
      <c r="CQ983" s="100"/>
      <c r="CR983" s="100"/>
      <c r="CS983" s="100"/>
      <c r="CT983" s="100"/>
      <c r="CU983" s="100"/>
    </row>
    <row r="984" spans="6:99" s="36" customFormat="1" ht="11.1" customHeight="1" x14ac:dyDescent="0.25">
      <c r="F984" s="33"/>
      <c r="G984" s="33"/>
      <c r="H984" s="33"/>
      <c r="I984" s="34"/>
      <c r="J984" s="34"/>
      <c r="K984" s="14"/>
      <c r="L984" s="32"/>
      <c r="M984" s="14"/>
      <c r="N984" s="14"/>
      <c r="O984" s="2"/>
      <c r="P984"/>
      <c r="Q984" s="2"/>
      <c r="R984"/>
      <c r="S984"/>
      <c r="T984"/>
      <c r="U984" s="2"/>
      <c r="V984" s="2"/>
      <c r="W984" s="2"/>
      <c r="X984" s="2"/>
      <c r="Y984" s="2"/>
      <c r="Z984" s="11"/>
      <c r="AA984" s="15"/>
      <c r="AB984" s="15"/>
      <c r="AC984" s="15"/>
      <c r="AD984" s="35"/>
      <c r="AE984" s="99"/>
      <c r="AF984" s="99"/>
      <c r="AG984" s="35"/>
      <c r="AH984" s="35"/>
      <c r="AI984" s="35"/>
      <c r="AJ984" s="1"/>
      <c r="AK984" s="1"/>
      <c r="AL984" s="1"/>
      <c r="AM984" s="1"/>
      <c r="AN984" s="1"/>
      <c r="AO984" s="1"/>
      <c r="AP984"/>
      <c r="AQ984"/>
      <c r="AR984"/>
      <c r="AS984"/>
      <c r="AT984" s="50"/>
      <c r="AU984" s="97"/>
      <c r="AV984" s="97"/>
      <c r="AW984" s="97"/>
      <c r="AX984" s="97"/>
      <c r="AY984" s="97"/>
      <c r="BD984" s="35"/>
      <c r="BE984" s="35"/>
      <c r="BV984" s="98"/>
      <c r="BW984" s="98"/>
      <c r="BX984" s="98"/>
      <c r="BY984" s="112"/>
      <c r="BZ984" s="112"/>
      <c r="CA984" s="112"/>
      <c r="CB984" s="98"/>
      <c r="CC984" s="98"/>
      <c r="CD984" s="98"/>
      <c r="CE984" s="98"/>
      <c r="CG984" s="100"/>
      <c r="CH984" s="100"/>
      <c r="CI984" s="100"/>
      <c r="CJ984" s="100"/>
      <c r="CK984" s="100"/>
      <c r="CL984" s="100"/>
      <c r="CM984" s="100"/>
      <c r="CN984" s="100"/>
      <c r="CO984" s="100"/>
      <c r="CP984" s="100"/>
      <c r="CQ984" s="100"/>
      <c r="CR984" s="100"/>
      <c r="CS984" s="100"/>
      <c r="CT984" s="100"/>
      <c r="CU984" s="100"/>
    </row>
    <row r="985" spans="6:99" s="36" customFormat="1" ht="11.1" customHeight="1" x14ac:dyDescent="0.25">
      <c r="F985" s="33"/>
      <c r="G985" s="33"/>
      <c r="H985" s="33"/>
      <c r="I985" s="34"/>
      <c r="J985" s="34"/>
      <c r="K985" s="14"/>
      <c r="L985" s="32"/>
      <c r="M985" s="14"/>
      <c r="N985" s="14"/>
      <c r="O985" s="2"/>
      <c r="P985"/>
      <c r="Q985" s="2"/>
      <c r="R985"/>
      <c r="S985"/>
      <c r="T985"/>
      <c r="U985" s="2"/>
      <c r="V985" s="2"/>
      <c r="W985" s="2"/>
      <c r="X985" s="2"/>
      <c r="Y985" s="2"/>
      <c r="Z985" s="11"/>
      <c r="AA985" s="15"/>
      <c r="AB985" s="15"/>
      <c r="AC985" s="15"/>
      <c r="AD985" s="35"/>
      <c r="AE985" s="99"/>
      <c r="AF985" s="99"/>
      <c r="AG985" s="35"/>
      <c r="AH985" s="35"/>
      <c r="AI985" s="35"/>
      <c r="AJ985" s="1"/>
      <c r="AK985" s="1"/>
      <c r="AL985" s="1"/>
      <c r="AM985" s="1"/>
      <c r="AN985" s="1"/>
      <c r="AO985" s="1"/>
      <c r="AP985"/>
      <c r="AQ985"/>
      <c r="AR985"/>
      <c r="AS985"/>
      <c r="AT985" s="50"/>
      <c r="AU985" s="97"/>
      <c r="AV985" s="97"/>
      <c r="AW985" s="97"/>
      <c r="AX985" s="97"/>
      <c r="AY985" s="97"/>
      <c r="BD985" s="35"/>
      <c r="BE985" s="35"/>
      <c r="BV985" s="98"/>
      <c r="BW985" s="98"/>
      <c r="BX985" s="98"/>
      <c r="BY985" s="112"/>
      <c r="BZ985" s="112"/>
      <c r="CA985" s="112"/>
      <c r="CB985" s="98"/>
      <c r="CC985" s="98"/>
      <c r="CD985" s="98"/>
      <c r="CE985" s="98"/>
      <c r="CG985" s="100"/>
      <c r="CH985" s="100"/>
      <c r="CI985" s="100"/>
      <c r="CJ985" s="100"/>
      <c r="CK985" s="100"/>
      <c r="CL985" s="100"/>
      <c r="CM985" s="100"/>
      <c r="CN985" s="100"/>
      <c r="CO985" s="100"/>
      <c r="CP985" s="100"/>
      <c r="CQ985" s="100"/>
      <c r="CR985" s="100"/>
      <c r="CS985" s="100"/>
      <c r="CT985" s="100"/>
      <c r="CU985" s="100"/>
    </row>
    <row r="986" spans="6:99" s="36" customFormat="1" ht="11.1" customHeight="1" x14ac:dyDescent="0.25">
      <c r="F986" s="33"/>
      <c r="G986" s="33"/>
      <c r="H986" s="33"/>
      <c r="I986" s="34"/>
      <c r="J986" s="34"/>
      <c r="K986" s="14"/>
      <c r="L986" s="32"/>
      <c r="M986" s="14"/>
      <c r="N986" s="14"/>
      <c r="O986" s="2"/>
      <c r="P986"/>
      <c r="Q986" s="2"/>
      <c r="R986"/>
      <c r="S986"/>
      <c r="T986"/>
      <c r="U986" s="2"/>
      <c r="V986" s="2"/>
      <c r="W986" s="2"/>
      <c r="X986" s="2"/>
      <c r="Y986" s="2"/>
      <c r="Z986" s="11"/>
      <c r="AA986" s="15"/>
      <c r="AB986" s="15"/>
      <c r="AC986" s="15"/>
      <c r="AD986" s="35"/>
      <c r="AE986" s="99"/>
      <c r="AF986" s="99"/>
      <c r="AG986" s="35"/>
      <c r="AH986" s="35"/>
      <c r="AI986" s="35"/>
      <c r="AJ986" s="1"/>
      <c r="AK986" s="1"/>
      <c r="AL986" s="1"/>
      <c r="AM986" s="1"/>
      <c r="AN986" s="1"/>
      <c r="AO986" s="1"/>
      <c r="AP986"/>
      <c r="AQ986"/>
      <c r="AR986"/>
      <c r="AS986"/>
      <c r="AT986" s="50"/>
      <c r="AU986" s="97"/>
      <c r="AV986" s="97"/>
      <c r="AW986" s="97"/>
      <c r="AX986" s="97"/>
      <c r="AY986" s="97"/>
      <c r="BD986" s="35"/>
      <c r="BE986" s="35"/>
      <c r="BV986" s="98"/>
      <c r="BW986" s="98"/>
      <c r="BX986" s="98"/>
      <c r="BY986" s="112"/>
      <c r="BZ986" s="112"/>
      <c r="CA986" s="112"/>
      <c r="CB986" s="98"/>
      <c r="CC986" s="98"/>
      <c r="CD986" s="98"/>
      <c r="CE986" s="98"/>
      <c r="CG986" s="100"/>
      <c r="CH986" s="100"/>
      <c r="CI986" s="100"/>
      <c r="CJ986" s="100"/>
      <c r="CK986" s="100"/>
      <c r="CL986" s="100"/>
      <c r="CM986" s="100"/>
      <c r="CN986" s="100"/>
      <c r="CO986" s="100"/>
      <c r="CP986" s="100"/>
      <c r="CQ986" s="100"/>
      <c r="CR986" s="100"/>
      <c r="CS986" s="100"/>
      <c r="CT986" s="100"/>
      <c r="CU986" s="100"/>
    </row>
    <row r="987" spans="6:99" s="36" customFormat="1" ht="11.1" customHeight="1" x14ac:dyDescent="0.25">
      <c r="F987" s="33"/>
      <c r="G987" s="33"/>
      <c r="H987" s="33"/>
      <c r="I987" s="34"/>
      <c r="J987" s="34"/>
      <c r="K987" s="14"/>
      <c r="L987" s="32"/>
      <c r="M987" s="14"/>
      <c r="N987" s="14"/>
      <c r="O987" s="2"/>
      <c r="P987"/>
      <c r="Q987" s="2"/>
      <c r="R987"/>
      <c r="S987"/>
      <c r="T987"/>
      <c r="U987" s="2"/>
      <c r="V987" s="2"/>
      <c r="W987" s="2"/>
      <c r="X987" s="2"/>
      <c r="Y987" s="2"/>
      <c r="Z987" s="11"/>
      <c r="AA987" s="15"/>
      <c r="AB987" s="15"/>
      <c r="AC987" s="15"/>
      <c r="AD987" s="35"/>
      <c r="AE987" s="99"/>
      <c r="AF987" s="99"/>
      <c r="AG987" s="35"/>
      <c r="AH987" s="35"/>
      <c r="AI987" s="35"/>
      <c r="AJ987" s="1"/>
      <c r="AK987" s="1"/>
      <c r="AL987" s="1"/>
      <c r="AM987" s="1"/>
      <c r="AN987" s="1"/>
      <c r="AO987" s="1"/>
      <c r="AP987"/>
      <c r="AQ987"/>
      <c r="AR987"/>
      <c r="AS987"/>
      <c r="AT987" s="50"/>
      <c r="AU987" s="97"/>
      <c r="AV987" s="97"/>
      <c r="AW987" s="97"/>
      <c r="AX987" s="97"/>
      <c r="AY987" s="97"/>
      <c r="BD987" s="35"/>
      <c r="BE987" s="35"/>
      <c r="BV987" s="98"/>
      <c r="BW987" s="98"/>
      <c r="BX987" s="98"/>
      <c r="BY987" s="112"/>
      <c r="BZ987" s="112"/>
      <c r="CA987" s="112"/>
      <c r="CB987" s="98"/>
      <c r="CC987" s="98"/>
      <c r="CD987" s="98"/>
      <c r="CE987" s="98"/>
      <c r="CG987" s="100"/>
      <c r="CH987" s="100"/>
      <c r="CI987" s="100"/>
      <c r="CJ987" s="100"/>
      <c r="CK987" s="100"/>
      <c r="CL987" s="100"/>
      <c r="CM987" s="100"/>
      <c r="CN987" s="100"/>
      <c r="CO987" s="100"/>
      <c r="CP987" s="100"/>
      <c r="CQ987" s="100"/>
      <c r="CR987" s="100"/>
      <c r="CS987" s="100"/>
      <c r="CT987" s="100"/>
      <c r="CU987" s="100"/>
    </row>
    <row r="988" spans="6:99" s="36" customFormat="1" ht="11.1" customHeight="1" x14ac:dyDescent="0.25">
      <c r="F988" s="33"/>
      <c r="G988" s="33"/>
      <c r="H988" s="33"/>
      <c r="I988" s="34"/>
      <c r="J988" s="34"/>
      <c r="K988" s="14"/>
      <c r="L988" s="32"/>
      <c r="M988" s="14"/>
      <c r="N988" s="14"/>
      <c r="O988" s="2"/>
      <c r="P988"/>
      <c r="Q988" s="2"/>
      <c r="R988"/>
      <c r="S988"/>
      <c r="T988"/>
      <c r="U988" s="2"/>
      <c r="V988" s="2"/>
      <c r="W988" s="2"/>
      <c r="X988" s="2"/>
      <c r="Y988" s="2"/>
      <c r="Z988" s="11"/>
      <c r="AA988" s="15"/>
      <c r="AB988" s="15"/>
      <c r="AC988" s="15"/>
      <c r="AD988" s="35"/>
      <c r="AE988" s="99"/>
      <c r="AF988" s="99"/>
      <c r="AG988" s="35"/>
      <c r="AH988" s="35"/>
      <c r="AI988" s="35"/>
      <c r="AJ988" s="1"/>
      <c r="AK988" s="1"/>
      <c r="AL988" s="1"/>
      <c r="AM988" s="1"/>
      <c r="AN988" s="1"/>
      <c r="AO988" s="1"/>
      <c r="AP988"/>
      <c r="AQ988"/>
      <c r="AR988"/>
      <c r="AS988"/>
      <c r="AT988" s="50"/>
      <c r="AU988" s="97"/>
      <c r="AV988" s="97"/>
      <c r="AW988" s="97"/>
      <c r="AX988" s="97"/>
      <c r="AY988" s="97"/>
      <c r="BD988" s="35"/>
      <c r="BE988" s="35"/>
      <c r="BV988" s="98"/>
      <c r="BW988" s="98"/>
      <c r="BX988" s="98"/>
      <c r="BY988" s="112"/>
      <c r="BZ988" s="112"/>
      <c r="CA988" s="112"/>
      <c r="CB988" s="98"/>
      <c r="CC988" s="98"/>
      <c r="CD988" s="98"/>
      <c r="CE988" s="98"/>
      <c r="CG988" s="100"/>
      <c r="CH988" s="100"/>
      <c r="CI988" s="100"/>
      <c r="CJ988" s="100"/>
      <c r="CK988" s="100"/>
      <c r="CL988" s="100"/>
      <c r="CM988" s="100"/>
      <c r="CN988" s="100"/>
      <c r="CO988" s="100"/>
      <c r="CP988" s="100"/>
      <c r="CQ988" s="100"/>
      <c r="CR988" s="100"/>
      <c r="CS988" s="100"/>
      <c r="CT988" s="100"/>
      <c r="CU988" s="100"/>
    </row>
    <row r="989" spans="6:99" s="36" customFormat="1" ht="11.1" customHeight="1" x14ac:dyDescent="0.25">
      <c r="F989" s="33"/>
      <c r="G989" s="33"/>
      <c r="H989" s="33"/>
      <c r="I989" s="34"/>
      <c r="J989" s="34"/>
      <c r="K989" s="14"/>
      <c r="L989" s="32"/>
      <c r="M989" s="14"/>
      <c r="N989" s="14"/>
      <c r="O989" s="2"/>
      <c r="P989"/>
      <c r="Q989" s="2"/>
      <c r="R989"/>
      <c r="S989"/>
      <c r="T989"/>
      <c r="U989" s="2"/>
      <c r="V989" s="2"/>
      <c r="W989" s="2"/>
      <c r="X989" s="2"/>
      <c r="Y989" s="2"/>
      <c r="Z989" s="11"/>
      <c r="AA989" s="15"/>
      <c r="AB989" s="15"/>
      <c r="AC989" s="15"/>
      <c r="AD989" s="35"/>
      <c r="AE989" s="99"/>
      <c r="AF989" s="99"/>
      <c r="AG989" s="35"/>
      <c r="AH989" s="35"/>
      <c r="AI989" s="35"/>
      <c r="AJ989" s="1"/>
      <c r="AK989" s="1"/>
      <c r="AL989" s="1"/>
      <c r="AM989" s="1"/>
      <c r="AN989" s="1"/>
      <c r="AO989" s="1"/>
      <c r="AP989"/>
      <c r="AQ989"/>
      <c r="AR989"/>
      <c r="AS989"/>
      <c r="AT989" s="50"/>
      <c r="AU989" s="97"/>
      <c r="AV989" s="97"/>
      <c r="AW989" s="97"/>
      <c r="AX989" s="97"/>
      <c r="AY989" s="97"/>
      <c r="BD989" s="35"/>
      <c r="BE989" s="35"/>
      <c r="BV989" s="98"/>
      <c r="BW989" s="98"/>
      <c r="BX989" s="98"/>
      <c r="BY989" s="112"/>
      <c r="BZ989" s="112"/>
      <c r="CA989" s="112"/>
      <c r="CB989" s="98"/>
      <c r="CC989" s="98"/>
      <c r="CD989" s="98"/>
      <c r="CE989" s="98"/>
      <c r="CG989" s="100"/>
      <c r="CH989" s="100"/>
      <c r="CI989" s="100"/>
      <c r="CJ989" s="100"/>
      <c r="CK989" s="100"/>
      <c r="CL989" s="100"/>
      <c r="CM989" s="100"/>
      <c r="CN989" s="100"/>
      <c r="CO989" s="100"/>
      <c r="CP989" s="100"/>
      <c r="CQ989" s="100"/>
      <c r="CR989" s="100"/>
      <c r="CS989" s="100"/>
      <c r="CT989" s="100"/>
      <c r="CU989" s="100"/>
    </row>
    <row r="990" spans="6:99" s="36" customFormat="1" ht="11.1" customHeight="1" x14ac:dyDescent="0.25">
      <c r="F990" s="33"/>
      <c r="G990" s="33"/>
      <c r="H990" s="33"/>
      <c r="I990" s="34"/>
      <c r="J990" s="34"/>
      <c r="K990" s="14"/>
      <c r="L990" s="32"/>
      <c r="M990" s="14"/>
      <c r="N990" s="14"/>
      <c r="O990" s="2"/>
      <c r="P990"/>
      <c r="Q990" s="2"/>
      <c r="R990"/>
      <c r="S990"/>
      <c r="T990"/>
      <c r="U990" s="2"/>
      <c r="V990" s="2"/>
      <c r="W990" s="2"/>
      <c r="X990" s="2"/>
      <c r="Y990" s="2"/>
      <c r="Z990" s="11"/>
      <c r="AA990" s="15"/>
      <c r="AB990" s="15"/>
      <c r="AC990" s="15"/>
      <c r="AD990" s="35"/>
      <c r="AE990" s="99"/>
      <c r="AF990" s="99"/>
      <c r="AG990" s="35"/>
      <c r="AH990" s="35"/>
      <c r="AI990" s="35"/>
      <c r="AJ990" s="1"/>
      <c r="AK990" s="1"/>
      <c r="AL990" s="1"/>
      <c r="AM990" s="1"/>
      <c r="AN990" s="1"/>
      <c r="AO990" s="1"/>
      <c r="AP990"/>
      <c r="AQ990"/>
      <c r="AR990"/>
      <c r="AS990"/>
      <c r="AT990" s="50"/>
      <c r="AU990" s="97"/>
      <c r="AV990" s="97"/>
      <c r="AW990" s="97"/>
      <c r="AX990" s="97"/>
      <c r="AY990" s="97"/>
      <c r="BD990" s="35"/>
      <c r="BE990" s="35"/>
      <c r="BV990" s="98"/>
      <c r="BW990" s="98"/>
      <c r="BX990" s="98"/>
      <c r="BY990" s="112"/>
      <c r="BZ990" s="112"/>
      <c r="CA990" s="112"/>
      <c r="CB990" s="98"/>
      <c r="CC990" s="98"/>
      <c r="CD990" s="98"/>
      <c r="CE990" s="98"/>
      <c r="CG990" s="100"/>
      <c r="CH990" s="100"/>
      <c r="CI990" s="100"/>
      <c r="CJ990" s="100"/>
      <c r="CK990" s="100"/>
      <c r="CL990" s="100"/>
      <c r="CM990" s="100"/>
      <c r="CN990" s="100"/>
      <c r="CO990" s="100"/>
      <c r="CP990" s="100"/>
      <c r="CQ990" s="100"/>
      <c r="CR990" s="100"/>
      <c r="CS990" s="100"/>
      <c r="CT990" s="100"/>
      <c r="CU990" s="100"/>
    </row>
    <row r="991" spans="6:99" s="36" customFormat="1" ht="11.1" customHeight="1" x14ac:dyDescent="0.25">
      <c r="F991" s="33"/>
      <c r="G991" s="33"/>
      <c r="H991" s="33"/>
      <c r="I991" s="34"/>
      <c r="J991" s="34"/>
      <c r="K991" s="14"/>
      <c r="L991" s="32"/>
      <c r="M991" s="14"/>
      <c r="N991" s="14"/>
      <c r="O991" s="2"/>
      <c r="P991"/>
      <c r="Q991" s="2"/>
      <c r="R991"/>
      <c r="S991"/>
      <c r="T991"/>
      <c r="U991" s="2"/>
      <c r="V991" s="2"/>
      <c r="W991" s="2"/>
      <c r="X991" s="2"/>
      <c r="Y991" s="2"/>
      <c r="Z991" s="11"/>
      <c r="AA991" s="15"/>
      <c r="AB991" s="15"/>
      <c r="AC991" s="15"/>
      <c r="AD991" s="35"/>
      <c r="AE991" s="99"/>
      <c r="AF991" s="99"/>
      <c r="AG991" s="35"/>
      <c r="AH991" s="35"/>
      <c r="AI991" s="35"/>
      <c r="AJ991" s="1"/>
      <c r="AK991" s="1"/>
      <c r="AL991" s="1"/>
      <c r="AM991" s="1"/>
      <c r="AN991" s="1"/>
      <c r="AO991" s="1"/>
      <c r="AP991"/>
      <c r="AQ991"/>
      <c r="AR991"/>
      <c r="AS991"/>
      <c r="AT991" s="50"/>
      <c r="AU991" s="97"/>
      <c r="AV991" s="97"/>
      <c r="AW991" s="97"/>
      <c r="AX991" s="97"/>
      <c r="AY991" s="97"/>
      <c r="BD991" s="35"/>
      <c r="BE991" s="35"/>
      <c r="BV991" s="98"/>
      <c r="BW991" s="98"/>
      <c r="BX991" s="98"/>
      <c r="BY991" s="112"/>
      <c r="BZ991" s="112"/>
      <c r="CA991" s="112"/>
      <c r="CB991" s="98"/>
      <c r="CC991" s="98"/>
      <c r="CD991" s="98"/>
      <c r="CE991" s="98"/>
      <c r="CG991" s="100"/>
      <c r="CH991" s="100"/>
      <c r="CI991" s="100"/>
      <c r="CJ991" s="100"/>
      <c r="CK991" s="100"/>
      <c r="CL991" s="100"/>
      <c r="CM991" s="100"/>
      <c r="CN991" s="100"/>
      <c r="CO991" s="100"/>
      <c r="CP991" s="100"/>
      <c r="CQ991" s="100"/>
      <c r="CR991" s="100"/>
      <c r="CS991" s="100"/>
      <c r="CT991" s="100"/>
      <c r="CU991" s="100"/>
    </row>
    <row r="992" spans="6:99" s="36" customFormat="1" ht="11.1" customHeight="1" x14ac:dyDescent="0.25">
      <c r="F992" s="33"/>
      <c r="G992" s="33"/>
      <c r="H992" s="33"/>
      <c r="I992" s="34"/>
      <c r="J992" s="34"/>
      <c r="K992" s="14"/>
      <c r="L992" s="32"/>
      <c r="M992" s="14"/>
      <c r="N992" s="14"/>
      <c r="O992" s="2"/>
      <c r="P992"/>
      <c r="Q992" s="2"/>
      <c r="R992"/>
      <c r="S992"/>
      <c r="T992"/>
      <c r="U992" s="2"/>
      <c r="V992" s="2"/>
      <c r="W992" s="2"/>
      <c r="X992" s="2"/>
      <c r="Y992" s="2"/>
      <c r="Z992" s="11"/>
      <c r="AA992" s="15"/>
      <c r="AB992" s="15"/>
      <c r="AC992" s="15"/>
      <c r="AD992" s="35"/>
      <c r="AE992" s="99"/>
      <c r="AF992" s="99"/>
      <c r="AG992" s="35"/>
      <c r="AH992" s="35"/>
      <c r="AI992" s="35"/>
      <c r="AJ992" s="1"/>
      <c r="AK992" s="1"/>
      <c r="AL992" s="1"/>
      <c r="AM992" s="1"/>
      <c r="AN992" s="1"/>
      <c r="AO992" s="1"/>
      <c r="AP992"/>
      <c r="AQ992"/>
      <c r="AR992"/>
      <c r="AS992"/>
      <c r="AT992" s="50"/>
      <c r="AU992" s="97"/>
      <c r="AV992" s="97"/>
      <c r="AW992" s="97"/>
      <c r="AX992" s="97"/>
      <c r="AY992" s="97"/>
      <c r="BD992" s="35"/>
      <c r="BE992" s="35"/>
      <c r="BV992" s="98"/>
      <c r="BW992" s="98"/>
      <c r="BX992" s="98"/>
      <c r="BY992" s="112"/>
      <c r="BZ992" s="112"/>
      <c r="CA992" s="112"/>
      <c r="CB992" s="98"/>
      <c r="CC992" s="98"/>
      <c r="CD992" s="98"/>
      <c r="CE992" s="98"/>
      <c r="CG992" s="100"/>
      <c r="CH992" s="100"/>
      <c r="CI992" s="100"/>
      <c r="CJ992" s="100"/>
      <c r="CK992" s="100"/>
      <c r="CL992" s="100"/>
      <c r="CM992" s="100"/>
      <c r="CN992" s="100"/>
      <c r="CO992" s="100"/>
      <c r="CP992" s="100"/>
      <c r="CQ992" s="100"/>
      <c r="CR992" s="100"/>
      <c r="CS992" s="100"/>
      <c r="CT992" s="100"/>
      <c r="CU992" s="100"/>
    </row>
    <row r="993" spans="6:99" s="36" customFormat="1" ht="11.1" customHeight="1" x14ac:dyDescent="0.25">
      <c r="F993" s="33"/>
      <c r="G993" s="33"/>
      <c r="H993" s="33"/>
      <c r="I993" s="34"/>
      <c r="J993" s="34"/>
      <c r="K993" s="14"/>
      <c r="L993" s="32"/>
      <c r="M993" s="14"/>
      <c r="N993" s="14"/>
      <c r="O993" s="2"/>
      <c r="P993"/>
      <c r="Q993" s="2"/>
      <c r="R993"/>
      <c r="S993"/>
      <c r="T993"/>
      <c r="U993" s="2"/>
      <c r="V993" s="2"/>
      <c r="W993" s="2"/>
      <c r="X993" s="2"/>
      <c r="Y993" s="2"/>
      <c r="Z993" s="11"/>
      <c r="AA993" s="15"/>
      <c r="AB993" s="15"/>
      <c r="AC993" s="15"/>
      <c r="AD993" s="35"/>
      <c r="AE993" s="99"/>
      <c r="AF993" s="99"/>
      <c r="AG993" s="35"/>
      <c r="AH993" s="35"/>
      <c r="AI993" s="35"/>
      <c r="AJ993" s="1"/>
      <c r="AK993" s="1"/>
      <c r="AL993" s="1"/>
      <c r="AM993" s="1"/>
      <c r="AN993" s="1"/>
      <c r="AO993" s="1"/>
      <c r="AP993"/>
      <c r="AQ993"/>
      <c r="AR993"/>
      <c r="AS993"/>
      <c r="AT993" s="50"/>
      <c r="AU993" s="97"/>
      <c r="AV993" s="97"/>
      <c r="AW993" s="97"/>
      <c r="AX993" s="97"/>
      <c r="AY993" s="97"/>
      <c r="BD993" s="35"/>
      <c r="BE993" s="35"/>
      <c r="BV993" s="98"/>
      <c r="BW993" s="98"/>
      <c r="BX993" s="98"/>
      <c r="BY993" s="112"/>
      <c r="BZ993" s="112"/>
      <c r="CA993" s="112"/>
      <c r="CB993" s="98"/>
      <c r="CC993" s="98"/>
      <c r="CD993" s="98"/>
      <c r="CE993" s="98"/>
      <c r="CG993" s="100"/>
      <c r="CH993" s="100"/>
      <c r="CI993" s="100"/>
      <c r="CJ993" s="100"/>
      <c r="CK993" s="100"/>
      <c r="CL993" s="100"/>
      <c r="CM993" s="100"/>
      <c r="CN993" s="100"/>
      <c r="CO993" s="100"/>
      <c r="CP993" s="100"/>
      <c r="CQ993" s="100"/>
      <c r="CR993" s="100"/>
      <c r="CS993" s="100"/>
      <c r="CT993" s="100"/>
      <c r="CU993" s="100"/>
    </row>
    <row r="994" spans="6:99" s="36" customFormat="1" ht="11.1" customHeight="1" x14ac:dyDescent="0.25">
      <c r="F994" s="33"/>
      <c r="G994" s="33"/>
      <c r="H994" s="33"/>
      <c r="I994" s="34"/>
      <c r="J994" s="34"/>
      <c r="K994" s="14"/>
      <c r="L994" s="32"/>
      <c r="M994" s="14"/>
      <c r="N994" s="14"/>
      <c r="O994" s="2"/>
      <c r="P994"/>
      <c r="Q994" s="2"/>
      <c r="R994"/>
      <c r="S994"/>
      <c r="T994"/>
      <c r="U994" s="2"/>
      <c r="V994" s="2"/>
      <c r="W994" s="2"/>
      <c r="X994" s="2"/>
      <c r="Y994" s="2"/>
      <c r="Z994" s="11"/>
      <c r="AA994" s="15"/>
      <c r="AB994" s="15"/>
      <c r="AC994" s="15"/>
      <c r="AD994" s="35"/>
      <c r="AE994" s="99"/>
      <c r="AF994" s="99"/>
      <c r="AG994" s="35"/>
      <c r="AH994" s="35"/>
      <c r="AI994" s="35"/>
      <c r="AJ994" s="1"/>
      <c r="AK994" s="1"/>
      <c r="AL994" s="1"/>
      <c r="AM994" s="1"/>
      <c r="AN994" s="1"/>
      <c r="AO994" s="1"/>
      <c r="AP994"/>
      <c r="AQ994"/>
      <c r="AR994"/>
      <c r="AS994"/>
      <c r="AT994" s="50"/>
      <c r="AU994" s="97"/>
      <c r="AV994" s="97"/>
      <c r="AW994" s="97"/>
      <c r="AX994" s="97"/>
      <c r="AY994" s="97"/>
      <c r="BD994" s="35"/>
      <c r="BE994" s="35"/>
      <c r="BV994" s="98"/>
      <c r="BW994" s="98"/>
      <c r="BX994" s="98"/>
      <c r="BY994" s="112"/>
      <c r="BZ994" s="112"/>
      <c r="CA994" s="112"/>
      <c r="CB994" s="98"/>
      <c r="CC994" s="98"/>
      <c r="CD994" s="98"/>
      <c r="CE994" s="98"/>
      <c r="CG994" s="100"/>
      <c r="CH994" s="100"/>
      <c r="CI994" s="100"/>
      <c r="CJ994" s="100"/>
      <c r="CK994" s="100"/>
      <c r="CL994" s="100"/>
      <c r="CM994" s="100"/>
      <c r="CN994" s="100"/>
      <c r="CO994" s="100"/>
      <c r="CP994" s="100"/>
      <c r="CQ994" s="100"/>
      <c r="CR994" s="100"/>
      <c r="CS994" s="100"/>
      <c r="CT994" s="100"/>
      <c r="CU994" s="100"/>
    </row>
    <row r="995" spans="6:99" s="36" customFormat="1" ht="11.1" customHeight="1" x14ac:dyDescent="0.25">
      <c r="F995" s="33"/>
      <c r="G995" s="33"/>
      <c r="H995" s="33"/>
      <c r="I995" s="34"/>
      <c r="J995" s="34"/>
      <c r="K995" s="14"/>
      <c r="L995" s="32"/>
      <c r="M995" s="14"/>
      <c r="N995" s="14"/>
      <c r="O995" s="2"/>
      <c r="P995"/>
      <c r="Q995" s="2"/>
      <c r="R995"/>
      <c r="S995"/>
      <c r="T995"/>
      <c r="U995" s="2"/>
      <c r="V995" s="2"/>
      <c r="W995" s="2"/>
      <c r="X995" s="2"/>
      <c r="Y995" s="2"/>
      <c r="Z995" s="11"/>
      <c r="AA995" s="15"/>
      <c r="AB995" s="15"/>
      <c r="AC995" s="15"/>
      <c r="AD995" s="35"/>
      <c r="AE995" s="99"/>
      <c r="AF995" s="99"/>
      <c r="AG995" s="35"/>
      <c r="AH995" s="35"/>
      <c r="AI995" s="35"/>
      <c r="AJ995" s="1"/>
      <c r="AK995" s="1"/>
      <c r="AL995" s="1"/>
      <c r="AM995" s="1"/>
      <c r="AN995" s="1"/>
      <c r="AO995" s="1"/>
      <c r="AP995"/>
      <c r="AQ995"/>
      <c r="AR995"/>
      <c r="AS995"/>
      <c r="AT995" s="50"/>
      <c r="AU995" s="97"/>
      <c r="AV995" s="97"/>
      <c r="AW995" s="97"/>
      <c r="AX995" s="97"/>
      <c r="AY995" s="97"/>
      <c r="BD995" s="35"/>
      <c r="BE995" s="35"/>
      <c r="BV995" s="98"/>
      <c r="BW995" s="98"/>
      <c r="BX995" s="98"/>
      <c r="BY995" s="112"/>
      <c r="BZ995" s="112"/>
      <c r="CA995" s="112"/>
      <c r="CB995" s="98"/>
      <c r="CC995" s="98"/>
      <c r="CD995" s="98"/>
      <c r="CE995" s="98"/>
      <c r="CG995" s="100"/>
      <c r="CH995" s="100"/>
      <c r="CI995" s="100"/>
      <c r="CJ995" s="100"/>
      <c r="CK995" s="100"/>
      <c r="CL995" s="100"/>
      <c r="CM995" s="100"/>
      <c r="CN995" s="100"/>
      <c r="CO995" s="100"/>
      <c r="CP995" s="100"/>
      <c r="CQ995" s="100"/>
      <c r="CR995" s="100"/>
      <c r="CS995" s="100"/>
      <c r="CT995" s="100"/>
      <c r="CU995" s="100"/>
    </row>
    <row r="996" spans="6:99" s="36" customFormat="1" ht="11.1" customHeight="1" x14ac:dyDescent="0.25">
      <c r="F996" s="33"/>
      <c r="G996" s="33"/>
      <c r="H996" s="33"/>
      <c r="I996" s="34"/>
      <c r="J996" s="34"/>
      <c r="K996" s="14"/>
      <c r="L996" s="32"/>
      <c r="M996" s="14"/>
      <c r="N996" s="14"/>
      <c r="O996" s="2"/>
      <c r="P996"/>
      <c r="Q996" s="2"/>
      <c r="R996"/>
      <c r="S996"/>
      <c r="T996"/>
      <c r="U996" s="2"/>
      <c r="V996" s="2"/>
      <c r="W996" s="2"/>
      <c r="X996" s="2"/>
      <c r="Y996" s="2"/>
      <c r="Z996" s="11"/>
      <c r="AA996" s="15"/>
      <c r="AB996" s="15"/>
      <c r="AC996" s="15"/>
      <c r="AD996" s="35"/>
      <c r="AE996" s="99"/>
      <c r="AF996" s="99"/>
      <c r="AG996" s="35"/>
      <c r="AH996" s="35"/>
      <c r="AI996" s="35"/>
      <c r="AJ996" s="1"/>
      <c r="AK996" s="1"/>
      <c r="AL996" s="1"/>
      <c r="AM996" s="1"/>
      <c r="AN996" s="1"/>
      <c r="AO996" s="1"/>
      <c r="AP996"/>
      <c r="AQ996"/>
      <c r="AR996"/>
      <c r="AS996"/>
      <c r="AT996" s="50"/>
      <c r="AU996" s="97"/>
      <c r="AV996" s="97"/>
      <c r="AW996" s="97"/>
      <c r="AX996" s="97"/>
      <c r="AY996" s="97"/>
      <c r="BD996" s="35"/>
      <c r="BE996" s="35"/>
      <c r="BV996" s="98"/>
      <c r="BW996" s="98"/>
      <c r="BX996" s="98"/>
      <c r="BY996" s="112"/>
      <c r="BZ996" s="112"/>
      <c r="CA996" s="112"/>
      <c r="CB996" s="98"/>
      <c r="CC996" s="98"/>
      <c r="CD996" s="98"/>
      <c r="CE996" s="98"/>
      <c r="CG996" s="100"/>
      <c r="CH996" s="100"/>
      <c r="CI996" s="100"/>
      <c r="CJ996" s="100"/>
      <c r="CK996" s="100"/>
      <c r="CL996" s="100"/>
      <c r="CM996" s="100"/>
      <c r="CN996" s="100"/>
      <c r="CO996" s="100"/>
      <c r="CP996" s="100"/>
      <c r="CQ996" s="100"/>
      <c r="CR996" s="100"/>
      <c r="CS996" s="100"/>
      <c r="CT996" s="100"/>
      <c r="CU996" s="100"/>
    </row>
    <row r="997" spans="6:99" s="36" customFormat="1" ht="11.1" customHeight="1" x14ac:dyDescent="0.25">
      <c r="F997" s="33"/>
      <c r="G997" s="33"/>
      <c r="H997" s="33"/>
      <c r="I997" s="34"/>
      <c r="J997" s="34"/>
      <c r="K997" s="14"/>
      <c r="L997" s="32"/>
      <c r="M997" s="14"/>
      <c r="N997" s="14"/>
      <c r="O997" s="2"/>
      <c r="P997"/>
      <c r="Q997" s="2"/>
      <c r="R997"/>
      <c r="S997"/>
      <c r="T997"/>
      <c r="U997" s="2"/>
      <c r="V997" s="2"/>
      <c r="W997" s="2"/>
      <c r="X997" s="2"/>
      <c r="Y997" s="2"/>
      <c r="Z997" s="11"/>
      <c r="AA997" s="15"/>
      <c r="AB997" s="15"/>
      <c r="AC997" s="15"/>
      <c r="AD997" s="35"/>
      <c r="AE997" s="99"/>
      <c r="AF997" s="99"/>
      <c r="AG997" s="35"/>
      <c r="AH997" s="35"/>
      <c r="AI997" s="35"/>
      <c r="AJ997" s="1"/>
      <c r="AK997" s="1"/>
      <c r="AL997" s="1"/>
      <c r="AM997" s="1"/>
      <c r="AN997" s="1"/>
      <c r="AO997" s="1"/>
      <c r="AP997"/>
      <c r="AQ997"/>
      <c r="AR997"/>
      <c r="AS997"/>
      <c r="AT997" s="50"/>
      <c r="AU997" s="97"/>
      <c r="AV997" s="97"/>
      <c r="AW997" s="97"/>
      <c r="AX997" s="97"/>
      <c r="AY997" s="97"/>
      <c r="BD997" s="35"/>
      <c r="BE997" s="35"/>
      <c r="BV997" s="98"/>
      <c r="BW997" s="98"/>
      <c r="BX997" s="98"/>
      <c r="BY997" s="112"/>
      <c r="BZ997" s="112"/>
      <c r="CA997" s="112"/>
      <c r="CB997" s="98"/>
      <c r="CC997" s="98"/>
      <c r="CD997" s="98"/>
      <c r="CE997" s="98"/>
      <c r="CG997" s="100"/>
      <c r="CH997" s="100"/>
      <c r="CI997" s="100"/>
      <c r="CJ997" s="100"/>
      <c r="CK997" s="100"/>
      <c r="CL997" s="100"/>
      <c r="CM997" s="100"/>
      <c r="CN997" s="100"/>
      <c r="CO997" s="100"/>
      <c r="CP997" s="100"/>
      <c r="CQ997" s="100"/>
      <c r="CR997" s="100"/>
      <c r="CS997" s="100"/>
      <c r="CT997" s="100"/>
      <c r="CU997" s="100"/>
    </row>
    <row r="998" spans="6:99" s="36" customFormat="1" ht="11.1" customHeight="1" x14ac:dyDescent="0.25">
      <c r="F998" s="33"/>
      <c r="G998" s="33"/>
      <c r="H998" s="33"/>
      <c r="I998" s="34"/>
      <c r="J998" s="34"/>
      <c r="K998" s="14"/>
      <c r="L998" s="32"/>
      <c r="M998" s="14"/>
      <c r="N998" s="14"/>
      <c r="O998" s="2"/>
      <c r="P998"/>
      <c r="Q998" s="2"/>
      <c r="R998"/>
      <c r="S998"/>
      <c r="T998"/>
      <c r="U998" s="2"/>
      <c r="V998" s="2"/>
      <c r="W998" s="2"/>
      <c r="X998" s="2"/>
      <c r="Y998" s="2"/>
      <c r="Z998" s="11"/>
      <c r="AA998" s="15"/>
      <c r="AB998" s="15"/>
      <c r="AC998" s="15"/>
      <c r="AD998" s="35"/>
      <c r="AE998" s="99"/>
      <c r="AF998" s="99"/>
      <c r="AG998" s="35"/>
      <c r="AH998" s="35"/>
      <c r="AI998" s="35"/>
      <c r="AJ998" s="1"/>
      <c r="AK998" s="1"/>
      <c r="AL998" s="1"/>
      <c r="AM998" s="1"/>
      <c r="AN998" s="1"/>
      <c r="AO998" s="1"/>
      <c r="AP998"/>
      <c r="AQ998"/>
      <c r="AR998"/>
      <c r="AS998"/>
      <c r="AT998" s="50"/>
      <c r="AU998" s="97"/>
      <c r="AV998" s="97"/>
      <c r="AW998" s="97"/>
      <c r="AX998" s="97"/>
      <c r="AY998" s="97"/>
      <c r="BD998" s="35"/>
      <c r="BE998" s="35"/>
      <c r="BV998" s="98"/>
      <c r="BW998" s="98"/>
      <c r="BX998" s="98"/>
      <c r="BY998" s="112"/>
      <c r="BZ998" s="112"/>
      <c r="CA998" s="112"/>
      <c r="CB998" s="98"/>
      <c r="CC998" s="98"/>
      <c r="CD998" s="98"/>
      <c r="CE998" s="98"/>
      <c r="CG998" s="100"/>
      <c r="CH998" s="100"/>
      <c r="CI998" s="100"/>
      <c r="CJ998" s="100"/>
      <c r="CK998" s="100"/>
      <c r="CL998" s="100"/>
      <c r="CM998" s="100"/>
      <c r="CN998" s="100"/>
      <c r="CO998" s="100"/>
      <c r="CP998" s="100"/>
      <c r="CQ998" s="100"/>
      <c r="CR998" s="100"/>
      <c r="CS998" s="100"/>
      <c r="CT998" s="100"/>
      <c r="CU998" s="100"/>
    </row>
    <row r="999" spans="6:99" s="36" customFormat="1" ht="11.1" customHeight="1" x14ac:dyDescent="0.25">
      <c r="F999" s="33"/>
      <c r="G999" s="33"/>
      <c r="H999" s="33"/>
      <c r="I999" s="34"/>
      <c r="J999" s="34"/>
      <c r="K999" s="14"/>
      <c r="L999" s="32"/>
      <c r="M999" s="14"/>
      <c r="N999" s="14"/>
      <c r="O999" s="2"/>
      <c r="P999"/>
      <c r="Q999" s="2"/>
      <c r="R999"/>
      <c r="S999"/>
      <c r="T999"/>
      <c r="U999" s="2"/>
      <c r="V999" s="2"/>
      <c r="W999" s="2"/>
      <c r="X999" s="2"/>
      <c r="Y999" s="2"/>
      <c r="Z999" s="11"/>
      <c r="AA999" s="15"/>
      <c r="AB999" s="15"/>
      <c r="AC999" s="15"/>
      <c r="AD999" s="35"/>
      <c r="AE999" s="99"/>
      <c r="AF999" s="99"/>
      <c r="AG999" s="35"/>
      <c r="AH999" s="35"/>
      <c r="AI999" s="35"/>
      <c r="AJ999" s="1"/>
      <c r="AK999" s="1"/>
      <c r="AL999" s="1"/>
      <c r="AM999" s="1"/>
      <c r="AN999" s="1"/>
      <c r="AO999" s="1"/>
      <c r="AP999"/>
      <c r="AQ999"/>
      <c r="AR999"/>
      <c r="AS999"/>
      <c r="AT999" s="50"/>
      <c r="AU999" s="97"/>
      <c r="AV999" s="97"/>
      <c r="AW999" s="97"/>
      <c r="AX999" s="97"/>
      <c r="AY999" s="97"/>
      <c r="BD999" s="35"/>
      <c r="BE999" s="35"/>
      <c r="BV999" s="98"/>
      <c r="BW999" s="98"/>
      <c r="BX999" s="98"/>
      <c r="BY999" s="112"/>
      <c r="BZ999" s="112"/>
      <c r="CA999" s="112"/>
      <c r="CB999" s="98"/>
      <c r="CC999" s="98"/>
      <c r="CD999" s="98"/>
      <c r="CE999" s="98"/>
      <c r="CG999" s="100"/>
      <c r="CH999" s="100"/>
      <c r="CI999" s="100"/>
      <c r="CJ999" s="100"/>
      <c r="CK999" s="100"/>
      <c r="CL999" s="100"/>
      <c r="CM999" s="100"/>
      <c r="CN999" s="100"/>
      <c r="CO999" s="100"/>
      <c r="CP999" s="100"/>
      <c r="CQ999" s="100"/>
      <c r="CR999" s="100"/>
      <c r="CS999" s="100"/>
      <c r="CT999" s="100"/>
      <c r="CU999" s="100"/>
    </row>
    <row r="1000" spans="6:99" s="36" customFormat="1" ht="11.1" customHeight="1" x14ac:dyDescent="0.25">
      <c r="F1000" s="33"/>
      <c r="G1000" s="33"/>
      <c r="H1000" s="33"/>
      <c r="I1000" s="34"/>
      <c r="J1000" s="34"/>
      <c r="K1000" s="14"/>
      <c r="L1000" s="32"/>
      <c r="M1000" s="14"/>
      <c r="N1000" s="14"/>
      <c r="O1000" s="2"/>
      <c r="P1000"/>
      <c r="Q1000" s="2"/>
      <c r="R1000"/>
      <c r="S1000"/>
      <c r="T1000"/>
      <c r="U1000" s="2"/>
      <c r="V1000" s="2"/>
      <c r="W1000" s="2"/>
      <c r="X1000" s="2"/>
      <c r="Y1000" s="2"/>
      <c r="Z1000" s="11"/>
      <c r="AA1000" s="15"/>
      <c r="AB1000" s="15"/>
      <c r="AC1000" s="15"/>
      <c r="AD1000" s="35"/>
      <c r="AE1000" s="99"/>
      <c r="AF1000" s="99"/>
      <c r="AG1000" s="35"/>
      <c r="AH1000" s="35"/>
      <c r="AI1000" s="35"/>
      <c r="AJ1000" s="1"/>
      <c r="AK1000" s="1"/>
      <c r="AL1000" s="1"/>
      <c r="AM1000" s="1"/>
      <c r="AN1000" s="1"/>
      <c r="AO1000" s="1"/>
      <c r="AP1000"/>
      <c r="AQ1000"/>
      <c r="AR1000"/>
      <c r="AS1000"/>
      <c r="AT1000" s="50"/>
      <c r="AU1000" s="97"/>
      <c r="AV1000" s="97"/>
      <c r="AW1000" s="97"/>
      <c r="AX1000" s="97"/>
      <c r="AY1000" s="97"/>
      <c r="BD1000" s="35"/>
      <c r="BE1000" s="35"/>
      <c r="BV1000" s="98"/>
      <c r="BW1000" s="98"/>
      <c r="BX1000" s="98"/>
      <c r="BY1000" s="112"/>
      <c r="BZ1000" s="112"/>
      <c r="CA1000" s="112"/>
      <c r="CB1000" s="98"/>
      <c r="CC1000" s="98"/>
      <c r="CD1000" s="98"/>
      <c r="CE1000" s="98"/>
      <c r="CG1000" s="100"/>
      <c r="CH1000" s="100"/>
      <c r="CI1000" s="100"/>
      <c r="CJ1000" s="100"/>
      <c r="CK1000" s="100"/>
      <c r="CL1000" s="100"/>
      <c r="CM1000" s="100"/>
      <c r="CN1000" s="100"/>
      <c r="CO1000" s="100"/>
      <c r="CP1000" s="100"/>
      <c r="CQ1000" s="100"/>
      <c r="CR1000" s="100"/>
      <c r="CS1000" s="100"/>
      <c r="CT1000" s="100"/>
      <c r="CU1000" s="100"/>
    </row>
    <row r="1001" spans="6:99" s="36" customFormat="1" ht="11.1" customHeight="1" x14ac:dyDescent="0.25">
      <c r="F1001" s="33"/>
      <c r="G1001" s="33"/>
      <c r="H1001" s="33"/>
      <c r="I1001" s="34"/>
      <c r="J1001" s="34"/>
      <c r="K1001" s="14"/>
      <c r="L1001" s="32"/>
      <c r="M1001" s="14"/>
      <c r="N1001" s="14"/>
      <c r="O1001" s="2"/>
      <c r="P1001"/>
      <c r="Q1001" s="2"/>
      <c r="R1001"/>
      <c r="S1001"/>
      <c r="T1001"/>
      <c r="U1001" s="2"/>
      <c r="V1001" s="2"/>
      <c r="W1001" s="2"/>
      <c r="X1001" s="2"/>
      <c r="Y1001" s="2"/>
      <c r="Z1001" s="11"/>
      <c r="AA1001" s="15"/>
      <c r="AB1001" s="15"/>
      <c r="AC1001" s="15"/>
      <c r="AD1001" s="35"/>
      <c r="AE1001" s="99"/>
      <c r="AF1001" s="99"/>
      <c r="AG1001" s="35"/>
      <c r="AH1001" s="35"/>
      <c r="AI1001" s="35"/>
      <c r="AJ1001" s="1"/>
      <c r="AK1001" s="1"/>
      <c r="AL1001" s="1"/>
      <c r="AM1001" s="1"/>
      <c r="AN1001" s="1"/>
      <c r="AO1001" s="1"/>
      <c r="AP1001"/>
      <c r="AQ1001"/>
      <c r="AR1001"/>
      <c r="AS1001"/>
      <c r="AT1001" s="50"/>
      <c r="AU1001" s="97"/>
      <c r="AV1001" s="97"/>
      <c r="AW1001" s="97"/>
      <c r="AX1001" s="97"/>
      <c r="AY1001" s="97"/>
      <c r="BD1001" s="35"/>
      <c r="BE1001" s="35"/>
      <c r="BV1001" s="98"/>
      <c r="BW1001" s="98"/>
      <c r="BX1001" s="98"/>
      <c r="BY1001" s="112"/>
      <c r="BZ1001" s="112"/>
      <c r="CA1001" s="112"/>
      <c r="CB1001" s="98"/>
      <c r="CC1001" s="98"/>
      <c r="CD1001" s="98"/>
      <c r="CE1001" s="98"/>
      <c r="CG1001" s="100"/>
      <c r="CH1001" s="100"/>
      <c r="CI1001" s="100"/>
      <c r="CJ1001" s="100"/>
      <c r="CK1001" s="100"/>
      <c r="CL1001" s="100"/>
      <c r="CM1001" s="100"/>
      <c r="CN1001" s="100"/>
      <c r="CO1001" s="100"/>
      <c r="CP1001" s="100"/>
      <c r="CQ1001" s="100"/>
      <c r="CR1001" s="100"/>
      <c r="CS1001" s="100"/>
      <c r="CT1001" s="100"/>
      <c r="CU1001" s="100"/>
    </row>
    <row r="1002" spans="6:99" s="36" customFormat="1" ht="11.1" customHeight="1" x14ac:dyDescent="0.25">
      <c r="F1002" s="33"/>
      <c r="G1002" s="33"/>
      <c r="H1002" s="33"/>
      <c r="I1002" s="34"/>
      <c r="J1002" s="34"/>
      <c r="K1002" s="14"/>
      <c r="L1002" s="32"/>
      <c r="M1002" s="14"/>
      <c r="N1002" s="14"/>
      <c r="O1002" s="2"/>
      <c r="P1002"/>
      <c r="Q1002" s="2"/>
      <c r="R1002"/>
      <c r="S1002"/>
      <c r="T1002"/>
      <c r="U1002" s="2"/>
      <c r="V1002" s="2"/>
      <c r="W1002" s="2"/>
      <c r="X1002" s="2"/>
      <c r="Y1002" s="2"/>
      <c r="Z1002" s="11"/>
      <c r="AA1002" s="15"/>
      <c r="AB1002" s="15"/>
      <c r="AC1002" s="15"/>
      <c r="AD1002" s="35"/>
      <c r="AE1002" s="99"/>
      <c r="AF1002" s="99"/>
      <c r="AG1002" s="35"/>
      <c r="AH1002" s="35"/>
      <c r="AI1002" s="35"/>
      <c r="AJ1002" s="1"/>
      <c r="AK1002" s="1"/>
      <c r="AL1002" s="1"/>
      <c r="AM1002" s="1"/>
      <c r="AN1002" s="1"/>
      <c r="AO1002" s="1"/>
      <c r="AP1002"/>
      <c r="AQ1002"/>
      <c r="AR1002"/>
      <c r="AS1002"/>
      <c r="AT1002" s="50"/>
      <c r="AU1002" s="97"/>
      <c r="AV1002" s="97"/>
      <c r="AW1002" s="97"/>
      <c r="AX1002" s="97"/>
      <c r="AY1002" s="97"/>
      <c r="BD1002" s="35"/>
      <c r="BE1002" s="35"/>
      <c r="BV1002" s="98"/>
      <c r="BW1002" s="98"/>
      <c r="BX1002" s="98"/>
      <c r="BY1002" s="112"/>
      <c r="BZ1002" s="112"/>
      <c r="CA1002" s="112"/>
      <c r="CB1002" s="98"/>
      <c r="CC1002" s="98"/>
      <c r="CD1002" s="98"/>
      <c r="CE1002" s="98"/>
      <c r="CG1002" s="100"/>
      <c r="CH1002" s="100"/>
      <c r="CI1002" s="100"/>
      <c r="CJ1002" s="100"/>
      <c r="CK1002" s="100"/>
      <c r="CL1002" s="100"/>
      <c r="CM1002" s="100"/>
      <c r="CN1002" s="100"/>
      <c r="CO1002" s="100"/>
      <c r="CP1002" s="100"/>
      <c r="CQ1002" s="100"/>
      <c r="CR1002" s="100"/>
      <c r="CS1002" s="100"/>
      <c r="CT1002" s="100"/>
      <c r="CU1002" s="100"/>
    </row>
    <row r="1003" spans="6:99" s="36" customFormat="1" ht="11.1" customHeight="1" x14ac:dyDescent="0.25">
      <c r="F1003" s="33"/>
      <c r="G1003" s="33"/>
      <c r="H1003" s="33"/>
      <c r="I1003" s="34"/>
      <c r="J1003" s="34"/>
      <c r="K1003" s="14"/>
      <c r="L1003" s="32"/>
      <c r="M1003" s="14"/>
      <c r="N1003" s="14"/>
      <c r="O1003" s="2"/>
      <c r="P1003"/>
      <c r="Q1003" s="2"/>
      <c r="R1003"/>
      <c r="S1003"/>
      <c r="T1003"/>
      <c r="U1003" s="2"/>
      <c r="V1003" s="2"/>
      <c r="W1003" s="2"/>
      <c r="X1003" s="2"/>
      <c r="Y1003" s="2"/>
      <c r="Z1003" s="11"/>
      <c r="AA1003" s="15"/>
      <c r="AB1003" s="15"/>
      <c r="AC1003" s="15"/>
      <c r="AD1003" s="35"/>
      <c r="AE1003" s="99"/>
      <c r="AF1003" s="99"/>
      <c r="AG1003" s="35"/>
      <c r="AH1003" s="35"/>
      <c r="AI1003" s="35"/>
      <c r="AJ1003" s="1"/>
      <c r="AK1003" s="1"/>
      <c r="AL1003" s="1"/>
      <c r="AM1003" s="1"/>
      <c r="AN1003" s="1"/>
      <c r="AO1003" s="1"/>
      <c r="AP1003"/>
      <c r="AQ1003"/>
      <c r="AR1003"/>
      <c r="AS1003"/>
      <c r="AT1003" s="50"/>
      <c r="AU1003" s="97"/>
      <c r="AV1003" s="97"/>
      <c r="AW1003" s="97"/>
      <c r="AX1003" s="97"/>
      <c r="AY1003" s="97"/>
      <c r="BD1003" s="35"/>
      <c r="BE1003" s="35"/>
      <c r="BV1003" s="98"/>
      <c r="BW1003" s="98"/>
      <c r="BX1003" s="98"/>
      <c r="BY1003" s="112"/>
      <c r="BZ1003" s="112"/>
      <c r="CA1003" s="112"/>
      <c r="CB1003" s="98"/>
      <c r="CC1003" s="98"/>
      <c r="CD1003" s="98"/>
      <c r="CE1003" s="98"/>
      <c r="CG1003" s="100"/>
      <c r="CH1003" s="100"/>
      <c r="CI1003" s="100"/>
      <c r="CJ1003" s="100"/>
      <c r="CK1003" s="100"/>
      <c r="CL1003" s="100"/>
      <c r="CM1003" s="100"/>
      <c r="CN1003" s="100"/>
      <c r="CO1003" s="100"/>
      <c r="CP1003" s="100"/>
      <c r="CQ1003" s="100"/>
      <c r="CR1003" s="100"/>
      <c r="CS1003" s="100"/>
      <c r="CT1003" s="100"/>
      <c r="CU1003" s="100"/>
    </row>
    <row r="1004" spans="6:99" s="36" customFormat="1" ht="11.1" customHeight="1" x14ac:dyDescent="0.25">
      <c r="F1004" s="33"/>
      <c r="G1004" s="33"/>
      <c r="H1004" s="33"/>
      <c r="I1004" s="34"/>
      <c r="J1004" s="34"/>
      <c r="K1004" s="14"/>
      <c r="L1004" s="32"/>
      <c r="M1004" s="14"/>
      <c r="N1004" s="14"/>
      <c r="O1004" s="2"/>
      <c r="P1004"/>
      <c r="Q1004" s="2"/>
      <c r="R1004"/>
      <c r="S1004"/>
      <c r="T1004"/>
      <c r="U1004" s="2"/>
      <c r="V1004" s="2"/>
      <c r="W1004" s="2"/>
      <c r="X1004" s="2"/>
      <c r="Y1004" s="2"/>
      <c r="Z1004" s="11"/>
      <c r="AA1004" s="15"/>
      <c r="AB1004" s="15"/>
      <c r="AC1004" s="15"/>
      <c r="AD1004" s="35"/>
      <c r="AE1004" s="99"/>
      <c r="AF1004" s="99"/>
      <c r="AG1004" s="35"/>
      <c r="AH1004" s="35"/>
      <c r="AI1004" s="35"/>
      <c r="AJ1004" s="1"/>
      <c r="AK1004" s="1"/>
      <c r="AL1004" s="1"/>
      <c r="AM1004" s="1"/>
      <c r="AN1004" s="1"/>
      <c r="AO1004" s="1"/>
      <c r="AP1004"/>
      <c r="AQ1004"/>
      <c r="AR1004"/>
      <c r="AS1004"/>
      <c r="AT1004" s="50"/>
      <c r="AU1004" s="97"/>
      <c r="AV1004" s="97"/>
      <c r="AW1004" s="97"/>
      <c r="AX1004" s="97"/>
      <c r="AY1004" s="97"/>
      <c r="BD1004" s="35"/>
      <c r="BE1004" s="35"/>
      <c r="BV1004" s="98"/>
      <c r="BW1004" s="98"/>
      <c r="BX1004" s="98"/>
      <c r="BY1004" s="112"/>
      <c r="BZ1004" s="112"/>
      <c r="CA1004" s="112"/>
      <c r="CB1004" s="98"/>
      <c r="CC1004" s="98"/>
      <c r="CD1004" s="98"/>
      <c r="CE1004" s="98"/>
      <c r="CG1004" s="100"/>
      <c r="CH1004" s="100"/>
      <c r="CI1004" s="100"/>
      <c r="CJ1004" s="100"/>
      <c r="CK1004" s="100"/>
      <c r="CL1004" s="100"/>
      <c r="CM1004" s="100"/>
      <c r="CN1004" s="100"/>
      <c r="CO1004" s="100"/>
      <c r="CP1004" s="100"/>
      <c r="CQ1004" s="100"/>
      <c r="CR1004" s="100"/>
      <c r="CS1004" s="100"/>
      <c r="CT1004" s="100"/>
      <c r="CU1004" s="100"/>
    </row>
    <row r="1005" spans="6:99" s="36" customFormat="1" ht="11.1" customHeight="1" x14ac:dyDescent="0.25">
      <c r="F1005" s="33"/>
      <c r="G1005" s="33"/>
      <c r="H1005" s="33"/>
      <c r="I1005" s="34"/>
      <c r="J1005" s="34"/>
      <c r="K1005" s="14"/>
      <c r="L1005" s="32"/>
      <c r="M1005" s="14"/>
      <c r="N1005" s="14"/>
      <c r="O1005" s="2"/>
      <c r="P1005"/>
      <c r="Q1005" s="2"/>
      <c r="R1005"/>
      <c r="S1005"/>
      <c r="T1005"/>
      <c r="U1005" s="2"/>
      <c r="V1005" s="2"/>
      <c r="W1005" s="2"/>
      <c r="X1005" s="2"/>
      <c r="Y1005" s="2"/>
      <c r="Z1005" s="11"/>
      <c r="AA1005" s="15"/>
      <c r="AB1005" s="15"/>
      <c r="AC1005" s="15"/>
      <c r="AD1005" s="35"/>
      <c r="AE1005" s="99"/>
      <c r="AF1005" s="99"/>
      <c r="AG1005" s="35"/>
      <c r="AH1005" s="35"/>
      <c r="AI1005" s="35"/>
      <c r="AJ1005" s="1"/>
      <c r="AK1005" s="1"/>
      <c r="AL1005" s="1"/>
      <c r="AM1005" s="1"/>
      <c r="AN1005" s="1"/>
      <c r="AO1005" s="1"/>
      <c r="AP1005"/>
      <c r="AQ1005"/>
      <c r="AR1005"/>
      <c r="AS1005"/>
      <c r="AT1005" s="50"/>
      <c r="AU1005" s="97"/>
      <c r="AV1005" s="97"/>
      <c r="AW1005" s="97"/>
      <c r="AX1005" s="97"/>
      <c r="AY1005" s="97"/>
      <c r="BD1005" s="35"/>
      <c r="BE1005" s="35"/>
      <c r="BV1005" s="98"/>
      <c r="BW1005" s="98"/>
      <c r="BX1005" s="98"/>
      <c r="BY1005" s="112"/>
      <c r="BZ1005" s="112"/>
      <c r="CA1005" s="112"/>
      <c r="CB1005" s="98"/>
      <c r="CC1005" s="98"/>
      <c r="CD1005" s="98"/>
      <c r="CE1005" s="98"/>
      <c r="CG1005" s="100"/>
      <c r="CH1005" s="100"/>
      <c r="CI1005" s="100"/>
      <c r="CJ1005" s="100"/>
      <c r="CK1005" s="100"/>
      <c r="CL1005" s="100"/>
      <c r="CM1005" s="100"/>
      <c r="CN1005" s="100"/>
      <c r="CO1005" s="100"/>
      <c r="CP1005" s="100"/>
      <c r="CQ1005" s="100"/>
      <c r="CR1005" s="100"/>
      <c r="CS1005" s="100"/>
      <c r="CT1005" s="100"/>
      <c r="CU1005" s="100"/>
    </row>
    <row r="1006" spans="6:99" s="36" customFormat="1" ht="11.1" customHeight="1" x14ac:dyDescent="0.25">
      <c r="F1006" s="33"/>
      <c r="G1006" s="33"/>
      <c r="H1006" s="33"/>
      <c r="I1006" s="34"/>
      <c r="J1006" s="34"/>
      <c r="K1006" s="14"/>
      <c r="L1006" s="32"/>
      <c r="M1006" s="14"/>
      <c r="N1006" s="14"/>
      <c r="O1006" s="2"/>
      <c r="P1006"/>
      <c r="Q1006" s="2"/>
      <c r="R1006"/>
      <c r="S1006"/>
      <c r="T1006"/>
      <c r="U1006" s="2"/>
      <c r="V1006" s="2"/>
      <c r="W1006" s="2"/>
      <c r="X1006" s="2"/>
      <c r="Y1006" s="2"/>
      <c r="Z1006" s="11"/>
      <c r="AA1006" s="15"/>
      <c r="AB1006" s="15"/>
      <c r="AC1006" s="15"/>
      <c r="AD1006" s="35"/>
      <c r="AE1006" s="99"/>
      <c r="AF1006" s="99"/>
      <c r="AG1006" s="35"/>
      <c r="AH1006" s="35"/>
      <c r="AI1006" s="35"/>
      <c r="AJ1006" s="1"/>
      <c r="AK1006" s="1"/>
      <c r="AL1006" s="1"/>
      <c r="AM1006" s="1"/>
      <c r="AN1006" s="1"/>
      <c r="AO1006" s="1"/>
      <c r="AP1006"/>
      <c r="AQ1006"/>
      <c r="AR1006"/>
      <c r="AS1006"/>
      <c r="AT1006" s="50"/>
      <c r="AU1006" s="97"/>
      <c r="AV1006" s="97"/>
      <c r="AW1006" s="97"/>
      <c r="AX1006" s="97"/>
      <c r="AY1006" s="97"/>
      <c r="BD1006" s="35"/>
      <c r="BE1006" s="35"/>
      <c r="BV1006" s="98"/>
      <c r="BW1006" s="98"/>
      <c r="BX1006" s="98"/>
      <c r="BY1006" s="112"/>
      <c r="BZ1006" s="112"/>
      <c r="CA1006" s="112"/>
      <c r="CB1006" s="98"/>
      <c r="CC1006" s="98"/>
      <c r="CD1006" s="98"/>
      <c r="CE1006" s="98"/>
      <c r="CG1006" s="100"/>
      <c r="CH1006" s="100"/>
      <c r="CI1006" s="100"/>
      <c r="CJ1006" s="100"/>
      <c r="CK1006" s="100"/>
      <c r="CL1006" s="100"/>
      <c r="CM1006" s="100"/>
      <c r="CN1006" s="100"/>
      <c r="CO1006" s="100"/>
      <c r="CP1006" s="100"/>
      <c r="CQ1006" s="100"/>
      <c r="CR1006" s="100"/>
      <c r="CS1006" s="100"/>
      <c r="CT1006" s="100"/>
      <c r="CU1006" s="100"/>
    </row>
    <row r="1007" spans="6:99" s="36" customFormat="1" ht="11.1" customHeight="1" x14ac:dyDescent="0.25">
      <c r="F1007" s="33"/>
      <c r="G1007" s="33"/>
      <c r="H1007" s="33"/>
      <c r="I1007" s="34"/>
      <c r="J1007" s="34"/>
      <c r="K1007" s="14"/>
      <c r="L1007" s="32"/>
      <c r="M1007" s="14"/>
      <c r="N1007" s="14"/>
      <c r="O1007" s="2"/>
      <c r="P1007"/>
      <c r="Q1007" s="2"/>
      <c r="R1007"/>
      <c r="S1007"/>
      <c r="T1007"/>
      <c r="U1007" s="2"/>
      <c r="V1007" s="2"/>
      <c r="W1007" s="2"/>
      <c r="X1007" s="2"/>
      <c r="Y1007" s="2"/>
      <c r="Z1007" s="11"/>
      <c r="AA1007" s="15"/>
      <c r="AB1007" s="15"/>
      <c r="AC1007" s="15"/>
      <c r="AD1007" s="35"/>
      <c r="AE1007" s="99"/>
      <c r="AF1007" s="99"/>
      <c r="AG1007" s="35"/>
      <c r="AH1007" s="35"/>
      <c r="AI1007" s="35"/>
      <c r="AJ1007" s="1"/>
      <c r="AK1007" s="1"/>
      <c r="AL1007" s="1"/>
      <c r="AM1007" s="1"/>
      <c r="AN1007" s="1"/>
      <c r="AO1007" s="1"/>
      <c r="AP1007"/>
      <c r="AQ1007"/>
      <c r="AR1007"/>
      <c r="AS1007"/>
      <c r="AT1007" s="50"/>
      <c r="AU1007" s="97"/>
      <c r="AV1007" s="97"/>
      <c r="AW1007" s="97"/>
      <c r="AX1007" s="97"/>
      <c r="AY1007" s="97"/>
      <c r="BD1007" s="35"/>
      <c r="BE1007" s="35"/>
      <c r="BV1007" s="98"/>
      <c r="BW1007" s="98"/>
      <c r="BX1007" s="98"/>
      <c r="BY1007" s="112"/>
      <c r="BZ1007" s="112"/>
      <c r="CA1007" s="112"/>
      <c r="CB1007" s="98"/>
      <c r="CC1007" s="98"/>
      <c r="CD1007" s="98"/>
      <c r="CE1007" s="98"/>
      <c r="CG1007" s="100"/>
      <c r="CH1007" s="100"/>
      <c r="CI1007" s="100"/>
      <c r="CJ1007" s="100"/>
      <c r="CK1007" s="100"/>
      <c r="CL1007" s="100"/>
      <c r="CM1007" s="100"/>
      <c r="CN1007" s="100"/>
      <c r="CO1007" s="100"/>
      <c r="CP1007" s="100"/>
      <c r="CQ1007" s="100"/>
      <c r="CR1007" s="100"/>
      <c r="CS1007" s="100"/>
      <c r="CT1007" s="100"/>
      <c r="CU1007" s="100"/>
    </row>
    <row r="1008" spans="6:99" s="36" customFormat="1" ht="11.1" customHeight="1" x14ac:dyDescent="0.25">
      <c r="F1008" s="33"/>
      <c r="G1008" s="33"/>
      <c r="H1008" s="33"/>
      <c r="I1008" s="34"/>
      <c r="J1008" s="34"/>
      <c r="K1008" s="14"/>
      <c r="L1008" s="32"/>
      <c r="M1008" s="14"/>
      <c r="N1008" s="14"/>
      <c r="O1008" s="2"/>
      <c r="P1008"/>
      <c r="Q1008" s="2"/>
      <c r="R1008"/>
      <c r="S1008"/>
      <c r="T1008"/>
      <c r="U1008" s="2"/>
      <c r="V1008" s="2"/>
      <c r="W1008" s="2"/>
      <c r="X1008" s="2"/>
      <c r="Y1008" s="2"/>
      <c r="Z1008" s="11"/>
      <c r="AA1008" s="15"/>
      <c r="AB1008" s="15"/>
      <c r="AC1008" s="15"/>
      <c r="AD1008" s="35"/>
      <c r="AE1008" s="99"/>
      <c r="AF1008" s="99"/>
      <c r="AG1008" s="35"/>
      <c r="AH1008" s="35"/>
      <c r="AI1008" s="35"/>
      <c r="AJ1008" s="1"/>
      <c r="AK1008" s="1"/>
      <c r="AL1008" s="1"/>
      <c r="AM1008" s="1"/>
      <c r="AN1008" s="1"/>
      <c r="AO1008" s="1"/>
      <c r="AP1008"/>
      <c r="AQ1008"/>
      <c r="AR1008"/>
      <c r="AS1008"/>
      <c r="AT1008" s="50"/>
      <c r="AU1008" s="97"/>
      <c r="AV1008" s="97"/>
      <c r="AW1008" s="97"/>
      <c r="AX1008" s="97"/>
      <c r="AY1008" s="97"/>
      <c r="BD1008" s="35"/>
      <c r="BE1008" s="35"/>
      <c r="BV1008" s="98"/>
      <c r="BW1008" s="98"/>
      <c r="BX1008" s="98"/>
      <c r="BY1008" s="112"/>
      <c r="BZ1008" s="112"/>
      <c r="CA1008" s="112"/>
      <c r="CB1008" s="98"/>
      <c r="CC1008" s="98"/>
      <c r="CD1008" s="98"/>
      <c r="CE1008" s="98"/>
      <c r="CG1008" s="100"/>
      <c r="CH1008" s="100"/>
      <c r="CI1008" s="100"/>
      <c r="CJ1008" s="100"/>
      <c r="CK1008" s="100"/>
      <c r="CL1008" s="100"/>
      <c r="CM1008" s="100"/>
      <c r="CN1008" s="100"/>
      <c r="CO1008" s="100"/>
      <c r="CP1008" s="100"/>
      <c r="CQ1008" s="100"/>
      <c r="CR1008" s="100"/>
      <c r="CS1008" s="100"/>
      <c r="CT1008" s="100"/>
      <c r="CU1008" s="100"/>
    </row>
    <row r="1009" spans="6:99" s="36" customFormat="1" ht="11.1" customHeight="1" x14ac:dyDescent="0.25">
      <c r="F1009" s="33"/>
      <c r="G1009" s="33"/>
      <c r="H1009" s="33"/>
      <c r="I1009" s="34"/>
      <c r="J1009" s="34"/>
      <c r="K1009" s="14"/>
      <c r="L1009" s="32"/>
      <c r="M1009" s="14"/>
      <c r="N1009" s="14"/>
      <c r="O1009" s="2"/>
      <c r="P1009"/>
      <c r="Q1009" s="2"/>
      <c r="R1009"/>
      <c r="S1009"/>
      <c r="T1009"/>
      <c r="U1009" s="2"/>
      <c r="V1009" s="2"/>
      <c r="W1009" s="2"/>
      <c r="X1009" s="2"/>
      <c r="Y1009" s="2"/>
      <c r="Z1009" s="11"/>
      <c r="AA1009" s="15"/>
      <c r="AB1009" s="15"/>
      <c r="AC1009" s="15"/>
      <c r="AD1009" s="35"/>
      <c r="AE1009" s="99"/>
      <c r="AF1009" s="99"/>
      <c r="AG1009" s="35"/>
      <c r="AH1009" s="35"/>
      <c r="AI1009" s="35"/>
      <c r="AJ1009" s="1"/>
      <c r="AK1009" s="1"/>
      <c r="AL1009" s="1"/>
      <c r="AM1009" s="1"/>
      <c r="AN1009" s="1"/>
      <c r="AO1009" s="1"/>
      <c r="AP1009"/>
      <c r="AQ1009"/>
      <c r="AR1009"/>
      <c r="AS1009"/>
      <c r="AT1009" s="50"/>
      <c r="AU1009" s="97"/>
      <c r="AV1009" s="97"/>
      <c r="AW1009" s="97"/>
      <c r="AX1009" s="97"/>
      <c r="AY1009" s="97"/>
      <c r="BD1009" s="35"/>
      <c r="BE1009" s="35"/>
      <c r="BV1009" s="98"/>
      <c r="BW1009" s="98"/>
      <c r="BX1009" s="98"/>
      <c r="BY1009" s="112"/>
      <c r="BZ1009" s="112"/>
      <c r="CA1009" s="112"/>
      <c r="CB1009" s="98"/>
      <c r="CC1009" s="98"/>
      <c r="CD1009" s="98"/>
      <c r="CE1009" s="98"/>
      <c r="CG1009" s="100"/>
      <c r="CH1009" s="100"/>
      <c r="CI1009" s="100"/>
      <c r="CJ1009" s="100"/>
      <c r="CK1009" s="100"/>
      <c r="CL1009" s="100"/>
      <c r="CM1009" s="100"/>
      <c r="CN1009" s="100"/>
      <c r="CO1009" s="100"/>
      <c r="CP1009" s="100"/>
      <c r="CQ1009" s="100"/>
      <c r="CR1009" s="100"/>
      <c r="CS1009" s="100"/>
      <c r="CT1009" s="100"/>
      <c r="CU1009" s="100"/>
    </row>
    <row r="1010" spans="6:99" s="36" customFormat="1" ht="11.1" customHeight="1" x14ac:dyDescent="0.25">
      <c r="F1010" s="33"/>
      <c r="G1010" s="33"/>
      <c r="H1010" s="33"/>
      <c r="I1010" s="34"/>
      <c r="J1010" s="34"/>
      <c r="K1010" s="14"/>
      <c r="L1010" s="32"/>
      <c r="M1010" s="14"/>
      <c r="N1010" s="14"/>
      <c r="O1010" s="2"/>
      <c r="P1010"/>
      <c r="Q1010" s="2"/>
      <c r="R1010"/>
      <c r="S1010"/>
      <c r="T1010"/>
      <c r="U1010" s="2"/>
      <c r="V1010" s="2"/>
      <c r="W1010" s="2"/>
      <c r="X1010" s="2"/>
      <c r="Y1010" s="2"/>
      <c r="Z1010" s="11"/>
      <c r="AA1010" s="15"/>
      <c r="AB1010" s="15"/>
      <c r="AC1010" s="15"/>
      <c r="AD1010" s="35"/>
      <c r="AE1010" s="99"/>
      <c r="AF1010" s="99"/>
      <c r="AG1010" s="35"/>
      <c r="AH1010" s="35"/>
      <c r="AI1010" s="35"/>
      <c r="AJ1010" s="1"/>
      <c r="AK1010" s="1"/>
      <c r="AL1010" s="1"/>
      <c r="AM1010" s="1"/>
      <c r="AN1010" s="1"/>
      <c r="AO1010" s="1"/>
      <c r="AP1010"/>
      <c r="AQ1010"/>
      <c r="AR1010"/>
      <c r="AS1010"/>
      <c r="AT1010" s="50"/>
      <c r="AU1010" s="97"/>
      <c r="AV1010" s="97"/>
      <c r="AW1010" s="97"/>
      <c r="AX1010" s="97"/>
      <c r="AY1010" s="97"/>
      <c r="BD1010" s="35"/>
      <c r="BE1010" s="35"/>
      <c r="BV1010" s="98"/>
      <c r="BW1010" s="98"/>
      <c r="BX1010" s="98"/>
      <c r="BY1010" s="112"/>
      <c r="BZ1010" s="112"/>
      <c r="CA1010" s="112"/>
      <c r="CB1010" s="98"/>
      <c r="CC1010" s="98"/>
      <c r="CD1010" s="98"/>
      <c r="CE1010" s="98"/>
      <c r="CG1010" s="100"/>
      <c r="CH1010" s="100"/>
      <c r="CI1010" s="100"/>
      <c r="CJ1010" s="100"/>
      <c r="CK1010" s="100"/>
      <c r="CL1010" s="100"/>
      <c r="CM1010" s="100"/>
      <c r="CN1010" s="100"/>
      <c r="CO1010" s="100"/>
      <c r="CP1010" s="100"/>
      <c r="CQ1010" s="100"/>
      <c r="CR1010" s="100"/>
      <c r="CS1010" s="100"/>
      <c r="CT1010" s="100"/>
      <c r="CU1010" s="100"/>
    </row>
    <row r="1011" spans="6:99" s="36" customFormat="1" ht="11.1" customHeight="1" x14ac:dyDescent="0.25">
      <c r="F1011" s="33"/>
      <c r="G1011" s="33"/>
      <c r="H1011" s="33"/>
      <c r="I1011" s="34"/>
      <c r="J1011" s="34"/>
      <c r="K1011" s="14"/>
      <c r="L1011" s="32"/>
      <c r="M1011" s="14"/>
      <c r="N1011" s="14"/>
      <c r="O1011" s="2"/>
      <c r="P1011"/>
      <c r="Q1011" s="2"/>
      <c r="R1011"/>
      <c r="S1011"/>
      <c r="T1011"/>
      <c r="U1011" s="2"/>
      <c r="V1011" s="2"/>
      <c r="W1011" s="2"/>
      <c r="X1011" s="2"/>
      <c r="Y1011" s="2"/>
      <c r="Z1011" s="11"/>
      <c r="AA1011" s="15"/>
      <c r="AB1011" s="15"/>
      <c r="AC1011" s="15"/>
      <c r="AD1011" s="35"/>
      <c r="AE1011" s="99"/>
      <c r="AF1011" s="99"/>
      <c r="AG1011" s="35"/>
      <c r="AH1011" s="35"/>
      <c r="AI1011" s="35"/>
      <c r="AJ1011" s="1"/>
      <c r="AK1011" s="1"/>
      <c r="AL1011" s="1"/>
      <c r="AM1011" s="1"/>
      <c r="AN1011" s="1"/>
      <c r="AO1011" s="1"/>
      <c r="AP1011"/>
      <c r="AQ1011"/>
      <c r="AR1011"/>
      <c r="AS1011"/>
      <c r="AT1011" s="50"/>
      <c r="AU1011" s="97"/>
      <c r="AV1011" s="97"/>
      <c r="AW1011" s="97"/>
      <c r="AX1011" s="97"/>
      <c r="AY1011" s="97"/>
      <c r="BD1011" s="35"/>
      <c r="BE1011" s="35"/>
      <c r="BV1011" s="98"/>
      <c r="BW1011" s="98"/>
      <c r="BX1011" s="98"/>
      <c r="BY1011" s="112"/>
      <c r="BZ1011" s="112"/>
      <c r="CA1011" s="112"/>
      <c r="CB1011" s="98"/>
      <c r="CC1011" s="98"/>
      <c r="CD1011" s="98"/>
      <c r="CE1011" s="98"/>
      <c r="CG1011" s="100"/>
      <c r="CH1011" s="100"/>
      <c r="CI1011" s="100"/>
      <c r="CJ1011" s="100"/>
      <c r="CK1011" s="100"/>
      <c r="CL1011" s="100"/>
      <c r="CM1011" s="100"/>
      <c r="CN1011" s="100"/>
      <c r="CO1011" s="100"/>
      <c r="CP1011" s="100"/>
      <c r="CQ1011" s="100"/>
      <c r="CR1011" s="100"/>
      <c r="CS1011" s="100"/>
      <c r="CT1011" s="100"/>
      <c r="CU1011" s="100"/>
    </row>
    <row r="1012" spans="6:99" s="36" customFormat="1" ht="11.1" customHeight="1" x14ac:dyDescent="0.25">
      <c r="F1012" s="33"/>
      <c r="G1012" s="33"/>
      <c r="H1012" s="33"/>
      <c r="I1012" s="34"/>
      <c r="J1012" s="34"/>
      <c r="K1012" s="14"/>
      <c r="L1012" s="32"/>
      <c r="M1012" s="14"/>
      <c r="N1012" s="14"/>
      <c r="O1012" s="2"/>
      <c r="P1012"/>
      <c r="Q1012" s="2"/>
      <c r="R1012"/>
      <c r="S1012"/>
      <c r="T1012"/>
      <c r="U1012" s="2"/>
      <c r="V1012" s="2"/>
      <c r="W1012" s="2"/>
      <c r="X1012" s="2"/>
      <c r="Y1012" s="2"/>
      <c r="Z1012" s="11"/>
      <c r="AA1012" s="15"/>
      <c r="AB1012" s="15"/>
      <c r="AC1012" s="15"/>
      <c r="AD1012" s="35"/>
      <c r="AE1012" s="99"/>
      <c r="AF1012" s="99"/>
      <c r="AG1012" s="35"/>
      <c r="AH1012" s="35"/>
      <c r="AI1012" s="35"/>
      <c r="AJ1012" s="1"/>
      <c r="AK1012" s="1"/>
      <c r="AL1012" s="1"/>
      <c r="AM1012" s="1"/>
      <c r="AN1012" s="1"/>
      <c r="AO1012" s="1"/>
      <c r="AP1012"/>
      <c r="AQ1012"/>
      <c r="AR1012"/>
      <c r="AS1012"/>
      <c r="AT1012" s="50"/>
      <c r="AU1012" s="97"/>
      <c r="AV1012" s="97"/>
      <c r="AW1012" s="97"/>
      <c r="AX1012" s="97"/>
      <c r="AY1012" s="97"/>
      <c r="BD1012" s="35"/>
      <c r="BE1012" s="35"/>
      <c r="BV1012" s="98"/>
      <c r="BW1012" s="98"/>
      <c r="BX1012" s="98"/>
      <c r="BY1012" s="112"/>
      <c r="BZ1012" s="112"/>
      <c r="CA1012" s="112"/>
      <c r="CB1012" s="98"/>
      <c r="CC1012" s="98"/>
      <c r="CD1012" s="98"/>
      <c r="CE1012" s="98"/>
      <c r="CG1012" s="100"/>
      <c r="CH1012" s="100"/>
      <c r="CI1012" s="100"/>
      <c r="CJ1012" s="100"/>
      <c r="CK1012" s="100"/>
      <c r="CL1012" s="100"/>
      <c r="CM1012" s="100"/>
      <c r="CN1012" s="100"/>
      <c r="CO1012" s="100"/>
      <c r="CP1012" s="100"/>
      <c r="CQ1012" s="100"/>
      <c r="CR1012" s="100"/>
      <c r="CS1012" s="100"/>
      <c r="CT1012" s="100"/>
      <c r="CU1012" s="100"/>
    </row>
    <row r="1013" spans="6:99" s="36" customFormat="1" ht="11.1" customHeight="1" x14ac:dyDescent="0.25">
      <c r="F1013" s="33"/>
      <c r="G1013" s="33"/>
      <c r="H1013" s="33"/>
      <c r="I1013" s="34"/>
      <c r="J1013" s="34"/>
      <c r="K1013" s="14"/>
      <c r="L1013" s="32"/>
      <c r="M1013" s="14"/>
      <c r="N1013" s="14"/>
      <c r="O1013" s="2"/>
      <c r="P1013"/>
      <c r="Q1013" s="2"/>
      <c r="R1013"/>
      <c r="S1013"/>
      <c r="T1013"/>
      <c r="U1013" s="2"/>
      <c r="V1013" s="2"/>
      <c r="W1013" s="2"/>
      <c r="X1013" s="2"/>
      <c r="Y1013" s="2"/>
      <c r="Z1013" s="11"/>
      <c r="AA1013" s="15"/>
      <c r="AB1013" s="15"/>
      <c r="AC1013" s="15"/>
      <c r="AD1013" s="35"/>
      <c r="AE1013" s="99"/>
      <c r="AF1013" s="99"/>
      <c r="AG1013" s="35"/>
      <c r="AH1013" s="35"/>
      <c r="AI1013" s="35"/>
      <c r="AJ1013" s="1"/>
      <c r="AK1013" s="1"/>
      <c r="AL1013" s="1"/>
      <c r="AM1013" s="1"/>
      <c r="AN1013" s="1"/>
      <c r="AO1013" s="1"/>
      <c r="AP1013"/>
      <c r="AQ1013"/>
      <c r="AR1013"/>
      <c r="AS1013"/>
      <c r="AT1013" s="50"/>
      <c r="AU1013" s="97"/>
      <c r="AV1013" s="97"/>
      <c r="AW1013" s="97"/>
      <c r="AX1013" s="97"/>
      <c r="AY1013" s="97"/>
      <c r="BD1013" s="35"/>
      <c r="BE1013" s="35"/>
      <c r="BV1013" s="98"/>
      <c r="BW1013" s="98"/>
      <c r="BX1013" s="98"/>
      <c r="BY1013" s="112"/>
      <c r="BZ1013" s="112"/>
      <c r="CA1013" s="112"/>
      <c r="CB1013" s="98"/>
      <c r="CC1013" s="98"/>
      <c r="CD1013" s="98"/>
      <c r="CE1013" s="98"/>
      <c r="CG1013" s="100"/>
      <c r="CH1013" s="100"/>
      <c r="CI1013" s="100"/>
      <c r="CJ1013" s="100"/>
      <c r="CK1013" s="100"/>
      <c r="CL1013" s="100"/>
      <c r="CM1013" s="100"/>
      <c r="CN1013" s="100"/>
      <c r="CO1013" s="100"/>
      <c r="CP1013" s="100"/>
      <c r="CQ1013" s="100"/>
      <c r="CR1013" s="100"/>
      <c r="CS1013" s="100"/>
      <c r="CT1013" s="100"/>
      <c r="CU1013" s="100"/>
    </row>
    <row r="1014" spans="6:99" s="36" customFormat="1" ht="11.1" customHeight="1" x14ac:dyDescent="0.25">
      <c r="F1014" s="33"/>
      <c r="G1014" s="33"/>
      <c r="H1014" s="33"/>
      <c r="I1014" s="34"/>
      <c r="J1014" s="34"/>
      <c r="K1014" s="14"/>
      <c r="L1014" s="32"/>
      <c r="M1014" s="14"/>
      <c r="N1014" s="14"/>
      <c r="O1014" s="2"/>
      <c r="P1014"/>
      <c r="Q1014" s="2"/>
      <c r="R1014"/>
      <c r="S1014"/>
      <c r="T1014"/>
      <c r="U1014" s="2"/>
      <c r="V1014" s="2"/>
      <c r="W1014" s="2"/>
      <c r="X1014" s="2"/>
      <c r="Y1014" s="2"/>
      <c r="Z1014" s="11"/>
      <c r="AA1014" s="15"/>
      <c r="AB1014" s="15"/>
      <c r="AC1014" s="15"/>
      <c r="AD1014" s="35"/>
      <c r="AE1014" s="99"/>
      <c r="AF1014" s="99"/>
      <c r="AG1014" s="35"/>
      <c r="AH1014" s="35"/>
      <c r="AI1014" s="35"/>
      <c r="AJ1014" s="1"/>
      <c r="AK1014" s="1"/>
      <c r="AL1014" s="1"/>
      <c r="AM1014" s="1"/>
      <c r="AN1014" s="1"/>
      <c r="AO1014" s="1"/>
      <c r="AP1014"/>
      <c r="AQ1014"/>
      <c r="AR1014"/>
      <c r="AS1014"/>
      <c r="AT1014" s="50"/>
      <c r="AU1014" s="97"/>
      <c r="AV1014" s="97"/>
      <c r="AW1014" s="97"/>
      <c r="AX1014" s="97"/>
      <c r="AY1014" s="97"/>
      <c r="BD1014" s="35"/>
      <c r="BE1014" s="35"/>
      <c r="BV1014" s="98"/>
      <c r="BW1014" s="98"/>
      <c r="BX1014" s="98"/>
      <c r="BY1014" s="112"/>
      <c r="BZ1014" s="112"/>
      <c r="CA1014" s="112"/>
      <c r="CB1014" s="98"/>
      <c r="CC1014" s="98"/>
      <c r="CD1014" s="98"/>
      <c r="CE1014" s="98"/>
      <c r="CG1014" s="100"/>
      <c r="CH1014" s="100"/>
      <c r="CI1014" s="100"/>
      <c r="CJ1014" s="100"/>
      <c r="CK1014" s="100"/>
      <c r="CL1014" s="100"/>
      <c r="CM1014" s="100"/>
      <c r="CN1014" s="100"/>
      <c r="CO1014" s="100"/>
      <c r="CP1014" s="100"/>
      <c r="CQ1014" s="100"/>
      <c r="CR1014" s="100"/>
      <c r="CS1014" s="100"/>
      <c r="CT1014" s="100"/>
      <c r="CU1014" s="100"/>
    </row>
    <row r="1015" spans="6:99" s="36" customFormat="1" ht="11.1" customHeight="1" x14ac:dyDescent="0.25">
      <c r="F1015" s="33"/>
      <c r="G1015" s="33"/>
      <c r="H1015" s="33"/>
      <c r="I1015" s="34"/>
      <c r="J1015" s="34"/>
      <c r="K1015" s="14"/>
      <c r="L1015" s="32"/>
      <c r="M1015" s="14"/>
      <c r="N1015" s="14"/>
      <c r="O1015" s="2"/>
      <c r="P1015"/>
      <c r="Q1015" s="2"/>
      <c r="R1015"/>
      <c r="S1015"/>
      <c r="T1015"/>
      <c r="U1015" s="2"/>
      <c r="V1015" s="2"/>
      <c r="W1015" s="2"/>
      <c r="X1015" s="2"/>
      <c r="Y1015" s="2"/>
      <c r="Z1015" s="11"/>
      <c r="AA1015" s="15"/>
      <c r="AB1015" s="15"/>
      <c r="AC1015" s="15"/>
      <c r="AD1015" s="35"/>
      <c r="AE1015" s="99"/>
      <c r="AF1015" s="99"/>
      <c r="AG1015" s="35"/>
      <c r="AH1015" s="35"/>
      <c r="AI1015" s="35"/>
      <c r="AJ1015" s="1"/>
      <c r="AK1015" s="1"/>
      <c r="AL1015" s="1"/>
      <c r="AM1015" s="1"/>
      <c r="AN1015" s="1"/>
      <c r="AO1015" s="1"/>
      <c r="AP1015"/>
      <c r="AQ1015"/>
      <c r="AR1015"/>
      <c r="AS1015"/>
      <c r="AT1015" s="50"/>
      <c r="AU1015" s="97"/>
      <c r="AV1015" s="97"/>
      <c r="AW1015" s="97"/>
      <c r="AX1015" s="97"/>
      <c r="AY1015" s="97"/>
      <c r="BD1015" s="35"/>
      <c r="BE1015" s="35"/>
      <c r="BV1015" s="98"/>
      <c r="BW1015" s="98"/>
      <c r="BX1015" s="98"/>
      <c r="BY1015" s="112"/>
      <c r="BZ1015" s="112"/>
      <c r="CA1015" s="112"/>
      <c r="CB1015" s="98"/>
      <c r="CC1015" s="98"/>
      <c r="CD1015" s="98"/>
      <c r="CE1015" s="98"/>
      <c r="CG1015" s="100"/>
      <c r="CH1015" s="100"/>
      <c r="CI1015" s="100"/>
      <c r="CJ1015" s="100"/>
      <c r="CK1015" s="100"/>
      <c r="CL1015" s="100"/>
      <c r="CM1015" s="100"/>
      <c r="CN1015" s="100"/>
      <c r="CO1015" s="100"/>
      <c r="CP1015" s="100"/>
      <c r="CQ1015" s="100"/>
      <c r="CR1015" s="100"/>
      <c r="CS1015" s="100"/>
      <c r="CT1015" s="100"/>
      <c r="CU1015" s="100"/>
    </row>
    <row r="1016" spans="6:99" s="36" customFormat="1" ht="11.1" customHeight="1" x14ac:dyDescent="0.25">
      <c r="F1016" s="33"/>
      <c r="G1016" s="33"/>
      <c r="H1016" s="33"/>
      <c r="I1016" s="34"/>
      <c r="J1016" s="34"/>
      <c r="K1016" s="14"/>
      <c r="L1016" s="32"/>
      <c r="M1016" s="14"/>
      <c r="N1016" s="14"/>
      <c r="O1016" s="2"/>
      <c r="P1016"/>
      <c r="Q1016" s="2"/>
      <c r="R1016"/>
      <c r="S1016"/>
      <c r="T1016"/>
      <c r="U1016" s="2"/>
      <c r="V1016" s="2"/>
      <c r="W1016" s="2"/>
      <c r="X1016" s="2"/>
      <c r="Y1016" s="2"/>
      <c r="Z1016" s="11"/>
      <c r="AA1016" s="15"/>
      <c r="AB1016" s="15"/>
      <c r="AC1016" s="15"/>
      <c r="AD1016" s="35"/>
      <c r="AE1016" s="99"/>
      <c r="AF1016" s="99"/>
      <c r="AG1016" s="35"/>
      <c r="AH1016" s="35"/>
      <c r="AI1016" s="35"/>
      <c r="AJ1016" s="1"/>
      <c r="AK1016" s="1"/>
      <c r="AL1016" s="1"/>
      <c r="AM1016" s="1"/>
      <c r="AN1016" s="1"/>
      <c r="AO1016" s="1"/>
      <c r="AP1016"/>
      <c r="AQ1016"/>
      <c r="AR1016"/>
      <c r="AS1016"/>
      <c r="AT1016" s="50"/>
      <c r="AU1016" s="97"/>
      <c r="AV1016" s="97"/>
      <c r="AW1016" s="97"/>
      <c r="AX1016" s="97"/>
      <c r="AY1016" s="97"/>
      <c r="BD1016" s="35"/>
      <c r="BE1016" s="35"/>
      <c r="BV1016" s="98"/>
      <c r="BW1016" s="98"/>
      <c r="BX1016" s="98"/>
      <c r="BY1016" s="112"/>
      <c r="BZ1016" s="112"/>
      <c r="CA1016" s="112"/>
      <c r="CB1016" s="98"/>
      <c r="CC1016" s="98"/>
      <c r="CD1016" s="98"/>
      <c r="CE1016" s="98"/>
      <c r="CG1016" s="100"/>
      <c r="CH1016" s="100"/>
      <c r="CI1016" s="100"/>
      <c r="CJ1016" s="100"/>
      <c r="CK1016" s="100"/>
      <c r="CL1016" s="100"/>
      <c r="CM1016" s="100"/>
      <c r="CN1016" s="100"/>
      <c r="CO1016" s="100"/>
      <c r="CP1016" s="100"/>
      <c r="CQ1016" s="100"/>
      <c r="CR1016" s="100"/>
      <c r="CS1016" s="100"/>
      <c r="CT1016" s="100"/>
      <c r="CU1016" s="100"/>
    </row>
    <row r="1017" spans="6:99" s="36" customFormat="1" ht="11.1" customHeight="1" x14ac:dyDescent="0.25">
      <c r="F1017" s="33"/>
      <c r="G1017" s="33"/>
      <c r="H1017" s="33"/>
      <c r="I1017" s="34"/>
      <c r="J1017" s="34"/>
      <c r="K1017" s="14"/>
      <c r="L1017" s="32"/>
      <c r="M1017" s="14"/>
      <c r="N1017" s="14"/>
      <c r="O1017" s="2"/>
      <c r="P1017"/>
      <c r="Q1017" s="2"/>
      <c r="R1017"/>
      <c r="S1017"/>
      <c r="T1017"/>
      <c r="U1017" s="2"/>
      <c r="V1017" s="2"/>
      <c r="W1017" s="2"/>
      <c r="X1017" s="2"/>
      <c r="Y1017" s="2"/>
      <c r="Z1017" s="11"/>
      <c r="AA1017" s="15"/>
      <c r="AB1017" s="15"/>
      <c r="AC1017" s="15"/>
      <c r="AD1017" s="35"/>
      <c r="AE1017" s="99"/>
      <c r="AF1017" s="99"/>
      <c r="AG1017" s="35"/>
      <c r="AH1017" s="35"/>
      <c r="AI1017" s="35"/>
      <c r="AJ1017" s="1"/>
      <c r="AK1017" s="1"/>
      <c r="AL1017" s="1"/>
      <c r="AM1017" s="1"/>
      <c r="AN1017" s="1"/>
      <c r="AO1017" s="1"/>
      <c r="AP1017"/>
      <c r="AQ1017"/>
      <c r="AR1017"/>
      <c r="AS1017"/>
      <c r="AT1017" s="50"/>
      <c r="AU1017" s="97"/>
      <c r="AV1017" s="97"/>
      <c r="AW1017" s="97"/>
      <c r="AX1017" s="97"/>
      <c r="AY1017" s="97"/>
      <c r="BD1017" s="35"/>
      <c r="BE1017" s="35"/>
      <c r="BV1017" s="98"/>
      <c r="BW1017" s="98"/>
      <c r="BX1017" s="98"/>
      <c r="BY1017" s="112"/>
      <c r="BZ1017" s="112"/>
      <c r="CA1017" s="112"/>
      <c r="CB1017" s="98"/>
      <c r="CC1017" s="98"/>
      <c r="CD1017" s="98"/>
      <c r="CE1017" s="98"/>
      <c r="CG1017" s="100"/>
      <c r="CH1017" s="100"/>
      <c r="CI1017" s="100"/>
      <c r="CJ1017" s="100"/>
      <c r="CK1017" s="100"/>
      <c r="CL1017" s="100"/>
      <c r="CM1017" s="100"/>
      <c r="CN1017" s="100"/>
      <c r="CO1017" s="100"/>
      <c r="CP1017" s="100"/>
      <c r="CQ1017" s="100"/>
      <c r="CR1017" s="100"/>
      <c r="CS1017" s="100"/>
      <c r="CT1017" s="100"/>
      <c r="CU1017" s="100"/>
    </row>
    <row r="1018" spans="6:99" s="36" customFormat="1" ht="11.1" customHeight="1" x14ac:dyDescent="0.25">
      <c r="F1018" s="33"/>
      <c r="G1018" s="33"/>
      <c r="H1018" s="33"/>
      <c r="I1018" s="34"/>
      <c r="J1018" s="34"/>
      <c r="K1018" s="14"/>
      <c r="L1018" s="32"/>
      <c r="M1018" s="14"/>
      <c r="N1018" s="14"/>
      <c r="O1018" s="2"/>
      <c r="P1018"/>
      <c r="Q1018" s="2"/>
      <c r="R1018"/>
      <c r="S1018"/>
      <c r="T1018"/>
      <c r="U1018" s="2"/>
      <c r="V1018" s="2"/>
      <c r="W1018" s="2"/>
      <c r="X1018" s="2"/>
      <c r="Y1018" s="2"/>
      <c r="Z1018" s="11"/>
      <c r="AA1018" s="15"/>
      <c r="AB1018" s="15"/>
      <c r="AC1018" s="15"/>
      <c r="AD1018" s="35"/>
      <c r="AE1018" s="99"/>
      <c r="AF1018" s="99"/>
      <c r="AG1018" s="35"/>
      <c r="AH1018" s="35"/>
      <c r="AI1018" s="35"/>
      <c r="AJ1018" s="1"/>
      <c r="AK1018" s="1"/>
      <c r="AL1018" s="1"/>
      <c r="AM1018" s="1"/>
      <c r="AN1018" s="1"/>
      <c r="AO1018" s="1"/>
      <c r="AP1018"/>
      <c r="AQ1018"/>
      <c r="AR1018"/>
      <c r="AS1018"/>
      <c r="AT1018" s="50"/>
      <c r="AU1018" s="97"/>
      <c r="AV1018" s="97"/>
      <c r="AW1018" s="97"/>
      <c r="AX1018" s="97"/>
      <c r="AY1018" s="97"/>
      <c r="BD1018" s="35"/>
      <c r="BE1018" s="35"/>
      <c r="BV1018" s="98"/>
      <c r="BW1018" s="98"/>
      <c r="BX1018" s="98"/>
      <c r="BY1018" s="112"/>
      <c r="BZ1018" s="112"/>
      <c r="CA1018" s="112"/>
      <c r="CB1018" s="98"/>
      <c r="CC1018" s="98"/>
      <c r="CD1018" s="98"/>
      <c r="CE1018" s="98"/>
      <c r="CG1018" s="100"/>
      <c r="CH1018" s="100"/>
      <c r="CI1018" s="100"/>
      <c r="CJ1018" s="100"/>
      <c r="CK1018" s="100"/>
      <c r="CL1018" s="100"/>
      <c r="CM1018" s="100"/>
      <c r="CN1018" s="100"/>
      <c r="CO1018" s="100"/>
      <c r="CP1018" s="100"/>
      <c r="CQ1018" s="100"/>
      <c r="CR1018" s="100"/>
      <c r="CS1018" s="100"/>
      <c r="CT1018" s="100"/>
      <c r="CU1018" s="100"/>
    </row>
    <row r="1019" spans="6:99" s="36" customFormat="1" ht="11.1" customHeight="1" x14ac:dyDescent="0.25">
      <c r="F1019" s="33"/>
      <c r="G1019" s="33"/>
      <c r="H1019" s="33"/>
      <c r="I1019" s="34"/>
      <c r="J1019" s="34"/>
      <c r="K1019" s="14"/>
      <c r="L1019" s="32"/>
      <c r="M1019" s="14"/>
      <c r="N1019" s="14"/>
      <c r="O1019" s="2"/>
      <c r="P1019"/>
      <c r="Q1019" s="2"/>
      <c r="R1019"/>
      <c r="S1019"/>
      <c r="T1019"/>
      <c r="U1019" s="2"/>
      <c r="V1019" s="2"/>
      <c r="W1019" s="2"/>
      <c r="X1019" s="2"/>
      <c r="Y1019" s="2"/>
      <c r="Z1019" s="11"/>
      <c r="AA1019" s="15"/>
      <c r="AB1019" s="15"/>
      <c r="AC1019" s="15"/>
      <c r="AD1019" s="35"/>
      <c r="AE1019" s="99"/>
      <c r="AF1019" s="99"/>
      <c r="AG1019" s="35"/>
      <c r="AH1019" s="35"/>
      <c r="AI1019" s="35"/>
      <c r="AJ1019" s="1"/>
      <c r="AK1019" s="1"/>
      <c r="AL1019" s="1"/>
      <c r="AM1019" s="1"/>
      <c r="AN1019" s="1"/>
      <c r="AO1019" s="1"/>
      <c r="AP1019"/>
      <c r="AQ1019"/>
      <c r="AR1019"/>
      <c r="AS1019"/>
      <c r="AT1019" s="50"/>
      <c r="AU1019" s="97"/>
      <c r="AV1019" s="97"/>
      <c r="AW1019" s="97"/>
      <c r="AX1019" s="97"/>
      <c r="AY1019" s="97"/>
      <c r="BD1019" s="35"/>
      <c r="BE1019" s="35"/>
      <c r="BV1019" s="98"/>
      <c r="BW1019" s="98"/>
      <c r="BX1019" s="98"/>
      <c r="BY1019" s="112"/>
      <c r="BZ1019" s="112"/>
      <c r="CA1019" s="112"/>
      <c r="CB1019" s="98"/>
      <c r="CC1019" s="98"/>
      <c r="CD1019" s="98"/>
      <c r="CE1019" s="98"/>
      <c r="CG1019" s="100"/>
      <c r="CH1019" s="100"/>
      <c r="CI1019" s="100"/>
      <c r="CJ1019" s="100"/>
      <c r="CK1019" s="100"/>
      <c r="CL1019" s="100"/>
      <c r="CM1019" s="100"/>
      <c r="CN1019" s="100"/>
      <c r="CO1019" s="100"/>
      <c r="CP1019" s="100"/>
      <c r="CQ1019" s="100"/>
      <c r="CR1019" s="100"/>
      <c r="CS1019" s="100"/>
      <c r="CT1019" s="100"/>
      <c r="CU1019" s="100"/>
    </row>
    <row r="1020" spans="6:99" s="36" customFormat="1" ht="11.1" customHeight="1" x14ac:dyDescent="0.25">
      <c r="F1020" s="33"/>
      <c r="G1020" s="33"/>
      <c r="H1020" s="33"/>
      <c r="I1020" s="34"/>
      <c r="J1020" s="34"/>
      <c r="K1020" s="14"/>
      <c r="L1020" s="32"/>
      <c r="M1020" s="14"/>
      <c r="N1020" s="14"/>
      <c r="O1020" s="2"/>
      <c r="P1020"/>
      <c r="Q1020" s="2"/>
      <c r="R1020"/>
      <c r="S1020"/>
      <c r="T1020"/>
      <c r="U1020" s="2"/>
      <c r="V1020" s="2"/>
      <c r="W1020" s="2"/>
      <c r="X1020" s="2"/>
      <c r="Y1020" s="2"/>
      <c r="Z1020" s="11"/>
      <c r="AA1020" s="15"/>
      <c r="AB1020" s="15"/>
      <c r="AC1020" s="15"/>
      <c r="AD1020" s="35"/>
      <c r="AE1020" s="99"/>
      <c r="AF1020" s="99"/>
      <c r="AG1020" s="35"/>
      <c r="AH1020" s="35"/>
      <c r="AI1020" s="35"/>
      <c r="AJ1020" s="1"/>
      <c r="AK1020" s="1"/>
      <c r="AL1020" s="1"/>
      <c r="AM1020" s="1"/>
      <c r="AN1020" s="1"/>
      <c r="AO1020" s="1"/>
      <c r="AP1020"/>
      <c r="AQ1020"/>
      <c r="AR1020"/>
      <c r="AS1020"/>
      <c r="AT1020" s="50"/>
      <c r="AU1020" s="97"/>
      <c r="AV1020" s="97"/>
      <c r="AW1020" s="97"/>
      <c r="AX1020" s="97"/>
      <c r="AY1020" s="97"/>
      <c r="BD1020" s="35"/>
      <c r="BE1020" s="35"/>
      <c r="BV1020" s="98"/>
      <c r="BW1020" s="98"/>
      <c r="BX1020" s="98"/>
      <c r="BY1020" s="112"/>
      <c r="BZ1020" s="112"/>
      <c r="CA1020" s="112"/>
      <c r="CB1020" s="98"/>
      <c r="CC1020" s="98"/>
      <c r="CD1020" s="98"/>
      <c r="CE1020" s="98"/>
      <c r="CG1020" s="100"/>
      <c r="CH1020" s="100"/>
      <c r="CI1020" s="100"/>
      <c r="CJ1020" s="100"/>
      <c r="CK1020" s="100"/>
      <c r="CL1020" s="100"/>
      <c r="CM1020" s="100"/>
      <c r="CN1020" s="100"/>
      <c r="CO1020" s="100"/>
      <c r="CP1020" s="100"/>
      <c r="CQ1020" s="100"/>
      <c r="CR1020" s="100"/>
      <c r="CS1020" s="100"/>
      <c r="CT1020" s="100"/>
      <c r="CU1020" s="100"/>
    </row>
    <row r="1021" spans="6:99" s="36" customFormat="1" ht="11.1" customHeight="1" x14ac:dyDescent="0.25">
      <c r="F1021" s="33"/>
      <c r="G1021" s="33"/>
      <c r="H1021" s="33"/>
      <c r="I1021" s="34"/>
      <c r="J1021" s="34"/>
      <c r="K1021" s="14"/>
      <c r="L1021" s="32"/>
      <c r="M1021" s="14"/>
      <c r="N1021" s="14"/>
      <c r="O1021" s="2"/>
      <c r="P1021"/>
      <c r="Q1021" s="2"/>
      <c r="R1021"/>
      <c r="S1021"/>
      <c r="T1021"/>
      <c r="U1021" s="2"/>
      <c r="V1021" s="2"/>
      <c r="W1021" s="2"/>
      <c r="X1021" s="2"/>
      <c r="Y1021" s="2"/>
      <c r="Z1021" s="11"/>
      <c r="AA1021" s="15"/>
      <c r="AB1021" s="15"/>
      <c r="AC1021" s="15"/>
      <c r="AD1021" s="35"/>
      <c r="AE1021" s="99"/>
      <c r="AF1021" s="99"/>
      <c r="AG1021" s="35"/>
      <c r="AH1021" s="35"/>
      <c r="AI1021" s="35"/>
      <c r="AJ1021" s="1"/>
      <c r="AK1021" s="1"/>
      <c r="AL1021" s="1"/>
      <c r="AM1021" s="1"/>
      <c r="AN1021" s="1"/>
      <c r="AO1021" s="1"/>
      <c r="AP1021"/>
      <c r="AQ1021"/>
      <c r="AR1021"/>
      <c r="AS1021"/>
      <c r="AT1021" s="50"/>
      <c r="AU1021" s="97"/>
      <c r="AV1021" s="97"/>
      <c r="AW1021" s="97"/>
      <c r="AX1021" s="97"/>
      <c r="AY1021" s="97"/>
      <c r="BD1021" s="35"/>
      <c r="BE1021" s="35"/>
      <c r="BV1021" s="98"/>
      <c r="BW1021" s="98"/>
      <c r="BX1021" s="98"/>
      <c r="BY1021" s="112"/>
      <c r="BZ1021" s="112"/>
      <c r="CA1021" s="112"/>
      <c r="CB1021" s="98"/>
      <c r="CC1021" s="98"/>
      <c r="CD1021" s="98"/>
      <c r="CE1021" s="98"/>
      <c r="CG1021" s="100"/>
      <c r="CH1021" s="100"/>
      <c r="CI1021" s="100"/>
      <c r="CJ1021" s="100"/>
      <c r="CK1021" s="100"/>
      <c r="CL1021" s="100"/>
      <c r="CM1021" s="100"/>
      <c r="CN1021" s="100"/>
      <c r="CO1021" s="100"/>
      <c r="CP1021" s="100"/>
      <c r="CQ1021" s="100"/>
      <c r="CR1021" s="100"/>
      <c r="CS1021" s="100"/>
      <c r="CT1021" s="100"/>
      <c r="CU1021" s="100"/>
    </row>
    <row r="1022" spans="6:99" s="36" customFormat="1" ht="11.1" customHeight="1" x14ac:dyDescent="0.25">
      <c r="F1022" s="33"/>
      <c r="G1022" s="33"/>
      <c r="H1022" s="33"/>
      <c r="I1022" s="34"/>
      <c r="J1022" s="34"/>
      <c r="K1022" s="14"/>
      <c r="L1022" s="32"/>
      <c r="M1022" s="14"/>
      <c r="N1022" s="14"/>
      <c r="O1022" s="2"/>
      <c r="P1022"/>
      <c r="Q1022" s="2"/>
      <c r="R1022"/>
      <c r="S1022"/>
      <c r="T1022"/>
      <c r="U1022" s="2"/>
      <c r="V1022" s="2"/>
      <c r="W1022" s="2"/>
      <c r="X1022" s="2"/>
      <c r="Y1022" s="2"/>
      <c r="Z1022" s="11"/>
      <c r="AA1022" s="15"/>
      <c r="AB1022" s="15"/>
      <c r="AC1022" s="15"/>
      <c r="AD1022" s="35"/>
      <c r="AE1022" s="99"/>
      <c r="AF1022" s="99"/>
      <c r="AG1022" s="35"/>
      <c r="AH1022" s="35"/>
      <c r="AI1022" s="35"/>
      <c r="AJ1022" s="1"/>
      <c r="AK1022" s="1"/>
      <c r="AL1022" s="1"/>
      <c r="AM1022" s="1"/>
      <c r="AN1022" s="1"/>
      <c r="AO1022" s="1"/>
      <c r="AP1022"/>
      <c r="AQ1022"/>
      <c r="AR1022"/>
      <c r="AS1022"/>
      <c r="AT1022" s="50"/>
      <c r="AU1022" s="97"/>
      <c r="AV1022" s="97"/>
      <c r="AW1022" s="97"/>
      <c r="AX1022" s="97"/>
      <c r="AY1022" s="97"/>
      <c r="BD1022" s="35"/>
      <c r="BE1022" s="35"/>
      <c r="BV1022" s="98"/>
      <c r="BW1022" s="98"/>
      <c r="BX1022" s="98"/>
      <c r="BY1022" s="112"/>
      <c r="BZ1022" s="112"/>
      <c r="CA1022" s="112"/>
      <c r="CB1022" s="98"/>
      <c r="CC1022" s="98"/>
      <c r="CD1022" s="98"/>
      <c r="CE1022" s="98"/>
      <c r="CG1022" s="100"/>
      <c r="CH1022" s="100"/>
      <c r="CI1022" s="100"/>
      <c r="CJ1022" s="100"/>
      <c r="CK1022" s="100"/>
      <c r="CL1022" s="100"/>
      <c r="CM1022" s="100"/>
      <c r="CN1022" s="100"/>
      <c r="CO1022" s="100"/>
      <c r="CP1022" s="100"/>
      <c r="CQ1022" s="100"/>
      <c r="CR1022" s="100"/>
      <c r="CS1022" s="100"/>
      <c r="CT1022" s="100"/>
      <c r="CU1022" s="100"/>
    </row>
    <row r="1023" spans="6:99" s="36" customFormat="1" ht="11.1" customHeight="1" x14ac:dyDescent="0.25">
      <c r="F1023" s="33"/>
      <c r="G1023" s="33"/>
      <c r="H1023" s="33"/>
      <c r="I1023" s="34"/>
      <c r="J1023" s="34"/>
      <c r="K1023" s="14"/>
      <c r="L1023" s="32"/>
      <c r="M1023" s="14"/>
      <c r="N1023" s="14"/>
      <c r="O1023" s="2"/>
      <c r="P1023"/>
      <c r="Q1023" s="2"/>
      <c r="R1023"/>
      <c r="S1023"/>
      <c r="T1023"/>
      <c r="U1023" s="2"/>
      <c r="V1023" s="2"/>
      <c r="W1023" s="2"/>
      <c r="X1023" s="2"/>
      <c r="Y1023" s="2"/>
      <c r="Z1023" s="11"/>
      <c r="AA1023" s="15"/>
      <c r="AB1023" s="15"/>
      <c r="AC1023" s="15"/>
      <c r="AD1023" s="35"/>
      <c r="AE1023" s="99"/>
      <c r="AF1023" s="99"/>
      <c r="AG1023" s="35"/>
      <c r="AH1023" s="35"/>
      <c r="AI1023" s="35"/>
      <c r="AJ1023" s="1"/>
      <c r="AK1023" s="1"/>
      <c r="AL1023" s="1"/>
      <c r="AM1023" s="1"/>
      <c r="AN1023" s="1"/>
      <c r="AO1023" s="1"/>
      <c r="AP1023"/>
      <c r="AQ1023"/>
      <c r="AR1023"/>
      <c r="AS1023"/>
      <c r="AT1023" s="50"/>
      <c r="AU1023" s="97"/>
      <c r="AV1023" s="97"/>
      <c r="AW1023" s="97"/>
      <c r="AX1023" s="97"/>
      <c r="AY1023" s="97"/>
      <c r="BD1023" s="35"/>
      <c r="BE1023" s="35"/>
      <c r="BV1023" s="98"/>
      <c r="BW1023" s="98"/>
      <c r="BX1023" s="98"/>
      <c r="BY1023" s="112"/>
      <c r="BZ1023" s="112"/>
      <c r="CA1023" s="112"/>
      <c r="CB1023" s="98"/>
      <c r="CC1023" s="98"/>
      <c r="CD1023" s="98"/>
      <c r="CE1023" s="98"/>
      <c r="CG1023" s="100"/>
      <c r="CH1023" s="100"/>
      <c r="CI1023" s="100"/>
      <c r="CJ1023" s="100"/>
      <c r="CK1023" s="100"/>
      <c r="CL1023" s="100"/>
      <c r="CM1023" s="100"/>
      <c r="CN1023" s="100"/>
      <c r="CO1023" s="100"/>
      <c r="CP1023" s="100"/>
      <c r="CQ1023" s="100"/>
      <c r="CR1023" s="100"/>
      <c r="CS1023" s="100"/>
      <c r="CT1023" s="100"/>
      <c r="CU1023" s="100"/>
    </row>
    <row r="1024" spans="6:99" s="36" customFormat="1" ht="11.1" customHeight="1" x14ac:dyDescent="0.25">
      <c r="F1024" s="33"/>
      <c r="G1024" s="33"/>
      <c r="H1024" s="33"/>
      <c r="I1024" s="34"/>
      <c r="J1024" s="34"/>
      <c r="K1024" s="14"/>
      <c r="L1024" s="32"/>
      <c r="M1024" s="14"/>
      <c r="N1024" s="14"/>
      <c r="O1024" s="2"/>
      <c r="P1024"/>
      <c r="Q1024" s="2"/>
      <c r="R1024"/>
      <c r="S1024"/>
      <c r="T1024"/>
      <c r="U1024" s="2"/>
      <c r="V1024" s="2"/>
      <c r="W1024" s="2"/>
      <c r="X1024" s="2"/>
      <c r="Y1024" s="2"/>
      <c r="Z1024" s="11"/>
      <c r="AA1024" s="15"/>
      <c r="AB1024" s="15"/>
      <c r="AC1024" s="15"/>
      <c r="AD1024" s="35"/>
      <c r="AE1024" s="99"/>
      <c r="AF1024" s="99"/>
      <c r="AG1024" s="35"/>
      <c r="AH1024" s="35"/>
      <c r="AI1024" s="35"/>
      <c r="AJ1024" s="1"/>
      <c r="AK1024" s="1"/>
      <c r="AL1024" s="1"/>
      <c r="AM1024" s="1"/>
      <c r="AN1024" s="1"/>
      <c r="AO1024" s="1"/>
      <c r="AP1024"/>
      <c r="AQ1024"/>
      <c r="AR1024"/>
      <c r="AS1024"/>
      <c r="AT1024" s="50"/>
      <c r="AU1024" s="97"/>
      <c r="AV1024" s="97"/>
      <c r="AW1024" s="97"/>
      <c r="AX1024" s="97"/>
      <c r="AY1024" s="97"/>
      <c r="BD1024" s="35"/>
      <c r="BE1024" s="35"/>
      <c r="BV1024" s="98"/>
      <c r="BW1024" s="98"/>
      <c r="BX1024" s="98"/>
      <c r="BY1024" s="112"/>
      <c r="BZ1024" s="112"/>
      <c r="CA1024" s="112"/>
      <c r="CB1024" s="98"/>
      <c r="CC1024" s="98"/>
      <c r="CD1024" s="98"/>
      <c r="CE1024" s="98"/>
      <c r="CG1024" s="100"/>
      <c r="CH1024" s="100"/>
      <c r="CI1024" s="100"/>
      <c r="CJ1024" s="100"/>
      <c r="CK1024" s="100"/>
      <c r="CL1024" s="100"/>
      <c r="CM1024" s="100"/>
      <c r="CN1024" s="100"/>
      <c r="CO1024" s="100"/>
      <c r="CP1024" s="100"/>
      <c r="CQ1024" s="100"/>
      <c r="CR1024" s="100"/>
      <c r="CS1024" s="100"/>
      <c r="CT1024" s="100"/>
      <c r="CU1024" s="100"/>
    </row>
    <row r="1025" spans="6:99" s="36" customFormat="1" ht="11.1" customHeight="1" x14ac:dyDescent="0.25">
      <c r="F1025" s="33"/>
      <c r="G1025" s="33"/>
      <c r="H1025" s="33"/>
      <c r="I1025" s="34"/>
      <c r="J1025" s="34"/>
      <c r="K1025" s="14"/>
      <c r="L1025" s="32"/>
      <c r="M1025" s="14"/>
      <c r="N1025" s="14"/>
      <c r="O1025" s="2"/>
      <c r="P1025"/>
      <c r="Q1025" s="2"/>
      <c r="R1025"/>
      <c r="S1025"/>
      <c r="T1025"/>
      <c r="U1025" s="2"/>
      <c r="V1025" s="2"/>
      <c r="W1025" s="2"/>
      <c r="X1025" s="2"/>
      <c r="Y1025" s="2"/>
      <c r="Z1025" s="11"/>
      <c r="AA1025" s="15"/>
      <c r="AB1025" s="15"/>
      <c r="AC1025" s="15"/>
      <c r="AD1025" s="35"/>
      <c r="AE1025" s="99"/>
      <c r="AF1025" s="99"/>
      <c r="AG1025" s="35"/>
      <c r="AH1025" s="35"/>
      <c r="AI1025" s="35"/>
      <c r="AJ1025" s="1"/>
      <c r="AK1025" s="1"/>
      <c r="AL1025" s="1"/>
      <c r="AM1025" s="1"/>
      <c r="AN1025" s="1"/>
      <c r="AO1025" s="1"/>
      <c r="AP1025"/>
      <c r="AQ1025"/>
      <c r="AR1025"/>
      <c r="AS1025"/>
      <c r="AT1025" s="50"/>
      <c r="AU1025" s="97"/>
      <c r="AV1025" s="97"/>
      <c r="AW1025" s="97"/>
      <c r="AX1025" s="97"/>
      <c r="AY1025" s="97"/>
      <c r="BD1025" s="35"/>
      <c r="BE1025" s="35"/>
      <c r="BV1025" s="98"/>
      <c r="BW1025" s="98"/>
      <c r="BX1025" s="98"/>
      <c r="BY1025" s="112"/>
      <c r="BZ1025" s="112"/>
      <c r="CA1025" s="112"/>
      <c r="CB1025" s="98"/>
      <c r="CC1025" s="98"/>
      <c r="CD1025" s="98"/>
      <c r="CE1025" s="98"/>
      <c r="CG1025" s="100"/>
      <c r="CH1025" s="100"/>
      <c r="CI1025" s="100"/>
      <c r="CJ1025" s="100"/>
      <c r="CK1025" s="100"/>
      <c r="CL1025" s="100"/>
      <c r="CM1025" s="100"/>
      <c r="CN1025" s="100"/>
      <c r="CO1025" s="100"/>
      <c r="CP1025" s="100"/>
      <c r="CQ1025" s="100"/>
      <c r="CR1025" s="100"/>
      <c r="CS1025" s="100"/>
      <c r="CT1025" s="100"/>
      <c r="CU1025" s="100"/>
    </row>
    <row r="1026" spans="6:99" s="36" customFormat="1" ht="11.1" customHeight="1" x14ac:dyDescent="0.25">
      <c r="F1026" s="33"/>
      <c r="G1026" s="33"/>
      <c r="H1026" s="33"/>
      <c r="I1026" s="34"/>
      <c r="J1026" s="34"/>
      <c r="K1026" s="14"/>
      <c r="L1026" s="32"/>
      <c r="M1026" s="14"/>
      <c r="N1026" s="14"/>
      <c r="O1026" s="2"/>
      <c r="P1026"/>
      <c r="Q1026" s="2"/>
      <c r="R1026"/>
      <c r="S1026"/>
      <c r="T1026"/>
      <c r="U1026" s="2"/>
      <c r="V1026" s="2"/>
      <c r="W1026" s="2"/>
      <c r="X1026" s="2"/>
      <c r="Y1026" s="2"/>
      <c r="Z1026" s="11"/>
      <c r="AA1026" s="15"/>
      <c r="AB1026" s="15"/>
      <c r="AC1026" s="15"/>
      <c r="AD1026" s="35"/>
      <c r="AE1026" s="99"/>
      <c r="AF1026" s="99"/>
      <c r="AG1026" s="35"/>
      <c r="AH1026" s="35"/>
      <c r="AI1026" s="35"/>
      <c r="AJ1026" s="1"/>
      <c r="AK1026" s="1"/>
      <c r="AL1026" s="1"/>
      <c r="AM1026" s="1"/>
      <c r="AN1026" s="1"/>
      <c r="AO1026" s="1"/>
      <c r="AP1026"/>
      <c r="AQ1026"/>
      <c r="AR1026"/>
      <c r="AS1026"/>
      <c r="AT1026" s="50"/>
      <c r="AU1026" s="97"/>
      <c r="AV1026" s="97"/>
      <c r="AW1026" s="97"/>
      <c r="AX1026" s="97"/>
      <c r="AY1026" s="97"/>
      <c r="BD1026" s="35"/>
      <c r="BE1026" s="35"/>
      <c r="BV1026" s="98"/>
      <c r="BW1026" s="98"/>
      <c r="BX1026" s="98"/>
      <c r="BY1026" s="112"/>
      <c r="BZ1026" s="112"/>
      <c r="CA1026" s="112"/>
      <c r="CB1026" s="98"/>
      <c r="CC1026" s="98"/>
      <c r="CD1026" s="98"/>
      <c r="CE1026" s="98"/>
      <c r="CG1026" s="100"/>
      <c r="CH1026" s="100"/>
      <c r="CI1026" s="100"/>
      <c r="CJ1026" s="100"/>
      <c r="CK1026" s="100"/>
      <c r="CL1026" s="100"/>
      <c r="CM1026" s="100"/>
      <c r="CN1026" s="100"/>
      <c r="CO1026" s="100"/>
      <c r="CP1026" s="100"/>
      <c r="CQ1026" s="100"/>
      <c r="CR1026" s="100"/>
      <c r="CS1026" s="100"/>
      <c r="CT1026" s="100"/>
      <c r="CU1026" s="100"/>
    </row>
    <row r="1027" spans="6:99" s="36" customFormat="1" ht="11.1" customHeight="1" x14ac:dyDescent="0.25">
      <c r="F1027" s="33"/>
      <c r="G1027" s="33"/>
      <c r="H1027" s="33"/>
      <c r="I1027" s="34"/>
      <c r="J1027" s="34"/>
      <c r="K1027" s="14"/>
      <c r="L1027" s="32"/>
      <c r="M1027" s="14"/>
      <c r="N1027" s="14"/>
      <c r="O1027" s="2"/>
      <c r="P1027"/>
      <c r="Q1027" s="2"/>
      <c r="R1027"/>
      <c r="S1027"/>
      <c r="T1027"/>
      <c r="U1027" s="2"/>
      <c r="V1027" s="2"/>
      <c r="W1027" s="2"/>
      <c r="X1027" s="2"/>
      <c r="Y1027" s="2"/>
      <c r="Z1027" s="11"/>
      <c r="AA1027" s="15"/>
      <c r="AB1027" s="15"/>
      <c r="AC1027" s="15"/>
      <c r="AD1027" s="35"/>
      <c r="AE1027" s="99"/>
      <c r="AF1027" s="99"/>
      <c r="AG1027" s="35"/>
      <c r="AH1027" s="35"/>
      <c r="AI1027" s="35"/>
      <c r="AJ1027" s="1"/>
      <c r="AK1027" s="1"/>
      <c r="AL1027" s="1"/>
      <c r="AM1027" s="1"/>
      <c r="AN1027" s="1"/>
      <c r="AO1027" s="1"/>
      <c r="AP1027"/>
      <c r="AQ1027"/>
      <c r="AR1027"/>
      <c r="AS1027"/>
      <c r="AT1027" s="50"/>
      <c r="AU1027" s="97"/>
      <c r="AV1027" s="97"/>
      <c r="AW1027" s="97"/>
      <c r="AX1027" s="97"/>
      <c r="AY1027" s="97"/>
      <c r="BD1027" s="35"/>
      <c r="BE1027" s="35"/>
      <c r="BV1027" s="98"/>
      <c r="BW1027" s="98"/>
      <c r="BX1027" s="98"/>
      <c r="BY1027" s="112"/>
      <c r="BZ1027" s="112"/>
      <c r="CA1027" s="112"/>
      <c r="CB1027" s="98"/>
      <c r="CC1027" s="98"/>
      <c r="CD1027" s="98"/>
      <c r="CE1027" s="98"/>
      <c r="CG1027" s="100"/>
      <c r="CH1027" s="100"/>
      <c r="CI1027" s="100"/>
      <c r="CJ1027" s="100"/>
      <c r="CK1027" s="100"/>
      <c r="CL1027" s="100"/>
      <c r="CM1027" s="100"/>
      <c r="CN1027" s="100"/>
      <c r="CO1027" s="100"/>
      <c r="CP1027" s="100"/>
      <c r="CQ1027" s="100"/>
      <c r="CR1027" s="100"/>
      <c r="CS1027" s="100"/>
      <c r="CT1027" s="100"/>
      <c r="CU1027" s="100"/>
    </row>
    <row r="1028" spans="6:99" s="36" customFormat="1" ht="11.1" customHeight="1" x14ac:dyDescent="0.25">
      <c r="F1028" s="33"/>
      <c r="G1028" s="33"/>
      <c r="H1028" s="33"/>
      <c r="I1028" s="34"/>
      <c r="J1028" s="34"/>
      <c r="K1028" s="14"/>
      <c r="L1028" s="32"/>
      <c r="M1028" s="14"/>
      <c r="N1028" s="14"/>
      <c r="O1028" s="2"/>
      <c r="P1028"/>
      <c r="Q1028" s="2"/>
      <c r="R1028"/>
      <c r="S1028"/>
      <c r="T1028"/>
      <c r="U1028" s="2"/>
      <c r="V1028" s="2"/>
      <c r="W1028" s="2"/>
      <c r="X1028" s="2"/>
      <c r="Y1028" s="2"/>
      <c r="Z1028" s="11"/>
      <c r="AA1028" s="15"/>
      <c r="AB1028" s="15"/>
      <c r="AC1028" s="15"/>
      <c r="AD1028" s="35"/>
      <c r="AE1028" s="99"/>
      <c r="AF1028" s="99"/>
      <c r="AG1028" s="35"/>
      <c r="AH1028" s="35"/>
      <c r="AI1028" s="35"/>
      <c r="AJ1028" s="1"/>
      <c r="AK1028" s="1"/>
      <c r="AL1028" s="1"/>
      <c r="AM1028" s="1"/>
      <c r="AN1028" s="1"/>
      <c r="AO1028" s="1"/>
      <c r="AP1028"/>
      <c r="AQ1028"/>
      <c r="AR1028"/>
      <c r="AS1028"/>
      <c r="AT1028" s="50"/>
      <c r="AU1028" s="97"/>
      <c r="AV1028" s="97"/>
      <c r="AW1028" s="97"/>
      <c r="AX1028" s="97"/>
      <c r="AY1028" s="97"/>
      <c r="BD1028" s="35"/>
      <c r="BE1028" s="35"/>
      <c r="BV1028" s="98"/>
      <c r="BW1028" s="98"/>
      <c r="BX1028" s="98"/>
      <c r="BY1028" s="112"/>
      <c r="BZ1028" s="112"/>
      <c r="CA1028" s="112"/>
      <c r="CB1028" s="98"/>
      <c r="CC1028" s="98"/>
      <c r="CD1028" s="98"/>
      <c r="CE1028" s="98"/>
      <c r="CG1028" s="100"/>
      <c r="CH1028" s="100"/>
      <c r="CI1028" s="100"/>
      <c r="CJ1028" s="100"/>
      <c r="CK1028" s="100"/>
      <c r="CL1028" s="100"/>
      <c r="CM1028" s="100"/>
      <c r="CN1028" s="100"/>
      <c r="CO1028" s="100"/>
      <c r="CP1028" s="100"/>
      <c r="CQ1028" s="100"/>
      <c r="CR1028" s="100"/>
      <c r="CS1028" s="100"/>
      <c r="CT1028" s="100"/>
      <c r="CU1028" s="100"/>
    </row>
    <row r="1029" spans="6:99" s="36" customFormat="1" ht="11.1" customHeight="1" x14ac:dyDescent="0.25">
      <c r="F1029" s="33"/>
      <c r="G1029" s="33"/>
      <c r="H1029" s="33"/>
      <c r="I1029" s="34"/>
      <c r="J1029" s="34"/>
      <c r="K1029" s="14"/>
      <c r="L1029" s="32"/>
      <c r="M1029" s="14"/>
      <c r="N1029" s="14"/>
      <c r="O1029" s="2"/>
      <c r="P1029"/>
      <c r="Q1029" s="2"/>
      <c r="R1029"/>
      <c r="S1029"/>
      <c r="T1029"/>
      <c r="U1029" s="2"/>
      <c r="V1029" s="2"/>
      <c r="W1029" s="2"/>
      <c r="X1029" s="2"/>
      <c r="Y1029" s="2"/>
      <c r="Z1029" s="11"/>
      <c r="AA1029" s="15"/>
      <c r="AB1029" s="15"/>
      <c r="AC1029" s="15"/>
      <c r="AD1029" s="35"/>
      <c r="AE1029" s="99"/>
      <c r="AF1029" s="99"/>
      <c r="AG1029" s="35"/>
      <c r="AH1029" s="35"/>
      <c r="AI1029" s="35"/>
      <c r="AJ1029" s="1"/>
      <c r="AK1029" s="1"/>
      <c r="AL1029" s="1"/>
      <c r="AM1029" s="1"/>
      <c r="AN1029" s="1"/>
      <c r="AO1029" s="1"/>
      <c r="AP1029"/>
      <c r="AQ1029"/>
      <c r="AR1029"/>
      <c r="AS1029"/>
      <c r="AT1029" s="50"/>
      <c r="AU1029" s="97"/>
      <c r="AV1029" s="97"/>
      <c r="AW1029" s="97"/>
      <c r="AX1029" s="97"/>
      <c r="AY1029" s="97"/>
      <c r="BD1029" s="35"/>
      <c r="BE1029" s="35"/>
      <c r="BV1029" s="98"/>
      <c r="BW1029" s="98"/>
      <c r="BX1029" s="98"/>
      <c r="BY1029" s="112"/>
      <c r="BZ1029" s="112"/>
      <c r="CA1029" s="112"/>
      <c r="CB1029" s="98"/>
      <c r="CC1029" s="98"/>
      <c r="CD1029" s="98"/>
      <c r="CE1029" s="98"/>
      <c r="CG1029" s="100"/>
      <c r="CH1029" s="100"/>
      <c r="CI1029" s="100"/>
      <c r="CJ1029" s="100"/>
      <c r="CK1029" s="100"/>
      <c r="CL1029" s="100"/>
      <c r="CM1029" s="100"/>
      <c r="CN1029" s="100"/>
      <c r="CO1029" s="100"/>
      <c r="CP1029" s="100"/>
      <c r="CQ1029" s="100"/>
      <c r="CR1029" s="100"/>
      <c r="CS1029" s="100"/>
      <c r="CT1029" s="100"/>
      <c r="CU1029" s="100"/>
    </row>
    <row r="1030" spans="6:99" s="36" customFormat="1" ht="11.1" customHeight="1" x14ac:dyDescent="0.25">
      <c r="F1030" s="33"/>
      <c r="G1030" s="33"/>
      <c r="H1030" s="33"/>
      <c r="I1030" s="34"/>
      <c r="J1030" s="34"/>
      <c r="K1030" s="14"/>
      <c r="L1030" s="32"/>
      <c r="M1030" s="14"/>
      <c r="N1030" s="14"/>
      <c r="O1030" s="2"/>
      <c r="P1030"/>
      <c r="Q1030" s="2"/>
      <c r="R1030"/>
      <c r="S1030"/>
      <c r="T1030"/>
      <c r="U1030" s="2"/>
      <c r="V1030" s="2"/>
      <c r="W1030" s="2"/>
      <c r="X1030" s="2"/>
      <c r="Y1030" s="2"/>
      <c r="Z1030" s="11"/>
      <c r="AA1030" s="15"/>
      <c r="AB1030" s="15"/>
      <c r="AC1030" s="15"/>
      <c r="AD1030" s="35"/>
      <c r="AE1030" s="99"/>
      <c r="AF1030" s="99"/>
      <c r="AG1030" s="35"/>
      <c r="AH1030" s="35"/>
      <c r="AI1030" s="35"/>
      <c r="AJ1030" s="1"/>
      <c r="AK1030" s="1"/>
      <c r="AL1030" s="1"/>
      <c r="AM1030" s="1"/>
      <c r="AN1030" s="1"/>
      <c r="AO1030" s="1"/>
      <c r="AP1030"/>
      <c r="AQ1030"/>
      <c r="AR1030"/>
      <c r="AS1030"/>
      <c r="AT1030" s="50"/>
      <c r="AU1030" s="97"/>
      <c r="AV1030" s="97"/>
      <c r="AW1030" s="97"/>
      <c r="AX1030" s="97"/>
      <c r="AY1030" s="97"/>
      <c r="BD1030" s="35"/>
      <c r="BE1030" s="35"/>
      <c r="BV1030" s="98"/>
      <c r="BW1030" s="98"/>
      <c r="BX1030" s="98"/>
      <c r="BY1030" s="112"/>
      <c r="BZ1030" s="112"/>
      <c r="CA1030" s="112"/>
      <c r="CB1030" s="98"/>
      <c r="CC1030" s="98"/>
      <c r="CD1030" s="98"/>
      <c r="CE1030" s="98"/>
      <c r="CG1030" s="100"/>
      <c r="CH1030" s="100"/>
      <c r="CI1030" s="100"/>
      <c r="CJ1030" s="100"/>
      <c r="CK1030" s="100"/>
      <c r="CL1030" s="100"/>
      <c r="CM1030" s="100"/>
      <c r="CN1030" s="100"/>
      <c r="CO1030" s="100"/>
      <c r="CP1030" s="100"/>
      <c r="CQ1030" s="100"/>
      <c r="CR1030" s="100"/>
      <c r="CS1030" s="100"/>
      <c r="CT1030" s="100"/>
      <c r="CU1030" s="100"/>
    </row>
    <row r="1031" spans="6:99" s="36" customFormat="1" ht="11.1" customHeight="1" x14ac:dyDescent="0.25">
      <c r="F1031" s="33"/>
      <c r="G1031" s="33"/>
      <c r="H1031" s="33"/>
      <c r="I1031" s="34"/>
      <c r="J1031" s="34"/>
      <c r="K1031" s="14"/>
      <c r="L1031" s="32"/>
      <c r="M1031" s="14"/>
      <c r="N1031" s="14"/>
      <c r="O1031" s="2"/>
      <c r="P1031"/>
      <c r="Q1031" s="2"/>
      <c r="R1031"/>
      <c r="S1031"/>
      <c r="T1031"/>
      <c r="U1031" s="2"/>
      <c r="V1031" s="2"/>
      <c r="W1031" s="2"/>
      <c r="X1031" s="2"/>
      <c r="Y1031" s="2"/>
      <c r="Z1031" s="11"/>
      <c r="AA1031" s="15"/>
      <c r="AB1031" s="15"/>
      <c r="AC1031" s="15"/>
      <c r="AD1031" s="35"/>
      <c r="AE1031" s="99"/>
      <c r="AF1031" s="99"/>
      <c r="AG1031" s="35"/>
      <c r="AH1031" s="35"/>
      <c r="AI1031" s="35"/>
      <c r="AJ1031" s="1"/>
      <c r="AK1031" s="1"/>
      <c r="AL1031" s="1"/>
      <c r="AM1031" s="1"/>
      <c r="AN1031" s="1"/>
      <c r="AO1031" s="1"/>
      <c r="AP1031"/>
      <c r="AQ1031"/>
      <c r="AR1031"/>
      <c r="AS1031"/>
      <c r="AT1031" s="50"/>
      <c r="AU1031" s="97"/>
      <c r="AV1031" s="97"/>
      <c r="AW1031" s="97"/>
      <c r="AX1031" s="97"/>
      <c r="AY1031" s="97"/>
      <c r="BD1031" s="35"/>
      <c r="BE1031" s="35"/>
      <c r="BV1031" s="98"/>
      <c r="BW1031" s="98"/>
      <c r="BX1031" s="98"/>
      <c r="BY1031" s="112"/>
      <c r="BZ1031" s="112"/>
      <c r="CA1031" s="112"/>
      <c r="CB1031" s="98"/>
      <c r="CC1031" s="98"/>
      <c r="CD1031" s="98"/>
      <c r="CE1031" s="98"/>
      <c r="CG1031" s="100"/>
      <c r="CH1031" s="100"/>
      <c r="CI1031" s="100"/>
      <c r="CJ1031" s="100"/>
      <c r="CK1031" s="100"/>
      <c r="CL1031" s="100"/>
      <c r="CM1031" s="100"/>
      <c r="CN1031" s="100"/>
      <c r="CO1031" s="100"/>
      <c r="CP1031" s="100"/>
      <c r="CQ1031" s="100"/>
      <c r="CR1031" s="100"/>
      <c r="CS1031" s="100"/>
      <c r="CT1031" s="100"/>
      <c r="CU1031" s="100"/>
    </row>
    <row r="1032" spans="6:99" s="36" customFormat="1" ht="11.1" customHeight="1" x14ac:dyDescent="0.25">
      <c r="F1032" s="33"/>
      <c r="G1032" s="33"/>
      <c r="H1032" s="33"/>
      <c r="I1032" s="34"/>
      <c r="J1032" s="34"/>
      <c r="K1032" s="14"/>
      <c r="L1032" s="32"/>
      <c r="M1032" s="14"/>
      <c r="N1032" s="14"/>
      <c r="O1032" s="2"/>
      <c r="P1032"/>
      <c r="Q1032" s="2"/>
      <c r="R1032"/>
      <c r="S1032"/>
      <c r="T1032"/>
      <c r="U1032" s="2"/>
      <c r="V1032" s="2"/>
      <c r="W1032" s="2"/>
      <c r="X1032" s="2"/>
      <c r="Y1032" s="2"/>
      <c r="Z1032" s="11"/>
      <c r="AA1032" s="15"/>
      <c r="AB1032" s="15"/>
      <c r="AC1032" s="15"/>
      <c r="AD1032" s="35"/>
      <c r="AE1032" s="99"/>
      <c r="AF1032" s="99"/>
      <c r="AG1032" s="35"/>
      <c r="AH1032" s="35"/>
      <c r="AI1032" s="35"/>
      <c r="AJ1032" s="1"/>
      <c r="AK1032" s="1"/>
      <c r="AL1032" s="1"/>
      <c r="AM1032" s="1"/>
      <c r="AN1032" s="1"/>
      <c r="AO1032" s="1"/>
      <c r="AP1032"/>
      <c r="AQ1032"/>
      <c r="AR1032"/>
      <c r="AS1032"/>
      <c r="AT1032" s="50"/>
      <c r="AU1032" s="97"/>
      <c r="AV1032" s="97"/>
      <c r="AW1032" s="97"/>
      <c r="AX1032" s="97"/>
      <c r="AY1032" s="97"/>
      <c r="BD1032" s="35"/>
      <c r="BE1032" s="35"/>
      <c r="BV1032" s="98"/>
      <c r="BW1032" s="98"/>
      <c r="BX1032" s="98"/>
      <c r="BY1032" s="112"/>
      <c r="BZ1032" s="112"/>
      <c r="CA1032" s="112"/>
      <c r="CB1032" s="98"/>
      <c r="CC1032" s="98"/>
      <c r="CD1032" s="98"/>
      <c r="CE1032" s="98"/>
      <c r="CG1032" s="100"/>
      <c r="CH1032" s="100"/>
      <c r="CI1032" s="100"/>
      <c r="CJ1032" s="100"/>
      <c r="CK1032" s="100"/>
      <c r="CL1032" s="100"/>
      <c r="CM1032" s="100"/>
      <c r="CN1032" s="100"/>
      <c r="CO1032" s="100"/>
      <c r="CP1032" s="100"/>
      <c r="CQ1032" s="100"/>
      <c r="CR1032" s="100"/>
      <c r="CS1032" s="100"/>
      <c r="CT1032" s="100"/>
      <c r="CU1032" s="100"/>
    </row>
    <row r="1033" spans="6:99" s="36" customFormat="1" ht="11.1" customHeight="1" x14ac:dyDescent="0.25">
      <c r="F1033" s="33"/>
      <c r="G1033" s="33"/>
      <c r="H1033" s="33"/>
      <c r="I1033" s="34"/>
      <c r="J1033" s="34"/>
      <c r="K1033" s="14"/>
      <c r="L1033" s="32"/>
      <c r="M1033" s="14"/>
      <c r="N1033" s="14"/>
      <c r="O1033" s="2"/>
      <c r="P1033"/>
      <c r="Q1033" s="2"/>
      <c r="R1033"/>
      <c r="S1033"/>
      <c r="T1033"/>
      <c r="U1033" s="2"/>
      <c r="V1033" s="2"/>
      <c r="W1033" s="2"/>
      <c r="X1033" s="2"/>
      <c r="Y1033" s="2"/>
      <c r="Z1033" s="11"/>
      <c r="AA1033" s="15"/>
      <c r="AB1033" s="15"/>
      <c r="AC1033" s="15"/>
      <c r="AD1033" s="35"/>
      <c r="AE1033" s="99"/>
      <c r="AF1033" s="99"/>
      <c r="AG1033" s="35"/>
      <c r="AH1033" s="35"/>
      <c r="AI1033" s="35"/>
      <c r="AJ1033" s="1"/>
      <c r="AK1033" s="1"/>
      <c r="AL1033" s="1"/>
      <c r="AM1033" s="1"/>
      <c r="AN1033" s="1"/>
      <c r="AO1033" s="1"/>
      <c r="AP1033"/>
      <c r="AQ1033"/>
      <c r="AR1033"/>
      <c r="AS1033"/>
      <c r="AT1033" s="50"/>
      <c r="AU1033" s="97"/>
      <c r="AV1033" s="97"/>
      <c r="AW1033" s="97"/>
      <c r="AX1033" s="97"/>
      <c r="AY1033" s="97"/>
      <c r="BD1033" s="35"/>
      <c r="BE1033" s="35"/>
      <c r="BV1033" s="98"/>
      <c r="BW1033" s="98"/>
      <c r="BX1033" s="98"/>
      <c r="BY1033" s="112"/>
      <c r="BZ1033" s="112"/>
      <c r="CA1033" s="112"/>
      <c r="CB1033" s="98"/>
      <c r="CC1033" s="98"/>
      <c r="CD1033" s="98"/>
      <c r="CE1033" s="98"/>
      <c r="CG1033" s="100"/>
      <c r="CH1033" s="100"/>
      <c r="CI1033" s="100"/>
      <c r="CJ1033" s="100"/>
      <c r="CK1033" s="100"/>
      <c r="CL1033" s="100"/>
      <c r="CM1033" s="100"/>
      <c r="CN1033" s="100"/>
      <c r="CO1033" s="100"/>
      <c r="CP1033" s="100"/>
      <c r="CQ1033" s="100"/>
      <c r="CR1033" s="100"/>
      <c r="CS1033" s="100"/>
      <c r="CT1033" s="100"/>
      <c r="CU1033" s="100"/>
    </row>
    <row r="1034" spans="6:99" s="36" customFormat="1" ht="11.1" customHeight="1" x14ac:dyDescent="0.25">
      <c r="F1034" s="33"/>
      <c r="G1034" s="33"/>
      <c r="H1034" s="33"/>
      <c r="I1034" s="34"/>
      <c r="J1034" s="34"/>
      <c r="K1034" s="14"/>
      <c r="L1034" s="32"/>
      <c r="M1034" s="14"/>
      <c r="N1034" s="14"/>
      <c r="O1034" s="2"/>
      <c r="P1034"/>
      <c r="Q1034" s="2"/>
      <c r="R1034"/>
      <c r="S1034"/>
      <c r="T1034"/>
      <c r="U1034" s="2"/>
      <c r="V1034" s="2"/>
      <c r="W1034" s="2"/>
      <c r="X1034" s="2"/>
      <c r="Y1034" s="2"/>
      <c r="Z1034" s="11"/>
      <c r="AA1034" s="15"/>
      <c r="AB1034" s="15"/>
      <c r="AC1034" s="15"/>
      <c r="AD1034" s="35"/>
      <c r="AE1034" s="99"/>
      <c r="AF1034" s="99"/>
      <c r="AG1034" s="35"/>
      <c r="AH1034" s="35"/>
      <c r="AI1034" s="35"/>
      <c r="AJ1034" s="1"/>
      <c r="AK1034" s="1"/>
      <c r="AL1034" s="1"/>
      <c r="AM1034" s="1"/>
      <c r="AN1034" s="1"/>
      <c r="AO1034" s="1"/>
      <c r="AP1034"/>
      <c r="AQ1034"/>
      <c r="AR1034"/>
      <c r="AS1034"/>
      <c r="AT1034" s="50"/>
      <c r="AU1034" s="97"/>
      <c r="AV1034" s="97"/>
      <c r="AW1034" s="97"/>
      <c r="AX1034" s="97"/>
      <c r="AY1034" s="97"/>
      <c r="BD1034" s="35"/>
      <c r="BE1034" s="35"/>
      <c r="BV1034" s="98"/>
      <c r="BW1034" s="98"/>
      <c r="BX1034" s="98"/>
      <c r="BY1034" s="112"/>
      <c r="BZ1034" s="112"/>
      <c r="CA1034" s="112"/>
      <c r="CB1034" s="98"/>
      <c r="CC1034" s="98"/>
      <c r="CD1034" s="98"/>
      <c r="CE1034" s="98"/>
      <c r="CG1034" s="100"/>
      <c r="CH1034" s="100"/>
      <c r="CI1034" s="100"/>
      <c r="CJ1034" s="100"/>
      <c r="CK1034" s="100"/>
      <c r="CL1034" s="100"/>
      <c r="CM1034" s="100"/>
      <c r="CN1034" s="100"/>
      <c r="CO1034" s="100"/>
      <c r="CP1034" s="100"/>
      <c r="CQ1034" s="100"/>
      <c r="CR1034" s="100"/>
      <c r="CS1034" s="100"/>
      <c r="CT1034" s="100"/>
      <c r="CU1034" s="100"/>
    </row>
    <row r="1035" spans="6:99" s="36" customFormat="1" ht="11.1" customHeight="1" x14ac:dyDescent="0.25">
      <c r="F1035" s="33"/>
      <c r="G1035" s="33"/>
      <c r="H1035" s="33"/>
      <c r="I1035" s="34"/>
      <c r="J1035" s="34"/>
      <c r="K1035" s="14"/>
      <c r="L1035" s="32"/>
      <c r="M1035" s="14"/>
      <c r="N1035" s="14"/>
      <c r="O1035" s="2"/>
      <c r="P1035"/>
      <c r="Q1035" s="2"/>
      <c r="R1035"/>
      <c r="S1035"/>
      <c r="T1035"/>
      <c r="U1035" s="2"/>
      <c r="V1035" s="2"/>
      <c r="W1035" s="2"/>
      <c r="X1035" s="2"/>
      <c r="Y1035" s="2"/>
      <c r="Z1035" s="11"/>
      <c r="AA1035" s="15"/>
      <c r="AB1035" s="15"/>
      <c r="AC1035" s="15"/>
      <c r="AD1035" s="35"/>
      <c r="AE1035" s="99"/>
      <c r="AF1035" s="99"/>
      <c r="AG1035" s="35"/>
      <c r="AH1035" s="35"/>
      <c r="AI1035" s="35"/>
      <c r="AJ1035" s="1"/>
      <c r="AK1035" s="1"/>
      <c r="AL1035" s="1"/>
      <c r="AM1035" s="1"/>
      <c r="AN1035" s="1"/>
      <c r="AO1035" s="1"/>
      <c r="AP1035"/>
      <c r="AQ1035"/>
      <c r="AR1035"/>
      <c r="AS1035"/>
      <c r="AT1035" s="50"/>
      <c r="AU1035" s="97"/>
      <c r="AV1035" s="97"/>
      <c r="AW1035" s="97"/>
      <c r="AX1035" s="97"/>
      <c r="AY1035" s="97"/>
      <c r="BD1035" s="35"/>
      <c r="BE1035" s="35"/>
      <c r="BV1035" s="98"/>
      <c r="BW1035" s="98"/>
      <c r="BX1035" s="98"/>
      <c r="BY1035" s="112"/>
      <c r="BZ1035" s="112"/>
      <c r="CA1035" s="112"/>
      <c r="CB1035" s="98"/>
      <c r="CC1035" s="98"/>
      <c r="CD1035" s="98"/>
      <c r="CE1035" s="98"/>
      <c r="CG1035" s="100"/>
      <c r="CH1035" s="100"/>
      <c r="CI1035" s="100"/>
      <c r="CJ1035" s="100"/>
      <c r="CK1035" s="100"/>
      <c r="CL1035" s="100"/>
      <c r="CM1035" s="100"/>
      <c r="CN1035" s="100"/>
      <c r="CO1035" s="100"/>
      <c r="CP1035" s="100"/>
      <c r="CQ1035" s="100"/>
      <c r="CR1035" s="100"/>
      <c r="CS1035" s="100"/>
      <c r="CT1035" s="100"/>
      <c r="CU1035" s="100"/>
    </row>
    <row r="1036" spans="6:99" s="36" customFormat="1" ht="11.1" customHeight="1" x14ac:dyDescent="0.25">
      <c r="F1036" s="33"/>
      <c r="G1036" s="33"/>
      <c r="H1036" s="33"/>
      <c r="I1036" s="34"/>
      <c r="J1036" s="34"/>
      <c r="K1036" s="14"/>
      <c r="L1036" s="32"/>
      <c r="M1036" s="14"/>
      <c r="N1036" s="14"/>
      <c r="O1036" s="2"/>
      <c r="P1036"/>
      <c r="Q1036" s="2"/>
      <c r="R1036"/>
      <c r="S1036"/>
      <c r="T1036"/>
      <c r="U1036" s="2"/>
      <c r="V1036" s="2"/>
      <c r="W1036" s="2"/>
      <c r="X1036" s="2"/>
      <c r="Y1036" s="2"/>
      <c r="Z1036" s="11"/>
      <c r="AA1036" s="15"/>
      <c r="AB1036" s="15"/>
      <c r="AC1036" s="15"/>
      <c r="AD1036" s="35"/>
      <c r="AE1036" s="99"/>
      <c r="AF1036" s="99"/>
      <c r="AG1036" s="35"/>
      <c r="AH1036" s="35"/>
      <c r="AI1036" s="35"/>
      <c r="AJ1036" s="1"/>
      <c r="AK1036" s="1"/>
      <c r="AL1036" s="1"/>
      <c r="AM1036" s="1"/>
      <c r="AN1036" s="1"/>
      <c r="AO1036" s="1"/>
      <c r="AP1036"/>
      <c r="AQ1036"/>
      <c r="AR1036"/>
      <c r="AS1036"/>
      <c r="AT1036" s="50"/>
      <c r="AU1036" s="97"/>
      <c r="AV1036" s="97"/>
      <c r="AW1036" s="97"/>
      <c r="AX1036" s="97"/>
      <c r="AY1036" s="97"/>
      <c r="BD1036" s="35"/>
      <c r="BE1036" s="35"/>
      <c r="BV1036" s="98"/>
      <c r="BW1036" s="98"/>
      <c r="BX1036" s="98"/>
      <c r="BY1036" s="112"/>
      <c r="BZ1036" s="112"/>
      <c r="CA1036" s="112"/>
      <c r="CB1036" s="98"/>
      <c r="CC1036" s="98"/>
      <c r="CD1036" s="98"/>
      <c r="CE1036" s="98"/>
      <c r="CG1036" s="100"/>
      <c r="CH1036" s="100"/>
      <c r="CI1036" s="100"/>
      <c r="CJ1036" s="100"/>
      <c r="CK1036" s="100"/>
      <c r="CL1036" s="100"/>
      <c r="CM1036" s="100"/>
      <c r="CN1036" s="100"/>
      <c r="CO1036" s="100"/>
      <c r="CP1036" s="100"/>
      <c r="CQ1036" s="100"/>
      <c r="CR1036" s="100"/>
      <c r="CS1036" s="100"/>
      <c r="CT1036" s="100"/>
      <c r="CU1036" s="100"/>
    </row>
    <row r="1037" spans="6:99" s="36" customFormat="1" ht="11.1" customHeight="1" x14ac:dyDescent="0.25">
      <c r="F1037" s="33"/>
      <c r="G1037" s="33"/>
      <c r="H1037" s="33"/>
      <c r="I1037" s="34"/>
      <c r="J1037" s="34"/>
      <c r="K1037" s="14"/>
      <c r="L1037" s="32"/>
      <c r="M1037" s="14"/>
      <c r="N1037" s="14"/>
      <c r="O1037" s="2"/>
      <c r="P1037"/>
      <c r="Q1037" s="2"/>
      <c r="R1037"/>
      <c r="S1037"/>
      <c r="T1037"/>
      <c r="U1037" s="2"/>
      <c r="V1037" s="2"/>
      <c r="W1037" s="2"/>
      <c r="X1037" s="2"/>
      <c r="Y1037" s="2"/>
      <c r="Z1037" s="11"/>
      <c r="AA1037" s="15"/>
      <c r="AB1037" s="15"/>
      <c r="AC1037" s="15"/>
      <c r="AD1037" s="35"/>
      <c r="AE1037" s="99"/>
      <c r="AF1037" s="99"/>
      <c r="AG1037" s="35"/>
      <c r="AH1037" s="35"/>
      <c r="AI1037" s="35"/>
      <c r="AJ1037" s="1"/>
      <c r="AK1037" s="1"/>
      <c r="AL1037" s="1"/>
      <c r="AM1037" s="1"/>
      <c r="AN1037" s="1"/>
      <c r="AO1037" s="1"/>
      <c r="AP1037"/>
      <c r="AQ1037"/>
      <c r="AR1037"/>
      <c r="AS1037"/>
      <c r="AT1037" s="50"/>
      <c r="AU1037" s="97"/>
      <c r="AV1037" s="97"/>
      <c r="AW1037" s="97"/>
      <c r="AX1037" s="97"/>
      <c r="AY1037" s="97"/>
      <c r="BD1037" s="35"/>
      <c r="BE1037" s="35"/>
      <c r="BV1037" s="98"/>
      <c r="BW1037" s="98"/>
      <c r="BX1037" s="98"/>
      <c r="BY1037" s="112"/>
      <c r="BZ1037" s="112"/>
      <c r="CA1037" s="112"/>
      <c r="CB1037" s="98"/>
      <c r="CC1037" s="98"/>
      <c r="CD1037" s="98"/>
      <c r="CE1037" s="98"/>
      <c r="CG1037" s="100"/>
      <c r="CH1037" s="100"/>
      <c r="CI1037" s="100"/>
      <c r="CJ1037" s="100"/>
      <c r="CK1037" s="100"/>
      <c r="CL1037" s="100"/>
      <c r="CM1037" s="100"/>
      <c r="CN1037" s="100"/>
      <c r="CO1037" s="100"/>
      <c r="CP1037" s="100"/>
      <c r="CQ1037" s="100"/>
      <c r="CR1037" s="100"/>
      <c r="CS1037" s="100"/>
      <c r="CT1037" s="100"/>
      <c r="CU1037" s="100"/>
    </row>
    <row r="1038" spans="6:99" s="36" customFormat="1" ht="11.1" customHeight="1" x14ac:dyDescent="0.25">
      <c r="F1038" s="33"/>
      <c r="G1038" s="33"/>
      <c r="H1038" s="33"/>
      <c r="I1038" s="34"/>
      <c r="J1038" s="34"/>
      <c r="K1038" s="14"/>
      <c r="L1038" s="32"/>
      <c r="M1038" s="14"/>
      <c r="N1038" s="14"/>
      <c r="O1038" s="2"/>
      <c r="P1038"/>
      <c r="Q1038" s="2"/>
      <c r="R1038"/>
      <c r="S1038"/>
      <c r="T1038"/>
      <c r="U1038" s="2"/>
      <c r="V1038" s="2"/>
      <c r="W1038" s="2"/>
      <c r="X1038" s="2"/>
      <c r="Y1038" s="2"/>
      <c r="Z1038" s="11"/>
      <c r="AA1038" s="15"/>
      <c r="AB1038" s="15"/>
      <c r="AC1038" s="15"/>
      <c r="AD1038" s="35"/>
      <c r="AE1038" s="99"/>
      <c r="AF1038" s="99"/>
      <c r="AG1038" s="35"/>
      <c r="AH1038" s="35"/>
      <c r="AI1038" s="35"/>
      <c r="AJ1038" s="1"/>
      <c r="AK1038" s="1"/>
      <c r="AL1038" s="1"/>
      <c r="AM1038" s="1"/>
      <c r="AN1038" s="1"/>
      <c r="AO1038" s="1"/>
      <c r="AP1038"/>
      <c r="AQ1038"/>
      <c r="AR1038"/>
      <c r="AS1038"/>
      <c r="AT1038" s="50"/>
      <c r="AU1038" s="97"/>
      <c r="AV1038" s="97"/>
      <c r="AW1038" s="97"/>
      <c r="AX1038" s="97"/>
      <c r="AY1038" s="97"/>
      <c r="BD1038" s="35"/>
      <c r="BE1038" s="35"/>
      <c r="BV1038" s="98"/>
      <c r="BW1038" s="98"/>
      <c r="BX1038" s="98"/>
      <c r="BY1038" s="112"/>
      <c r="BZ1038" s="112"/>
      <c r="CA1038" s="112"/>
      <c r="CB1038" s="98"/>
      <c r="CC1038" s="98"/>
      <c r="CD1038" s="98"/>
      <c r="CE1038" s="98"/>
      <c r="CG1038" s="100"/>
      <c r="CH1038" s="100"/>
      <c r="CI1038" s="100"/>
      <c r="CJ1038" s="100"/>
      <c r="CK1038" s="100"/>
      <c r="CL1038" s="100"/>
      <c r="CM1038" s="100"/>
      <c r="CN1038" s="100"/>
      <c r="CO1038" s="100"/>
      <c r="CP1038" s="100"/>
      <c r="CQ1038" s="100"/>
      <c r="CR1038" s="100"/>
      <c r="CS1038" s="100"/>
      <c r="CT1038" s="100"/>
      <c r="CU1038" s="100"/>
    </row>
    <row r="1039" spans="6:99" s="36" customFormat="1" ht="11.1" customHeight="1" x14ac:dyDescent="0.25">
      <c r="F1039" s="33"/>
      <c r="G1039" s="33"/>
      <c r="H1039" s="33"/>
      <c r="I1039" s="34"/>
      <c r="J1039" s="34"/>
      <c r="K1039" s="14"/>
      <c r="L1039" s="32"/>
      <c r="M1039" s="14"/>
      <c r="N1039" s="14"/>
      <c r="O1039" s="2"/>
      <c r="P1039"/>
      <c r="Q1039" s="2"/>
      <c r="R1039"/>
      <c r="S1039"/>
      <c r="T1039"/>
      <c r="U1039" s="2"/>
      <c r="V1039" s="2"/>
      <c r="W1039" s="2"/>
      <c r="X1039" s="2"/>
      <c r="Y1039" s="2"/>
      <c r="Z1039" s="11"/>
      <c r="AA1039" s="15"/>
      <c r="AB1039" s="15"/>
      <c r="AC1039" s="15"/>
      <c r="AD1039" s="35"/>
      <c r="AE1039" s="99"/>
      <c r="AF1039" s="99"/>
      <c r="AG1039" s="35"/>
      <c r="AH1039" s="35"/>
      <c r="AI1039" s="35"/>
      <c r="AJ1039" s="1"/>
      <c r="AK1039" s="1"/>
      <c r="AL1039" s="1"/>
      <c r="AM1039" s="1"/>
      <c r="AN1039" s="1"/>
      <c r="AO1039" s="1"/>
      <c r="AP1039"/>
      <c r="AQ1039"/>
      <c r="AR1039"/>
      <c r="AS1039"/>
      <c r="AT1039" s="50"/>
      <c r="AU1039" s="97"/>
      <c r="AV1039" s="97"/>
      <c r="AW1039" s="97"/>
      <c r="AX1039" s="97"/>
      <c r="AY1039" s="97"/>
      <c r="BD1039" s="35"/>
      <c r="BE1039" s="35"/>
      <c r="BV1039" s="98"/>
      <c r="BW1039" s="98"/>
      <c r="BX1039" s="98"/>
      <c r="BY1039" s="112"/>
      <c r="BZ1039" s="112"/>
      <c r="CA1039" s="112"/>
      <c r="CB1039" s="98"/>
      <c r="CC1039" s="98"/>
      <c r="CD1039" s="98"/>
      <c r="CE1039" s="98"/>
      <c r="CG1039" s="100"/>
      <c r="CH1039" s="100"/>
      <c r="CI1039" s="100"/>
      <c r="CJ1039" s="100"/>
      <c r="CK1039" s="100"/>
      <c r="CL1039" s="100"/>
      <c r="CM1039" s="100"/>
      <c r="CN1039" s="100"/>
      <c r="CO1039" s="100"/>
      <c r="CP1039" s="100"/>
      <c r="CQ1039" s="100"/>
      <c r="CR1039" s="100"/>
      <c r="CS1039" s="100"/>
      <c r="CT1039" s="100"/>
      <c r="CU1039" s="100"/>
    </row>
    <row r="1040" spans="6:99" s="36" customFormat="1" ht="11.1" customHeight="1" x14ac:dyDescent="0.25">
      <c r="F1040" s="33"/>
      <c r="G1040" s="33"/>
      <c r="H1040" s="33"/>
      <c r="I1040" s="34"/>
      <c r="J1040" s="34"/>
      <c r="K1040" s="14"/>
      <c r="L1040" s="32"/>
      <c r="M1040" s="14"/>
      <c r="N1040" s="14"/>
      <c r="O1040" s="2"/>
      <c r="P1040"/>
      <c r="Q1040" s="2"/>
      <c r="R1040"/>
      <c r="S1040"/>
      <c r="T1040"/>
      <c r="U1040" s="2"/>
      <c r="V1040" s="2"/>
      <c r="W1040" s="2"/>
      <c r="X1040" s="2"/>
      <c r="Y1040" s="2"/>
      <c r="Z1040" s="11"/>
      <c r="AA1040" s="15"/>
      <c r="AB1040" s="15"/>
      <c r="AC1040" s="15"/>
      <c r="AD1040" s="35"/>
      <c r="AE1040" s="99"/>
      <c r="AF1040" s="99"/>
      <c r="AG1040" s="35"/>
      <c r="AH1040" s="35"/>
      <c r="AI1040" s="35"/>
      <c r="AJ1040" s="1"/>
      <c r="AK1040" s="1"/>
      <c r="AL1040" s="1"/>
      <c r="AM1040" s="1"/>
      <c r="AN1040" s="1"/>
      <c r="AO1040" s="1"/>
      <c r="AP1040"/>
      <c r="AQ1040"/>
      <c r="AR1040"/>
      <c r="AS1040"/>
      <c r="AT1040" s="50"/>
      <c r="AU1040" s="97"/>
      <c r="AV1040" s="97"/>
      <c r="AW1040" s="97"/>
      <c r="AX1040" s="97"/>
      <c r="AY1040" s="97"/>
      <c r="BD1040" s="35"/>
      <c r="BE1040" s="35"/>
      <c r="BV1040" s="98"/>
      <c r="BW1040" s="98"/>
      <c r="BX1040" s="98"/>
      <c r="BY1040" s="112"/>
      <c r="BZ1040" s="112"/>
      <c r="CA1040" s="112"/>
      <c r="CB1040" s="98"/>
      <c r="CC1040" s="98"/>
      <c r="CD1040" s="98"/>
      <c r="CE1040" s="98"/>
      <c r="CG1040" s="100"/>
      <c r="CH1040" s="100"/>
      <c r="CI1040" s="100"/>
      <c r="CJ1040" s="100"/>
      <c r="CK1040" s="100"/>
      <c r="CL1040" s="100"/>
      <c r="CM1040" s="100"/>
      <c r="CN1040" s="100"/>
      <c r="CO1040" s="100"/>
      <c r="CP1040" s="100"/>
      <c r="CQ1040" s="100"/>
      <c r="CR1040" s="100"/>
      <c r="CS1040" s="100"/>
      <c r="CT1040" s="100"/>
      <c r="CU1040" s="100"/>
    </row>
    <row r="1041" spans="6:99" s="36" customFormat="1" ht="11.1" customHeight="1" x14ac:dyDescent="0.25">
      <c r="F1041" s="33"/>
      <c r="G1041" s="33"/>
      <c r="H1041" s="33"/>
      <c r="I1041" s="34"/>
      <c r="J1041" s="34"/>
      <c r="K1041" s="14"/>
      <c r="L1041" s="32"/>
      <c r="M1041" s="14"/>
      <c r="N1041" s="14"/>
      <c r="O1041" s="2"/>
      <c r="P1041"/>
      <c r="Q1041" s="2"/>
      <c r="R1041"/>
      <c r="S1041"/>
      <c r="T1041"/>
      <c r="U1041" s="2"/>
      <c r="V1041" s="2"/>
      <c r="W1041" s="2"/>
      <c r="X1041" s="2"/>
      <c r="Y1041" s="2"/>
      <c r="Z1041" s="11"/>
      <c r="AA1041" s="15"/>
      <c r="AB1041" s="15"/>
      <c r="AC1041" s="15"/>
      <c r="AD1041" s="35"/>
      <c r="AE1041" s="99"/>
      <c r="AF1041" s="99"/>
      <c r="AG1041" s="35"/>
      <c r="AH1041" s="35"/>
      <c r="AI1041" s="35"/>
      <c r="AJ1041" s="1"/>
      <c r="AK1041" s="1"/>
      <c r="AL1041" s="1"/>
      <c r="AM1041" s="1"/>
      <c r="AN1041" s="1"/>
      <c r="AO1041" s="1"/>
      <c r="AP1041"/>
      <c r="AQ1041"/>
      <c r="AR1041"/>
      <c r="AS1041"/>
      <c r="AT1041" s="50"/>
      <c r="AU1041" s="97"/>
      <c r="AV1041" s="97"/>
      <c r="AW1041" s="97"/>
      <c r="AX1041" s="97"/>
      <c r="AY1041" s="97"/>
      <c r="BD1041" s="35"/>
      <c r="BE1041" s="35"/>
      <c r="BV1041" s="98"/>
      <c r="BW1041" s="98"/>
      <c r="BX1041" s="98"/>
      <c r="BY1041" s="112"/>
      <c r="BZ1041" s="112"/>
      <c r="CA1041" s="112"/>
      <c r="CB1041" s="98"/>
      <c r="CC1041" s="98"/>
      <c r="CD1041" s="98"/>
      <c r="CE1041" s="98"/>
      <c r="CG1041" s="100"/>
      <c r="CH1041" s="100"/>
      <c r="CI1041" s="100"/>
      <c r="CJ1041" s="100"/>
      <c r="CK1041" s="100"/>
      <c r="CL1041" s="100"/>
      <c r="CM1041" s="100"/>
      <c r="CN1041" s="100"/>
      <c r="CO1041" s="100"/>
      <c r="CP1041" s="100"/>
      <c r="CQ1041" s="100"/>
      <c r="CR1041" s="100"/>
      <c r="CS1041" s="100"/>
      <c r="CT1041" s="100"/>
      <c r="CU1041" s="100"/>
    </row>
    <row r="1042" spans="6:99" s="36" customFormat="1" ht="11.1" customHeight="1" x14ac:dyDescent="0.25">
      <c r="F1042" s="33"/>
      <c r="G1042" s="33"/>
      <c r="H1042" s="33"/>
      <c r="I1042" s="34"/>
      <c r="J1042" s="34"/>
      <c r="K1042" s="14"/>
      <c r="L1042" s="32"/>
      <c r="M1042" s="14"/>
      <c r="N1042" s="14"/>
      <c r="O1042" s="2"/>
      <c r="P1042"/>
      <c r="Q1042" s="2"/>
      <c r="R1042"/>
      <c r="S1042"/>
      <c r="T1042"/>
      <c r="U1042" s="2"/>
      <c r="V1042" s="2"/>
      <c r="W1042" s="2"/>
      <c r="X1042" s="2"/>
      <c r="Y1042" s="2"/>
      <c r="Z1042" s="11"/>
      <c r="AA1042" s="15"/>
      <c r="AB1042" s="15"/>
      <c r="AC1042" s="15"/>
      <c r="AD1042" s="35"/>
      <c r="AE1042" s="99"/>
      <c r="AF1042" s="99"/>
      <c r="AG1042" s="35"/>
      <c r="AH1042" s="35"/>
      <c r="AI1042" s="35"/>
      <c r="AJ1042" s="1"/>
      <c r="AK1042" s="1"/>
      <c r="AL1042" s="1"/>
      <c r="AM1042" s="1"/>
      <c r="AN1042" s="1"/>
      <c r="AO1042" s="1"/>
      <c r="AP1042"/>
      <c r="AQ1042"/>
      <c r="AR1042"/>
      <c r="AS1042"/>
      <c r="AT1042" s="50"/>
      <c r="AU1042" s="97"/>
      <c r="AV1042" s="97"/>
      <c r="AW1042" s="97"/>
      <c r="AX1042" s="97"/>
      <c r="AY1042" s="97"/>
      <c r="BD1042" s="35"/>
      <c r="BE1042" s="35"/>
      <c r="BV1042" s="98"/>
      <c r="BW1042" s="98"/>
      <c r="BX1042" s="98"/>
      <c r="BY1042" s="112"/>
      <c r="BZ1042" s="112"/>
      <c r="CA1042" s="112"/>
      <c r="CB1042" s="98"/>
      <c r="CC1042" s="98"/>
      <c r="CD1042" s="98"/>
      <c r="CE1042" s="98"/>
      <c r="CG1042" s="100"/>
      <c r="CH1042" s="100"/>
      <c r="CI1042" s="100"/>
      <c r="CJ1042" s="100"/>
      <c r="CK1042" s="100"/>
      <c r="CL1042" s="100"/>
      <c r="CM1042" s="100"/>
      <c r="CN1042" s="100"/>
      <c r="CO1042" s="100"/>
      <c r="CP1042" s="100"/>
      <c r="CQ1042" s="100"/>
      <c r="CR1042" s="100"/>
      <c r="CS1042" s="100"/>
      <c r="CT1042" s="100"/>
      <c r="CU1042" s="100"/>
    </row>
    <row r="1043" spans="6:99" s="36" customFormat="1" ht="11.1" customHeight="1" x14ac:dyDescent="0.25">
      <c r="F1043" s="33"/>
      <c r="G1043" s="33"/>
      <c r="H1043" s="33"/>
      <c r="I1043" s="34"/>
      <c r="J1043" s="34"/>
      <c r="K1043" s="14"/>
      <c r="L1043" s="32"/>
      <c r="M1043" s="14"/>
      <c r="N1043" s="14"/>
      <c r="O1043" s="2"/>
      <c r="P1043"/>
      <c r="Q1043" s="2"/>
      <c r="R1043"/>
      <c r="S1043"/>
      <c r="T1043"/>
      <c r="U1043" s="2"/>
      <c r="V1043" s="2"/>
      <c r="W1043" s="2"/>
      <c r="X1043" s="2"/>
      <c r="Y1043" s="2"/>
      <c r="Z1043" s="11"/>
      <c r="AA1043" s="15"/>
      <c r="AB1043" s="15"/>
      <c r="AC1043" s="15"/>
      <c r="AD1043" s="35"/>
      <c r="AE1043" s="99"/>
      <c r="AF1043" s="99"/>
      <c r="AG1043" s="35"/>
      <c r="AH1043" s="35"/>
      <c r="AI1043" s="35"/>
      <c r="AJ1043" s="1"/>
      <c r="AK1043" s="1"/>
      <c r="AL1043" s="1"/>
      <c r="AM1043" s="1"/>
      <c r="AN1043" s="1"/>
      <c r="AO1043" s="1"/>
      <c r="AP1043"/>
      <c r="AQ1043"/>
      <c r="AR1043"/>
      <c r="AS1043"/>
      <c r="AT1043" s="50"/>
      <c r="AU1043" s="97"/>
      <c r="AV1043" s="97"/>
      <c r="AW1043" s="97"/>
      <c r="AX1043" s="97"/>
      <c r="AY1043" s="97"/>
      <c r="BD1043" s="35"/>
      <c r="BE1043" s="35"/>
      <c r="BV1043" s="98"/>
      <c r="BW1043" s="98"/>
      <c r="BX1043" s="98"/>
      <c r="BY1043" s="112"/>
      <c r="BZ1043" s="112"/>
      <c r="CA1043" s="112"/>
      <c r="CB1043" s="98"/>
      <c r="CC1043" s="98"/>
      <c r="CD1043" s="98"/>
      <c r="CE1043" s="98"/>
      <c r="CG1043" s="100"/>
      <c r="CH1043" s="100"/>
      <c r="CI1043" s="100"/>
      <c r="CJ1043" s="100"/>
      <c r="CK1043" s="100"/>
      <c r="CL1043" s="100"/>
      <c r="CM1043" s="100"/>
      <c r="CN1043" s="100"/>
      <c r="CO1043" s="100"/>
      <c r="CP1043" s="100"/>
      <c r="CQ1043" s="100"/>
      <c r="CR1043" s="100"/>
      <c r="CS1043" s="100"/>
      <c r="CT1043" s="100"/>
      <c r="CU1043" s="100"/>
    </row>
    <row r="1044" spans="6:99" s="36" customFormat="1" ht="11.1" customHeight="1" x14ac:dyDescent="0.25">
      <c r="F1044" s="33"/>
      <c r="G1044" s="33"/>
      <c r="H1044" s="33"/>
      <c r="I1044" s="34"/>
      <c r="J1044" s="34"/>
      <c r="K1044" s="14"/>
      <c r="L1044" s="32"/>
      <c r="M1044" s="14"/>
      <c r="N1044" s="14"/>
      <c r="O1044" s="2"/>
      <c r="P1044"/>
      <c r="Q1044" s="2"/>
      <c r="R1044"/>
      <c r="S1044"/>
      <c r="T1044"/>
      <c r="U1044" s="2"/>
      <c r="V1044" s="2"/>
      <c r="W1044" s="2"/>
      <c r="X1044" s="2"/>
      <c r="Y1044" s="2"/>
      <c r="Z1044" s="11"/>
      <c r="AA1044" s="15"/>
      <c r="AB1044" s="15"/>
      <c r="AC1044" s="15"/>
      <c r="AD1044" s="35"/>
      <c r="AE1044" s="99"/>
      <c r="AF1044" s="99"/>
      <c r="AG1044" s="35"/>
      <c r="AH1044" s="35"/>
      <c r="AI1044" s="35"/>
      <c r="AJ1044" s="1"/>
      <c r="AK1044" s="1"/>
      <c r="AL1044" s="1"/>
      <c r="AM1044" s="1"/>
      <c r="AN1044" s="1"/>
      <c r="AO1044" s="1"/>
      <c r="AP1044"/>
      <c r="AQ1044"/>
      <c r="AR1044"/>
      <c r="AS1044"/>
      <c r="AT1044" s="50"/>
      <c r="AU1044" s="97"/>
      <c r="AV1044" s="97"/>
      <c r="AW1044" s="97"/>
      <c r="AX1044" s="97"/>
      <c r="AY1044" s="97"/>
      <c r="BD1044" s="35"/>
      <c r="BE1044" s="35"/>
      <c r="BV1044" s="98"/>
      <c r="BW1044" s="98"/>
      <c r="BX1044" s="98"/>
      <c r="BY1044" s="112"/>
      <c r="BZ1044" s="112"/>
      <c r="CA1044" s="112"/>
      <c r="CB1044" s="98"/>
      <c r="CC1044" s="98"/>
      <c r="CD1044" s="98"/>
      <c r="CE1044" s="98"/>
      <c r="CG1044" s="100"/>
      <c r="CH1044" s="100"/>
      <c r="CI1044" s="100"/>
      <c r="CJ1044" s="100"/>
      <c r="CK1044" s="100"/>
      <c r="CL1044" s="100"/>
      <c r="CM1044" s="100"/>
      <c r="CN1044" s="100"/>
      <c r="CO1044" s="100"/>
      <c r="CP1044" s="100"/>
      <c r="CQ1044" s="100"/>
      <c r="CR1044" s="100"/>
      <c r="CS1044" s="100"/>
      <c r="CT1044" s="100"/>
      <c r="CU1044" s="100"/>
    </row>
    <row r="1045" spans="6:99" s="36" customFormat="1" ht="11.1" customHeight="1" x14ac:dyDescent="0.25">
      <c r="F1045" s="33"/>
      <c r="G1045" s="33"/>
      <c r="H1045" s="33"/>
      <c r="I1045" s="34"/>
      <c r="J1045" s="34"/>
      <c r="K1045" s="14"/>
      <c r="L1045" s="32"/>
      <c r="M1045" s="14"/>
      <c r="N1045" s="14"/>
      <c r="O1045" s="2"/>
      <c r="P1045"/>
      <c r="Q1045" s="2"/>
      <c r="R1045"/>
      <c r="S1045"/>
      <c r="T1045"/>
      <c r="U1045" s="2"/>
      <c r="V1045" s="2"/>
      <c r="W1045" s="2"/>
      <c r="X1045" s="2"/>
      <c r="Y1045" s="2"/>
      <c r="Z1045" s="11"/>
      <c r="AA1045" s="15"/>
      <c r="AB1045" s="15"/>
      <c r="AC1045" s="15"/>
      <c r="AD1045" s="35"/>
      <c r="AE1045" s="99"/>
      <c r="AF1045" s="99"/>
      <c r="AG1045" s="35"/>
      <c r="AH1045" s="35"/>
      <c r="AI1045" s="35"/>
      <c r="AJ1045" s="1"/>
      <c r="AK1045" s="1"/>
      <c r="AL1045" s="1"/>
      <c r="AM1045" s="1"/>
      <c r="AN1045" s="1"/>
      <c r="AO1045" s="1"/>
      <c r="AP1045"/>
      <c r="AQ1045"/>
      <c r="AR1045"/>
      <c r="AS1045"/>
      <c r="AT1045" s="50"/>
      <c r="AU1045" s="97"/>
      <c r="AV1045" s="97"/>
      <c r="AW1045" s="97"/>
      <c r="AX1045" s="97"/>
      <c r="AY1045" s="97"/>
      <c r="BD1045" s="35"/>
      <c r="BE1045" s="35"/>
      <c r="BV1045" s="98"/>
      <c r="BW1045" s="98"/>
      <c r="BX1045" s="98"/>
      <c r="BY1045" s="112"/>
      <c r="BZ1045" s="112"/>
      <c r="CA1045" s="112"/>
      <c r="CB1045" s="98"/>
      <c r="CC1045" s="98"/>
      <c r="CD1045" s="98"/>
      <c r="CE1045" s="98"/>
      <c r="CG1045" s="100"/>
      <c r="CH1045" s="100"/>
      <c r="CI1045" s="100"/>
      <c r="CJ1045" s="100"/>
      <c r="CK1045" s="100"/>
      <c r="CL1045" s="100"/>
      <c r="CM1045" s="100"/>
      <c r="CN1045" s="100"/>
      <c r="CO1045" s="100"/>
      <c r="CP1045" s="100"/>
      <c r="CQ1045" s="100"/>
      <c r="CR1045" s="100"/>
      <c r="CS1045" s="100"/>
      <c r="CT1045" s="100"/>
      <c r="CU1045" s="100"/>
    </row>
    <row r="1046" spans="6:99" s="36" customFormat="1" ht="11.1" customHeight="1" x14ac:dyDescent="0.25">
      <c r="F1046" s="33"/>
      <c r="G1046" s="33"/>
      <c r="H1046" s="33"/>
      <c r="I1046" s="34"/>
      <c r="J1046" s="34"/>
      <c r="K1046" s="14"/>
      <c r="L1046" s="32"/>
      <c r="M1046" s="14"/>
      <c r="N1046" s="14"/>
      <c r="O1046" s="2"/>
      <c r="P1046"/>
      <c r="Q1046" s="2"/>
      <c r="R1046"/>
      <c r="S1046"/>
      <c r="T1046"/>
      <c r="U1046" s="2"/>
      <c r="V1046" s="2"/>
      <c r="W1046" s="2"/>
      <c r="X1046" s="2"/>
      <c r="Y1046" s="2"/>
      <c r="Z1046" s="11"/>
      <c r="AA1046" s="15"/>
      <c r="AB1046" s="15"/>
      <c r="AC1046" s="15"/>
      <c r="AD1046" s="35"/>
      <c r="AE1046" s="99"/>
      <c r="AF1046" s="99"/>
      <c r="AG1046" s="35"/>
      <c r="AH1046" s="35"/>
      <c r="AI1046" s="35"/>
      <c r="AJ1046" s="1"/>
      <c r="AK1046" s="1"/>
      <c r="AL1046" s="1"/>
      <c r="AM1046" s="1"/>
      <c r="AN1046" s="1"/>
      <c r="AO1046" s="1"/>
      <c r="AP1046"/>
      <c r="AQ1046"/>
      <c r="AR1046"/>
      <c r="AS1046"/>
      <c r="AT1046" s="50"/>
      <c r="AU1046" s="97"/>
      <c r="AV1046" s="97"/>
      <c r="AW1046" s="97"/>
      <c r="AX1046" s="97"/>
      <c r="AY1046" s="97"/>
      <c r="BD1046" s="35"/>
      <c r="BE1046" s="35"/>
      <c r="BV1046" s="98"/>
      <c r="BW1046" s="98"/>
      <c r="BX1046" s="98"/>
      <c r="BY1046" s="112"/>
      <c r="BZ1046" s="112"/>
      <c r="CA1046" s="112"/>
      <c r="CB1046" s="98"/>
      <c r="CC1046" s="98"/>
      <c r="CD1046" s="98"/>
      <c r="CE1046" s="98"/>
      <c r="CG1046" s="100"/>
      <c r="CH1046" s="100"/>
      <c r="CI1046" s="100"/>
      <c r="CJ1046" s="100"/>
      <c r="CK1046" s="100"/>
      <c r="CL1046" s="100"/>
      <c r="CM1046" s="100"/>
      <c r="CN1046" s="100"/>
      <c r="CO1046" s="100"/>
      <c r="CP1046" s="100"/>
      <c r="CQ1046" s="100"/>
      <c r="CR1046" s="100"/>
      <c r="CS1046" s="100"/>
      <c r="CT1046" s="100"/>
      <c r="CU1046" s="100"/>
    </row>
    <row r="1047" spans="6:99" s="36" customFormat="1" ht="11.1" customHeight="1" x14ac:dyDescent="0.25">
      <c r="F1047" s="33"/>
      <c r="G1047" s="33"/>
      <c r="H1047" s="33"/>
      <c r="I1047" s="34"/>
      <c r="J1047" s="34"/>
      <c r="K1047" s="14"/>
      <c r="L1047" s="32"/>
      <c r="M1047" s="14"/>
      <c r="N1047" s="14"/>
      <c r="O1047" s="2"/>
      <c r="P1047"/>
      <c r="Q1047" s="2"/>
      <c r="R1047"/>
      <c r="S1047"/>
      <c r="T1047"/>
      <c r="U1047" s="2"/>
      <c r="V1047" s="2"/>
      <c r="W1047" s="2"/>
      <c r="X1047" s="2"/>
      <c r="Y1047" s="2"/>
      <c r="Z1047" s="11"/>
      <c r="AA1047" s="15"/>
      <c r="AB1047" s="15"/>
      <c r="AC1047" s="15"/>
      <c r="AD1047" s="35"/>
      <c r="AE1047" s="99"/>
      <c r="AF1047" s="99"/>
      <c r="AG1047" s="35"/>
      <c r="AH1047" s="35"/>
      <c r="AI1047" s="35"/>
      <c r="AJ1047" s="1"/>
      <c r="AK1047" s="1"/>
      <c r="AL1047" s="1"/>
      <c r="AM1047" s="1"/>
      <c r="AN1047" s="1"/>
      <c r="AO1047" s="1"/>
      <c r="AP1047"/>
      <c r="AQ1047"/>
      <c r="AR1047"/>
      <c r="AS1047"/>
      <c r="AT1047" s="50"/>
      <c r="AU1047" s="97"/>
      <c r="AV1047" s="97"/>
      <c r="AW1047" s="97"/>
      <c r="AX1047" s="97"/>
      <c r="AY1047" s="97"/>
      <c r="BD1047" s="35"/>
      <c r="BE1047" s="35"/>
      <c r="BV1047" s="98"/>
      <c r="BW1047" s="98"/>
      <c r="BX1047" s="98"/>
      <c r="BY1047" s="112"/>
      <c r="BZ1047" s="112"/>
      <c r="CA1047" s="112"/>
      <c r="CB1047" s="98"/>
      <c r="CC1047" s="98"/>
      <c r="CD1047" s="98"/>
      <c r="CE1047" s="98"/>
      <c r="CG1047" s="100"/>
      <c r="CH1047" s="100"/>
      <c r="CI1047" s="100"/>
      <c r="CJ1047" s="100"/>
      <c r="CK1047" s="100"/>
      <c r="CL1047" s="100"/>
      <c r="CM1047" s="100"/>
      <c r="CN1047" s="100"/>
      <c r="CO1047" s="100"/>
      <c r="CP1047" s="100"/>
      <c r="CQ1047" s="100"/>
      <c r="CR1047" s="100"/>
      <c r="CS1047" s="100"/>
      <c r="CT1047" s="100"/>
      <c r="CU1047" s="100"/>
    </row>
    <row r="1048" spans="6:99" s="36" customFormat="1" ht="11.1" customHeight="1" x14ac:dyDescent="0.25">
      <c r="F1048" s="33"/>
      <c r="G1048" s="33"/>
      <c r="H1048" s="33"/>
      <c r="I1048" s="34"/>
      <c r="J1048" s="34"/>
      <c r="K1048" s="14"/>
      <c r="L1048" s="32"/>
      <c r="M1048" s="14"/>
      <c r="N1048" s="14"/>
      <c r="O1048" s="2"/>
      <c r="P1048"/>
      <c r="Q1048" s="2"/>
      <c r="R1048"/>
      <c r="S1048"/>
      <c r="T1048"/>
      <c r="U1048" s="2"/>
      <c r="V1048" s="2"/>
      <c r="W1048" s="2"/>
      <c r="X1048" s="2"/>
      <c r="Y1048" s="2"/>
      <c r="Z1048" s="11"/>
      <c r="AA1048" s="15"/>
      <c r="AB1048" s="15"/>
      <c r="AC1048" s="15"/>
      <c r="AD1048" s="35"/>
      <c r="AE1048" s="99"/>
      <c r="AF1048" s="99"/>
      <c r="AG1048" s="35"/>
      <c r="AH1048" s="35"/>
      <c r="AI1048" s="35"/>
      <c r="AJ1048" s="1"/>
      <c r="AK1048" s="1"/>
      <c r="AL1048" s="1"/>
      <c r="AM1048" s="1"/>
      <c r="AN1048" s="1"/>
      <c r="AO1048" s="1"/>
      <c r="AP1048"/>
      <c r="AQ1048"/>
      <c r="AR1048"/>
      <c r="AS1048"/>
      <c r="AT1048" s="50"/>
      <c r="AU1048" s="97"/>
      <c r="AV1048" s="97"/>
      <c r="AW1048" s="97"/>
      <c r="AX1048" s="97"/>
      <c r="AY1048" s="97"/>
      <c r="BD1048" s="35"/>
      <c r="BE1048" s="35"/>
      <c r="BV1048" s="98"/>
      <c r="BW1048" s="98"/>
      <c r="BX1048" s="98"/>
      <c r="BY1048" s="112"/>
      <c r="BZ1048" s="112"/>
      <c r="CA1048" s="112"/>
      <c r="CB1048" s="98"/>
      <c r="CC1048" s="98"/>
      <c r="CD1048" s="98"/>
      <c r="CE1048" s="98"/>
      <c r="CG1048" s="100"/>
      <c r="CH1048" s="100"/>
      <c r="CI1048" s="100"/>
      <c r="CJ1048" s="100"/>
      <c r="CK1048" s="100"/>
      <c r="CL1048" s="100"/>
      <c r="CM1048" s="100"/>
      <c r="CN1048" s="100"/>
      <c r="CO1048" s="100"/>
      <c r="CP1048" s="100"/>
      <c r="CQ1048" s="100"/>
      <c r="CR1048" s="100"/>
      <c r="CS1048" s="100"/>
      <c r="CT1048" s="100"/>
      <c r="CU1048" s="100"/>
    </row>
    <row r="1049" spans="6:99" s="36" customFormat="1" ht="11.1" customHeight="1" x14ac:dyDescent="0.25">
      <c r="F1049" s="33"/>
      <c r="G1049" s="33"/>
      <c r="H1049" s="33"/>
      <c r="I1049" s="34"/>
      <c r="J1049" s="34"/>
      <c r="K1049" s="14"/>
      <c r="L1049" s="32"/>
      <c r="M1049" s="14"/>
      <c r="N1049" s="14"/>
      <c r="O1049" s="2"/>
      <c r="P1049"/>
      <c r="Q1049" s="2"/>
      <c r="R1049"/>
      <c r="S1049"/>
      <c r="T1049"/>
      <c r="U1049" s="2"/>
      <c r="V1049" s="2"/>
      <c r="W1049" s="2"/>
      <c r="X1049" s="2"/>
      <c r="Y1049" s="2"/>
      <c r="Z1049" s="11"/>
      <c r="AA1049" s="15"/>
      <c r="AB1049" s="15"/>
      <c r="AC1049" s="15"/>
      <c r="AD1049" s="35"/>
      <c r="AE1049" s="99"/>
      <c r="AF1049" s="99"/>
      <c r="AG1049" s="35"/>
      <c r="AH1049" s="35"/>
      <c r="AI1049" s="35"/>
      <c r="AJ1049" s="1"/>
      <c r="AK1049" s="1"/>
      <c r="AL1049" s="1"/>
      <c r="AM1049" s="1"/>
      <c r="AN1049" s="1"/>
      <c r="AO1049" s="1"/>
      <c r="AP1049"/>
      <c r="AQ1049"/>
      <c r="AR1049"/>
      <c r="AS1049"/>
      <c r="AT1049" s="50"/>
      <c r="AU1049" s="97"/>
      <c r="AV1049" s="97"/>
      <c r="AW1049" s="97"/>
      <c r="AX1049" s="97"/>
      <c r="AY1049" s="97"/>
      <c r="BD1049" s="35"/>
      <c r="BE1049" s="35"/>
      <c r="BV1049" s="98"/>
      <c r="BW1049" s="98"/>
      <c r="BX1049" s="98"/>
      <c r="BY1049" s="112"/>
      <c r="BZ1049" s="112"/>
      <c r="CA1049" s="112"/>
      <c r="CB1049" s="98"/>
      <c r="CC1049" s="98"/>
      <c r="CD1049" s="98"/>
      <c r="CE1049" s="98"/>
      <c r="CG1049" s="100"/>
      <c r="CH1049" s="100"/>
      <c r="CI1049" s="100"/>
      <c r="CJ1049" s="100"/>
      <c r="CK1049" s="100"/>
      <c r="CL1049" s="100"/>
      <c r="CM1049" s="100"/>
      <c r="CN1049" s="100"/>
      <c r="CO1049" s="100"/>
      <c r="CP1049" s="100"/>
      <c r="CQ1049" s="100"/>
      <c r="CR1049" s="100"/>
      <c r="CS1049" s="100"/>
      <c r="CT1049" s="100"/>
      <c r="CU1049" s="100"/>
    </row>
    <row r="1050" spans="6:99" s="36" customFormat="1" ht="11.1" customHeight="1" x14ac:dyDescent="0.25">
      <c r="F1050" s="33"/>
      <c r="G1050" s="33"/>
      <c r="H1050" s="33"/>
      <c r="I1050" s="34"/>
      <c r="J1050" s="34"/>
      <c r="K1050" s="14"/>
      <c r="L1050" s="32"/>
      <c r="M1050" s="14"/>
      <c r="N1050" s="14"/>
      <c r="O1050" s="2"/>
      <c r="P1050"/>
      <c r="Q1050" s="2"/>
      <c r="R1050"/>
      <c r="S1050"/>
      <c r="T1050"/>
      <c r="U1050" s="2"/>
      <c r="V1050" s="2"/>
      <c r="W1050" s="2"/>
      <c r="X1050" s="2"/>
      <c r="Y1050" s="2"/>
      <c r="Z1050" s="11"/>
      <c r="AA1050" s="15"/>
      <c r="AB1050" s="15"/>
      <c r="AC1050" s="15"/>
      <c r="AD1050" s="35"/>
      <c r="AE1050" s="99"/>
      <c r="AF1050" s="99"/>
      <c r="AG1050" s="35"/>
      <c r="AH1050" s="35"/>
      <c r="AI1050" s="35"/>
      <c r="AJ1050" s="1"/>
      <c r="AK1050" s="1"/>
      <c r="AL1050" s="1"/>
      <c r="AM1050" s="1"/>
      <c r="AN1050" s="1"/>
      <c r="AO1050" s="1"/>
      <c r="AP1050"/>
      <c r="AQ1050"/>
      <c r="AR1050"/>
      <c r="AS1050"/>
      <c r="AT1050" s="50"/>
      <c r="AU1050" s="97"/>
      <c r="AV1050" s="97"/>
      <c r="AW1050" s="97"/>
      <c r="AX1050" s="97"/>
      <c r="AY1050" s="97"/>
      <c r="BD1050" s="35"/>
      <c r="BE1050" s="35"/>
      <c r="BV1050" s="98"/>
      <c r="BW1050" s="98"/>
      <c r="BX1050" s="98"/>
      <c r="BY1050" s="112"/>
      <c r="BZ1050" s="112"/>
      <c r="CA1050" s="112"/>
      <c r="CB1050" s="98"/>
      <c r="CC1050" s="98"/>
      <c r="CD1050" s="98"/>
      <c r="CE1050" s="98"/>
      <c r="CG1050" s="100"/>
      <c r="CH1050" s="100"/>
      <c r="CI1050" s="100"/>
      <c r="CJ1050" s="100"/>
      <c r="CK1050" s="100"/>
      <c r="CL1050" s="100"/>
      <c r="CM1050" s="100"/>
      <c r="CN1050" s="100"/>
      <c r="CO1050" s="100"/>
      <c r="CP1050" s="100"/>
      <c r="CQ1050" s="100"/>
      <c r="CR1050" s="100"/>
      <c r="CS1050" s="100"/>
      <c r="CT1050" s="100"/>
      <c r="CU1050" s="100"/>
    </row>
    <row r="1051" spans="6:99" s="36" customFormat="1" ht="11.1" customHeight="1" x14ac:dyDescent="0.25">
      <c r="F1051" s="33"/>
      <c r="G1051" s="33"/>
      <c r="H1051" s="33"/>
      <c r="I1051" s="34"/>
      <c r="J1051" s="34"/>
      <c r="K1051" s="14"/>
      <c r="L1051" s="32"/>
      <c r="M1051" s="14"/>
      <c r="N1051" s="14"/>
      <c r="O1051" s="2"/>
      <c r="P1051"/>
      <c r="Q1051" s="2"/>
      <c r="R1051"/>
      <c r="S1051"/>
      <c r="T1051"/>
      <c r="U1051" s="2"/>
      <c r="V1051" s="2"/>
      <c r="W1051" s="2"/>
      <c r="X1051" s="2"/>
      <c r="Y1051" s="2"/>
      <c r="Z1051" s="11"/>
      <c r="AA1051" s="15"/>
      <c r="AB1051" s="15"/>
      <c r="AC1051" s="15"/>
      <c r="AD1051" s="35"/>
      <c r="AE1051" s="99"/>
      <c r="AF1051" s="99"/>
      <c r="AG1051" s="35"/>
      <c r="AH1051" s="35"/>
      <c r="AI1051" s="35"/>
      <c r="AJ1051" s="1"/>
      <c r="AK1051" s="1"/>
      <c r="AL1051" s="1"/>
      <c r="AM1051" s="1"/>
      <c r="AN1051" s="1"/>
      <c r="AO1051" s="1"/>
      <c r="AP1051"/>
      <c r="AQ1051"/>
      <c r="AR1051"/>
      <c r="AS1051"/>
      <c r="AT1051" s="50"/>
      <c r="AU1051" s="97"/>
      <c r="AV1051" s="97"/>
      <c r="AW1051" s="97"/>
      <c r="AX1051" s="97"/>
      <c r="AY1051" s="97"/>
      <c r="BD1051" s="35"/>
      <c r="BE1051" s="35"/>
      <c r="BV1051" s="98"/>
      <c r="BW1051" s="98"/>
      <c r="BX1051" s="98"/>
      <c r="BY1051" s="112"/>
      <c r="BZ1051" s="112"/>
      <c r="CA1051" s="112"/>
      <c r="CB1051" s="98"/>
      <c r="CC1051" s="98"/>
      <c r="CD1051" s="98"/>
      <c r="CE1051" s="98"/>
      <c r="CG1051" s="100"/>
      <c r="CH1051" s="100"/>
      <c r="CI1051" s="100"/>
      <c r="CJ1051" s="100"/>
      <c r="CK1051" s="100"/>
      <c r="CL1051" s="100"/>
      <c r="CM1051" s="100"/>
      <c r="CN1051" s="100"/>
      <c r="CO1051" s="100"/>
      <c r="CP1051" s="100"/>
      <c r="CQ1051" s="100"/>
      <c r="CR1051" s="100"/>
      <c r="CS1051" s="100"/>
      <c r="CT1051" s="100"/>
      <c r="CU1051" s="100"/>
    </row>
    <row r="1052" spans="6:99" s="36" customFormat="1" ht="11.1" customHeight="1" x14ac:dyDescent="0.25">
      <c r="F1052" s="33"/>
      <c r="G1052" s="33"/>
      <c r="H1052" s="33"/>
      <c r="I1052" s="34"/>
      <c r="J1052" s="34"/>
      <c r="K1052" s="14"/>
      <c r="L1052" s="32"/>
      <c r="M1052" s="14"/>
      <c r="N1052" s="14"/>
      <c r="O1052" s="2"/>
      <c r="P1052"/>
      <c r="Q1052" s="2"/>
      <c r="R1052"/>
      <c r="S1052"/>
      <c r="T1052"/>
      <c r="U1052" s="2"/>
      <c r="V1052" s="2"/>
      <c r="W1052" s="2"/>
      <c r="X1052" s="2"/>
      <c r="Y1052" s="2"/>
      <c r="Z1052" s="11"/>
      <c r="AA1052" s="15"/>
      <c r="AB1052" s="15"/>
      <c r="AC1052" s="15"/>
      <c r="AD1052" s="35"/>
      <c r="AE1052" s="99"/>
      <c r="AF1052" s="99"/>
      <c r="AG1052" s="35"/>
      <c r="AH1052" s="35"/>
      <c r="AI1052" s="35"/>
      <c r="AJ1052" s="1"/>
      <c r="AK1052" s="1"/>
      <c r="AL1052" s="1"/>
      <c r="AM1052" s="1"/>
      <c r="AN1052" s="1"/>
      <c r="AO1052" s="1"/>
      <c r="AP1052"/>
      <c r="AQ1052"/>
      <c r="AR1052"/>
      <c r="AS1052"/>
      <c r="AT1052" s="50"/>
      <c r="AU1052" s="97"/>
      <c r="AV1052" s="97"/>
      <c r="AW1052" s="97"/>
      <c r="AX1052" s="97"/>
      <c r="AY1052" s="97"/>
      <c r="BD1052" s="35"/>
      <c r="BE1052" s="35"/>
      <c r="BV1052" s="98"/>
      <c r="BW1052" s="98"/>
      <c r="BX1052" s="98"/>
      <c r="BY1052" s="112"/>
      <c r="BZ1052" s="112"/>
      <c r="CA1052" s="112"/>
      <c r="CB1052" s="98"/>
      <c r="CC1052" s="98"/>
      <c r="CD1052" s="98"/>
      <c r="CE1052" s="98"/>
      <c r="CG1052" s="100"/>
      <c r="CH1052" s="100"/>
      <c r="CI1052" s="100"/>
      <c r="CJ1052" s="100"/>
      <c r="CK1052" s="100"/>
      <c r="CL1052" s="100"/>
      <c r="CM1052" s="100"/>
      <c r="CN1052" s="100"/>
      <c r="CO1052" s="100"/>
      <c r="CP1052" s="100"/>
      <c r="CQ1052" s="100"/>
      <c r="CR1052" s="100"/>
      <c r="CS1052" s="100"/>
      <c r="CT1052" s="100"/>
      <c r="CU1052" s="100"/>
    </row>
    <row r="1053" spans="6:99" s="36" customFormat="1" ht="11.1" customHeight="1" x14ac:dyDescent="0.25">
      <c r="F1053" s="33"/>
      <c r="G1053" s="33"/>
      <c r="H1053" s="33"/>
      <c r="I1053" s="34"/>
      <c r="J1053" s="34"/>
      <c r="K1053" s="14"/>
      <c r="L1053" s="32"/>
      <c r="M1053" s="14"/>
      <c r="N1053" s="14"/>
      <c r="O1053" s="2"/>
      <c r="P1053"/>
      <c r="Q1053" s="2"/>
      <c r="R1053"/>
      <c r="S1053"/>
      <c r="T1053"/>
      <c r="U1053" s="2"/>
      <c r="V1053" s="2"/>
      <c r="W1053" s="2"/>
      <c r="X1053" s="2"/>
      <c r="Y1053" s="2"/>
      <c r="Z1053" s="11"/>
      <c r="AA1053" s="15"/>
      <c r="AB1053" s="15"/>
      <c r="AC1053" s="15"/>
      <c r="AD1053" s="35"/>
      <c r="AE1053" s="99"/>
      <c r="AF1053" s="99"/>
      <c r="AG1053" s="35"/>
      <c r="AH1053" s="35"/>
      <c r="AI1053" s="35"/>
      <c r="AJ1053" s="1"/>
      <c r="AK1053" s="1"/>
      <c r="AL1053" s="1"/>
      <c r="AM1053" s="1"/>
      <c r="AN1053" s="1"/>
      <c r="AO1053" s="1"/>
      <c r="AP1053"/>
      <c r="AQ1053"/>
      <c r="AR1053"/>
      <c r="AS1053"/>
      <c r="AT1053" s="50"/>
      <c r="AU1053" s="97"/>
      <c r="AV1053" s="97"/>
      <c r="AW1053" s="97"/>
      <c r="AX1053" s="97"/>
      <c r="AY1053" s="97"/>
      <c r="BD1053" s="35"/>
      <c r="BE1053" s="35"/>
      <c r="BV1053" s="98"/>
      <c r="BW1053" s="98"/>
      <c r="BX1053" s="98"/>
      <c r="BY1053" s="112"/>
      <c r="BZ1053" s="112"/>
      <c r="CA1053" s="112"/>
      <c r="CB1053" s="98"/>
      <c r="CC1053" s="98"/>
      <c r="CD1053" s="98"/>
      <c r="CE1053" s="98"/>
      <c r="CG1053" s="100"/>
      <c r="CH1053" s="100"/>
      <c r="CI1053" s="100"/>
      <c r="CJ1053" s="100"/>
      <c r="CK1053" s="100"/>
      <c r="CL1053" s="100"/>
      <c r="CM1053" s="100"/>
      <c r="CN1053" s="100"/>
      <c r="CO1053" s="100"/>
      <c r="CP1053" s="100"/>
      <c r="CQ1053" s="100"/>
      <c r="CR1053" s="100"/>
      <c r="CS1053" s="100"/>
      <c r="CT1053" s="100"/>
      <c r="CU1053" s="100"/>
    </row>
    <row r="1054" spans="6:99" s="36" customFormat="1" ht="11.1" customHeight="1" x14ac:dyDescent="0.25">
      <c r="F1054" s="33"/>
      <c r="G1054" s="33"/>
      <c r="H1054" s="33"/>
      <c r="I1054" s="34"/>
      <c r="J1054" s="34"/>
      <c r="K1054" s="14"/>
      <c r="L1054" s="32"/>
      <c r="M1054" s="14"/>
      <c r="N1054" s="14"/>
      <c r="O1054" s="2"/>
      <c r="P1054"/>
      <c r="Q1054" s="2"/>
      <c r="R1054"/>
      <c r="S1054"/>
      <c r="T1054"/>
      <c r="U1054" s="2"/>
      <c r="V1054" s="2"/>
      <c r="W1054" s="2"/>
      <c r="X1054" s="2"/>
      <c r="Y1054" s="2"/>
      <c r="Z1054" s="11"/>
      <c r="AA1054" s="15"/>
      <c r="AB1054" s="15"/>
      <c r="AC1054" s="15"/>
      <c r="AD1054" s="35"/>
      <c r="AE1054" s="99"/>
      <c r="AF1054" s="99"/>
      <c r="AG1054" s="35"/>
      <c r="AH1054" s="35"/>
      <c r="AI1054" s="35"/>
      <c r="AJ1054" s="1"/>
      <c r="AK1054" s="1"/>
      <c r="AL1054" s="1"/>
      <c r="AM1054" s="1"/>
      <c r="AN1054" s="1"/>
      <c r="AO1054" s="1"/>
      <c r="AP1054"/>
      <c r="AQ1054"/>
      <c r="AR1054"/>
      <c r="AS1054"/>
      <c r="AT1054" s="50"/>
      <c r="AU1054" s="97"/>
      <c r="AV1054" s="97"/>
      <c r="AW1054" s="97"/>
      <c r="AX1054" s="97"/>
      <c r="AY1054" s="97"/>
      <c r="BD1054" s="35"/>
      <c r="BE1054" s="35"/>
      <c r="BV1054" s="98"/>
      <c r="BW1054" s="98"/>
      <c r="BX1054" s="98"/>
      <c r="BY1054" s="112"/>
      <c r="BZ1054" s="112"/>
      <c r="CA1054" s="112"/>
      <c r="CB1054" s="98"/>
      <c r="CC1054" s="98"/>
      <c r="CD1054" s="98"/>
      <c r="CE1054" s="98"/>
      <c r="CG1054" s="100"/>
      <c r="CH1054" s="100"/>
      <c r="CI1054" s="100"/>
      <c r="CJ1054" s="100"/>
      <c r="CK1054" s="100"/>
      <c r="CL1054" s="100"/>
      <c r="CM1054" s="100"/>
      <c r="CN1054" s="100"/>
      <c r="CO1054" s="100"/>
      <c r="CP1054" s="100"/>
      <c r="CQ1054" s="100"/>
      <c r="CR1054" s="100"/>
      <c r="CS1054" s="100"/>
      <c r="CT1054" s="100"/>
      <c r="CU1054" s="100"/>
    </row>
    <row r="1055" spans="6:99" s="36" customFormat="1" ht="11.1" customHeight="1" x14ac:dyDescent="0.25">
      <c r="F1055" s="33"/>
      <c r="G1055" s="33"/>
      <c r="H1055" s="33"/>
      <c r="I1055" s="34"/>
      <c r="J1055" s="34"/>
      <c r="K1055" s="14"/>
      <c r="L1055" s="32"/>
      <c r="M1055" s="14"/>
      <c r="N1055" s="14"/>
      <c r="O1055" s="2"/>
      <c r="P1055"/>
      <c r="Q1055" s="2"/>
      <c r="R1055"/>
      <c r="S1055"/>
      <c r="T1055"/>
      <c r="U1055" s="2"/>
      <c r="V1055" s="2"/>
      <c r="W1055" s="2"/>
      <c r="X1055" s="2"/>
      <c r="Y1055" s="2"/>
      <c r="Z1055" s="11"/>
      <c r="AA1055" s="15"/>
      <c r="AB1055" s="15"/>
      <c r="AC1055" s="15"/>
      <c r="AD1055" s="35"/>
      <c r="AE1055" s="99"/>
      <c r="AF1055" s="99"/>
      <c r="AG1055" s="35"/>
      <c r="AH1055" s="35"/>
      <c r="AI1055" s="35"/>
      <c r="AJ1055" s="1"/>
      <c r="AK1055" s="1"/>
      <c r="AL1055" s="1"/>
      <c r="AM1055" s="1"/>
      <c r="AN1055" s="1"/>
      <c r="AO1055" s="1"/>
      <c r="AP1055"/>
      <c r="AQ1055"/>
      <c r="AR1055"/>
      <c r="AS1055"/>
      <c r="AT1055" s="50"/>
      <c r="AU1055" s="97"/>
      <c r="AV1055" s="97"/>
      <c r="AW1055" s="97"/>
      <c r="AX1055" s="97"/>
      <c r="AY1055" s="97"/>
      <c r="BD1055" s="35"/>
      <c r="BE1055" s="35"/>
      <c r="BV1055" s="98"/>
      <c r="BW1055" s="98"/>
      <c r="BX1055" s="98"/>
      <c r="BY1055" s="112"/>
      <c r="BZ1055" s="112"/>
      <c r="CA1055" s="112"/>
      <c r="CB1055" s="98"/>
      <c r="CC1055" s="98"/>
      <c r="CD1055" s="98"/>
      <c r="CE1055" s="98"/>
      <c r="CG1055" s="100"/>
      <c r="CH1055" s="100"/>
      <c r="CI1055" s="100"/>
      <c r="CJ1055" s="100"/>
      <c r="CK1055" s="100"/>
      <c r="CL1055" s="100"/>
      <c r="CM1055" s="100"/>
      <c r="CN1055" s="100"/>
      <c r="CO1055" s="100"/>
      <c r="CP1055" s="100"/>
      <c r="CQ1055" s="100"/>
      <c r="CR1055" s="100"/>
      <c r="CS1055" s="100"/>
      <c r="CT1055" s="100"/>
      <c r="CU1055" s="100"/>
    </row>
    <row r="1056" spans="6:99" s="36" customFormat="1" ht="11.1" customHeight="1" x14ac:dyDescent="0.25">
      <c r="F1056" s="33"/>
      <c r="G1056" s="33"/>
      <c r="H1056" s="33"/>
      <c r="I1056" s="34"/>
      <c r="J1056" s="34"/>
      <c r="K1056" s="14"/>
      <c r="L1056" s="32"/>
      <c r="M1056" s="14"/>
      <c r="N1056" s="14"/>
      <c r="O1056" s="2"/>
      <c r="P1056"/>
      <c r="Q1056" s="2"/>
      <c r="R1056"/>
      <c r="S1056"/>
      <c r="T1056"/>
      <c r="U1056" s="2"/>
      <c r="V1056" s="2"/>
      <c r="W1056" s="2"/>
      <c r="X1056" s="2"/>
      <c r="Y1056" s="2"/>
      <c r="Z1056" s="11"/>
      <c r="AA1056" s="15"/>
      <c r="AB1056" s="15"/>
      <c r="AC1056" s="15"/>
      <c r="AD1056" s="35"/>
      <c r="AE1056" s="99"/>
      <c r="AF1056" s="99"/>
      <c r="AG1056" s="35"/>
      <c r="AH1056" s="35"/>
      <c r="AI1056" s="35"/>
      <c r="AJ1056" s="1"/>
      <c r="AK1056" s="1"/>
      <c r="AL1056" s="1"/>
      <c r="AM1056" s="1"/>
      <c r="AN1056" s="1"/>
      <c r="AO1056" s="1"/>
      <c r="AP1056"/>
      <c r="AQ1056"/>
      <c r="AR1056"/>
      <c r="AS1056"/>
      <c r="AT1056" s="50"/>
      <c r="AU1056" s="97"/>
      <c r="AV1056" s="97"/>
      <c r="AW1056" s="97"/>
      <c r="AX1056" s="97"/>
      <c r="AY1056" s="97"/>
      <c r="BD1056" s="35"/>
      <c r="BE1056" s="35"/>
      <c r="BV1056" s="98"/>
      <c r="BW1056" s="98"/>
      <c r="BX1056" s="98"/>
      <c r="BY1056" s="112"/>
      <c r="BZ1056" s="112"/>
      <c r="CA1056" s="112"/>
      <c r="CB1056" s="98"/>
      <c r="CC1056" s="98"/>
      <c r="CD1056" s="98"/>
      <c r="CE1056" s="98"/>
      <c r="CG1056" s="100"/>
      <c r="CH1056" s="100"/>
      <c r="CI1056" s="100"/>
      <c r="CJ1056" s="100"/>
      <c r="CK1056" s="100"/>
      <c r="CL1056" s="100"/>
      <c r="CM1056" s="100"/>
      <c r="CN1056" s="100"/>
      <c r="CO1056" s="100"/>
      <c r="CP1056" s="100"/>
      <c r="CQ1056" s="100"/>
      <c r="CR1056" s="100"/>
      <c r="CS1056" s="100"/>
      <c r="CT1056" s="100"/>
      <c r="CU1056" s="100"/>
    </row>
    <row r="1057" spans="6:99" s="36" customFormat="1" ht="11.1" customHeight="1" x14ac:dyDescent="0.25">
      <c r="F1057" s="33"/>
      <c r="G1057" s="33"/>
      <c r="H1057" s="33"/>
      <c r="I1057" s="34"/>
      <c r="J1057" s="34"/>
      <c r="K1057" s="14"/>
      <c r="L1057" s="32"/>
      <c r="M1057" s="14"/>
      <c r="N1057" s="14"/>
      <c r="O1057" s="2"/>
      <c r="P1057"/>
      <c r="Q1057" s="2"/>
      <c r="R1057"/>
      <c r="S1057"/>
      <c r="T1057"/>
      <c r="U1057" s="2"/>
      <c r="V1057" s="2"/>
      <c r="W1057" s="2"/>
      <c r="X1057" s="2"/>
      <c r="Y1057" s="2"/>
      <c r="Z1057" s="11"/>
      <c r="AA1057" s="15"/>
      <c r="AB1057" s="15"/>
      <c r="AC1057" s="15"/>
      <c r="AD1057" s="35"/>
      <c r="AE1057" s="99"/>
      <c r="AF1057" s="99"/>
      <c r="AG1057" s="35"/>
      <c r="AH1057" s="35"/>
      <c r="AI1057" s="35"/>
      <c r="AJ1057" s="1"/>
      <c r="AK1057" s="1"/>
      <c r="AL1057" s="1"/>
      <c r="AM1057" s="1"/>
      <c r="AN1057" s="1"/>
      <c r="AO1057" s="1"/>
      <c r="AP1057"/>
      <c r="AQ1057"/>
      <c r="AR1057"/>
      <c r="AS1057"/>
      <c r="AT1057" s="50"/>
      <c r="AU1057" s="97"/>
      <c r="AV1057" s="97"/>
      <c r="AW1057" s="97"/>
      <c r="AX1057" s="97"/>
      <c r="AY1057" s="97"/>
      <c r="BD1057" s="35"/>
      <c r="BE1057" s="35"/>
      <c r="BV1057" s="98"/>
      <c r="BW1057" s="98"/>
      <c r="BX1057" s="98"/>
      <c r="BY1057" s="112"/>
      <c r="BZ1057" s="112"/>
      <c r="CA1057" s="112"/>
      <c r="CB1057" s="98"/>
      <c r="CC1057" s="98"/>
      <c r="CD1057" s="98"/>
      <c r="CE1057" s="98"/>
      <c r="CG1057" s="100"/>
      <c r="CH1057" s="100"/>
      <c r="CI1057" s="100"/>
      <c r="CJ1057" s="100"/>
      <c r="CK1057" s="100"/>
      <c r="CL1057" s="100"/>
      <c r="CM1057" s="100"/>
      <c r="CN1057" s="100"/>
      <c r="CO1057" s="100"/>
      <c r="CP1057" s="100"/>
      <c r="CQ1057" s="100"/>
      <c r="CR1057" s="100"/>
      <c r="CS1057" s="100"/>
      <c r="CT1057" s="100"/>
      <c r="CU1057" s="100"/>
    </row>
    <row r="1058" spans="6:99" s="36" customFormat="1" ht="11.1" customHeight="1" x14ac:dyDescent="0.25">
      <c r="F1058" s="33"/>
      <c r="G1058" s="33"/>
      <c r="H1058" s="33"/>
      <c r="I1058" s="34"/>
      <c r="J1058" s="34"/>
      <c r="K1058" s="14"/>
      <c r="L1058" s="32"/>
      <c r="M1058" s="14"/>
      <c r="N1058" s="14"/>
      <c r="O1058" s="2"/>
      <c r="P1058"/>
      <c r="Q1058" s="2"/>
      <c r="R1058"/>
      <c r="S1058"/>
      <c r="T1058"/>
      <c r="U1058" s="2"/>
      <c r="V1058" s="2"/>
      <c r="W1058" s="2"/>
      <c r="X1058" s="2"/>
      <c r="Y1058" s="2"/>
      <c r="Z1058" s="11"/>
      <c r="AA1058" s="15"/>
      <c r="AB1058" s="15"/>
      <c r="AC1058" s="15"/>
      <c r="AD1058" s="35"/>
      <c r="AE1058" s="99"/>
      <c r="AF1058" s="99"/>
      <c r="AG1058" s="35"/>
      <c r="AH1058" s="35"/>
      <c r="AI1058" s="35"/>
      <c r="AJ1058" s="1"/>
      <c r="AK1058" s="1"/>
      <c r="AL1058" s="1"/>
      <c r="AM1058" s="1"/>
      <c r="AN1058" s="1"/>
      <c r="AO1058" s="1"/>
      <c r="AP1058"/>
      <c r="AQ1058"/>
      <c r="AR1058"/>
      <c r="AS1058"/>
      <c r="AT1058" s="50"/>
      <c r="AU1058" s="97"/>
      <c r="AV1058" s="97"/>
      <c r="AW1058" s="97"/>
      <c r="AX1058" s="97"/>
      <c r="AY1058" s="97"/>
      <c r="BD1058" s="35"/>
      <c r="BE1058" s="35"/>
      <c r="BV1058" s="98"/>
      <c r="BW1058" s="98"/>
      <c r="BX1058" s="98"/>
      <c r="BY1058" s="112"/>
      <c r="BZ1058" s="112"/>
      <c r="CA1058" s="112"/>
      <c r="CB1058" s="98"/>
      <c r="CC1058" s="98"/>
      <c r="CD1058" s="98"/>
      <c r="CE1058" s="98"/>
      <c r="CG1058" s="100"/>
      <c r="CH1058" s="100"/>
      <c r="CI1058" s="100"/>
      <c r="CJ1058" s="100"/>
      <c r="CK1058" s="100"/>
      <c r="CL1058" s="100"/>
      <c r="CM1058" s="100"/>
      <c r="CN1058" s="100"/>
      <c r="CO1058" s="100"/>
      <c r="CP1058" s="100"/>
      <c r="CQ1058" s="100"/>
      <c r="CR1058" s="100"/>
      <c r="CS1058" s="100"/>
      <c r="CT1058" s="100"/>
      <c r="CU1058" s="100"/>
    </row>
    <row r="1059" spans="6:99" s="36" customFormat="1" ht="11.1" customHeight="1" x14ac:dyDescent="0.25">
      <c r="F1059" s="33"/>
      <c r="G1059" s="33"/>
      <c r="H1059" s="33"/>
      <c r="I1059" s="34"/>
      <c r="J1059" s="34"/>
      <c r="K1059" s="14"/>
      <c r="L1059" s="32"/>
      <c r="M1059" s="14"/>
      <c r="N1059" s="14"/>
      <c r="O1059" s="2"/>
      <c r="P1059"/>
      <c r="Q1059" s="2"/>
      <c r="R1059"/>
      <c r="S1059"/>
      <c r="T1059"/>
      <c r="U1059" s="2"/>
      <c r="V1059" s="2"/>
      <c r="W1059" s="2"/>
      <c r="X1059" s="2"/>
      <c r="Y1059" s="2"/>
      <c r="Z1059" s="11"/>
      <c r="AA1059" s="15"/>
      <c r="AB1059" s="15"/>
      <c r="AC1059" s="15"/>
      <c r="AD1059" s="35"/>
      <c r="AE1059" s="99"/>
      <c r="AF1059" s="99"/>
      <c r="AG1059" s="35"/>
      <c r="AH1059" s="35"/>
      <c r="AI1059" s="35"/>
      <c r="AJ1059" s="1"/>
      <c r="AK1059" s="1"/>
      <c r="AL1059" s="1"/>
      <c r="AM1059" s="1"/>
      <c r="AN1059" s="1"/>
      <c r="AO1059" s="1"/>
      <c r="AP1059"/>
      <c r="AQ1059"/>
      <c r="AR1059"/>
      <c r="AS1059"/>
      <c r="AT1059" s="50"/>
      <c r="AU1059" s="97"/>
      <c r="AV1059" s="97"/>
      <c r="AW1059" s="97"/>
      <c r="AX1059" s="97"/>
      <c r="AY1059" s="97"/>
      <c r="BD1059" s="35"/>
      <c r="BE1059" s="35"/>
      <c r="BV1059" s="98"/>
      <c r="BW1059" s="98"/>
      <c r="BX1059" s="98"/>
      <c r="BY1059" s="112"/>
      <c r="BZ1059" s="112"/>
      <c r="CA1059" s="112"/>
      <c r="CB1059" s="98"/>
      <c r="CC1059" s="98"/>
      <c r="CD1059" s="98"/>
      <c r="CE1059" s="98"/>
      <c r="CG1059" s="100"/>
      <c r="CH1059" s="100"/>
      <c r="CI1059" s="100"/>
      <c r="CJ1059" s="100"/>
      <c r="CK1059" s="100"/>
      <c r="CL1059" s="100"/>
      <c r="CM1059" s="100"/>
      <c r="CN1059" s="100"/>
      <c r="CO1059" s="100"/>
      <c r="CP1059" s="100"/>
      <c r="CQ1059" s="100"/>
      <c r="CR1059" s="100"/>
      <c r="CS1059" s="100"/>
      <c r="CT1059" s="100"/>
      <c r="CU1059" s="100"/>
    </row>
    <row r="1060" spans="6:99" s="36" customFormat="1" ht="11.1" customHeight="1" x14ac:dyDescent="0.25">
      <c r="F1060" s="33"/>
      <c r="G1060" s="33"/>
      <c r="H1060" s="33"/>
      <c r="I1060" s="34"/>
      <c r="J1060" s="34"/>
      <c r="K1060" s="14"/>
      <c r="L1060" s="32"/>
      <c r="M1060" s="14"/>
      <c r="N1060" s="14"/>
      <c r="O1060" s="2"/>
      <c r="P1060"/>
      <c r="Q1060" s="2"/>
      <c r="R1060"/>
      <c r="S1060"/>
      <c r="T1060"/>
      <c r="U1060" s="2"/>
      <c r="V1060" s="2"/>
      <c r="W1060" s="2"/>
      <c r="X1060" s="2"/>
      <c r="Y1060" s="2"/>
      <c r="Z1060" s="11"/>
      <c r="AA1060" s="15"/>
      <c r="AB1060" s="15"/>
      <c r="AC1060" s="15"/>
      <c r="AD1060" s="35"/>
      <c r="AE1060" s="99"/>
      <c r="AF1060" s="99"/>
      <c r="AG1060" s="35"/>
      <c r="AH1060" s="35"/>
      <c r="AI1060" s="35"/>
      <c r="AJ1060" s="1"/>
      <c r="AK1060" s="1"/>
      <c r="AL1060" s="1"/>
      <c r="AM1060" s="1"/>
      <c r="AN1060" s="1"/>
      <c r="AO1060" s="1"/>
      <c r="AP1060"/>
      <c r="AQ1060"/>
      <c r="AR1060"/>
      <c r="AS1060"/>
      <c r="AT1060" s="50"/>
      <c r="AU1060" s="97"/>
      <c r="AV1060" s="97"/>
      <c r="AW1060" s="97"/>
      <c r="AX1060" s="97"/>
      <c r="AY1060" s="97"/>
      <c r="BD1060" s="35"/>
      <c r="BE1060" s="35"/>
      <c r="BV1060" s="98"/>
      <c r="BW1060" s="98"/>
      <c r="BX1060" s="98"/>
      <c r="BY1060" s="112"/>
      <c r="BZ1060" s="112"/>
      <c r="CA1060" s="112"/>
      <c r="CB1060" s="98"/>
      <c r="CC1060" s="98"/>
      <c r="CD1060" s="98"/>
      <c r="CE1060" s="98"/>
      <c r="CG1060" s="100"/>
      <c r="CH1060" s="100"/>
      <c r="CI1060" s="100"/>
      <c r="CJ1060" s="100"/>
      <c r="CK1060" s="100"/>
      <c r="CL1060" s="100"/>
      <c r="CM1060" s="100"/>
      <c r="CN1060" s="100"/>
      <c r="CO1060" s="100"/>
      <c r="CP1060" s="100"/>
      <c r="CQ1060" s="100"/>
      <c r="CR1060" s="100"/>
      <c r="CS1060" s="100"/>
      <c r="CT1060" s="100"/>
      <c r="CU1060" s="100"/>
    </row>
    <row r="1061" spans="6:99" s="36" customFormat="1" ht="11.1" customHeight="1" x14ac:dyDescent="0.25">
      <c r="F1061" s="33"/>
      <c r="G1061" s="33"/>
      <c r="H1061" s="33"/>
      <c r="I1061" s="34"/>
      <c r="J1061" s="34"/>
      <c r="K1061" s="14"/>
      <c r="L1061" s="32"/>
      <c r="M1061" s="14"/>
      <c r="N1061" s="14"/>
      <c r="O1061" s="2"/>
      <c r="P1061"/>
      <c r="Q1061" s="2"/>
      <c r="R1061"/>
      <c r="S1061"/>
      <c r="T1061"/>
      <c r="U1061" s="2"/>
      <c r="V1061" s="2"/>
      <c r="W1061" s="2"/>
      <c r="X1061" s="2"/>
      <c r="Y1061" s="2"/>
      <c r="Z1061" s="11"/>
      <c r="AA1061" s="15"/>
      <c r="AB1061" s="15"/>
      <c r="AC1061" s="15"/>
      <c r="AD1061" s="35"/>
      <c r="AE1061" s="99"/>
      <c r="AF1061" s="99"/>
      <c r="AG1061" s="35"/>
      <c r="AH1061" s="35"/>
      <c r="AI1061" s="35"/>
      <c r="AJ1061" s="1"/>
      <c r="AK1061" s="1"/>
      <c r="AL1061" s="1"/>
      <c r="AM1061" s="1"/>
      <c r="AN1061" s="1"/>
      <c r="AO1061" s="1"/>
      <c r="AP1061"/>
      <c r="AQ1061"/>
      <c r="AR1061"/>
      <c r="AS1061"/>
      <c r="AT1061" s="50"/>
      <c r="AU1061" s="97"/>
      <c r="AV1061" s="97"/>
      <c r="AW1061" s="97"/>
      <c r="AX1061" s="97"/>
      <c r="AY1061" s="97"/>
      <c r="BD1061" s="35"/>
      <c r="BE1061" s="35"/>
      <c r="BV1061" s="98"/>
      <c r="BW1061" s="98"/>
      <c r="BX1061" s="98"/>
      <c r="BY1061" s="112"/>
      <c r="BZ1061" s="112"/>
      <c r="CA1061" s="112"/>
      <c r="CB1061" s="98"/>
      <c r="CC1061" s="98"/>
      <c r="CD1061" s="98"/>
      <c r="CE1061" s="98"/>
      <c r="CG1061" s="100"/>
      <c r="CH1061" s="100"/>
      <c r="CI1061" s="100"/>
      <c r="CJ1061" s="100"/>
      <c r="CK1061" s="100"/>
      <c r="CL1061" s="100"/>
      <c r="CM1061" s="100"/>
      <c r="CN1061" s="100"/>
      <c r="CO1061" s="100"/>
      <c r="CP1061" s="100"/>
      <c r="CQ1061" s="100"/>
      <c r="CR1061" s="100"/>
      <c r="CS1061" s="100"/>
      <c r="CT1061" s="100"/>
      <c r="CU1061" s="100"/>
    </row>
    <row r="1062" spans="6:99" s="36" customFormat="1" ht="11.1" customHeight="1" x14ac:dyDescent="0.25">
      <c r="F1062" s="33"/>
      <c r="G1062" s="33"/>
      <c r="H1062" s="33"/>
      <c r="I1062" s="34"/>
      <c r="J1062" s="34"/>
      <c r="K1062" s="14"/>
      <c r="L1062" s="32"/>
      <c r="M1062" s="14"/>
      <c r="N1062" s="14"/>
      <c r="O1062" s="2"/>
      <c r="P1062"/>
      <c r="Q1062" s="2"/>
      <c r="R1062"/>
      <c r="S1062"/>
      <c r="T1062"/>
      <c r="U1062" s="2"/>
      <c r="V1062" s="2"/>
      <c r="W1062" s="2"/>
      <c r="X1062" s="2"/>
      <c r="Y1062" s="2"/>
      <c r="Z1062" s="11"/>
      <c r="AA1062" s="15"/>
      <c r="AB1062" s="15"/>
      <c r="AC1062" s="15"/>
      <c r="AD1062" s="35"/>
      <c r="AE1062" s="99"/>
      <c r="AF1062" s="99"/>
      <c r="AG1062" s="35"/>
      <c r="AH1062" s="35"/>
      <c r="AI1062" s="35"/>
      <c r="AJ1062" s="1"/>
      <c r="AK1062" s="1"/>
      <c r="AL1062" s="1"/>
      <c r="AM1062" s="1"/>
      <c r="AN1062" s="1"/>
      <c r="AO1062" s="1"/>
      <c r="AP1062"/>
      <c r="AQ1062"/>
      <c r="AR1062"/>
      <c r="AS1062"/>
      <c r="AT1062" s="50"/>
      <c r="AU1062" s="97"/>
      <c r="AV1062" s="97"/>
      <c r="AW1062" s="97"/>
      <c r="AX1062" s="97"/>
      <c r="AY1062" s="97"/>
      <c r="BD1062" s="35"/>
      <c r="BE1062" s="35"/>
      <c r="BV1062" s="98"/>
      <c r="BW1062" s="98"/>
      <c r="BX1062" s="98"/>
      <c r="BY1062" s="112"/>
      <c r="BZ1062" s="112"/>
      <c r="CA1062" s="112"/>
      <c r="CB1062" s="98"/>
      <c r="CC1062" s="98"/>
      <c r="CD1062" s="98"/>
      <c r="CE1062" s="98"/>
      <c r="CG1062" s="100"/>
      <c r="CH1062" s="100"/>
      <c r="CI1062" s="100"/>
      <c r="CJ1062" s="100"/>
      <c r="CK1062" s="100"/>
      <c r="CL1062" s="100"/>
      <c r="CM1062" s="100"/>
      <c r="CN1062" s="100"/>
      <c r="CO1062" s="100"/>
      <c r="CP1062" s="100"/>
      <c r="CQ1062" s="100"/>
      <c r="CR1062" s="100"/>
      <c r="CS1062" s="100"/>
      <c r="CT1062" s="100"/>
      <c r="CU1062" s="100"/>
    </row>
    <row r="1063" spans="6:99" s="36" customFormat="1" ht="11.1" customHeight="1" x14ac:dyDescent="0.25">
      <c r="F1063" s="33"/>
      <c r="G1063" s="33"/>
      <c r="H1063" s="33"/>
      <c r="I1063" s="34"/>
      <c r="J1063" s="34"/>
      <c r="K1063" s="14"/>
      <c r="L1063" s="32"/>
      <c r="M1063" s="14"/>
      <c r="N1063" s="14"/>
      <c r="O1063" s="2"/>
      <c r="P1063"/>
      <c r="Q1063" s="2"/>
      <c r="R1063"/>
      <c r="S1063"/>
      <c r="T1063"/>
      <c r="U1063" s="2"/>
      <c r="V1063" s="2"/>
      <c r="W1063" s="2"/>
      <c r="X1063" s="2"/>
      <c r="Y1063" s="2"/>
      <c r="Z1063" s="11"/>
      <c r="AA1063" s="15"/>
      <c r="AB1063" s="15"/>
      <c r="AC1063" s="15"/>
      <c r="AD1063" s="35"/>
      <c r="AE1063" s="99"/>
      <c r="AF1063" s="99"/>
      <c r="AG1063" s="35"/>
      <c r="AH1063" s="35"/>
      <c r="AI1063" s="35"/>
      <c r="AJ1063" s="1"/>
      <c r="AK1063" s="1"/>
      <c r="AL1063" s="1"/>
      <c r="AM1063" s="1"/>
      <c r="AN1063" s="1"/>
      <c r="AO1063" s="1"/>
      <c r="AP1063"/>
      <c r="AQ1063"/>
      <c r="AR1063"/>
      <c r="AS1063"/>
      <c r="AT1063" s="50"/>
      <c r="AU1063" s="97"/>
      <c r="AV1063" s="97"/>
      <c r="AW1063" s="97"/>
      <c r="AX1063" s="97"/>
      <c r="AY1063" s="97"/>
      <c r="BD1063" s="35"/>
      <c r="BE1063" s="35"/>
      <c r="BV1063" s="98"/>
      <c r="BW1063" s="98"/>
      <c r="BX1063" s="98"/>
      <c r="BY1063" s="112"/>
      <c r="BZ1063" s="112"/>
      <c r="CA1063" s="112"/>
      <c r="CB1063" s="98"/>
      <c r="CC1063" s="98"/>
      <c r="CD1063" s="98"/>
      <c r="CE1063" s="98"/>
      <c r="CG1063" s="100"/>
      <c r="CH1063" s="100"/>
      <c r="CI1063" s="100"/>
      <c r="CJ1063" s="100"/>
      <c r="CK1063" s="100"/>
      <c r="CL1063" s="100"/>
      <c r="CM1063" s="100"/>
      <c r="CN1063" s="100"/>
      <c r="CO1063" s="100"/>
      <c r="CP1063" s="100"/>
      <c r="CQ1063" s="100"/>
      <c r="CR1063" s="100"/>
      <c r="CS1063" s="100"/>
      <c r="CT1063" s="100"/>
      <c r="CU1063" s="100"/>
    </row>
    <row r="1064" spans="6:99" s="36" customFormat="1" ht="11.1" customHeight="1" x14ac:dyDescent="0.25">
      <c r="F1064" s="33"/>
      <c r="G1064" s="33"/>
      <c r="H1064" s="33"/>
      <c r="I1064" s="34"/>
      <c r="J1064" s="34"/>
      <c r="K1064" s="14"/>
      <c r="L1064" s="32"/>
      <c r="M1064" s="14"/>
      <c r="N1064" s="14"/>
      <c r="O1064" s="2"/>
      <c r="P1064"/>
      <c r="Q1064" s="2"/>
      <c r="R1064"/>
      <c r="S1064"/>
      <c r="T1064"/>
      <c r="U1064" s="2"/>
      <c r="V1064" s="2"/>
      <c r="W1064" s="2"/>
      <c r="X1064" s="2"/>
      <c r="Y1064" s="2"/>
      <c r="Z1064" s="11"/>
      <c r="AA1064" s="15"/>
      <c r="AB1064" s="15"/>
      <c r="AC1064" s="15"/>
      <c r="AD1064" s="35"/>
      <c r="AE1064" s="99"/>
      <c r="AF1064" s="99"/>
      <c r="AG1064" s="35"/>
      <c r="AH1064" s="35"/>
      <c r="AI1064" s="35"/>
      <c r="AJ1064" s="1"/>
      <c r="AK1064" s="1"/>
      <c r="AL1064" s="1"/>
      <c r="AM1064" s="1"/>
      <c r="AN1064" s="1"/>
      <c r="AO1064" s="1"/>
      <c r="AP1064"/>
      <c r="AQ1064"/>
      <c r="AR1064"/>
      <c r="AS1064"/>
      <c r="AT1064" s="50"/>
      <c r="AU1064" s="97"/>
      <c r="AV1064" s="97"/>
      <c r="AW1064" s="97"/>
      <c r="AX1064" s="97"/>
      <c r="AY1064" s="97"/>
      <c r="BD1064" s="35"/>
      <c r="BE1064" s="35"/>
      <c r="BV1064" s="98"/>
      <c r="BW1064" s="98"/>
      <c r="BX1064" s="98"/>
      <c r="BY1064" s="112"/>
      <c r="BZ1064" s="112"/>
      <c r="CA1064" s="112"/>
      <c r="CB1064" s="98"/>
      <c r="CC1064" s="98"/>
      <c r="CD1064" s="98"/>
      <c r="CE1064" s="98"/>
      <c r="CG1064" s="100"/>
      <c r="CH1064" s="100"/>
      <c r="CI1064" s="100"/>
      <c r="CJ1064" s="100"/>
      <c r="CK1064" s="100"/>
      <c r="CL1064" s="100"/>
      <c r="CM1064" s="100"/>
      <c r="CN1064" s="100"/>
      <c r="CO1064" s="100"/>
      <c r="CP1064" s="100"/>
      <c r="CQ1064" s="100"/>
      <c r="CR1064" s="100"/>
      <c r="CS1064" s="100"/>
      <c r="CT1064" s="100"/>
      <c r="CU1064" s="100"/>
    </row>
    <row r="1065" spans="6:99" s="36" customFormat="1" ht="11.1" customHeight="1" x14ac:dyDescent="0.25">
      <c r="F1065" s="33"/>
      <c r="G1065" s="33"/>
      <c r="H1065" s="33"/>
      <c r="I1065" s="34"/>
      <c r="J1065" s="34"/>
      <c r="K1065" s="14"/>
      <c r="L1065" s="32"/>
      <c r="M1065" s="14"/>
      <c r="N1065" s="14"/>
      <c r="O1065" s="2"/>
      <c r="P1065"/>
      <c r="Q1065" s="2"/>
      <c r="R1065"/>
      <c r="S1065"/>
      <c r="T1065"/>
      <c r="U1065" s="2"/>
      <c r="V1065" s="2"/>
      <c r="W1065" s="2"/>
      <c r="X1065" s="2"/>
      <c r="Y1065" s="2"/>
      <c r="Z1065" s="11"/>
      <c r="AA1065" s="15"/>
      <c r="AB1065" s="15"/>
      <c r="AC1065" s="15"/>
      <c r="AD1065" s="35"/>
      <c r="AE1065" s="99"/>
      <c r="AF1065" s="99"/>
      <c r="AG1065" s="35"/>
      <c r="AH1065" s="35"/>
      <c r="AI1065" s="35"/>
      <c r="AJ1065" s="1"/>
      <c r="AK1065" s="1"/>
      <c r="AL1065" s="1"/>
      <c r="AM1065" s="1"/>
      <c r="AN1065" s="1"/>
      <c r="AO1065" s="1"/>
      <c r="AP1065"/>
      <c r="AQ1065"/>
      <c r="AR1065"/>
      <c r="AS1065"/>
      <c r="AT1065" s="50"/>
      <c r="AU1065" s="97"/>
      <c r="AV1065" s="97"/>
      <c r="AW1065" s="97"/>
      <c r="AX1065" s="97"/>
      <c r="AY1065" s="97"/>
      <c r="BD1065" s="35"/>
      <c r="BE1065" s="35"/>
      <c r="BV1065" s="98"/>
      <c r="BW1065" s="98"/>
      <c r="BX1065" s="98"/>
      <c r="BY1065" s="112"/>
      <c r="BZ1065" s="112"/>
      <c r="CA1065" s="112"/>
      <c r="CB1065" s="98"/>
      <c r="CC1065" s="98"/>
      <c r="CD1065" s="98"/>
      <c r="CE1065" s="98"/>
      <c r="CG1065" s="100"/>
      <c r="CH1065" s="100"/>
      <c r="CI1065" s="100"/>
      <c r="CJ1065" s="100"/>
      <c r="CK1065" s="100"/>
      <c r="CL1065" s="100"/>
      <c r="CM1065" s="100"/>
      <c r="CN1065" s="100"/>
      <c r="CO1065" s="100"/>
      <c r="CP1065" s="100"/>
      <c r="CQ1065" s="100"/>
      <c r="CR1065" s="100"/>
      <c r="CS1065" s="100"/>
      <c r="CT1065" s="100"/>
      <c r="CU1065" s="100"/>
    </row>
    <row r="1066" spans="6:99" s="36" customFormat="1" ht="11.1" customHeight="1" x14ac:dyDescent="0.25">
      <c r="F1066" s="33"/>
      <c r="G1066" s="33"/>
      <c r="H1066" s="33"/>
      <c r="I1066" s="34"/>
      <c r="J1066" s="34"/>
      <c r="K1066" s="14"/>
      <c r="L1066" s="32"/>
      <c r="M1066" s="14"/>
      <c r="N1066" s="14"/>
      <c r="O1066" s="2"/>
      <c r="P1066"/>
      <c r="Q1066" s="2"/>
      <c r="R1066"/>
      <c r="S1066"/>
      <c r="T1066"/>
      <c r="U1066" s="2"/>
      <c r="V1066" s="2"/>
      <c r="W1066" s="2"/>
      <c r="X1066" s="2"/>
      <c r="Y1066" s="2"/>
      <c r="Z1066" s="11"/>
      <c r="AA1066" s="15"/>
      <c r="AB1066" s="15"/>
      <c r="AC1066" s="15"/>
      <c r="AD1066" s="35"/>
      <c r="AE1066" s="99"/>
      <c r="AF1066" s="99"/>
      <c r="AG1066" s="35"/>
      <c r="AH1066" s="35"/>
      <c r="AI1066" s="35"/>
      <c r="AJ1066" s="1"/>
      <c r="AK1066" s="1"/>
      <c r="AL1066" s="1"/>
      <c r="AM1066" s="1"/>
      <c r="AN1066" s="1"/>
      <c r="AO1066" s="1"/>
      <c r="AP1066"/>
      <c r="AQ1066"/>
      <c r="AR1066"/>
      <c r="AS1066"/>
      <c r="AT1066" s="50"/>
      <c r="AU1066" s="97"/>
      <c r="AV1066" s="97"/>
      <c r="AW1066" s="97"/>
      <c r="AX1066" s="97"/>
      <c r="AY1066" s="97"/>
      <c r="BD1066" s="35"/>
      <c r="BE1066" s="35"/>
      <c r="BV1066" s="98"/>
      <c r="BW1066" s="98"/>
      <c r="BX1066" s="98"/>
      <c r="BY1066" s="112"/>
      <c r="BZ1066" s="112"/>
      <c r="CA1066" s="112"/>
      <c r="CB1066" s="98"/>
      <c r="CC1066" s="98"/>
      <c r="CD1066" s="98"/>
      <c r="CE1066" s="98"/>
      <c r="CG1066" s="100"/>
      <c r="CH1066" s="100"/>
      <c r="CI1066" s="100"/>
      <c r="CJ1066" s="100"/>
      <c r="CK1066" s="100"/>
      <c r="CL1066" s="100"/>
      <c r="CM1066" s="100"/>
      <c r="CN1066" s="100"/>
      <c r="CO1066" s="100"/>
      <c r="CP1066" s="100"/>
      <c r="CQ1066" s="100"/>
      <c r="CR1066" s="100"/>
      <c r="CS1066" s="100"/>
      <c r="CT1066" s="100"/>
      <c r="CU1066" s="100"/>
    </row>
    <row r="1067" spans="6:99" s="36" customFormat="1" ht="11.1" customHeight="1" x14ac:dyDescent="0.25">
      <c r="F1067" s="33"/>
      <c r="G1067" s="33"/>
      <c r="H1067" s="33"/>
      <c r="I1067" s="34"/>
      <c r="J1067" s="34"/>
      <c r="K1067" s="14"/>
      <c r="L1067" s="32"/>
      <c r="M1067" s="14"/>
      <c r="N1067" s="14"/>
      <c r="O1067" s="2"/>
      <c r="P1067"/>
      <c r="Q1067" s="2"/>
      <c r="R1067"/>
      <c r="S1067"/>
      <c r="T1067"/>
      <c r="U1067" s="2"/>
      <c r="V1067" s="2"/>
      <c r="W1067" s="2"/>
      <c r="X1067" s="2"/>
      <c r="Y1067" s="2"/>
      <c r="Z1067" s="11"/>
      <c r="AA1067" s="15"/>
      <c r="AB1067" s="15"/>
      <c r="AC1067" s="15"/>
      <c r="AD1067" s="35"/>
      <c r="AE1067" s="99"/>
      <c r="AF1067" s="99"/>
      <c r="AG1067" s="35"/>
      <c r="AH1067" s="35"/>
      <c r="AI1067" s="35"/>
      <c r="AJ1067" s="1"/>
      <c r="AK1067" s="1"/>
      <c r="AL1067" s="1"/>
      <c r="AM1067" s="1"/>
      <c r="AN1067" s="1"/>
      <c r="AO1067" s="1"/>
      <c r="AP1067"/>
      <c r="AQ1067"/>
      <c r="AR1067"/>
      <c r="AS1067"/>
      <c r="AT1067" s="50"/>
      <c r="AU1067" s="97"/>
      <c r="AV1067" s="97"/>
      <c r="AW1067" s="97"/>
      <c r="AX1067" s="97"/>
      <c r="AY1067" s="97"/>
      <c r="BD1067" s="35"/>
      <c r="BE1067" s="35"/>
      <c r="BV1067" s="98"/>
      <c r="BW1067" s="98"/>
      <c r="BX1067" s="98"/>
      <c r="BY1067" s="112"/>
      <c r="BZ1067" s="112"/>
      <c r="CA1067" s="112"/>
      <c r="CB1067" s="98"/>
      <c r="CC1067" s="98"/>
      <c r="CD1067" s="98"/>
      <c r="CE1067" s="98"/>
      <c r="CG1067" s="100"/>
      <c r="CH1067" s="100"/>
      <c r="CI1067" s="100"/>
      <c r="CJ1067" s="100"/>
      <c r="CK1067" s="100"/>
      <c r="CL1067" s="100"/>
      <c r="CM1067" s="100"/>
      <c r="CN1067" s="100"/>
      <c r="CO1067" s="100"/>
      <c r="CP1067" s="100"/>
      <c r="CQ1067" s="100"/>
      <c r="CR1067" s="100"/>
      <c r="CS1067" s="100"/>
      <c r="CT1067" s="100"/>
      <c r="CU1067" s="100"/>
    </row>
    <row r="1068" spans="6:99" s="36" customFormat="1" ht="11.1" customHeight="1" x14ac:dyDescent="0.25">
      <c r="F1068" s="33"/>
      <c r="G1068" s="33"/>
      <c r="H1068" s="33"/>
      <c r="I1068" s="34"/>
      <c r="J1068" s="34"/>
      <c r="K1068" s="14"/>
      <c r="L1068" s="32"/>
      <c r="M1068" s="14"/>
      <c r="N1068" s="14"/>
      <c r="O1068" s="2"/>
      <c r="P1068"/>
      <c r="Q1068" s="2"/>
      <c r="R1068"/>
      <c r="S1068"/>
      <c r="T1068"/>
      <c r="U1068" s="2"/>
      <c r="V1068" s="2"/>
      <c r="W1068" s="2"/>
      <c r="X1068" s="2"/>
      <c r="Y1068" s="2"/>
      <c r="Z1068" s="11"/>
      <c r="AA1068" s="15"/>
      <c r="AB1068" s="15"/>
      <c r="AC1068" s="15"/>
      <c r="AD1068" s="35"/>
      <c r="AE1068" s="99"/>
      <c r="AF1068" s="99"/>
      <c r="AG1068" s="35"/>
      <c r="AH1068" s="35"/>
      <c r="AI1068" s="35"/>
      <c r="AJ1068" s="1"/>
      <c r="AK1068" s="1"/>
      <c r="AL1068" s="1"/>
      <c r="AM1068" s="1"/>
      <c r="AN1068" s="1"/>
      <c r="AO1068" s="1"/>
      <c r="AP1068"/>
      <c r="AQ1068"/>
      <c r="AR1068"/>
      <c r="AS1068"/>
      <c r="AT1068" s="50"/>
      <c r="AU1068" s="97"/>
      <c r="AV1068" s="97"/>
      <c r="AW1068" s="97"/>
      <c r="AX1068" s="97"/>
      <c r="AY1068" s="97"/>
      <c r="BD1068" s="35"/>
      <c r="BE1068" s="35"/>
      <c r="BV1068" s="98"/>
      <c r="BW1068" s="98"/>
      <c r="BX1068" s="98"/>
      <c r="BY1068" s="112"/>
      <c r="BZ1068" s="112"/>
      <c r="CA1068" s="112"/>
      <c r="CB1068" s="98"/>
      <c r="CC1068" s="98"/>
      <c r="CD1068" s="98"/>
      <c r="CE1068" s="98"/>
      <c r="CG1068" s="100"/>
      <c r="CH1068" s="100"/>
      <c r="CI1068" s="100"/>
      <c r="CJ1068" s="100"/>
      <c r="CK1068" s="100"/>
      <c r="CL1068" s="100"/>
      <c r="CM1068" s="100"/>
      <c r="CN1068" s="100"/>
      <c r="CO1068" s="100"/>
      <c r="CP1068" s="100"/>
      <c r="CQ1068" s="100"/>
      <c r="CR1068" s="100"/>
      <c r="CS1068" s="100"/>
      <c r="CT1068" s="100"/>
      <c r="CU1068" s="100"/>
    </row>
    <row r="1069" spans="6:99" s="36" customFormat="1" ht="11.1" customHeight="1" x14ac:dyDescent="0.25">
      <c r="F1069" s="33"/>
      <c r="G1069" s="33"/>
      <c r="H1069" s="33"/>
      <c r="I1069" s="34"/>
      <c r="J1069" s="34"/>
      <c r="K1069" s="14"/>
      <c r="L1069" s="32"/>
      <c r="M1069" s="14"/>
      <c r="N1069" s="14"/>
      <c r="O1069" s="2"/>
      <c r="P1069"/>
      <c r="Q1069" s="2"/>
      <c r="R1069"/>
      <c r="S1069"/>
      <c r="T1069"/>
      <c r="U1069" s="2"/>
      <c r="V1069" s="2"/>
      <c r="W1069" s="2"/>
      <c r="X1069" s="2"/>
      <c r="Y1069" s="2"/>
      <c r="Z1069" s="11"/>
      <c r="AA1069" s="15"/>
      <c r="AB1069" s="15"/>
      <c r="AC1069" s="15"/>
      <c r="AD1069" s="35"/>
      <c r="AE1069" s="99"/>
      <c r="AF1069" s="99"/>
      <c r="AG1069" s="35"/>
      <c r="AH1069" s="35"/>
      <c r="AI1069" s="35"/>
      <c r="AJ1069" s="1"/>
      <c r="AK1069" s="1"/>
      <c r="AL1069" s="1"/>
      <c r="AM1069" s="1"/>
      <c r="AN1069" s="1"/>
      <c r="AO1069" s="1"/>
      <c r="AP1069"/>
      <c r="AQ1069"/>
      <c r="AR1069"/>
      <c r="AS1069"/>
      <c r="AT1069" s="50"/>
      <c r="AU1069" s="97"/>
      <c r="AV1069" s="97"/>
      <c r="AW1069" s="97"/>
      <c r="AX1069" s="97"/>
      <c r="AY1069" s="97"/>
      <c r="BD1069" s="35"/>
      <c r="BE1069" s="35"/>
      <c r="BV1069" s="98"/>
      <c r="BW1069" s="98"/>
      <c r="BX1069" s="98"/>
      <c r="BY1069" s="112"/>
      <c r="BZ1069" s="112"/>
      <c r="CA1069" s="112"/>
      <c r="CB1069" s="98"/>
      <c r="CC1069" s="98"/>
      <c r="CD1069" s="98"/>
      <c r="CE1069" s="98"/>
      <c r="CG1069" s="100"/>
      <c r="CH1069" s="100"/>
      <c r="CI1069" s="100"/>
      <c r="CJ1069" s="100"/>
      <c r="CK1069" s="100"/>
      <c r="CL1069" s="100"/>
      <c r="CM1069" s="100"/>
      <c r="CN1069" s="100"/>
      <c r="CO1069" s="100"/>
      <c r="CP1069" s="100"/>
      <c r="CQ1069" s="100"/>
      <c r="CR1069" s="100"/>
      <c r="CS1069" s="100"/>
      <c r="CT1069" s="100"/>
      <c r="CU1069" s="100"/>
    </row>
    <row r="1070" spans="6:99" s="36" customFormat="1" ht="11.1" customHeight="1" x14ac:dyDescent="0.25">
      <c r="F1070" s="33"/>
      <c r="G1070" s="33"/>
      <c r="H1070" s="33"/>
      <c r="I1070" s="34"/>
      <c r="J1070" s="34"/>
      <c r="K1070" s="14"/>
      <c r="L1070" s="32"/>
      <c r="M1070" s="14"/>
      <c r="N1070" s="14"/>
      <c r="O1070" s="2"/>
      <c r="P1070"/>
      <c r="Q1070" s="2"/>
      <c r="R1070"/>
      <c r="S1070"/>
      <c r="T1070"/>
      <c r="U1070" s="2"/>
      <c r="V1070" s="2"/>
      <c r="W1070" s="2"/>
      <c r="X1070" s="2"/>
      <c r="Y1070" s="2"/>
      <c r="Z1070" s="11"/>
      <c r="AA1070" s="15"/>
      <c r="AB1070" s="15"/>
      <c r="AC1070" s="15"/>
      <c r="AD1070" s="35"/>
      <c r="AE1070" s="99"/>
      <c r="AF1070" s="99"/>
      <c r="AG1070" s="35"/>
      <c r="AH1070" s="35"/>
      <c r="AI1070" s="35"/>
      <c r="AJ1070" s="1"/>
      <c r="AK1070" s="1"/>
      <c r="AL1070" s="1"/>
      <c r="AM1070" s="1"/>
      <c r="AN1070" s="1"/>
      <c r="AO1070" s="1"/>
      <c r="AP1070"/>
      <c r="AQ1070"/>
      <c r="AR1070"/>
      <c r="AS1070"/>
      <c r="AT1070" s="50"/>
      <c r="AU1070" s="97"/>
      <c r="AV1070" s="97"/>
      <c r="AW1070" s="97"/>
      <c r="AX1070" s="97"/>
      <c r="AY1070" s="97"/>
      <c r="BD1070" s="35"/>
      <c r="BE1070" s="35"/>
      <c r="BV1070" s="98"/>
      <c r="BW1070" s="98"/>
      <c r="BX1070" s="98"/>
      <c r="BY1070" s="112"/>
      <c r="BZ1070" s="112"/>
      <c r="CA1070" s="112"/>
      <c r="CB1070" s="98"/>
      <c r="CC1070" s="98"/>
      <c r="CD1070" s="98"/>
      <c r="CE1070" s="98"/>
      <c r="CG1070" s="100"/>
      <c r="CH1070" s="100"/>
      <c r="CI1070" s="100"/>
      <c r="CJ1070" s="100"/>
      <c r="CK1070" s="100"/>
      <c r="CL1070" s="100"/>
      <c r="CM1070" s="100"/>
      <c r="CN1070" s="100"/>
      <c r="CO1070" s="100"/>
      <c r="CP1070" s="100"/>
      <c r="CQ1070" s="100"/>
      <c r="CR1070" s="100"/>
      <c r="CS1070" s="100"/>
      <c r="CT1070" s="100"/>
      <c r="CU1070" s="100"/>
    </row>
    <row r="1071" spans="6:99" s="36" customFormat="1" ht="11.1" customHeight="1" x14ac:dyDescent="0.25">
      <c r="F1071" s="33"/>
      <c r="G1071" s="33"/>
      <c r="H1071" s="33"/>
      <c r="I1071" s="34"/>
      <c r="J1071" s="34"/>
      <c r="K1071" s="14"/>
      <c r="L1071" s="32"/>
      <c r="M1071" s="14"/>
      <c r="N1071" s="14"/>
      <c r="O1071" s="2"/>
      <c r="P1071"/>
      <c r="Q1071" s="2"/>
      <c r="R1071"/>
      <c r="S1071"/>
      <c r="T1071"/>
      <c r="U1071" s="2"/>
      <c r="V1071" s="2"/>
      <c r="W1071" s="2"/>
      <c r="X1071" s="2"/>
      <c r="Y1071" s="2"/>
      <c r="Z1071" s="11"/>
      <c r="AA1071" s="15"/>
      <c r="AB1071" s="15"/>
      <c r="AC1071" s="15"/>
      <c r="AD1071" s="35"/>
      <c r="AE1071" s="99"/>
      <c r="AF1071" s="99"/>
      <c r="AG1071" s="35"/>
      <c r="AH1071" s="35"/>
      <c r="AI1071" s="35"/>
      <c r="AJ1071" s="1"/>
      <c r="AK1071" s="1"/>
      <c r="AL1071" s="1"/>
      <c r="AM1071" s="1"/>
      <c r="AN1071" s="1"/>
      <c r="AO1071" s="1"/>
      <c r="AP1071"/>
      <c r="AQ1071"/>
      <c r="AR1071"/>
      <c r="AS1071"/>
      <c r="AT1071" s="50"/>
      <c r="AU1071" s="97"/>
      <c r="AV1071" s="97"/>
      <c r="AW1071" s="97"/>
      <c r="AX1071" s="97"/>
      <c r="AY1071" s="97"/>
      <c r="BD1071" s="35"/>
      <c r="BE1071" s="35"/>
      <c r="BV1071" s="98"/>
      <c r="BW1071" s="98"/>
      <c r="BX1071" s="98"/>
      <c r="BY1071" s="112"/>
      <c r="BZ1071" s="112"/>
      <c r="CA1071" s="112"/>
      <c r="CB1071" s="98"/>
      <c r="CC1071" s="98"/>
      <c r="CD1071" s="98"/>
      <c r="CE1071" s="98"/>
      <c r="CG1071" s="100"/>
      <c r="CH1071" s="100"/>
      <c r="CI1071" s="100"/>
      <c r="CJ1071" s="100"/>
      <c r="CK1071" s="100"/>
      <c r="CL1071" s="100"/>
      <c r="CM1071" s="100"/>
      <c r="CN1071" s="100"/>
      <c r="CO1071" s="100"/>
      <c r="CP1071" s="100"/>
      <c r="CQ1071" s="100"/>
      <c r="CR1071" s="100"/>
      <c r="CS1071" s="100"/>
      <c r="CT1071" s="100"/>
      <c r="CU1071" s="100"/>
    </row>
    <row r="1072" spans="6:99" s="36" customFormat="1" ht="11.1" customHeight="1" x14ac:dyDescent="0.25">
      <c r="F1072" s="33"/>
      <c r="G1072" s="33"/>
      <c r="H1072" s="33"/>
      <c r="I1072" s="34"/>
      <c r="J1072" s="34"/>
      <c r="K1072" s="14"/>
      <c r="L1072" s="32"/>
      <c r="M1072" s="14"/>
      <c r="N1072" s="14"/>
      <c r="O1072" s="2"/>
      <c r="P1072"/>
      <c r="Q1072" s="2"/>
      <c r="R1072"/>
      <c r="S1072"/>
      <c r="T1072"/>
      <c r="U1072" s="2"/>
      <c r="V1072" s="2"/>
      <c r="W1072" s="2"/>
      <c r="X1072" s="2"/>
      <c r="Y1072" s="2"/>
      <c r="Z1072" s="11"/>
      <c r="AA1072" s="15"/>
      <c r="AB1072" s="15"/>
      <c r="AC1072" s="15"/>
      <c r="AD1072" s="35"/>
      <c r="AE1072" s="99"/>
      <c r="AF1072" s="99"/>
      <c r="AG1072" s="35"/>
      <c r="AH1072" s="35"/>
      <c r="AI1072" s="35"/>
      <c r="AJ1072" s="1"/>
      <c r="AK1072" s="1"/>
      <c r="AL1072" s="1"/>
      <c r="AM1072" s="1"/>
      <c r="AN1072" s="1"/>
      <c r="AO1072" s="1"/>
      <c r="AP1072"/>
      <c r="AQ1072"/>
      <c r="AR1072"/>
      <c r="AS1072"/>
      <c r="AT1072" s="50"/>
      <c r="AU1072" s="97"/>
      <c r="AV1072" s="97"/>
      <c r="AW1072" s="97"/>
      <c r="AX1072" s="97"/>
      <c r="AY1072" s="97"/>
      <c r="BD1072" s="35"/>
      <c r="BE1072" s="35"/>
      <c r="BV1072" s="98"/>
      <c r="BW1072" s="98"/>
      <c r="BX1072" s="98"/>
      <c r="BY1072" s="112"/>
      <c r="BZ1072" s="112"/>
      <c r="CA1072" s="112"/>
      <c r="CB1072" s="98"/>
      <c r="CC1072" s="98"/>
      <c r="CD1072" s="98"/>
      <c r="CE1072" s="98"/>
      <c r="CG1072" s="100"/>
      <c r="CH1072" s="100"/>
      <c r="CI1072" s="100"/>
      <c r="CJ1072" s="100"/>
      <c r="CK1072" s="100"/>
      <c r="CL1072" s="100"/>
      <c r="CM1072" s="100"/>
      <c r="CN1072" s="100"/>
      <c r="CO1072" s="100"/>
      <c r="CP1072" s="100"/>
      <c r="CQ1072" s="100"/>
      <c r="CR1072" s="100"/>
      <c r="CS1072" s="100"/>
      <c r="CT1072" s="100"/>
      <c r="CU1072" s="100"/>
    </row>
    <row r="1073" spans="6:99" s="36" customFormat="1" ht="11.1" customHeight="1" x14ac:dyDescent="0.25">
      <c r="F1073" s="33"/>
      <c r="G1073" s="33"/>
      <c r="H1073" s="33"/>
      <c r="I1073" s="34"/>
      <c r="J1073" s="34"/>
      <c r="K1073" s="14"/>
      <c r="L1073" s="32"/>
      <c r="M1073" s="14"/>
      <c r="N1073" s="14"/>
      <c r="O1073" s="2"/>
      <c r="P1073"/>
      <c r="Q1073" s="2"/>
      <c r="R1073"/>
      <c r="S1073"/>
      <c r="T1073"/>
      <c r="U1073" s="2"/>
      <c r="V1073" s="2"/>
      <c r="W1073" s="2"/>
      <c r="X1073" s="2"/>
      <c r="Y1073" s="2"/>
      <c r="Z1073" s="11"/>
      <c r="AA1073" s="15"/>
      <c r="AB1073" s="15"/>
      <c r="AC1073" s="15"/>
      <c r="AD1073" s="35"/>
      <c r="AE1073" s="99"/>
      <c r="AF1073" s="99"/>
      <c r="AG1073" s="35"/>
      <c r="AH1073" s="35"/>
      <c r="AI1073" s="35"/>
      <c r="AJ1073" s="1"/>
      <c r="AK1073" s="1"/>
      <c r="AL1073" s="1"/>
      <c r="AM1073" s="1"/>
      <c r="AN1073" s="1"/>
      <c r="AO1073" s="1"/>
      <c r="AP1073"/>
      <c r="AQ1073"/>
      <c r="AR1073"/>
      <c r="AS1073"/>
      <c r="AT1073" s="50"/>
      <c r="AU1073" s="97"/>
      <c r="AV1073" s="97"/>
      <c r="AW1073" s="97"/>
      <c r="AX1073" s="97"/>
      <c r="AY1073" s="97"/>
      <c r="BD1073" s="35"/>
      <c r="BE1073" s="35"/>
      <c r="BV1073" s="98"/>
      <c r="BW1073" s="98"/>
      <c r="BX1073" s="98"/>
      <c r="BY1073" s="112"/>
      <c r="BZ1073" s="112"/>
      <c r="CA1073" s="112"/>
      <c r="CB1073" s="98"/>
      <c r="CC1073" s="98"/>
      <c r="CD1073" s="98"/>
      <c r="CE1073" s="98"/>
      <c r="CG1073" s="100"/>
      <c r="CH1073" s="100"/>
      <c r="CI1073" s="100"/>
      <c r="CJ1073" s="100"/>
      <c r="CK1073" s="100"/>
      <c r="CL1073" s="100"/>
      <c r="CM1073" s="100"/>
      <c r="CN1073" s="100"/>
      <c r="CO1073" s="100"/>
      <c r="CP1073" s="100"/>
      <c r="CQ1073" s="100"/>
      <c r="CR1073" s="100"/>
      <c r="CS1073" s="100"/>
      <c r="CT1073" s="100"/>
      <c r="CU1073" s="100"/>
    </row>
    <row r="1074" spans="6:99" s="36" customFormat="1" ht="11.1" customHeight="1" x14ac:dyDescent="0.25">
      <c r="F1074" s="33"/>
      <c r="G1074" s="33"/>
      <c r="H1074" s="33"/>
      <c r="I1074" s="34"/>
      <c r="J1074" s="34"/>
      <c r="K1074" s="14"/>
      <c r="L1074" s="32"/>
      <c r="M1074" s="14"/>
      <c r="N1074" s="14"/>
      <c r="O1074" s="2"/>
      <c r="P1074"/>
      <c r="Q1074" s="2"/>
      <c r="R1074"/>
      <c r="S1074"/>
      <c r="T1074"/>
      <c r="U1074" s="2"/>
      <c r="V1074" s="2"/>
      <c r="W1074" s="2"/>
      <c r="X1074" s="2"/>
      <c r="Y1074" s="2"/>
      <c r="Z1074" s="11"/>
      <c r="AA1074" s="15"/>
      <c r="AB1074" s="15"/>
      <c r="AC1074" s="15"/>
      <c r="AD1074" s="35"/>
      <c r="AE1074" s="99"/>
      <c r="AF1074" s="99"/>
      <c r="AG1074" s="35"/>
      <c r="AH1074" s="35"/>
      <c r="AI1074" s="35"/>
      <c r="AJ1074" s="1"/>
      <c r="AK1074" s="1"/>
      <c r="AL1074" s="1"/>
      <c r="AM1074" s="1"/>
      <c r="AN1074" s="1"/>
      <c r="AO1074" s="1"/>
      <c r="AP1074"/>
      <c r="AQ1074"/>
      <c r="AR1074"/>
      <c r="AS1074"/>
      <c r="AT1074" s="50"/>
      <c r="AU1074" s="97"/>
      <c r="AV1074" s="97"/>
      <c r="AW1074" s="97"/>
      <c r="AX1074" s="97"/>
      <c r="AY1074" s="97"/>
      <c r="BD1074" s="35"/>
      <c r="BE1074" s="35"/>
      <c r="BV1074" s="98"/>
      <c r="BW1074" s="98"/>
      <c r="BX1074" s="98"/>
      <c r="BY1074" s="112"/>
      <c r="BZ1074" s="112"/>
      <c r="CA1074" s="112"/>
      <c r="CB1074" s="98"/>
      <c r="CC1074" s="98"/>
      <c r="CD1074" s="98"/>
      <c r="CE1074" s="98"/>
      <c r="CG1074" s="100"/>
      <c r="CH1074" s="100"/>
      <c r="CI1074" s="100"/>
      <c r="CJ1074" s="100"/>
      <c r="CK1074" s="100"/>
      <c r="CL1074" s="100"/>
      <c r="CM1074" s="100"/>
      <c r="CN1074" s="100"/>
      <c r="CO1074" s="100"/>
      <c r="CP1074" s="100"/>
      <c r="CQ1074" s="100"/>
      <c r="CR1074" s="100"/>
      <c r="CS1074" s="100"/>
      <c r="CT1074" s="100"/>
      <c r="CU1074" s="100"/>
    </row>
    <row r="1075" spans="6:99" s="36" customFormat="1" ht="11.1" customHeight="1" x14ac:dyDescent="0.25">
      <c r="F1075" s="33"/>
      <c r="G1075" s="33"/>
      <c r="H1075" s="33"/>
      <c r="I1075" s="34"/>
      <c r="J1075" s="34"/>
      <c r="K1075" s="14"/>
      <c r="L1075" s="32"/>
      <c r="M1075" s="14"/>
      <c r="N1075" s="14"/>
      <c r="O1075" s="2"/>
      <c r="P1075"/>
      <c r="Q1075" s="2"/>
      <c r="R1075"/>
      <c r="S1075"/>
      <c r="T1075"/>
      <c r="U1075" s="2"/>
      <c r="V1075" s="2"/>
      <c r="W1075" s="2"/>
      <c r="X1075" s="2"/>
      <c r="Y1075" s="2"/>
      <c r="Z1075" s="11"/>
      <c r="AA1075" s="15"/>
      <c r="AB1075" s="15"/>
      <c r="AC1075" s="15"/>
      <c r="AD1075" s="35"/>
      <c r="AE1075" s="99"/>
      <c r="AF1075" s="99"/>
      <c r="AG1075" s="35"/>
      <c r="AH1075" s="35"/>
      <c r="AI1075" s="35"/>
      <c r="AJ1075" s="1"/>
      <c r="AK1075" s="1"/>
      <c r="AL1075" s="1"/>
      <c r="AM1075" s="1"/>
      <c r="AN1075" s="1"/>
      <c r="AO1075" s="1"/>
      <c r="AP1075"/>
      <c r="AQ1075"/>
      <c r="AR1075"/>
      <c r="AS1075"/>
      <c r="AT1075" s="50"/>
      <c r="AU1075" s="97"/>
      <c r="AV1075" s="97"/>
      <c r="AW1075" s="97"/>
      <c r="AX1075" s="97"/>
      <c r="AY1075" s="97"/>
      <c r="BD1075" s="35"/>
      <c r="BE1075" s="35"/>
      <c r="BV1075" s="98"/>
      <c r="BW1075" s="98"/>
      <c r="BX1075" s="98"/>
      <c r="BY1075" s="112"/>
      <c r="BZ1075" s="112"/>
      <c r="CA1075" s="112"/>
      <c r="CB1075" s="98"/>
      <c r="CC1075" s="98"/>
      <c r="CD1075" s="98"/>
      <c r="CE1075" s="98"/>
      <c r="CG1075" s="100"/>
      <c r="CH1075" s="100"/>
      <c r="CI1075" s="100"/>
      <c r="CJ1075" s="100"/>
      <c r="CK1075" s="100"/>
      <c r="CL1075" s="100"/>
      <c r="CM1075" s="100"/>
      <c r="CN1075" s="100"/>
      <c r="CO1075" s="100"/>
      <c r="CP1075" s="100"/>
      <c r="CQ1075" s="100"/>
      <c r="CR1075" s="100"/>
      <c r="CS1075" s="100"/>
      <c r="CT1075" s="100"/>
      <c r="CU1075" s="100"/>
    </row>
    <row r="1076" spans="6:99" s="36" customFormat="1" ht="11.1" customHeight="1" x14ac:dyDescent="0.25">
      <c r="F1076" s="33"/>
      <c r="G1076" s="33"/>
      <c r="H1076" s="33"/>
      <c r="I1076" s="34"/>
      <c r="J1076" s="34"/>
      <c r="K1076" s="14"/>
      <c r="L1076" s="32"/>
      <c r="M1076" s="14"/>
      <c r="N1076" s="14"/>
      <c r="O1076" s="2"/>
      <c r="P1076"/>
      <c r="Q1076" s="2"/>
      <c r="R1076"/>
      <c r="S1076"/>
      <c r="T1076"/>
      <c r="U1076" s="2"/>
      <c r="V1076" s="2"/>
      <c r="W1076" s="2"/>
      <c r="X1076" s="2"/>
      <c r="Y1076" s="2"/>
      <c r="Z1076" s="11"/>
      <c r="AA1076" s="15"/>
      <c r="AB1076" s="15"/>
      <c r="AC1076" s="15"/>
      <c r="AD1076" s="35"/>
      <c r="AE1076" s="99"/>
      <c r="AF1076" s="99"/>
      <c r="AG1076" s="35"/>
      <c r="AH1076" s="35"/>
      <c r="AI1076" s="35"/>
      <c r="AJ1076" s="1"/>
      <c r="AK1076" s="1"/>
      <c r="AL1076" s="1"/>
      <c r="AM1076" s="1"/>
      <c r="AN1076" s="1"/>
      <c r="AO1076" s="1"/>
      <c r="AP1076"/>
      <c r="AQ1076"/>
      <c r="AR1076"/>
      <c r="AS1076"/>
      <c r="AT1076" s="50"/>
      <c r="AU1076" s="97"/>
      <c r="AV1076" s="97"/>
      <c r="AW1076" s="97"/>
      <c r="AX1076" s="97"/>
      <c r="AY1076" s="97"/>
      <c r="BD1076" s="35"/>
      <c r="BE1076" s="35"/>
      <c r="BV1076" s="98"/>
      <c r="BW1076" s="98"/>
      <c r="BX1076" s="98"/>
      <c r="BY1076" s="112"/>
      <c r="BZ1076" s="112"/>
      <c r="CA1076" s="112"/>
      <c r="CB1076" s="98"/>
      <c r="CC1076" s="98"/>
      <c r="CD1076" s="98"/>
      <c r="CE1076" s="98"/>
      <c r="CG1076" s="100"/>
      <c r="CH1076" s="100"/>
      <c r="CI1076" s="100"/>
      <c r="CJ1076" s="100"/>
      <c r="CK1076" s="100"/>
      <c r="CL1076" s="100"/>
      <c r="CM1076" s="100"/>
      <c r="CN1076" s="100"/>
      <c r="CO1076" s="100"/>
      <c r="CP1076" s="100"/>
      <c r="CQ1076" s="100"/>
      <c r="CR1076" s="100"/>
      <c r="CS1076" s="100"/>
      <c r="CT1076" s="100"/>
      <c r="CU1076" s="100"/>
    </row>
    <row r="1077" spans="6:99" s="36" customFormat="1" ht="11.1" customHeight="1" x14ac:dyDescent="0.25">
      <c r="F1077" s="33"/>
      <c r="G1077" s="33"/>
      <c r="H1077" s="33"/>
      <c r="I1077" s="34"/>
      <c r="J1077" s="34"/>
      <c r="K1077" s="14"/>
      <c r="L1077" s="32"/>
      <c r="M1077" s="14"/>
      <c r="N1077" s="14"/>
      <c r="O1077" s="2"/>
      <c r="P1077"/>
      <c r="Q1077" s="2"/>
      <c r="R1077"/>
      <c r="S1077"/>
      <c r="T1077"/>
      <c r="U1077" s="2"/>
      <c r="V1077" s="2"/>
      <c r="W1077" s="2"/>
      <c r="X1077" s="2"/>
      <c r="Y1077" s="2"/>
      <c r="Z1077" s="11"/>
      <c r="AA1077" s="15"/>
      <c r="AB1077" s="15"/>
      <c r="AC1077" s="15"/>
      <c r="AD1077" s="35"/>
      <c r="AE1077" s="99"/>
      <c r="AF1077" s="99"/>
      <c r="AG1077" s="35"/>
      <c r="AH1077" s="35"/>
      <c r="AI1077" s="35"/>
      <c r="AJ1077" s="1"/>
      <c r="AK1077" s="1"/>
      <c r="AL1077" s="1"/>
      <c r="AM1077" s="1"/>
      <c r="AN1077" s="1"/>
      <c r="AO1077" s="1"/>
      <c r="AP1077"/>
      <c r="AQ1077"/>
      <c r="AR1077"/>
      <c r="AS1077"/>
      <c r="AT1077" s="50"/>
      <c r="AU1077" s="97"/>
      <c r="AV1077" s="97"/>
      <c r="AW1077" s="97"/>
      <c r="AX1077" s="97"/>
      <c r="AY1077" s="97"/>
      <c r="BD1077" s="35"/>
      <c r="BE1077" s="35"/>
      <c r="BV1077" s="98"/>
      <c r="BW1077" s="98"/>
      <c r="BX1077" s="98"/>
      <c r="BY1077" s="112"/>
      <c r="BZ1077" s="112"/>
      <c r="CA1077" s="112"/>
      <c r="CB1077" s="98"/>
      <c r="CC1077" s="98"/>
      <c r="CD1077" s="98"/>
      <c r="CE1077" s="98"/>
      <c r="CG1077" s="100"/>
      <c r="CH1077" s="100"/>
      <c r="CI1077" s="100"/>
      <c r="CJ1077" s="100"/>
      <c r="CK1077" s="100"/>
      <c r="CL1077" s="100"/>
      <c r="CM1077" s="100"/>
      <c r="CN1077" s="100"/>
      <c r="CO1077" s="100"/>
      <c r="CP1077" s="100"/>
      <c r="CQ1077" s="100"/>
      <c r="CR1077" s="100"/>
      <c r="CS1077" s="100"/>
      <c r="CT1077" s="100"/>
      <c r="CU1077" s="100"/>
    </row>
    <row r="1078" spans="6:99" s="36" customFormat="1" ht="11.1" customHeight="1" x14ac:dyDescent="0.25">
      <c r="F1078" s="33"/>
      <c r="G1078" s="33"/>
      <c r="H1078" s="33"/>
      <c r="I1078" s="34"/>
      <c r="J1078" s="34"/>
      <c r="K1078" s="14"/>
      <c r="L1078" s="32"/>
      <c r="M1078" s="14"/>
      <c r="N1078" s="14"/>
      <c r="O1078" s="2"/>
      <c r="P1078"/>
      <c r="Q1078" s="2"/>
      <c r="R1078"/>
      <c r="S1078"/>
      <c r="T1078"/>
      <c r="U1078" s="2"/>
      <c r="V1078" s="2"/>
      <c r="W1078" s="2"/>
      <c r="X1078" s="2"/>
      <c r="Y1078" s="2"/>
      <c r="Z1078" s="11"/>
      <c r="AA1078" s="15"/>
      <c r="AB1078" s="15"/>
      <c r="AC1078" s="15"/>
      <c r="AD1078" s="35"/>
      <c r="AE1078" s="99"/>
      <c r="AF1078" s="99"/>
      <c r="AG1078" s="35"/>
      <c r="AH1078" s="35"/>
      <c r="AI1078" s="35"/>
      <c r="AJ1078" s="1"/>
      <c r="AK1078" s="1"/>
      <c r="AL1078" s="1"/>
      <c r="AM1078" s="1"/>
      <c r="AN1078" s="1"/>
      <c r="AO1078" s="1"/>
      <c r="AP1078"/>
      <c r="AQ1078"/>
      <c r="AR1078"/>
      <c r="AS1078"/>
      <c r="AT1078" s="50"/>
      <c r="AU1078" s="97"/>
      <c r="AV1078" s="97"/>
      <c r="AW1078" s="97"/>
      <c r="AX1078" s="97"/>
      <c r="AY1078" s="97"/>
      <c r="BD1078" s="35"/>
      <c r="BE1078" s="35"/>
      <c r="BV1078" s="98"/>
      <c r="BW1078" s="98"/>
      <c r="BX1078" s="98"/>
      <c r="BY1078" s="112"/>
      <c r="BZ1078" s="112"/>
      <c r="CA1078" s="112"/>
      <c r="CB1078" s="98"/>
      <c r="CC1078" s="98"/>
      <c r="CD1078" s="98"/>
      <c r="CE1078" s="98"/>
      <c r="CG1078" s="100"/>
      <c r="CH1078" s="100"/>
      <c r="CI1078" s="100"/>
      <c r="CJ1078" s="100"/>
      <c r="CK1078" s="100"/>
      <c r="CL1078" s="100"/>
      <c r="CM1078" s="100"/>
      <c r="CN1078" s="100"/>
      <c r="CO1078" s="100"/>
      <c r="CP1078" s="100"/>
      <c r="CQ1078" s="100"/>
      <c r="CR1078" s="100"/>
      <c r="CS1078" s="100"/>
      <c r="CT1078" s="100"/>
      <c r="CU1078" s="100"/>
    </row>
    <row r="1079" spans="6:99" s="36" customFormat="1" ht="11.1" customHeight="1" x14ac:dyDescent="0.25">
      <c r="F1079" s="33"/>
      <c r="G1079" s="33"/>
      <c r="H1079" s="33"/>
      <c r="I1079" s="34"/>
      <c r="J1079" s="34"/>
      <c r="K1079" s="14"/>
      <c r="L1079" s="32"/>
      <c r="M1079" s="14"/>
      <c r="N1079" s="14"/>
      <c r="O1079" s="2"/>
      <c r="P1079"/>
      <c r="Q1079" s="2"/>
      <c r="R1079"/>
      <c r="S1079"/>
      <c r="T1079"/>
      <c r="U1079" s="2"/>
      <c r="V1079" s="2"/>
      <c r="W1079" s="2"/>
      <c r="X1079" s="2"/>
      <c r="Y1079" s="2"/>
      <c r="Z1079" s="11"/>
      <c r="AA1079" s="15"/>
      <c r="AB1079" s="15"/>
      <c r="AC1079" s="15"/>
      <c r="AD1079" s="35"/>
      <c r="AE1079" s="99"/>
      <c r="AF1079" s="99"/>
      <c r="AG1079" s="35"/>
      <c r="AH1079" s="35"/>
      <c r="AI1079" s="35"/>
      <c r="AJ1079" s="1"/>
      <c r="AK1079" s="1"/>
      <c r="AL1079" s="1"/>
      <c r="AM1079" s="1"/>
      <c r="AN1079" s="1"/>
      <c r="AO1079" s="1"/>
      <c r="AP1079"/>
      <c r="AQ1079"/>
      <c r="AR1079"/>
      <c r="AS1079"/>
      <c r="AT1079" s="50"/>
      <c r="AU1079" s="97"/>
      <c r="AV1079" s="97"/>
      <c r="AW1079" s="97"/>
      <c r="AX1079" s="97"/>
      <c r="AY1079" s="97"/>
      <c r="BD1079" s="35"/>
      <c r="BE1079" s="35"/>
      <c r="BV1079" s="98"/>
      <c r="BW1079" s="98"/>
      <c r="BX1079" s="98"/>
      <c r="BY1079" s="112"/>
      <c r="BZ1079" s="112"/>
      <c r="CA1079" s="112"/>
      <c r="CB1079" s="98"/>
      <c r="CC1079" s="98"/>
      <c r="CD1079" s="98"/>
      <c r="CE1079" s="98"/>
      <c r="CG1079" s="100"/>
      <c r="CH1079" s="100"/>
      <c r="CI1079" s="100"/>
      <c r="CJ1079" s="100"/>
      <c r="CK1079" s="100"/>
      <c r="CL1079" s="100"/>
      <c r="CM1079" s="100"/>
      <c r="CN1079" s="100"/>
      <c r="CO1079" s="100"/>
      <c r="CP1079" s="100"/>
      <c r="CQ1079" s="100"/>
      <c r="CR1079" s="100"/>
      <c r="CS1079" s="100"/>
      <c r="CT1079" s="100"/>
      <c r="CU1079" s="100"/>
    </row>
    <row r="1080" spans="6:99" s="36" customFormat="1" ht="11.1" customHeight="1" x14ac:dyDescent="0.25">
      <c r="F1080" s="33"/>
      <c r="G1080" s="33"/>
      <c r="H1080" s="33"/>
      <c r="I1080" s="34"/>
      <c r="J1080" s="34"/>
      <c r="K1080" s="14"/>
      <c r="L1080" s="32"/>
      <c r="M1080" s="14"/>
      <c r="N1080" s="14"/>
      <c r="O1080" s="2"/>
      <c r="P1080"/>
      <c r="Q1080" s="2"/>
      <c r="R1080"/>
      <c r="S1080"/>
      <c r="T1080"/>
      <c r="U1080" s="2"/>
      <c r="V1080" s="2"/>
      <c r="W1080" s="2"/>
      <c r="X1080" s="2"/>
      <c r="Y1080" s="2"/>
      <c r="Z1080" s="11"/>
      <c r="AA1080" s="15"/>
      <c r="AB1080" s="15"/>
      <c r="AC1080" s="15"/>
      <c r="AD1080" s="35"/>
      <c r="AE1080" s="99"/>
      <c r="AF1080" s="99"/>
      <c r="AG1080" s="35"/>
      <c r="AH1080" s="35"/>
      <c r="AI1080" s="35"/>
      <c r="AJ1080" s="1"/>
      <c r="AK1080" s="1"/>
      <c r="AL1080" s="1"/>
      <c r="AM1080" s="1"/>
      <c r="AN1080" s="1"/>
      <c r="AO1080" s="1"/>
      <c r="AP1080"/>
      <c r="AQ1080"/>
      <c r="AR1080"/>
      <c r="AS1080"/>
      <c r="AT1080" s="50"/>
      <c r="AU1080" s="97"/>
      <c r="AV1080" s="97"/>
      <c r="AW1080" s="97"/>
      <c r="AX1080" s="97"/>
      <c r="AY1080" s="97"/>
      <c r="BD1080" s="35"/>
      <c r="BE1080" s="35"/>
      <c r="BV1080" s="98"/>
      <c r="BW1080" s="98"/>
      <c r="BX1080" s="98"/>
      <c r="BY1080" s="112"/>
      <c r="BZ1080" s="112"/>
      <c r="CA1080" s="112"/>
      <c r="CB1080" s="98"/>
      <c r="CC1080" s="98"/>
      <c r="CD1080" s="98"/>
      <c r="CE1080" s="98"/>
      <c r="CG1080" s="100"/>
      <c r="CH1080" s="100"/>
      <c r="CI1080" s="100"/>
      <c r="CJ1080" s="100"/>
      <c r="CK1080" s="100"/>
      <c r="CL1080" s="100"/>
      <c r="CM1080" s="100"/>
      <c r="CN1080" s="100"/>
      <c r="CO1080" s="100"/>
      <c r="CP1080" s="100"/>
      <c r="CQ1080" s="100"/>
      <c r="CR1080" s="100"/>
      <c r="CS1080" s="100"/>
      <c r="CT1080" s="100"/>
      <c r="CU1080" s="100"/>
    </row>
    <row r="1081" spans="6:99" s="36" customFormat="1" ht="11.1" customHeight="1" x14ac:dyDescent="0.25">
      <c r="F1081" s="33"/>
      <c r="G1081" s="33"/>
      <c r="H1081" s="33"/>
      <c r="I1081" s="34"/>
      <c r="J1081" s="34"/>
      <c r="K1081" s="14"/>
      <c r="L1081" s="32"/>
      <c r="M1081" s="14"/>
      <c r="N1081" s="14"/>
      <c r="O1081" s="2"/>
      <c r="P1081"/>
      <c r="Q1081" s="2"/>
      <c r="R1081"/>
      <c r="S1081"/>
      <c r="T1081"/>
      <c r="U1081" s="2"/>
      <c r="V1081" s="2"/>
      <c r="W1081" s="2"/>
      <c r="X1081" s="2"/>
      <c r="Y1081" s="2"/>
      <c r="Z1081" s="11"/>
      <c r="AA1081" s="15"/>
      <c r="AB1081" s="15"/>
      <c r="AC1081" s="15"/>
      <c r="AD1081" s="35"/>
      <c r="AE1081" s="99"/>
      <c r="AF1081" s="99"/>
      <c r="AG1081" s="35"/>
      <c r="AH1081" s="35"/>
      <c r="AI1081" s="35"/>
      <c r="AJ1081" s="1"/>
      <c r="AK1081" s="1"/>
      <c r="AL1081" s="1"/>
      <c r="AM1081" s="1"/>
      <c r="AN1081" s="1"/>
      <c r="AO1081" s="1"/>
      <c r="AP1081"/>
      <c r="AQ1081"/>
      <c r="AR1081"/>
      <c r="AS1081"/>
      <c r="AT1081" s="50"/>
      <c r="AU1081" s="97"/>
      <c r="AV1081" s="97"/>
      <c r="AW1081" s="97"/>
      <c r="AX1081" s="97"/>
      <c r="AY1081" s="97"/>
      <c r="BD1081" s="35"/>
      <c r="BE1081" s="35"/>
      <c r="BV1081" s="98"/>
      <c r="BW1081" s="98"/>
      <c r="BX1081" s="98"/>
      <c r="BY1081" s="112"/>
      <c r="BZ1081" s="112"/>
      <c r="CA1081" s="112"/>
      <c r="CB1081" s="98"/>
      <c r="CC1081" s="98"/>
      <c r="CD1081" s="98"/>
      <c r="CE1081" s="98"/>
      <c r="CG1081" s="100"/>
      <c r="CH1081" s="100"/>
      <c r="CI1081" s="100"/>
      <c r="CJ1081" s="100"/>
      <c r="CK1081" s="100"/>
      <c r="CL1081" s="100"/>
      <c r="CM1081" s="100"/>
      <c r="CN1081" s="100"/>
      <c r="CO1081" s="100"/>
      <c r="CP1081" s="100"/>
      <c r="CQ1081" s="100"/>
      <c r="CR1081" s="100"/>
      <c r="CS1081" s="100"/>
      <c r="CT1081" s="100"/>
      <c r="CU1081" s="100"/>
    </row>
    <row r="1082" spans="6:99" s="36" customFormat="1" ht="11.1" customHeight="1" x14ac:dyDescent="0.25">
      <c r="F1082" s="33"/>
      <c r="G1082" s="33"/>
      <c r="H1082" s="33"/>
      <c r="I1082" s="34"/>
      <c r="J1082" s="34"/>
      <c r="K1082" s="14"/>
      <c r="L1082" s="32"/>
      <c r="M1082" s="14"/>
      <c r="N1082" s="14"/>
      <c r="O1082" s="2"/>
      <c r="P1082"/>
      <c r="Q1082" s="2"/>
      <c r="R1082"/>
      <c r="S1082"/>
      <c r="T1082"/>
      <c r="U1082" s="2"/>
      <c r="V1082" s="2"/>
      <c r="W1082" s="2"/>
      <c r="X1082" s="2"/>
      <c r="Y1082" s="2"/>
      <c r="Z1082" s="11"/>
      <c r="AA1082" s="15"/>
      <c r="AB1082" s="15"/>
      <c r="AC1082" s="15"/>
      <c r="AD1082" s="35"/>
      <c r="AE1082" s="99"/>
      <c r="AF1082" s="99"/>
      <c r="AG1082" s="35"/>
      <c r="AH1082" s="35"/>
      <c r="AI1082" s="35"/>
      <c r="AJ1082" s="1"/>
      <c r="AK1082" s="1"/>
      <c r="AL1082" s="1"/>
      <c r="AM1082" s="1"/>
      <c r="AN1082" s="1"/>
      <c r="AO1082" s="1"/>
      <c r="AP1082"/>
      <c r="AQ1082"/>
      <c r="AR1082"/>
      <c r="AS1082"/>
      <c r="AT1082" s="50"/>
      <c r="AU1082" s="97"/>
      <c r="AV1082" s="97"/>
      <c r="AW1082" s="97"/>
      <c r="AX1082" s="97"/>
      <c r="AY1082" s="97"/>
      <c r="BD1082" s="35"/>
      <c r="BE1082" s="35"/>
      <c r="BV1082" s="98"/>
      <c r="BW1082" s="98"/>
      <c r="BX1082" s="98"/>
      <c r="BY1082" s="112"/>
      <c r="BZ1082" s="112"/>
      <c r="CA1082" s="112"/>
      <c r="CB1082" s="98"/>
      <c r="CC1082" s="98"/>
      <c r="CD1082" s="98"/>
      <c r="CE1082" s="98"/>
      <c r="CG1082" s="100"/>
      <c r="CH1082" s="100"/>
      <c r="CI1082" s="100"/>
      <c r="CJ1082" s="100"/>
      <c r="CK1082" s="100"/>
      <c r="CL1082" s="100"/>
      <c r="CM1082" s="100"/>
      <c r="CN1082" s="100"/>
      <c r="CO1082" s="100"/>
      <c r="CP1082" s="100"/>
      <c r="CQ1082" s="100"/>
      <c r="CR1082" s="100"/>
      <c r="CS1082" s="100"/>
      <c r="CT1082" s="100"/>
      <c r="CU1082" s="100"/>
    </row>
    <row r="1083" spans="6:99" s="36" customFormat="1" ht="11.1" customHeight="1" x14ac:dyDescent="0.25">
      <c r="F1083" s="33"/>
      <c r="G1083" s="33"/>
      <c r="H1083" s="33"/>
      <c r="I1083" s="34"/>
      <c r="J1083" s="34"/>
      <c r="K1083" s="14"/>
      <c r="L1083" s="32"/>
      <c r="M1083" s="14"/>
      <c r="N1083" s="14"/>
      <c r="O1083" s="2"/>
      <c r="P1083"/>
      <c r="Q1083" s="2"/>
      <c r="R1083"/>
      <c r="S1083"/>
      <c r="T1083"/>
      <c r="U1083" s="2"/>
      <c r="V1083" s="2"/>
      <c r="W1083" s="2"/>
      <c r="X1083" s="2"/>
      <c r="Y1083" s="2"/>
      <c r="Z1083" s="11"/>
      <c r="AA1083" s="15"/>
      <c r="AB1083" s="15"/>
      <c r="AC1083" s="15"/>
      <c r="AD1083" s="35"/>
      <c r="AE1083" s="99"/>
      <c r="AF1083" s="99"/>
      <c r="AG1083" s="35"/>
      <c r="AH1083" s="35"/>
      <c r="AI1083" s="35"/>
      <c r="AJ1083" s="1"/>
      <c r="AK1083" s="1"/>
      <c r="AL1083" s="1"/>
      <c r="AM1083" s="1"/>
      <c r="AN1083" s="1"/>
      <c r="AO1083" s="1"/>
      <c r="AP1083"/>
      <c r="AQ1083"/>
      <c r="AR1083"/>
      <c r="AS1083"/>
      <c r="AT1083" s="50"/>
      <c r="AU1083" s="97"/>
      <c r="AV1083" s="97"/>
      <c r="AW1083" s="97"/>
      <c r="AX1083" s="97"/>
      <c r="AY1083" s="97"/>
      <c r="BD1083" s="35"/>
      <c r="BE1083" s="35"/>
      <c r="BV1083" s="98"/>
      <c r="BW1083" s="98"/>
      <c r="BX1083" s="98"/>
      <c r="BY1083" s="112"/>
      <c r="BZ1083" s="112"/>
      <c r="CA1083" s="112"/>
      <c r="CB1083" s="98"/>
      <c r="CC1083" s="98"/>
      <c r="CD1083" s="98"/>
      <c r="CE1083" s="98"/>
      <c r="CG1083" s="100"/>
      <c r="CH1083" s="100"/>
      <c r="CI1083" s="100"/>
      <c r="CJ1083" s="100"/>
      <c r="CK1083" s="100"/>
      <c r="CL1083" s="100"/>
      <c r="CM1083" s="100"/>
      <c r="CN1083" s="100"/>
      <c r="CO1083" s="100"/>
      <c r="CP1083" s="100"/>
      <c r="CQ1083" s="100"/>
      <c r="CR1083" s="100"/>
      <c r="CS1083" s="100"/>
      <c r="CT1083" s="100"/>
      <c r="CU1083" s="100"/>
    </row>
    <row r="1084" spans="6:99" s="36" customFormat="1" ht="11.1" customHeight="1" x14ac:dyDescent="0.25">
      <c r="F1084" s="33"/>
      <c r="G1084" s="33"/>
      <c r="H1084" s="33"/>
      <c r="I1084" s="34"/>
      <c r="J1084" s="34"/>
      <c r="K1084" s="14"/>
      <c r="L1084" s="32"/>
      <c r="M1084" s="14"/>
      <c r="N1084" s="14"/>
      <c r="O1084" s="2"/>
      <c r="P1084"/>
      <c r="Q1084" s="2"/>
      <c r="R1084"/>
      <c r="S1084"/>
      <c r="T1084"/>
      <c r="U1084" s="2"/>
      <c r="V1084" s="2"/>
      <c r="W1084" s="2"/>
      <c r="X1084" s="2"/>
      <c r="Y1084" s="2"/>
      <c r="Z1084" s="11"/>
      <c r="AA1084" s="15"/>
      <c r="AB1084" s="15"/>
      <c r="AC1084" s="15"/>
      <c r="AD1084" s="35"/>
      <c r="AE1084" s="99"/>
      <c r="AF1084" s="99"/>
      <c r="AG1084" s="35"/>
      <c r="AH1084" s="35"/>
      <c r="AI1084" s="35"/>
      <c r="AJ1084" s="1"/>
      <c r="AK1084" s="1"/>
      <c r="AL1084" s="1"/>
      <c r="AM1084" s="1"/>
      <c r="AN1084" s="1"/>
      <c r="AO1084" s="1"/>
      <c r="AP1084"/>
      <c r="AQ1084"/>
      <c r="AR1084"/>
      <c r="AS1084"/>
      <c r="AT1084" s="50"/>
      <c r="AU1084" s="97"/>
      <c r="AV1084" s="97"/>
      <c r="AW1084" s="97"/>
      <c r="AX1084" s="97"/>
      <c r="AY1084" s="97"/>
      <c r="BD1084" s="35"/>
      <c r="BE1084" s="35"/>
      <c r="BV1084" s="98"/>
      <c r="BW1084" s="98"/>
      <c r="BX1084" s="98"/>
      <c r="BY1084" s="112"/>
      <c r="BZ1084" s="112"/>
      <c r="CA1084" s="112"/>
      <c r="CB1084" s="98"/>
      <c r="CC1084" s="98"/>
      <c r="CD1084" s="98"/>
      <c r="CE1084" s="98"/>
      <c r="CG1084" s="100"/>
      <c r="CH1084" s="100"/>
      <c r="CI1084" s="100"/>
      <c r="CJ1084" s="100"/>
      <c r="CK1084" s="100"/>
      <c r="CL1084" s="100"/>
      <c r="CM1084" s="100"/>
      <c r="CN1084" s="100"/>
      <c r="CO1084" s="100"/>
      <c r="CP1084" s="100"/>
      <c r="CQ1084" s="100"/>
      <c r="CR1084" s="100"/>
      <c r="CS1084" s="100"/>
      <c r="CT1084" s="100"/>
      <c r="CU1084" s="100"/>
    </row>
    <row r="1085" spans="6:99" s="36" customFormat="1" ht="11.1" customHeight="1" x14ac:dyDescent="0.25">
      <c r="F1085" s="33"/>
      <c r="G1085" s="33"/>
      <c r="H1085" s="33"/>
      <c r="I1085" s="34"/>
      <c r="J1085" s="34"/>
      <c r="K1085" s="14"/>
      <c r="L1085" s="32"/>
      <c r="M1085" s="14"/>
      <c r="N1085" s="14"/>
      <c r="O1085" s="2"/>
      <c r="P1085"/>
      <c r="Q1085" s="2"/>
      <c r="R1085"/>
      <c r="S1085"/>
      <c r="T1085"/>
      <c r="U1085" s="2"/>
      <c r="V1085" s="2"/>
      <c r="W1085" s="2"/>
      <c r="X1085" s="2"/>
      <c r="Y1085" s="2"/>
      <c r="Z1085" s="11"/>
      <c r="AA1085" s="15"/>
      <c r="AB1085" s="15"/>
      <c r="AC1085" s="15"/>
      <c r="AD1085" s="35"/>
      <c r="AE1085" s="99"/>
      <c r="AF1085" s="99"/>
      <c r="AG1085" s="35"/>
      <c r="AH1085" s="35"/>
      <c r="AI1085" s="35"/>
      <c r="AJ1085" s="1"/>
      <c r="AK1085" s="1"/>
      <c r="AL1085" s="1"/>
      <c r="AM1085" s="1"/>
      <c r="AN1085" s="1"/>
      <c r="AO1085" s="1"/>
      <c r="AP1085"/>
      <c r="AQ1085"/>
      <c r="AR1085"/>
      <c r="AS1085"/>
      <c r="AT1085" s="50"/>
      <c r="AU1085" s="97"/>
      <c r="AV1085" s="97"/>
      <c r="AW1085" s="97"/>
      <c r="AX1085" s="97"/>
      <c r="AY1085" s="97"/>
      <c r="BD1085" s="35"/>
      <c r="BE1085" s="35"/>
      <c r="BV1085" s="98"/>
      <c r="BW1085" s="98"/>
      <c r="BX1085" s="98"/>
      <c r="BY1085" s="112"/>
      <c r="BZ1085" s="112"/>
      <c r="CA1085" s="112"/>
      <c r="CB1085" s="98"/>
      <c r="CC1085" s="98"/>
      <c r="CD1085" s="98"/>
      <c r="CE1085" s="98"/>
      <c r="CG1085" s="100"/>
      <c r="CH1085" s="100"/>
      <c r="CI1085" s="100"/>
      <c r="CJ1085" s="100"/>
      <c r="CK1085" s="100"/>
      <c r="CL1085" s="100"/>
      <c r="CM1085" s="100"/>
      <c r="CN1085" s="100"/>
      <c r="CO1085" s="100"/>
      <c r="CP1085" s="100"/>
      <c r="CQ1085" s="100"/>
      <c r="CR1085" s="100"/>
      <c r="CS1085" s="100"/>
      <c r="CT1085" s="100"/>
      <c r="CU1085" s="100"/>
    </row>
    <row r="1086" spans="6:99" s="36" customFormat="1" ht="11.1" customHeight="1" x14ac:dyDescent="0.25">
      <c r="F1086" s="33"/>
      <c r="G1086" s="33"/>
      <c r="H1086" s="33"/>
      <c r="I1086" s="34"/>
      <c r="J1086" s="34"/>
      <c r="K1086" s="14"/>
      <c r="L1086" s="32"/>
      <c r="M1086" s="14"/>
      <c r="N1086" s="14"/>
      <c r="O1086" s="2"/>
      <c r="P1086"/>
      <c r="Q1086" s="2"/>
      <c r="R1086"/>
      <c r="S1086"/>
      <c r="T1086"/>
      <c r="U1086" s="2"/>
      <c r="V1086" s="2"/>
      <c r="W1086" s="2"/>
      <c r="X1086" s="2"/>
      <c r="Y1086" s="2"/>
      <c r="Z1086" s="11"/>
      <c r="AA1086" s="15"/>
      <c r="AB1086" s="15"/>
      <c r="AC1086" s="15"/>
      <c r="AD1086" s="35"/>
      <c r="AE1086" s="99"/>
      <c r="AF1086" s="99"/>
      <c r="AG1086" s="35"/>
      <c r="AH1086" s="35"/>
      <c r="AI1086" s="35"/>
      <c r="AJ1086" s="1"/>
      <c r="AK1086" s="1"/>
      <c r="AL1086" s="1"/>
      <c r="AM1086" s="1"/>
      <c r="AN1086" s="1"/>
      <c r="AO1086" s="1"/>
      <c r="AP1086"/>
      <c r="AQ1086"/>
      <c r="AR1086"/>
      <c r="AS1086"/>
      <c r="AT1086" s="50"/>
      <c r="AU1086" s="97"/>
      <c r="AV1086" s="97"/>
      <c r="AW1086" s="97"/>
      <c r="AX1086" s="97"/>
      <c r="AY1086" s="97"/>
      <c r="BD1086" s="35"/>
      <c r="BE1086" s="35"/>
      <c r="BV1086" s="98"/>
      <c r="BW1086" s="98"/>
      <c r="BX1086" s="98"/>
      <c r="BY1086" s="112"/>
      <c r="BZ1086" s="112"/>
      <c r="CA1086" s="112"/>
      <c r="CB1086" s="98"/>
      <c r="CC1086" s="98"/>
      <c r="CD1086" s="98"/>
      <c r="CE1086" s="98"/>
      <c r="CG1086" s="100"/>
      <c r="CH1086" s="100"/>
      <c r="CI1086" s="100"/>
      <c r="CJ1086" s="100"/>
      <c r="CK1086" s="100"/>
      <c r="CL1086" s="100"/>
      <c r="CM1086" s="100"/>
      <c r="CN1086" s="100"/>
      <c r="CO1086" s="100"/>
      <c r="CP1086" s="100"/>
      <c r="CQ1086" s="100"/>
      <c r="CR1086" s="100"/>
      <c r="CS1086" s="100"/>
      <c r="CT1086" s="100"/>
      <c r="CU1086" s="100"/>
    </row>
    <row r="1087" spans="6:99" s="36" customFormat="1" ht="11.1" customHeight="1" x14ac:dyDescent="0.25">
      <c r="F1087" s="33"/>
      <c r="G1087" s="33"/>
      <c r="H1087" s="33"/>
      <c r="I1087" s="34"/>
      <c r="J1087" s="34"/>
      <c r="K1087" s="14"/>
      <c r="L1087" s="32"/>
      <c r="M1087" s="14"/>
      <c r="N1087" s="14"/>
      <c r="O1087" s="2"/>
      <c r="P1087"/>
      <c r="Q1087" s="2"/>
      <c r="R1087"/>
      <c r="S1087"/>
      <c r="T1087"/>
      <c r="U1087" s="2"/>
      <c r="V1087" s="2"/>
      <c r="W1087" s="2"/>
      <c r="X1087" s="2"/>
      <c r="Y1087" s="2"/>
      <c r="Z1087" s="11"/>
      <c r="AA1087" s="15"/>
      <c r="AB1087" s="15"/>
      <c r="AC1087" s="15"/>
      <c r="AD1087" s="35"/>
      <c r="AE1087" s="99"/>
      <c r="AF1087" s="99"/>
      <c r="AG1087" s="35"/>
      <c r="AH1087" s="35"/>
      <c r="AI1087" s="35"/>
      <c r="AJ1087" s="1"/>
      <c r="AK1087" s="1"/>
      <c r="AL1087" s="1"/>
      <c r="AM1087" s="1"/>
      <c r="AN1087" s="1"/>
      <c r="AO1087" s="1"/>
      <c r="AP1087"/>
      <c r="AQ1087"/>
      <c r="AR1087"/>
      <c r="AS1087"/>
      <c r="AT1087" s="50"/>
      <c r="AU1087" s="97"/>
      <c r="AV1087" s="97"/>
      <c r="AW1087" s="97"/>
      <c r="AX1087" s="97"/>
      <c r="AY1087" s="97"/>
      <c r="BD1087" s="35"/>
      <c r="BE1087" s="35"/>
      <c r="BV1087" s="98"/>
      <c r="BW1087" s="98"/>
      <c r="BX1087" s="98"/>
      <c r="BY1087" s="112"/>
      <c r="BZ1087" s="112"/>
      <c r="CA1087" s="112"/>
      <c r="CB1087" s="98"/>
      <c r="CC1087" s="98"/>
      <c r="CD1087" s="98"/>
      <c r="CE1087" s="98"/>
      <c r="CG1087" s="100"/>
      <c r="CH1087" s="100"/>
      <c r="CI1087" s="100"/>
      <c r="CJ1087" s="100"/>
      <c r="CK1087" s="100"/>
      <c r="CL1087" s="100"/>
      <c r="CM1087" s="100"/>
      <c r="CN1087" s="100"/>
      <c r="CO1087" s="100"/>
      <c r="CP1087" s="100"/>
      <c r="CQ1087" s="100"/>
      <c r="CR1087" s="100"/>
      <c r="CS1087" s="100"/>
      <c r="CT1087" s="100"/>
      <c r="CU1087" s="100"/>
    </row>
    <row r="1088" spans="6:99" s="36" customFormat="1" ht="11.1" customHeight="1" x14ac:dyDescent="0.25">
      <c r="F1088" s="33"/>
      <c r="G1088" s="33"/>
      <c r="H1088" s="33"/>
      <c r="I1088" s="34"/>
      <c r="J1088" s="34"/>
      <c r="K1088" s="14"/>
      <c r="L1088" s="32"/>
      <c r="M1088" s="14"/>
      <c r="N1088" s="14"/>
      <c r="O1088" s="2"/>
      <c r="P1088"/>
      <c r="Q1088" s="2"/>
      <c r="R1088"/>
      <c r="S1088"/>
      <c r="T1088"/>
      <c r="U1088" s="2"/>
      <c r="V1088" s="2"/>
      <c r="W1088" s="2"/>
      <c r="X1088" s="2"/>
      <c r="Y1088" s="2"/>
      <c r="Z1088" s="11"/>
      <c r="AA1088" s="15"/>
      <c r="AB1088" s="15"/>
      <c r="AC1088" s="15"/>
      <c r="AD1088" s="35"/>
      <c r="AE1088" s="99"/>
      <c r="AF1088" s="99"/>
      <c r="AG1088" s="35"/>
      <c r="AH1088" s="35"/>
      <c r="AI1088" s="35"/>
      <c r="AJ1088" s="1"/>
      <c r="AK1088" s="1"/>
      <c r="AL1088" s="1"/>
      <c r="AM1088" s="1"/>
      <c r="AN1088" s="1"/>
      <c r="AO1088" s="1"/>
      <c r="AP1088"/>
      <c r="AQ1088"/>
      <c r="AR1088"/>
      <c r="AS1088"/>
      <c r="AT1088" s="50"/>
      <c r="AU1088" s="97"/>
      <c r="AV1088" s="97"/>
      <c r="AW1088" s="97"/>
      <c r="AX1088" s="97"/>
      <c r="AY1088" s="97"/>
      <c r="BD1088" s="35"/>
      <c r="BE1088" s="35"/>
      <c r="BV1088" s="98"/>
      <c r="BW1088" s="98"/>
      <c r="BX1088" s="98"/>
      <c r="BY1088" s="112"/>
      <c r="BZ1088" s="112"/>
      <c r="CA1088" s="112"/>
      <c r="CB1088" s="98"/>
      <c r="CC1088" s="98"/>
      <c r="CD1088" s="98"/>
      <c r="CE1088" s="98"/>
      <c r="CG1088" s="100"/>
      <c r="CH1088" s="100"/>
      <c r="CI1088" s="100"/>
      <c r="CJ1088" s="100"/>
      <c r="CK1088" s="100"/>
      <c r="CL1088" s="100"/>
      <c r="CM1088" s="100"/>
      <c r="CN1088" s="100"/>
      <c r="CO1088" s="100"/>
      <c r="CP1088" s="100"/>
      <c r="CQ1088" s="100"/>
      <c r="CR1088" s="100"/>
      <c r="CS1088" s="100"/>
      <c r="CT1088" s="100"/>
      <c r="CU1088" s="100"/>
    </row>
    <row r="1089" spans="6:99" s="36" customFormat="1" ht="11.1" customHeight="1" x14ac:dyDescent="0.25">
      <c r="F1089" s="33"/>
      <c r="G1089" s="33"/>
      <c r="H1089" s="33"/>
      <c r="I1089" s="34"/>
      <c r="J1089" s="34"/>
      <c r="K1089" s="14"/>
      <c r="L1089" s="32"/>
      <c r="M1089" s="14"/>
      <c r="N1089" s="14"/>
      <c r="O1089" s="2"/>
      <c r="P1089"/>
      <c r="Q1089" s="2"/>
      <c r="R1089"/>
      <c r="S1089"/>
      <c r="T1089"/>
      <c r="U1089" s="2"/>
      <c r="V1089" s="2"/>
      <c r="W1089" s="2"/>
      <c r="X1089" s="2"/>
      <c r="Y1089" s="2"/>
      <c r="Z1089" s="11"/>
      <c r="AA1089" s="15"/>
      <c r="AB1089" s="15"/>
      <c r="AC1089" s="15"/>
      <c r="AD1089" s="35"/>
      <c r="AE1089" s="99"/>
      <c r="AF1089" s="99"/>
      <c r="AG1089" s="35"/>
      <c r="AH1089" s="35"/>
      <c r="AI1089" s="35"/>
      <c r="AJ1089" s="1"/>
      <c r="AK1089" s="1"/>
      <c r="AL1089" s="1"/>
      <c r="AM1089" s="1"/>
      <c r="AN1089" s="1"/>
      <c r="AO1089" s="1"/>
      <c r="AP1089"/>
      <c r="AQ1089"/>
      <c r="AR1089"/>
      <c r="AS1089"/>
      <c r="AT1089" s="50"/>
      <c r="AU1089" s="97"/>
      <c r="AV1089" s="97"/>
      <c r="AW1089" s="97"/>
      <c r="AX1089" s="97"/>
      <c r="AY1089" s="97"/>
      <c r="BD1089" s="35"/>
      <c r="BE1089" s="35"/>
      <c r="BV1089" s="98"/>
      <c r="BW1089" s="98"/>
      <c r="BX1089" s="98"/>
      <c r="BY1089" s="112"/>
      <c r="BZ1089" s="112"/>
      <c r="CA1089" s="112"/>
      <c r="CB1089" s="98"/>
      <c r="CC1089" s="98"/>
      <c r="CD1089" s="98"/>
      <c r="CE1089" s="98"/>
      <c r="CG1089" s="100"/>
      <c r="CH1089" s="100"/>
      <c r="CI1089" s="100"/>
      <c r="CJ1089" s="100"/>
      <c r="CK1089" s="100"/>
      <c r="CL1089" s="100"/>
      <c r="CM1089" s="100"/>
      <c r="CN1089" s="100"/>
      <c r="CO1089" s="100"/>
      <c r="CP1089" s="100"/>
      <c r="CQ1089" s="100"/>
      <c r="CR1089" s="100"/>
      <c r="CS1089" s="100"/>
      <c r="CT1089" s="100"/>
      <c r="CU1089" s="100"/>
    </row>
    <row r="1090" spans="6:99" s="36" customFormat="1" ht="11.1" customHeight="1" x14ac:dyDescent="0.25">
      <c r="F1090" s="33"/>
      <c r="G1090" s="33"/>
      <c r="H1090" s="33"/>
      <c r="I1090" s="34"/>
      <c r="J1090" s="34"/>
      <c r="K1090" s="14"/>
      <c r="L1090" s="32"/>
      <c r="M1090" s="14"/>
      <c r="N1090" s="14"/>
      <c r="O1090" s="2"/>
      <c r="P1090"/>
      <c r="Q1090" s="2"/>
      <c r="R1090"/>
      <c r="S1090"/>
      <c r="T1090"/>
      <c r="U1090" s="2"/>
      <c r="V1090" s="2"/>
      <c r="W1090" s="2"/>
      <c r="X1090" s="2"/>
      <c r="Y1090" s="2"/>
      <c r="Z1090" s="11"/>
      <c r="AA1090" s="15"/>
      <c r="AB1090" s="15"/>
      <c r="AC1090" s="15"/>
      <c r="AD1090" s="35"/>
      <c r="AE1090" s="99"/>
      <c r="AF1090" s="99"/>
      <c r="AG1090" s="35"/>
      <c r="AH1090" s="35"/>
      <c r="AI1090" s="35"/>
      <c r="AJ1090" s="1"/>
      <c r="AK1090" s="1"/>
      <c r="AL1090" s="1"/>
      <c r="AM1090" s="1"/>
      <c r="AN1090" s="1"/>
      <c r="AO1090" s="1"/>
      <c r="AP1090"/>
      <c r="AQ1090"/>
      <c r="AR1090"/>
      <c r="AS1090"/>
      <c r="AT1090" s="50"/>
      <c r="AU1090" s="97"/>
      <c r="AV1090" s="97"/>
      <c r="AW1090" s="97"/>
      <c r="AX1090" s="97"/>
      <c r="AY1090" s="97"/>
      <c r="BD1090" s="35"/>
      <c r="BE1090" s="35"/>
      <c r="BV1090" s="98"/>
      <c r="BW1090" s="98"/>
      <c r="BX1090" s="98"/>
      <c r="BY1090" s="112"/>
      <c r="BZ1090" s="112"/>
      <c r="CA1090" s="112"/>
      <c r="CB1090" s="98"/>
      <c r="CC1090" s="98"/>
      <c r="CD1090" s="98"/>
      <c r="CE1090" s="98"/>
      <c r="CG1090" s="100"/>
      <c r="CH1090" s="100"/>
      <c r="CI1090" s="100"/>
      <c r="CJ1090" s="100"/>
      <c r="CK1090" s="100"/>
      <c r="CL1090" s="100"/>
      <c r="CM1090" s="100"/>
      <c r="CN1090" s="100"/>
      <c r="CO1090" s="100"/>
      <c r="CP1090" s="100"/>
      <c r="CQ1090" s="100"/>
      <c r="CR1090" s="100"/>
      <c r="CS1090" s="100"/>
      <c r="CT1090" s="100"/>
      <c r="CU1090" s="100"/>
    </row>
    <row r="1091" spans="6:99" s="36" customFormat="1" ht="11.1" customHeight="1" x14ac:dyDescent="0.25">
      <c r="F1091" s="33"/>
      <c r="G1091" s="33"/>
      <c r="H1091" s="33"/>
      <c r="I1091" s="34"/>
      <c r="J1091" s="34"/>
      <c r="K1091" s="14"/>
      <c r="L1091" s="32"/>
      <c r="M1091" s="14"/>
      <c r="N1091" s="14"/>
      <c r="O1091" s="2"/>
      <c r="P1091"/>
      <c r="Q1091" s="2"/>
      <c r="R1091"/>
      <c r="S1091"/>
      <c r="T1091"/>
      <c r="U1091" s="2"/>
      <c r="V1091" s="2"/>
      <c r="W1091" s="2"/>
      <c r="X1091" s="2"/>
      <c r="Y1091" s="2"/>
      <c r="Z1091" s="11"/>
      <c r="AA1091" s="15"/>
      <c r="AB1091" s="15"/>
      <c r="AC1091" s="15"/>
      <c r="AD1091" s="35"/>
      <c r="AE1091" s="99"/>
      <c r="AF1091" s="99"/>
      <c r="AG1091" s="35"/>
      <c r="AH1091" s="35"/>
      <c r="AI1091" s="35"/>
      <c r="AJ1091" s="1"/>
      <c r="AK1091" s="1"/>
      <c r="AL1091" s="1"/>
      <c r="AM1091" s="1"/>
      <c r="AN1091" s="1"/>
      <c r="AO1091" s="1"/>
      <c r="AP1091"/>
      <c r="AQ1091"/>
      <c r="AR1091"/>
      <c r="AS1091"/>
      <c r="AT1091" s="50"/>
      <c r="AU1091" s="97"/>
      <c r="AV1091" s="97"/>
      <c r="AW1091" s="97"/>
      <c r="AX1091" s="97"/>
      <c r="AY1091" s="97"/>
      <c r="BD1091" s="35"/>
      <c r="BE1091" s="35"/>
      <c r="BV1091" s="98"/>
      <c r="BW1091" s="98"/>
      <c r="BX1091" s="98"/>
      <c r="BY1091" s="112"/>
      <c r="BZ1091" s="112"/>
      <c r="CA1091" s="112"/>
      <c r="CB1091" s="98"/>
      <c r="CC1091" s="98"/>
      <c r="CD1091" s="98"/>
      <c r="CE1091" s="98"/>
      <c r="CG1091" s="100"/>
      <c r="CH1091" s="100"/>
      <c r="CI1091" s="100"/>
      <c r="CJ1091" s="100"/>
      <c r="CK1091" s="100"/>
      <c r="CL1091" s="100"/>
      <c r="CM1091" s="100"/>
      <c r="CN1091" s="100"/>
      <c r="CO1091" s="100"/>
      <c r="CP1091" s="100"/>
      <c r="CQ1091" s="100"/>
      <c r="CR1091" s="100"/>
      <c r="CS1091" s="100"/>
      <c r="CT1091" s="100"/>
      <c r="CU1091" s="100"/>
    </row>
    <row r="1092" spans="6:99" s="36" customFormat="1" ht="11.1" customHeight="1" x14ac:dyDescent="0.25">
      <c r="F1092" s="33"/>
      <c r="G1092" s="33"/>
      <c r="H1092" s="33"/>
      <c r="I1092" s="34"/>
      <c r="J1092" s="34"/>
      <c r="K1092" s="14"/>
      <c r="L1092" s="32"/>
      <c r="M1092" s="14"/>
      <c r="N1092" s="14"/>
      <c r="O1092" s="2"/>
      <c r="P1092"/>
      <c r="Q1092" s="2"/>
      <c r="R1092"/>
      <c r="S1092"/>
      <c r="T1092"/>
      <c r="U1092" s="2"/>
      <c r="V1092" s="2"/>
      <c r="W1092" s="2"/>
      <c r="X1092" s="2"/>
      <c r="Y1092" s="2"/>
      <c r="Z1092" s="11"/>
      <c r="AA1092" s="15"/>
      <c r="AB1092" s="15"/>
      <c r="AC1092" s="15"/>
      <c r="AD1092" s="35"/>
      <c r="AE1092" s="99"/>
      <c r="AF1092" s="99"/>
      <c r="AG1092" s="35"/>
      <c r="AH1092" s="35"/>
      <c r="AI1092" s="35"/>
      <c r="AJ1092" s="1"/>
      <c r="AK1092" s="1"/>
      <c r="AL1092" s="1"/>
      <c r="AM1092" s="1"/>
      <c r="AN1092" s="1"/>
      <c r="AO1092" s="1"/>
      <c r="AP1092"/>
      <c r="AQ1092"/>
      <c r="AR1092"/>
      <c r="AS1092"/>
      <c r="AT1092" s="50"/>
      <c r="AU1092" s="97"/>
      <c r="AV1092" s="97"/>
      <c r="AW1092" s="97"/>
      <c r="AX1092" s="97"/>
      <c r="AY1092" s="97"/>
      <c r="BD1092" s="35"/>
      <c r="BE1092" s="35"/>
      <c r="BV1092" s="98"/>
      <c r="BW1092" s="98"/>
      <c r="BX1092" s="98"/>
      <c r="BY1092" s="112"/>
      <c r="BZ1092" s="112"/>
      <c r="CA1092" s="112"/>
      <c r="CB1092" s="98"/>
      <c r="CC1092" s="98"/>
      <c r="CD1092" s="98"/>
      <c r="CE1092" s="98"/>
      <c r="CG1092" s="100"/>
      <c r="CH1092" s="100"/>
      <c r="CI1092" s="100"/>
      <c r="CJ1092" s="100"/>
      <c r="CK1092" s="100"/>
      <c r="CL1092" s="100"/>
      <c r="CM1092" s="100"/>
      <c r="CN1092" s="100"/>
      <c r="CO1092" s="100"/>
      <c r="CP1092" s="100"/>
      <c r="CQ1092" s="100"/>
      <c r="CR1092" s="100"/>
      <c r="CS1092" s="100"/>
      <c r="CT1092" s="100"/>
      <c r="CU1092" s="100"/>
    </row>
    <row r="1093" spans="6:99" s="36" customFormat="1" ht="11.1" customHeight="1" x14ac:dyDescent="0.25">
      <c r="F1093" s="33"/>
      <c r="G1093" s="33"/>
      <c r="H1093" s="33"/>
      <c r="I1093" s="34"/>
      <c r="J1093" s="34"/>
      <c r="K1093" s="14"/>
      <c r="L1093" s="32"/>
      <c r="M1093" s="14"/>
      <c r="N1093" s="14"/>
      <c r="O1093" s="2"/>
      <c r="P1093"/>
      <c r="Q1093" s="2"/>
      <c r="R1093"/>
      <c r="S1093"/>
      <c r="T1093"/>
      <c r="U1093" s="2"/>
      <c r="V1093" s="2"/>
      <c r="W1093" s="2"/>
      <c r="X1093" s="2"/>
      <c r="Y1093" s="2"/>
      <c r="Z1093" s="11"/>
      <c r="AA1093" s="15"/>
      <c r="AB1093" s="15"/>
      <c r="AC1093" s="15"/>
      <c r="AD1093" s="35"/>
      <c r="AE1093" s="99"/>
      <c r="AF1093" s="99"/>
      <c r="AG1093" s="35"/>
      <c r="AH1093" s="35"/>
      <c r="AI1093" s="35"/>
      <c r="AJ1093" s="1"/>
      <c r="AK1093" s="1"/>
      <c r="AL1093" s="1"/>
      <c r="AM1093" s="1"/>
      <c r="AN1093" s="1"/>
      <c r="AO1093" s="1"/>
      <c r="AP1093"/>
      <c r="AQ1093"/>
      <c r="AR1093"/>
      <c r="AS1093"/>
      <c r="AT1093" s="50"/>
      <c r="AU1093" s="97"/>
      <c r="AV1093" s="97"/>
      <c r="AW1093" s="97"/>
      <c r="AX1093" s="97"/>
      <c r="AY1093" s="97"/>
      <c r="BD1093" s="35"/>
      <c r="BE1093" s="35"/>
      <c r="BV1093" s="98"/>
      <c r="BW1093" s="98"/>
      <c r="BX1093" s="98"/>
      <c r="BY1093" s="112"/>
      <c r="BZ1093" s="112"/>
      <c r="CA1093" s="112"/>
      <c r="CB1093" s="98"/>
      <c r="CC1093" s="98"/>
      <c r="CD1093" s="98"/>
      <c r="CE1093" s="98"/>
      <c r="CG1093" s="100"/>
      <c r="CH1093" s="100"/>
      <c r="CI1093" s="100"/>
      <c r="CJ1093" s="100"/>
      <c r="CK1093" s="100"/>
      <c r="CL1093" s="100"/>
      <c r="CM1093" s="100"/>
      <c r="CN1093" s="100"/>
      <c r="CO1093" s="100"/>
      <c r="CP1093" s="100"/>
      <c r="CQ1093" s="100"/>
      <c r="CR1093" s="100"/>
      <c r="CS1093" s="100"/>
      <c r="CT1093" s="100"/>
      <c r="CU1093" s="100"/>
    </row>
    <row r="1094" spans="6:99" s="36" customFormat="1" ht="11.1" customHeight="1" x14ac:dyDescent="0.25">
      <c r="F1094" s="33"/>
      <c r="G1094" s="33"/>
      <c r="H1094" s="33"/>
      <c r="I1094" s="34"/>
      <c r="J1094" s="34"/>
      <c r="K1094" s="14"/>
      <c r="L1094" s="32"/>
      <c r="M1094" s="14"/>
      <c r="N1094" s="14"/>
      <c r="O1094" s="2"/>
      <c r="P1094"/>
      <c r="Q1094" s="2"/>
      <c r="R1094"/>
      <c r="S1094"/>
      <c r="T1094"/>
      <c r="U1094" s="2"/>
      <c r="V1094" s="2"/>
      <c r="W1094" s="2"/>
      <c r="X1094" s="2"/>
      <c r="Y1094" s="2"/>
      <c r="Z1094" s="11"/>
      <c r="AA1094" s="15"/>
      <c r="AB1094" s="15"/>
      <c r="AC1094" s="15"/>
      <c r="AD1094" s="35"/>
      <c r="AE1094" s="99"/>
      <c r="AF1094" s="99"/>
      <c r="AG1094" s="35"/>
      <c r="AH1094" s="35"/>
      <c r="AI1094" s="35"/>
      <c r="AJ1094" s="1"/>
      <c r="AK1094" s="1"/>
      <c r="AL1094" s="1"/>
      <c r="AM1094" s="1"/>
      <c r="AN1094" s="1"/>
      <c r="AO1094" s="1"/>
      <c r="AP1094"/>
      <c r="AQ1094"/>
      <c r="AR1094"/>
      <c r="AS1094"/>
      <c r="AT1094" s="50"/>
      <c r="AU1094" s="97"/>
      <c r="AV1094" s="97"/>
      <c r="AW1094" s="97"/>
      <c r="AX1094" s="97"/>
      <c r="AY1094" s="97"/>
      <c r="BD1094" s="35"/>
      <c r="BE1094" s="35"/>
      <c r="BV1094" s="98"/>
      <c r="BW1094" s="98"/>
      <c r="BX1094" s="98"/>
      <c r="BY1094" s="112"/>
      <c r="BZ1094" s="112"/>
      <c r="CA1094" s="112"/>
      <c r="CB1094" s="98"/>
      <c r="CC1094" s="98"/>
      <c r="CD1094" s="98"/>
      <c r="CE1094" s="98"/>
      <c r="CG1094" s="100"/>
      <c r="CH1094" s="100"/>
      <c r="CI1094" s="100"/>
      <c r="CJ1094" s="100"/>
      <c r="CK1094" s="100"/>
      <c r="CL1094" s="100"/>
      <c r="CM1094" s="100"/>
      <c r="CN1094" s="100"/>
      <c r="CO1094" s="100"/>
      <c r="CP1094" s="100"/>
      <c r="CQ1094" s="100"/>
      <c r="CR1094" s="100"/>
      <c r="CS1094" s="100"/>
      <c r="CT1094" s="100"/>
      <c r="CU1094" s="100"/>
    </row>
    <row r="1095" spans="6:99" s="36" customFormat="1" ht="11.1" customHeight="1" x14ac:dyDescent="0.25">
      <c r="F1095" s="33"/>
      <c r="G1095" s="33"/>
      <c r="H1095" s="33"/>
      <c r="I1095" s="34"/>
      <c r="J1095" s="34"/>
      <c r="K1095" s="14"/>
      <c r="L1095" s="32"/>
      <c r="M1095" s="14"/>
      <c r="N1095" s="14"/>
      <c r="O1095" s="2"/>
      <c r="P1095"/>
      <c r="Q1095" s="2"/>
      <c r="R1095"/>
      <c r="S1095"/>
      <c r="T1095"/>
      <c r="U1095" s="2"/>
      <c r="V1095" s="2"/>
      <c r="W1095" s="2"/>
      <c r="X1095" s="2"/>
      <c r="Y1095" s="2"/>
      <c r="Z1095" s="11"/>
      <c r="AA1095" s="15"/>
      <c r="AB1095" s="15"/>
      <c r="AC1095" s="15"/>
      <c r="AD1095" s="35"/>
      <c r="AE1095" s="99"/>
      <c r="AF1095" s="99"/>
      <c r="AG1095" s="35"/>
      <c r="AH1095" s="35"/>
      <c r="AI1095" s="35"/>
      <c r="AJ1095" s="1"/>
      <c r="AK1095" s="1"/>
      <c r="AL1095" s="1"/>
      <c r="AM1095" s="1"/>
      <c r="AN1095" s="1"/>
      <c r="AO1095" s="1"/>
      <c r="AP1095"/>
      <c r="AQ1095"/>
      <c r="AR1095"/>
      <c r="AS1095"/>
      <c r="AT1095" s="50"/>
      <c r="AU1095" s="97"/>
      <c r="AV1095" s="97"/>
      <c r="AW1095" s="97"/>
      <c r="AX1095" s="97"/>
      <c r="AY1095" s="97"/>
      <c r="BD1095" s="35"/>
      <c r="BE1095" s="35"/>
      <c r="BV1095" s="98"/>
      <c r="BW1095" s="98"/>
      <c r="BX1095" s="98"/>
      <c r="BY1095" s="112"/>
      <c r="BZ1095" s="112"/>
      <c r="CA1095" s="112"/>
      <c r="CB1095" s="98"/>
      <c r="CC1095" s="98"/>
      <c r="CD1095" s="98"/>
      <c r="CE1095" s="98"/>
      <c r="CG1095" s="100"/>
      <c r="CH1095" s="100"/>
      <c r="CI1095" s="100"/>
      <c r="CJ1095" s="100"/>
      <c r="CK1095" s="100"/>
      <c r="CL1095" s="100"/>
      <c r="CM1095" s="100"/>
      <c r="CN1095" s="100"/>
      <c r="CO1095" s="100"/>
      <c r="CP1095" s="100"/>
      <c r="CQ1095" s="100"/>
      <c r="CR1095" s="100"/>
      <c r="CS1095" s="100"/>
      <c r="CT1095" s="100"/>
      <c r="CU1095" s="100"/>
    </row>
    <row r="1096" spans="6:99" s="36" customFormat="1" ht="11.1" customHeight="1" x14ac:dyDescent="0.25">
      <c r="F1096" s="33"/>
      <c r="G1096" s="33"/>
      <c r="H1096" s="33"/>
      <c r="I1096" s="34"/>
      <c r="J1096" s="34"/>
      <c r="K1096" s="14"/>
      <c r="L1096" s="32"/>
      <c r="M1096" s="14"/>
      <c r="N1096" s="14"/>
      <c r="O1096" s="2"/>
      <c r="P1096"/>
      <c r="Q1096" s="2"/>
      <c r="R1096"/>
      <c r="S1096"/>
      <c r="T1096"/>
      <c r="U1096" s="2"/>
      <c r="V1096" s="2"/>
      <c r="W1096" s="2"/>
      <c r="X1096" s="2"/>
      <c r="Y1096" s="2"/>
      <c r="Z1096" s="11"/>
      <c r="AA1096" s="15"/>
      <c r="AB1096" s="15"/>
      <c r="AC1096" s="15"/>
      <c r="AD1096" s="35"/>
      <c r="AE1096" s="99"/>
      <c r="AF1096" s="99"/>
      <c r="AG1096" s="35"/>
      <c r="AH1096" s="35"/>
      <c r="AI1096" s="35"/>
      <c r="AJ1096" s="1"/>
      <c r="AK1096" s="1"/>
      <c r="AL1096" s="1"/>
      <c r="AM1096" s="1"/>
      <c r="AN1096" s="1"/>
      <c r="AO1096" s="1"/>
      <c r="AP1096"/>
      <c r="AQ1096"/>
      <c r="AR1096"/>
      <c r="AS1096"/>
      <c r="AT1096" s="50"/>
      <c r="AU1096" s="97"/>
      <c r="AV1096" s="97"/>
      <c r="AW1096" s="97"/>
      <c r="AX1096" s="97"/>
      <c r="AY1096" s="97"/>
      <c r="BD1096" s="35"/>
      <c r="BE1096" s="35"/>
      <c r="BV1096" s="98"/>
      <c r="BW1096" s="98"/>
      <c r="BX1096" s="98"/>
      <c r="BY1096" s="112"/>
      <c r="BZ1096" s="112"/>
      <c r="CA1096" s="112"/>
      <c r="CB1096" s="98"/>
      <c r="CC1096" s="98"/>
      <c r="CD1096" s="98"/>
      <c r="CE1096" s="98"/>
      <c r="CG1096" s="100"/>
      <c r="CH1096" s="100"/>
      <c r="CI1096" s="100"/>
      <c r="CJ1096" s="100"/>
      <c r="CK1096" s="100"/>
      <c r="CL1096" s="100"/>
      <c r="CM1096" s="100"/>
      <c r="CN1096" s="100"/>
      <c r="CO1096" s="100"/>
      <c r="CP1096" s="100"/>
      <c r="CQ1096" s="100"/>
      <c r="CR1096" s="100"/>
      <c r="CS1096" s="100"/>
      <c r="CT1096" s="100"/>
      <c r="CU1096" s="100"/>
    </row>
    <row r="1097" spans="6:99" s="36" customFormat="1" ht="11.1" customHeight="1" x14ac:dyDescent="0.25">
      <c r="F1097" s="33"/>
      <c r="G1097" s="33"/>
      <c r="H1097" s="33"/>
      <c r="I1097" s="34"/>
      <c r="J1097" s="34"/>
      <c r="K1097" s="14"/>
      <c r="L1097" s="32"/>
      <c r="M1097" s="14"/>
      <c r="N1097" s="14"/>
      <c r="O1097" s="2"/>
      <c r="P1097"/>
      <c r="Q1097" s="2"/>
      <c r="R1097"/>
      <c r="S1097"/>
      <c r="T1097"/>
      <c r="U1097" s="2"/>
      <c r="V1097" s="2"/>
      <c r="W1097" s="2"/>
      <c r="X1097" s="2"/>
      <c r="Y1097" s="2"/>
      <c r="Z1097" s="11"/>
      <c r="AA1097" s="15"/>
      <c r="AB1097" s="15"/>
      <c r="AC1097" s="15"/>
      <c r="AD1097" s="35"/>
      <c r="AE1097" s="99"/>
      <c r="AF1097" s="99"/>
      <c r="AG1097" s="35"/>
      <c r="AH1097" s="35"/>
      <c r="AI1097" s="35"/>
      <c r="AJ1097" s="1"/>
      <c r="AK1097" s="1"/>
      <c r="AL1097" s="1"/>
      <c r="AM1097" s="1"/>
      <c r="AN1097" s="1"/>
      <c r="AO1097" s="1"/>
      <c r="AP1097"/>
      <c r="AQ1097"/>
      <c r="AR1097"/>
      <c r="AS1097"/>
      <c r="AT1097" s="50"/>
      <c r="AU1097" s="97"/>
      <c r="AV1097" s="97"/>
      <c r="AW1097" s="97"/>
      <c r="AX1097" s="97"/>
      <c r="AY1097" s="97"/>
      <c r="BD1097" s="35"/>
      <c r="BE1097" s="35"/>
      <c r="BV1097" s="98"/>
      <c r="BW1097" s="98"/>
      <c r="BX1097" s="98"/>
      <c r="BY1097" s="112"/>
      <c r="BZ1097" s="112"/>
      <c r="CA1097" s="112"/>
      <c r="CB1097" s="98"/>
      <c r="CC1097" s="98"/>
      <c r="CD1097" s="98"/>
      <c r="CE1097" s="98"/>
      <c r="CG1097" s="100"/>
      <c r="CH1097" s="100"/>
      <c r="CI1097" s="100"/>
      <c r="CJ1097" s="100"/>
      <c r="CK1097" s="100"/>
      <c r="CL1097" s="100"/>
      <c r="CM1097" s="100"/>
      <c r="CN1097" s="100"/>
      <c r="CO1097" s="100"/>
      <c r="CP1097" s="100"/>
      <c r="CQ1097" s="100"/>
      <c r="CR1097" s="100"/>
      <c r="CS1097" s="100"/>
      <c r="CT1097" s="100"/>
      <c r="CU1097" s="100"/>
    </row>
    <row r="1098" spans="6:99" s="36" customFormat="1" ht="11.1" customHeight="1" x14ac:dyDescent="0.25">
      <c r="F1098" s="33"/>
      <c r="G1098" s="33"/>
      <c r="H1098" s="33"/>
      <c r="I1098" s="34"/>
      <c r="J1098" s="34"/>
      <c r="K1098" s="14"/>
      <c r="L1098" s="32"/>
      <c r="M1098" s="14"/>
      <c r="N1098" s="14"/>
      <c r="O1098" s="2"/>
      <c r="P1098"/>
      <c r="Q1098" s="2"/>
      <c r="R1098"/>
      <c r="S1098"/>
      <c r="T1098"/>
      <c r="U1098" s="2"/>
      <c r="V1098" s="2"/>
      <c r="W1098" s="2"/>
      <c r="X1098" s="2"/>
      <c r="Y1098" s="2"/>
      <c r="Z1098" s="11"/>
      <c r="AA1098" s="15"/>
      <c r="AB1098" s="15"/>
      <c r="AC1098" s="15"/>
      <c r="AD1098" s="35"/>
      <c r="AE1098" s="99"/>
      <c r="AF1098" s="99"/>
      <c r="AG1098" s="35"/>
      <c r="AH1098" s="35"/>
      <c r="AI1098" s="35"/>
      <c r="AJ1098" s="1"/>
      <c r="AK1098" s="1"/>
      <c r="AL1098" s="1"/>
      <c r="AM1098" s="1"/>
      <c r="AN1098" s="1"/>
      <c r="AO1098" s="1"/>
      <c r="AP1098"/>
      <c r="AQ1098"/>
      <c r="AR1098"/>
      <c r="AS1098"/>
      <c r="AT1098" s="50"/>
      <c r="AU1098" s="97"/>
      <c r="AV1098" s="97"/>
      <c r="AW1098" s="97"/>
      <c r="AX1098" s="97"/>
      <c r="AY1098" s="97"/>
      <c r="BD1098" s="35"/>
      <c r="BE1098" s="35"/>
      <c r="BV1098" s="98"/>
      <c r="BW1098" s="98"/>
      <c r="BX1098" s="98"/>
      <c r="BY1098" s="112"/>
      <c r="BZ1098" s="112"/>
      <c r="CA1098" s="112"/>
      <c r="CB1098" s="98"/>
      <c r="CC1098" s="98"/>
      <c r="CD1098" s="98"/>
      <c r="CE1098" s="98"/>
      <c r="CG1098" s="100"/>
      <c r="CH1098" s="100"/>
      <c r="CI1098" s="100"/>
      <c r="CJ1098" s="100"/>
      <c r="CK1098" s="100"/>
      <c r="CL1098" s="100"/>
      <c r="CM1098" s="100"/>
      <c r="CN1098" s="100"/>
      <c r="CO1098" s="100"/>
      <c r="CP1098" s="100"/>
      <c r="CQ1098" s="100"/>
      <c r="CR1098" s="100"/>
      <c r="CS1098" s="100"/>
      <c r="CT1098" s="100"/>
      <c r="CU1098" s="100"/>
    </row>
    <row r="1099" spans="6:99" s="36" customFormat="1" ht="11.1" customHeight="1" x14ac:dyDescent="0.25">
      <c r="F1099" s="33"/>
      <c r="G1099" s="33"/>
      <c r="H1099" s="33"/>
      <c r="I1099" s="34"/>
      <c r="J1099" s="34"/>
      <c r="K1099" s="14"/>
      <c r="L1099" s="32"/>
      <c r="M1099" s="14"/>
      <c r="N1099" s="14"/>
      <c r="O1099" s="2"/>
      <c r="P1099"/>
      <c r="Q1099" s="2"/>
      <c r="R1099"/>
      <c r="S1099"/>
      <c r="T1099"/>
      <c r="U1099" s="2"/>
      <c r="V1099" s="2"/>
      <c r="W1099" s="2"/>
      <c r="X1099" s="2"/>
      <c r="Y1099" s="2"/>
      <c r="Z1099" s="11"/>
      <c r="AA1099" s="15"/>
      <c r="AB1099" s="15"/>
      <c r="AC1099" s="15"/>
      <c r="AD1099" s="35"/>
      <c r="AE1099" s="99"/>
      <c r="AF1099" s="99"/>
      <c r="AG1099" s="35"/>
      <c r="AH1099" s="35"/>
      <c r="AI1099" s="35"/>
      <c r="AJ1099" s="1"/>
      <c r="AK1099" s="1"/>
      <c r="AL1099" s="1"/>
      <c r="AM1099" s="1"/>
      <c r="AN1099" s="1"/>
      <c r="AO1099" s="1"/>
      <c r="AP1099"/>
      <c r="AQ1099"/>
      <c r="AR1099"/>
      <c r="AS1099"/>
      <c r="AT1099" s="50"/>
      <c r="AU1099" s="97"/>
      <c r="AV1099" s="97"/>
      <c r="AW1099" s="97"/>
      <c r="AX1099" s="97"/>
      <c r="AY1099" s="97"/>
      <c r="BD1099" s="35"/>
      <c r="BE1099" s="35"/>
      <c r="BV1099" s="98"/>
      <c r="BW1099" s="98"/>
      <c r="BX1099" s="98"/>
      <c r="BY1099" s="112"/>
      <c r="BZ1099" s="112"/>
      <c r="CA1099" s="112"/>
      <c r="CB1099" s="98"/>
      <c r="CC1099" s="98"/>
      <c r="CD1099" s="98"/>
      <c r="CE1099" s="98"/>
      <c r="CG1099" s="100"/>
      <c r="CH1099" s="100"/>
      <c r="CI1099" s="100"/>
      <c r="CJ1099" s="100"/>
      <c r="CK1099" s="100"/>
      <c r="CL1099" s="100"/>
      <c r="CM1099" s="100"/>
      <c r="CN1099" s="100"/>
      <c r="CO1099" s="100"/>
      <c r="CP1099" s="100"/>
      <c r="CQ1099" s="100"/>
      <c r="CR1099" s="100"/>
      <c r="CS1099" s="100"/>
      <c r="CT1099" s="100"/>
      <c r="CU1099" s="100"/>
    </row>
    <row r="1100" spans="6:99" s="36" customFormat="1" ht="11.1" customHeight="1" x14ac:dyDescent="0.25">
      <c r="F1100" s="33"/>
      <c r="G1100" s="33"/>
      <c r="H1100" s="33"/>
      <c r="I1100" s="34"/>
      <c r="J1100" s="34"/>
      <c r="K1100" s="14"/>
      <c r="L1100" s="32"/>
      <c r="M1100" s="14"/>
      <c r="N1100" s="14"/>
      <c r="O1100" s="2"/>
      <c r="P1100"/>
      <c r="Q1100" s="2"/>
      <c r="R1100"/>
      <c r="S1100"/>
      <c r="T1100"/>
      <c r="U1100" s="2"/>
      <c r="V1100" s="2"/>
      <c r="W1100" s="2"/>
      <c r="X1100" s="2"/>
      <c r="Y1100" s="2"/>
      <c r="Z1100" s="11"/>
      <c r="AA1100" s="15"/>
      <c r="AB1100" s="15"/>
      <c r="AC1100" s="15"/>
      <c r="AD1100" s="35"/>
      <c r="AE1100" s="99"/>
      <c r="AF1100" s="99"/>
      <c r="AG1100" s="35"/>
      <c r="AH1100" s="35"/>
      <c r="AI1100" s="35"/>
      <c r="AJ1100" s="1"/>
      <c r="AK1100" s="1"/>
      <c r="AL1100" s="1"/>
      <c r="AM1100" s="1"/>
      <c r="AN1100" s="1"/>
      <c r="AO1100" s="1"/>
      <c r="AP1100"/>
      <c r="AQ1100"/>
      <c r="AR1100"/>
      <c r="AS1100"/>
      <c r="AT1100" s="50"/>
      <c r="AU1100" s="97"/>
      <c r="AV1100" s="97"/>
      <c r="AW1100" s="97"/>
      <c r="AX1100" s="97"/>
      <c r="AY1100" s="97"/>
      <c r="BD1100" s="35"/>
      <c r="BE1100" s="35"/>
      <c r="BV1100" s="98"/>
      <c r="BW1100" s="98"/>
      <c r="BX1100" s="98"/>
      <c r="BY1100" s="112"/>
      <c r="BZ1100" s="112"/>
      <c r="CA1100" s="112"/>
      <c r="CB1100" s="98"/>
      <c r="CC1100" s="98"/>
      <c r="CD1100" s="98"/>
      <c r="CE1100" s="98"/>
      <c r="CG1100" s="100"/>
      <c r="CH1100" s="100"/>
      <c r="CI1100" s="100"/>
      <c r="CJ1100" s="100"/>
      <c r="CK1100" s="100"/>
      <c r="CL1100" s="100"/>
      <c r="CM1100" s="100"/>
      <c r="CN1100" s="100"/>
      <c r="CO1100" s="100"/>
      <c r="CP1100" s="100"/>
      <c r="CQ1100" s="100"/>
      <c r="CR1100" s="100"/>
      <c r="CS1100" s="100"/>
      <c r="CT1100" s="100"/>
      <c r="CU1100" s="100"/>
    </row>
    <row r="1101" spans="6:99" s="36" customFormat="1" ht="11.1" customHeight="1" x14ac:dyDescent="0.25">
      <c r="F1101" s="33"/>
      <c r="G1101" s="33"/>
      <c r="H1101" s="33"/>
      <c r="I1101" s="34"/>
      <c r="J1101" s="34"/>
      <c r="K1101" s="14"/>
      <c r="L1101" s="32"/>
      <c r="M1101" s="14"/>
      <c r="N1101" s="14"/>
      <c r="O1101" s="2"/>
      <c r="P1101"/>
      <c r="Q1101" s="2"/>
      <c r="R1101"/>
      <c r="S1101"/>
      <c r="T1101"/>
      <c r="U1101" s="2"/>
      <c r="V1101" s="2"/>
      <c r="W1101" s="2"/>
      <c r="X1101" s="2"/>
      <c r="Y1101" s="2"/>
      <c r="Z1101" s="11"/>
      <c r="AA1101" s="15"/>
      <c r="AB1101" s="15"/>
      <c r="AC1101" s="15"/>
      <c r="AD1101" s="35"/>
      <c r="AE1101" s="99"/>
      <c r="AF1101" s="99"/>
      <c r="AG1101" s="35"/>
      <c r="AH1101" s="35"/>
      <c r="AI1101" s="35"/>
      <c r="AJ1101" s="1"/>
      <c r="AK1101" s="1"/>
      <c r="AL1101" s="1"/>
      <c r="AM1101" s="1"/>
      <c r="AN1101" s="1"/>
      <c r="AO1101" s="1"/>
      <c r="AP1101"/>
      <c r="AQ1101"/>
      <c r="AR1101"/>
      <c r="AS1101"/>
      <c r="AT1101" s="50"/>
      <c r="AU1101" s="97"/>
      <c r="AV1101" s="97"/>
      <c r="AW1101" s="97"/>
      <c r="AX1101" s="97"/>
      <c r="AY1101" s="97"/>
      <c r="BD1101" s="35"/>
      <c r="BE1101" s="35"/>
      <c r="BV1101" s="98"/>
      <c r="BW1101" s="98"/>
      <c r="BX1101" s="98"/>
      <c r="BY1101" s="112"/>
      <c r="BZ1101" s="112"/>
      <c r="CA1101" s="112"/>
      <c r="CB1101" s="98"/>
      <c r="CC1101" s="98"/>
      <c r="CD1101" s="98"/>
      <c r="CE1101" s="98"/>
      <c r="CG1101" s="100"/>
      <c r="CH1101" s="100"/>
      <c r="CI1101" s="100"/>
      <c r="CJ1101" s="100"/>
      <c r="CK1101" s="100"/>
      <c r="CL1101" s="100"/>
      <c r="CM1101" s="100"/>
      <c r="CN1101" s="100"/>
      <c r="CO1101" s="100"/>
      <c r="CP1101" s="100"/>
      <c r="CQ1101" s="100"/>
      <c r="CR1101" s="100"/>
      <c r="CS1101" s="100"/>
      <c r="CT1101" s="100"/>
      <c r="CU1101" s="100"/>
    </row>
    <row r="1102" spans="6:99" s="36" customFormat="1" ht="11.1" customHeight="1" x14ac:dyDescent="0.25">
      <c r="F1102" s="33"/>
      <c r="G1102" s="33"/>
      <c r="H1102" s="33"/>
      <c r="I1102" s="34"/>
      <c r="J1102" s="34"/>
      <c r="K1102" s="14"/>
      <c r="L1102" s="32"/>
      <c r="M1102" s="14"/>
      <c r="N1102" s="14"/>
      <c r="O1102" s="2"/>
      <c r="P1102"/>
      <c r="Q1102" s="2"/>
      <c r="R1102"/>
      <c r="S1102"/>
      <c r="T1102"/>
      <c r="U1102" s="2"/>
      <c r="V1102" s="2"/>
      <c r="W1102" s="2"/>
      <c r="X1102" s="2"/>
      <c r="Y1102" s="2"/>
      <c r="Z1102" s="11"/>
      <c r="AA1102" s="15"/>
      <c r="AB1102" s="15"/>
      <c r="AC1102" s="15"/>
      <c r="AD1102" s="35"/>
      <c r="AE1102" s="99"/>
      <c r="AF1102" s="99"/>
      <c r="AG1102" s="35"/>
      <c r="AH1102" s="35"/>
      <c r="AI1102" s="35"/>
      <c r="AJ1102" s="1"/>
      <c r="AK1102" s="1"/>
      <c r="AL1102" s="1"/>
      <c r="AM1102" s="1"/>
      <c r="AN1102" s="1"/>
      <c r="AO1102" s="1"/>
      <c r="AP1102"/>
      <c r="AQ1102"/>
      <c r="AR1102"/>
      <c r="AS1102"/>
      <c r="AT1102" s="50"/>
      <c r="AU1102" s="97"/>
      <c r="AV1102" s="97"/>
      <c r="AW1102" s="97"/>
      <c r="AX1102" s="97"/>
      <c r="AY1102" s="97"/>
      <c r="BD1102" s="35"/>
      <c r="BE1102" s="35"/>
      <c r="BV1102" s="98"/>
      <c r="BW1102" s="98"/>
      <c r="BX1102" s="98"/>
      <c r="BY1102" s="112"/>
      <c r="BZ1102" s="112"/>
      <c r="CA1102" s="112"/>
      <c r="CB1102" s="98"/>
      <c r="CC1102" s="98"/>
      <c r="CD1102" s="98"/>
      <c r="CE1102" s="98"/>
      <c r="CG1102" s="100"/>
      <c r="CH1102" s="100"/>
      <c r="CI1102" s="100"/>
      <c r="CJ1102" s="100"/>
      <c r="CK1102" s="100"/>
      <c r="CL1102" s="100"/>
      <c r="CM1102" s="100"/>
      <c r="CN1102" s="100"/>
      <c r="CO1102" s="100"/>
      <c r="CP1102" s="100"/>
      <c r="CQ1102" s="100"/>
      <c r="CR1102" s="100"/>
      <c r="CS1102" s="100"/>
      <c r="CT1102" s="100"/>
      <c r="CU1102" s="100"/>
    </row>
    <row r="1103" spans="6:99" s="36" customFormat="1" ht="11.1" customHeight="1" x14ac:dyDescent="0.25">
      <c r="F1103" s="33"/>
      <c r="G1103" s="33"/>
      <c r="H1103" s="33"/>
      <c r="I1103" s="34"/>
      <c r="J1103" s="34"/>
      <c r="K1103" s="14"/>
      <c r="L1103" s="32"/>
      <c r="M1103" s="14"/>
      <c r="N1103" s="14"/>
      <c r="O1103" s="2"/>
      <c r="P1103"/>
      <c r="Q1103" s="2"/>
      <c r="R1103"/>
      <c r="S1103"/>
      <c r="T1103"/>
      <c r="U1103" s="2"/>
      <c r="V1103" s="2"/>
      <c r="W1103" s="2"/>
      <c r="X1103" s="2"/>
      <c r="Y1103" s="2"/>
      <c r="Z1103" s="11"/>
      <c r="AA1103" s="15"/>
      <c r="AB1103" s="15"/>
      <c r="AC1103" s="15"/>
      <c r="AD1103" s="35"/>
      <c r="AE1103" s="99"/>
      <c r="AF1103" s="99"/>
      <c r="AG1103" s="35"/>
      <c r="AH1103" s="35"/>
      <c r="AI1103" s="35"/>
      <c r="AJ1103" s="1"/>
      <c r="AK1103" s="1"/>
      <c r="AL1103" s="1"/>
      <c r="AM1103" s="1"/>
      <c r="AN1103" s="1"/>
      <c r="AO1103" s="1"/>
      <c r="AP1103"/>
      <c r="AQ1103"/>
      <c r="AR1103"/>
      <c r="AS1103"/>
      <c r="AT1103" s="50"/>
      <c r="AU1103" s="97"/>
      <c r="AV1103" s="97"/>
      <c r="AW1103" s="97"/>
      <c r="AX1103" s="97"/>
      <c r="AY1103" s="97"/>
      <c r="BD1103" s="35"/>
      <c r="BE1103" s="35"/>
      <c r="BV1103" s="98"/>
      <c r="BW1103" s="98"/>
      <c r="BX1103" s="98"/>
      <c r="BY1103" s="112"/>
      <c r="BZ1103" s="112"/>
      <c r="CA1103" s="112"/>
      <c r="CB1103" s="98"/>
      <c r="CC1103" s="98"/>
      <c r="CD1103" s="98"/>
      <c r="CE1103" s="98"/>
      <c r="CG1103" s="100"/>
      <c r="CH1103" s="100"/>
      <c r="CI1103" s="100"/>
      <c r="CJ1103" s="100"/>
      <c r="CK1103" s="100"/>
      <c r="CL1103" s="100"/>
      <c r="CM1103" s="100"/>
      <c r="CN1103" s="100"/>
      <c r="CO1103" s="100"/>
      <c r="CP1103" s="100"/>
      <c r="CQ1103" s="100"/>
      <c r="CR1103" s="100"/>
      <c r="CS1103" s="100"/>
      <c r="CT1103" s="100"/>
      <c r="CU1103" s="100"/>
    </row>
    <row r="1104" spans="6:99" s="36" customFormat="1" ht="11.1" customHeight="1" x14ac:dyDescent="0.25">
      <c r="F1104" s="33"/>
      <c r="G1104" s="33"/>
      <c r="H1104" s="33"/>
      <c r="I1104" s="34"/>
      <c r="J1104" s="34"/>
      <c r="K1104" s="14"/>
      <c r="L1104" s="32"/>
      <c r="M1104" s="14"/>
      <c r="N1104" s="14"/>
      <c r="O1104" s="2"/>
      <c r="P1104"/>
      <c r="Q1104" s="2"/>
      <c r="R1104"/>
      <c r="S1104"/>
      <c r="T1104"/>
      <c r="U1104" s="2"/>
      <c r="V1104" s="2"/>
      <c r="W1104" s="2"/>
      <c r="X1104" s="2"/>
      <c r="Y1104" s="2"/>
      <c r="Z1104" s="11"/>
      <c r="AA1104" s="15"/>
      <c r="AB1104" s="15"/>
      <c r="AC1104" s="15"/>
      <c r="AD1104" s="35"/>
      <c r="AE1104" s="99"/>
      <c r="AF1104" s="99"/>
      <c r="AG1104" s="35"/>
      <c r="AH1104" s="35"/>
      <c r="AI1104" s="35"/>
      <c r="AJ1104" s="1"/>
      <c r="AK1104" s="1"/>
      <c r="AL1104" s="1"/>
      <c r="AM1104" s="1"/>
      <c r="AN1104" s="1"/>
      <c r="AO1104" s="1"/>
      <c r="AP1104"/>
      <c r="AQ1104"/>
      <c r="AR1104"/>
      <c r="AS1104"/>
      <c r="AT1104" s="50"/>
      <c r="AU1104" s="97"/>
      <c r="AV1104" s="97"/>
      <c r="AW1104" s="97"/>
      <c r="AX1104" s="97"/>
      <c r="AY1104" s="97"/>
      <c r="BD1104" s="35"/>
      <c r="BE1104" s="35"/>
      <c r="BV1104" s="98"/>
      <c r="BW1104" s="98"/>
      <c r="BX1104" s="98"/>
      <c r="BY1104" s="112"/>
      <c r="BZ1104" s="112"/>
      <c r="CA1104" s="112"/>
      <c r="CB1104" s="98"/>
      <c r="CC1104" s="98"/>
      <c r="CD1104" s="98"/>
      <c r="CE1104" s="98"/>
      <c r="CG1104" s="100"/>
      <c r="CH1104" s="100"/>
      <c r="CI1104" s="100"/>
      <c r="CJ1104" s="100"/>
      <c r="CK1104" s="100"/>
      <c r="CL1104" s="100"/>
      <c r="CM1104" s="100"/>
      <c r="CN1104" s="100"/>
      <c r="CO1104" s="100"/>
      <c r="CP1104" s="100"/>
      <c r="CQ1104" s="100"/>
      <c r="CR1104" s="100"/>
      <c r="CS1104" s="100"/>
      <c r="CT1104" s="100"/>
      <c r="CU1104" s="100"/>
    </row>
    <row r="1105" spans="6:99" s="36" customFormat="1" ht="11.1" customHeight="1" x14ac:dyDescent="0.25">
      <c r="F1105" s="33"/>
      <c r="G1105" s="33"/>
      <c r="H1105" s="33"/>
      <c r="I1105" s="34"/>
      <c r="J1105" s="34"/>
      <c r="K1105" s="14"/>
      <c r="L1105" s="32"/>
      <c r="M1105" s="14"/>
      <c r="N1105" s="14"/>
      <c r="O1105" s="2"/>
      <c r="P1105"/>
      <c r="Q1105" s="2"/>
      <c r="R1105"/>
      <c r="S1105"/>
      <c r="T1105"/>
      <c r="U1105" s="2"/>
      <c r="V1105" s="2"/>
      <c r="W1105" s="2"/>
      <c r="X1105" s="2"/>
      <c r="Y1105" s="2"/>
      <c r="Z1105" s="11"/>
      <c r="AA1105" s="15"/>
      <c r="AB1105" s="15"/>
      <c r="AC1105" s="15"/>
      <c r="AD1105" s="35"/>
      <c r="AE1105" s="99"/>
      <c r="AF1105" s="99"/>
      <c r="AG1105" s="35"/>
      <c r="AH1105" s="35"/>
      <c r="AI1105" s="35"/>
      <c r="AJ1105" s="1"/>
      <c r="AK1105" s="1"/>
      <c r="AL1105" s="1"/>
      <c r="AM1105" s="1"/>
      <c r="AN1105" s="1"/>
      <c r="AO1105" s="1"/>
      <c r="AP1105"/>
      <c r="AQ1105"/>
      <c r="AR1105"/>
      <c r="AS1105"/>
      <c r="AT1105" s="50"/>
      <c r="AU1105" s="97"/>
      <c r="AV1105" s="97"/>
      <c r="AW1105" s="97"/>
      <c r="AX1105" s="97"/>
      <c r="AY1105" s="97"/>
      <c r="BD1105" s="35"/>
      <c r="BE1105" s="35"/>
      <c r="BV1105" s="98"/>
      <c r="BW1105" s="98"/>
      <c r="BX1105" s="98"/>
      <c r="BY1105" s="112"/>
      <c r="BZ1105" s="112"/>
      <c r="CA1105" s="112"/>
      <c r="CB1105" s="98"/>
      <c r="CC1105" s="98"/>
      <c r="CD1105" s="98"/>
      <c r="CE1105" s="98"/>
      <c r="CG1105" s="100"/>
      <c r="CH1105" s="100"/>
      <c r="CI1105" s="100"/>
      <c r="CJ1105" s="100"/>
      <c r="CK1105" s="100"/>
      <c r="CL1105" s="100"/>
      <c r="CM1105" s="100"/>
      <c r="CN1105" s="100"/>
      <c r="CO1105" s="100"/>
      <c r="CP1105" s="100"/>
      <c r="CQ1105" s="100"/>
      <c r="CR1105" s="100"/>
      <c r="CS1105" s="100"/>
      <c r="CT1105" s="100"/>
      <c r="CU1105" s="100"/>
    </row>
    <row r="1106" spans="6:99" s="36" customFormat="1" ht="11.1" customHeight="1" x14ac:dyDescent="0.25">
      <c r="F1106" s="33"/>
      <c r="G1106" s="33"/>
      <c r="H1106" s="33"/>
      <c r="I1106" s="34"/>
      <c r="J1106" s="34"/>
      <c r="K1106" s="14"/>
      <c r="L1106" s="32"/>
      <c r="M1106" s="14"/>
      <c r="N1106" s="14"/>
      <c r="O1106" s="2"/>
      <c r="P1106"/>
      <c r="Q1106" s="2"/>
      <c r="R1106"/>
      <c r="S1106"/>
      <c r="T1106"/>
      <c r="U1106" s="2"/>
      <c r="V1106" s="2"/>
      <c r="W1106" s="2"/>
      <c r="X1106" s="2"/>
      <c r="Y1106" s="2"/>
      <c r="Z1106" s="11"/>
      <c r="AA1106" s="15"/>
      <c r="AB1106" s="15"/>
      <c r="AC1106" s="15"/>
      <c r="AD1106" s="35"/>
      <c r="AE1106" s="99"/>
      <c r="AF1106" s="99"/>
      <c r="AG1106" s="35"/>
      <c r="AH1106" s="35"/>
      <c r="AI1106" s="35"/>
      <c r="AJ1106" s="1"/>
      <c r="AK1106" s="1"/>
      <c r="AL1106" s="1"/>
      <c r="AM1106" s="1"/>
      <c r="AN1106" s="1"/>
      <c r="AO1106" s="1"/>
      <c r="AP1106"/>
      <c r="AQ1106"/>
      <c r="AR1106"/>
      <c r="AS1106"/>
      <c r="AT1106" s="50"/>
      <c r="AU1106" s="97"/>
      <c r="AV1106" s="97"/>
      <c r="AW1106" s="97"/>
      <c r="AX1106" s="97"/>
      <c r="AY1106" s="97"/>
      <c r="BD1106" s="35"/>
      <c r="BE1106" s="35"/>
      <c r="BV1106" s="98"/>
      <c r="BW1106" s="98"/>
      <c r="BX1106" s="98"/>
      <c r="BY1106" s="112"/>
      <c r="BZ1106" s="112"/>
      <c r="CA1106" s="112"/>
      <c r="CB1106" s="98"/>
      <c r="CC1106" s="98"/>
      <c r="CD1106" s="98"/>
      <c r="CE1106" s="98"/>
      <c r="CG1106" s="100"/>
      <c r="CH1106" s="100"/>
      <c r="CI1106" s="100"/>
      <c r="CJ1106" s="100"/>
      <c r="CK1106" s="100"/>
      <c r="CL1106" s="100"/>
      <c r="CM1106" s="100"/>
      <c r="CN1106" s="100"/>
      <c r="CO1106" s="100"/>
      <c r="CP1106" s="100"/>
      <c r="CQ1106" s="100"/>
      <c r="CR1106" s="100"/>
      <c r="CS1106" s="100"/>
      <c r="CT1106" s="100"/>
      <c r="CU1106" s="100"/>
    </row>
    <row r="1107" spans="6:99" s="36" customFormat="1" ht="11.1" customHeight="1" x14ac:dyDescent="0.25">
      <c r="F1107" s="33"/>
      <c r="G1107" s="33"/>
      <c r="H1107" s="33"/>
      <c r="I1107" s="34"/>
      <c r="J1107" s="34"/>
      <c r="K1107" s="14"/>
      <c r="L1107" s="32"/>
      <c r="M1107" s="14"/>
      <c r="N1107" s="14"/>
      <c r="O1107" s="2"/>
      <c r="P1107"/>
      <c r="Q1107" s="2"/>
      <c r="R1107"/>
      <c r="S1107"/>
      <c r="T1107"/>
      <c r="U1107" s="2"/>
      <c r="V1107" s="2"/>
      <c r="W1107" s="2"/>
      <c r="X1107" s="2"/>
      <c r="Y1107" s="2"/>
      <c r="Z1107" s="11"/>
      <c r="AA1107" s="15"/>
      <c r="AB1107" s="15"/>
      <c r="AC1107" s="15"/>
      <c r="AD1107" s="35"/>
      <c r="AE1107" s="99"/>
      <c r="AF1107" s="99"/>
      <c r="AG1107" s="35"/>
      <c r="AH1107" s="35"/>
      <c r="AI1107" s="35"/>
      <c r="AJ1107" s="1"/>
      <c r="AK1107" s="1"/>
      <c r="AL1107" s="1"/>
      <c r="AM1107" s="1"/>
      <c r="AN1107" s="1"/>
      <c r="AO1107" s="1"/>
      <c r="AP1107"/>
      <c r="AQ1107"/>
      <c r="AR1107"/>
      <c r="AS1107"/>
      <c r="AT1107" s="50"/>
      <c r="AU1107" s="97"/>
      <c r="AV1107" s="97"/>
      <c r="AW1107" s="97"/>
      <c r="AX1107" s="97"/>
      <c r="AY1107" s="97"/>
      <c r="BD1107" s="35"/>
      <c r="BE1107" s="35"/>
      <c r="BV1107" s="98"/>
      <c r="BW1107" s="98"/>
      <c r="BX1107" s="98"/>
      <c r="BY1107" s="112"/>
      <c r="BZ1107" s="112"/>
      <c r="CA1107" s="112"/>
      <c r="CB1107" s="98"/>
      <c r="CC1107" s="98"/>
      <c r="CD1107" s="98"/>
      <c r="CE1107" s="98"/>
      <c r="CG1107" s="100"/>
      <c r="CH1107" s="100"/>
      <c r="CI1107" s="100"/>
      <c r="CJ1107" s="100"/>
      <c r="CK1107" s="100"/>
      <c r="CL1107" s="100"/>
      <c r="CM1107" s="100"/>
      <c r="CN1107" s="100"/>
      <c r="CO1107" s="100"/>
      <c r="CP1107" s="100"/>
      <c r="CQ1107" s="100"/>
      <c r="CR1107" s="100"/>
      <c r="CS1107" s="100"/>
      <c r="CT1107" s="100"/>
      <c r="CU1107" s="100"/>
    </row>
    <row r="1108" spans="6:99" s="36" customFormat="1" ht="11.1" customHeight="1" x14ac:dyDescent="0.25">
      <c r="F1108" s="33"/>
      <c r="G1108" s="33"/>
      <c r="H1108" s="33"/>
      <c r="I1108" s="34"/>
      <c r="J1108" s="34"/>
      <c r="K1108" s="14"/>
      <c r="L1108" s="32"/>
      <c r="M1108" s="14"/>
      <c r="N1108" s="14"/>
      <c r="O1108" s="2"/>
      <c r="P1108"/>
      <c r="Q1108" s="2"/>
      <c r="R1108"/>
      <c r="S1108"/>
      <c r="T1108"/>
      <c r="U1108" s="2"/>
      <c r="V1108" s="2"/>
      <c r="W1108" s="2"/>
      <c r="X1108" s="2"/>
      <c r="Y1108" s="2"/>
      <c r="Z1108" s="11"/>
      <c r="AA1108" s="15"/>
      <c r="AB1108" s="15"/>
      <c r="AC1108" s="15"/>
      <c r="AD1108" s="35"/>
      <c r="AE1108" s="99"/>
      <c r="AF1108" s="99"/>
      <c r="AG1108" s="35"/>
      <c r="AH1108" s="35"/>
      <c r="AI1108" s="35"/>
      <c r="AJ1108" s="1"/>
      <c r="AK1108" s="1"/>
      <c r="AL1108" s="1"/>
      <c r="AM1108" s="1"/>
      <c r="AN1108" s="1"/>
      <c r="AO1108" s="1"/>
      <c r="AP1108"/>
      <c r="AQ1108"/>
      <c r="AR1108"/>
      <c r="AS1108"/>
      <c r="AT1108" s="50"/>
      <c r="AU1108" s="97"/>
      <c r="AV1108" s="97"/>
      <c r="AW1108" s="97"/>
      <c r="AX1108" s="97"/>
      <c r="AY1108" s="97"/>
      <c r="BD1108" s="35"/>
      <c r="BE1108" s="35"/>
      <c r="BV1108" s="98"/>
      <c r="BW1108" s="98"/>
      <c r="BX1108" s="98"/>
      <c r="BY1108" s="112"/>
      <c r="BZ1108" s="112"/>
      <c r="CA1108" s="112"/>
      <c r="CB1108" s="98"/>
      <c r="CC1108" s="98"/>
      <c r="CD1108" s="98"/>
      <c r="CE1108" s="98"/>
      <c r="CG1108" s="100"/>
      <c r="CH1108" s="100"/>
      <c r="CI1108" s="100"/>
      <c r="CJ1108" s="100"/>
      <c r="CK1108" s="100"/>
      <c r="CL1108" s="100"/>
      <c r="CM1108" s="100"/>
      <c r="CN1108" s="100"/>
      <c r="CO1108" s="100"/>
      <c r="CP1108" s="100"/>
      <c r="CQ1108" s="100"/>
      <c r="CR1108" s="100"/>
      <c r="CS1108" s="100"/>
      <c r="CT1108" s="100"/>
      <c r="CU1108" s="100"/>
    </row>
    <row r="1109" spans="6:99" s="36" customFormat="1" ht="11.1" customHeight="1" x14ac:dyDescent="0.25">
      <c r="F1109" s="33"/>
      <c r="G1109" s="33"/>
      <c r="H1109" s="33"/>
      <c r="I1109" s="34"/>
      <c r="J1109" s="34"/>
      <c r="K1109" s="14"/>
      <c r="L1109" s="32"/>
      <c r="M1109" s="14"/>
      <c r="N1109" s="14"/>
      <c r="O1109" s="2"/>
      <c r="P1109"/>
      <c r="Q1109" s="2"/>
      <c r="R1109"/>
      <c r="S1109"/>
      <c r="T1109"/>
      <c r="U1109" s="2"/>
      <c r="V1109" s="2"/>
      <c r="W1109" s="2"/>
      <c r="X1109" s="2"/>
      <c r="Y1109" s="2"/>
      <c r="Z1109" s="11"/>
      <c r="AA1109" s="15"/>
      <c r="AB1109" s="15"/>
      <c r="AC1109" s="15"/>
      <c r="AD1109" s="35"/>
      <c r="AE1109" s="99"/>
      <c r="AF1109" s="99"/>
      <c r="AG1109" s="35"/>
      <c r="AH1109" s="35"/>
      <c r="AI1109" s="35"/>
      <c r="AJ1109" s="1"/>
      <c r="AK1109" s="1"/>
      <c r="AL1109" s="1"/>
      <c r="AM1109" s="1"/>
      <c r="AN1109" s="1"/>
      <c r="AO1109" s="1"/>
      <c r="AP1109"/>
      <c r="AQ1109"/>
      <c r="AR1109"/>
      <c r="AS1109"/>
      <c r="AT1109" s="50"/>
      <c r="AU1109" s="97"/>
      <c r="AV1109" s="97"/>
      <c r="AW1109" s="97"/>
      <c r="AX1109" s="97"/>
      <c r="AY1109" s="97"/>
      <c r="BD1109" s="35"/>
      <c r="BE1109" s="35"/>
      <c r="BV1109" s="98"/>
      <c r="BW1109" s="98"/>
      <c r="BX1109" s="98"/>
      <c r="BY1109" s="112"/>
      <c r="BZ1109" s="112"/>
      <c r="CA1109" s="112"/>
      <c r="CB1109" s="98"/>
      <c r="CC1109" s="98"/>
      <c r="CD1109" s="98"/>
      <c r="CE1109" s="98"/>
      <c r="CG1109" s="100"/>
      <c r="CH1109" s="100"/>
      <c r="CI1109" s="100"/>
      <c r="CJ1109" s="100"/>
      <c r="CK1109" s="100"/>
      <c r="CL1109" s="100"/>
      <c r="CM1109" s="100"/>
      <c r="CN1109" s="100"/>
      <c r="CO1109" s="100"/>
      <c r="CP1109" s="100"/>
      <c r="CQ1109" s="100"/>
      <c r="CR1109" s="100"/>
      <c r="CS1109" s="100"/>
      <c r="CT1109" s="100"/>
      <c r="CU1109" s="100"/>
    </row>
    <row r="1110" spans="6:99" s="36" customFormat="1" ht="11.1" customHeight="1" x14ac:dyDescent="0.25">
      <c r="F1110" s="33"/>
      <c r="G1110" s="33"/>
      <c r="H1110" s="33"/>
      <c r="I1110" s="34"/>
      <c r="J1110" s="34"/>
      <c r="K1110" s="14"/>
      <c r="L1110" s="32"/>
      <c r="M1110" s="14"/>
      <c r="N1110" s="14"/>
      <c r="O1110" s="2"/>
      <c r="P1110"/>
      <c r="Q1110" s="2"/>
      <c r="R1110"/>
      <c r="S1110"/>
      <c r="T1110"/>
      <c r="U1110" s="2"/>
      <c r="V1110" s="2"/>
      <c r="W1110" s="2"/>
      <c r="X1110" s="2"/>
      <c r="Y1110" s="2"/>
      <c r="Z1110" s="11"/>
      <c r="AA1110" s="15"/>
      <c r="AB1110" s="15"/>
      <c r="AC1110" s="15"/>
      <c r="AD1110" s="35"/>
      <c r="AE1110" s="99"/>
      <c r="AF1110" s="99"/>
      <c r="AG1110" s="35"/>
      <c r="AH1110" s="35"/>
      <c r="AI1110" s="35"/>
      <c r="AJ1110" s="1"/>
      <c r="AK1110" s="1"/>
      <c r="AL1110" s="1"/>
      <c r="AM1110" s="1"/>
      <c r="AN1110" s="1"/>
      <c r="AO1110" s="1"/>
      <c r="AP1110"/>
      <c r="AQ1110"/>
      <c r="AR1110"/>
      <c r="AS1110"/>
      <c r="AT1110" s="50"/>
      <c r="AU1110" s="97"/>
      <c r="AV1110" s="97"/>
      <c r="AW1110" s="97"/>
      <c r="AX1110" s="97"/>
      <c r="AY1110" s="97"/>
      <c r="BD1110" s="35"/>
      <c r="BE1110" s="35"/>
      <c r="BV1110" s="98"/>
      <c r="BW1110" s="98"/>
      <c r="BX1110" s="98"/>
      <c r="BY1110" s="112"/>
      <c r="BZ1110" s="112"/>
      <c r="CA1110" s="112"/>
      <c r="CB1110" s="98"/>
      <c r="CC1110" s="98"/>
      <c r="CD1110" s="98"/>
      <c r="CE1110" s="98"/>
      <c r="CG1110" s="100"/>
      <c r="CH1110" s="100"/>
      <c r="CI1110" s="100"/>
      <c r="CJ1110" s="100"/>
      <c r="CK1110" s="100"/>
      <c r="CL1110" s="100"/>
      <c r="CM1110" s="100"/>
      <c r="CN1110" s="100"/>
      <c r="CO1110" s="100"/>
      <c r="CP1110" s="100"/>
      <c r="CQ1110" s="100"/>
      <c r="CR1110" s="100"/>
      <c r="CS1110" s="100"/>
      <c r="CT1110" s="100"/>
      <c r="CU1110" s="100"/>
    </row>
    <row r="1111" spans="6:99" s="36" customFormat="1" ht="11.1" customHeight="1" x14ac:dyDescent="0.25">
      <c r="F1111" s="33"/>
      <c r="G1111" s="33"/>
      <c r="H1111" s="33"/>
      <c r="I1111" s="34"/>
      <c r="J1111" s="34"/>
      <c r="K1111" s="14"/>
      <c r="L1111" s="32"/>
      <c r="M1111" s="14"/>
      <c r="N1111" s="14"/>
      <c r="O1111" s="2"/>
      <c r="P1111"/>
      <c r="Q1111" s="2"/>
      <c r="R1111"/>
      <c r="S1111"/>
      <c r="T1111"/>
      <c r="U1111" s="2"/>
      <c r="V1111" s="2"/>
      <c r="W1111" s="2"/>
      <c r="X1111" s="2"/>
      <c r="Y1111" s="2"/>
      <c r="Z1111" s="11"/>
      <c r="AA1111" s="15"/>
      <c r="AB1111" s="15"/>
      <c r="AC1111" s="15"/>
      <c r="AD1111" s="35"/>
      <c r="AE1111" s="99"/>
      <c r="AF1111" s="99"/>
      <c r="AG1111" s="35"/>
      <c r="AH1111" s="35"/>
      <c r="AI1111" s="35"/>
      <c r="AJ1111" s="1"/>
      <c r="AK1111" s="1"/>
      <c r="AL1111" s="1"/>
      <c r="AM1111" s="1"/>
      <c r="AN1111" s="1"/>
      <c r="AO1111" s="1"/>
      <c r="AP1111"/>
      <c r="AQ1111"/>
      <c r="AR1111"/>
      <c r="AS1111"/>
      <c r="AT1111" s="50"/>
      <c r="AU1111" s="97"/>
      <c r="AV1111" s="97"/>
      <c r="AW1111" s="97"/>
      <c r="AX1111" s="97"/>
      <c r="AY1111" s="97"/>
      <c r="BD1111" s="35"/>
      <c r="BE1111" s="35"/>
      <c r="BV1111" s="98"/>
      <c r="BW1111" s="98"/>
      <c r="BX1111" s="98"/>
      <c r="BY1111" s="112"/>
      <c r="BZ1111" s="112"/>
      <c r="CA1111" s="112"/>
      <c r="CB1111" s="98"/>
      <c r="CC1111" s="98"/>
      <c r="CD1111" s="98"/>
      <c r="CE1111" s="98"/>
      <c r="CG1111" s="100"/>
      <c r="CH1111" s="100"/>
      <c r="CI1111" s="100"/>
      <c r="CJ1111" s="100"/>
      <c r="CK1111" s="100"/>
      <c r="CL1111" s="100"/>
      <c r="CM1111" s="100"/>
      <c r="CN1111" s="100"/>
      <c r="CO1111" s="100"/>
      <c r="CP1111" s="100"/>
      <c r="CQ1111" s="100"/>
      <c r="CR1111" s="100"/>
      <c r="CS1111" s="100"/>
      <c r="CT1111" s="100"/>
      <c r="CU1111" s="100"/>
    </row>
    <row r="1112" spans="6:99" s="36" customFormat="1" ht="11.1" customHeight="1" x14ac:dyDescent="0.25">
      <c r="F1112" s="33"/>
      <c r="G1112" s="33"/>
      <c r="H1112" s="33"/>
      <c r="I1112" s="34"/>
      <c r="J1112" s="34"/>
      <c r="K1112" s="14"/>
      <c r="L1112" s="32"/>
      <c r="M1112" s="14"/>
      <c r="N1112" s="14"/>
      <c r="O1112" s="2"/>
      <c r="P1112"/>
      <c r="Q1112" s="2"/>
      <c r="R1112"/>
      <c r="S1112"/>
      <c r="T1112"/>
      <c r="U1112" s="2"/>
      <c r="V1112" s="2"/>
      <c r="W1112" s="2"/>
      <c r="X1112" s="2"/>
      <c r="Y1112" s="2"/>
      <c r="Z1112" s="11"/>
      <c r="AA1112" s="15"/>
      <c r="AB1112" s="15"/>
      <c r="AC1112" s="15"/>
      <c r="AD1112" s="35"/>
      <c r="AE1112" s="99"/>
      <c r="AF1112" s="99"/>
      <c r="AG1112" s="35"/>
      <c r="AH1112" s="35"/>
      <c r="AI1112" s="35"/>
      <c r="AJ1112" s="1"/>
      <c r="AK1112" s="1"/>
      <c r="AL1112" s="1"/>
      <c r="AM1112" s="1"/>
      <c r="AN1112" s="1"/>
      <c r="AO1112" s="1"/>
      <c r="AP1112"/>
      <c r="AQ1112"/>
      <c r="AR1112"/>
      <c r="AS1112"/>
      <c r="AT1112" s="50"/>
      <c r="AU1112" s="97"/>
      <c r="AV1112" s="97"/>
      <c r="AW1112" s="97"/>
      <c r="AX1112" s="97"/>
      <c r="AY1112" s="97"/>
      <c r="BD1112" s="35"/>
      <c r="BE1112" s="35"/>
      <c r="BV1112" s="98"/>
      <c r="BW1112" s="98"/>
      <c r="BX1112" s="98"/>
      <c r="BY1112" s="112"/>
      <c r="BZ1112" s="112"/>
      <c r="CA1112" s="112"/>
      <c r="CB1112" s="98"/>
      <c r="CC1112" s="98"/>
      <c r="CD1112" s="98"/>
      <c r="CE1112" s="98"/>
      <c r="CG1112" s="100"/>
      <c r="CH1112" s="100"/>
      <c r="CI1112" s="100"/>
      <c r="CJ1112" s="100"/>
      <c r="CK1112" s="100"/>
      <c r="CL1112" s="100"/>
      <c r="CM1112" s="100"/>
      <c r="CN1112" s="100"/>
      <c r="CO1112" s="100"/>
      <c r="CP1112" s="100"/>
      <c r="CQ1112" s="100"/>
      <c r="CR1112" s="100"/>
      <c r="CS1112" s="100"/>
      <c r="CT1112" s="100"/>
      <c r="CU1112" s="100"/>
    </row>
    <row r="1113" spans="6:99" s="36" customFormat="1" ht="11.1" customHeight="1" x14ac:dyDescent="0.25">
      <c r="F1113" s="33"/>
      <c r="G1113" s="33"/>
      <c r="H1113" s="33"/>
      <c r="I1113" s="34"/>
      <c r="J1113" s="34"/>
      <c r="K1113" s="14"/>
      <c r="L1113" s="32"/>
      <c r="M1113" s="14"/>
      <c r="N1113" s="14"/>
      <c r="O1113" s="2"/>
      <c r="P1113"/>
      <c r="Q1113" s="2"/>
      <c r="R1113"/>
      <c r="S1113"/>
      <c r="T1113"/>
      <c r="U1113" s="2"/>
      <c r="V1113" s="2"/>
      <c r="W1113" s="2"/>
      <c r="X1113" s="2"/>
      <c r="Y1113" s="2"/>
      <c r="Z1113" s="11"/>
      <c r="AA1113" s="15"/>
      <c r="AB1113" s="15"/>
      <c r="AC1113" s="15"/>
      <c r="AD1113" s="35"/>
      <c r="AE1113" s="99"/>
      <c r="AF1113" s="99"/>
      <c r="AG1113" s="35"/>
      <c r="AH1113" s="35"/>
      <c r="AI1113" s="35"/>
      <c r="AJ1113" s="1"/>
      <c r="AK1113" s="1"/>
      <c r="AL1113" s="1"/>
      <c r="AM1113" s="1"/>
      <c r="AN1113" s="1"/>
      <c r="AO1113" s="1"/>
      <c r="AP1113"/>
      <c r="AQ1113"/>
      <c r="AR1113"/>
      <c r="AS1113"/>
      <c r="AT1113" s="50"/>
      <c r="AU1113" s="97"/>
      <c r="AV1113" s="97"/>
      <c r="AW1113" s="97"/>
      <c r="AX1113" s="97"/>
      <c r="AY1113" s="97"/>
      <c r="BD1113" s="35"/>
      <c r="BE1113" s="35"/>
      <c r="BV1113" s="98"/>
      <c r="BW1113" s="98"/>
      <c r="BX1113" s="98"/>
      <c r="BY1113" s="112"/>
      <c r="BZ1113" s="112"/>
      <c r="CA1113" s="112"/>
      <c r="CB1113" s="98"/>
      <c r="CC1113" s="98"/>
      <c r="CD1113" s="98"/>
      <c r="CE1113" s="98"/>
      <c r="CG1113" s="100"/>
      <c r="CH1113" s="100"/>
      <c r="CI1113" s="100"/>
      <c r="CJ1113" s="100"/>
      <c r="CK1113" s="100"/>
      <c r="CL1113" s="100"/>
      <c r="CM1113" s="100"/>
      <c r="CN1113" s="100"/>
      <c r="CO1113" s="100"/>
      <c r="CP1113" s="100"/>
      <c r="CQ1113" s="100"/>
      <c r="CR1113" s="100"/>
      <c r="CS1113" s="100"/>
      <c r="CT1113" s="100"/>
      <c r="CU1113" s="100"/>
    </row>
    <row r="1114" spans="6:99" s="36" customFormat="1" ht="11.1" customHeight="1" x14ac:dyDescent="0.25">
      <c r="F1114" s="33"/>
      <c r="G1114" s="33"/>
      <c r="H1114" s="33"/>
      <c r="I1114" s="34"/>
      <c r="J1114" s="34"/>
      <c r="K1114" s="14"/>
      <c r="L1114" s="32"/>
      <c r="M1114" s="14"/>
      <c r="N1114" s="14"/>
      <c r="O1114" s="2"/>
      <c r="P1114"/>
      <c r="Q1114" s="2"/>
      <c r="R1114"/>
      <c r="S1114"/>
      <c r="T1114"/>
      <c r="U1114" s="2"/>
      <c r="V1114" s="2"/>
      <c r="W1114" s="2"/>
      <c r="X1114" s="2"/>
      <c r="Y1114" s="2"/>
      <c r="Z1114" s="11"/>
      <c r="AA1114" s="15"/>
      <c r="AB1114" s="15"/>
      <c r="AC1114" s="15"/>
      <c r="AD1114" s="35"/>
      <c r="AE1114" s="99"/>
      <c r="AF1114" s="99"/>
      <c r="AG1114" s="35"/>
      <c r="AH1114" s="35"/>
      <c r="AI1114" s="35"/>
      <c r="AJ1114" s="1"/>
      <c r="AK1114" s="1"/>
      <c r="AL1114" s="1"/>
      <c r="AM1114" s="1"/>
      <c r="AN1114" s="1"/>
      <c r="AO1114" s="1"/>
      <c r="AP1114"/>
      <c r="AQ1114"/>
      <c r="AR1114"/>
      <c r="AS1114"/>
      <c r="AT1114" s="50"/>
      <c r="AU1114" s="97"/>
      <c r="AV1114" s="97"/>
      <c r="AW1114" s="97"/>
      <c r="AX1114" s="97"/>
      <c r="AY1114" s="97"/>
      <c r="BD1114" s="35"/>
      <c r="BE1114" s="35"/>
      <c r="BV1114" s="98"/>
      <c r="BW1114" s="98"/>
      <c r="BX1114" s="98"/>
      <c r="BY1114" s="112"/>
      <c r="BZ1114" s="112"/>
      <c r="CA1114" s="112"/>
      <c r="CB1114" s="98"/>
      <c r="CC1114" s="98"/>
      <c r="CD1114" s="98"/>
      <c r="CE1114" s="98"/>
      <c r="CG1114" s="100"/>
      <c r="CH1114" s="100"/>
      <c r="CI1114" s="100"/>
      <c r="CJ1114" s="100"/>
      <c r="CK1114" s="100"/>
      <c r="CL1114" s="100"/>
      <c r="CM1114" s="100"/>
      <c r="CN1114" s="100"/>
      <c r="CO1114" s="100"/>
      <c r="CP1114" s="100"/>
      <c r="CQ1114" s="100"/>
      <c r="CR1114" s="100"/>
      <c r="CS1114" s="100"/>
      <c r="CT1114" s="100"/>
      <c r="CU1114" s="100"/>
    </row>
    <row r="1115" spans="6:99" s="36" customFormat="1" ht="11.1" customHeight="1" x14ac:dyDescent="0.25">
      <c r="F1115" s="33"/>
      <c r="G1115" s="33"/>
      <c r="H1115" s="33"/>
      <c r="I1115" s="34"/>
      <c r="J1115" s="34"/>
      <c r="K1115" s="14"/>
      <c r="L1115" s="32"/>
      <c r="M1115" s="14"/>
      <c r="N1115" s="14"/>
      <c r="O1115" s="2"/>
      <c r="P1115"/>
      <c r="Q1115" s="2"/>
      <c r="R1115"/>
      <c r="S1115"/>
      <c r="T1115"/>
      <c r="U1115" s="2"/>
      <c r="V1115" s="2"/>
      <c r="W1115" s="2"/>
      <c r="X1115" s="2"/>
      <c r="Y1115" s="2"/>
      <c r="Z1115" s="11"/>
      <c r="AA1115" s="15"/>
      <c r="AB1115" s="15"/>
      <c r="AC1115" s="15"/>
      <c r="AD1115" s="35"/>
      <c r="AE1115" s="99"/>
      <c r="AF1115" s="99"/>
      <c r="AG1115" s="35"/>
      <c r="AH1115" s="35"/>
      <c r="AI1115" s="35"/>
      <c r="AJ1115" s="1"/>
      <c r="AK1115" s="1"/>
      <c r="AL1115" s="1"/>
      <c r="AM1115" s="1"/>
      <c r="AN1115" s="1"/>
      <c r="AO1115" s="1"/>
      <c r="AP1115"/>
      <c r="AQ1115"/>
      <c r="AR1115"/>
      <c r="AS1115"/>
      <c r="AT1115" s="50"/>
      <c r="AU1115" s="97"/>
      <c r="AV1115" s="97"/>
      <c r="AW1115" s="97"/>
      <c r="AX1115" s="97"/>
      <c r="AY1115" s="97"/>
      <c r="BD1115" s="35"/>
      <c r="BE1115" s="35"/>
      <c r="BV1115" s="98"/>
      <c r="BW1115" s="98"/>
      <c r="BX1115" s="98"/>
      <c r="BY1115" s="112"/>
      <c r="BZ1115" s="112"/>
      <c r="CA1115" s="112"/>
      <c r="CB1115" s="98"/>
      <c r="CC1115" s="98"/>
      <c r="CD1115" s="98"/>
      <c r="CE1115" s="98"/>
      <c r="CG1115" s="100"/>
      <c r="CH1115" s="100"/>
      <c r="CI1115" s="100"/>
      <c r="CJ1115" s="100"/>
      <c r="CK1115" s="100"/>
      <c r="CL1115" s="100"/>
      <c r="CM1115" s="100"/>
      <c r="CN1115" s="100"/>
      <c r="CO1115" s="100"/>
      <c r="CP1115" s="100"/>
      <c r="CQ1115" s="100"/>
      <c r="CR1115" s="100"/>
      <c r="CS1115" s="100"/>
      <c r="CT1115" s="100"/>
      <c r="CU1115" s="100"/>
    </row>
    <row r="1116" spans="6:99" s="36" customFormat="1" ht="11.1" customHeight="1" x14ac:dyDescent="0.25">
      <c r="F1116" s="33"/>
      <c r="G1116" s="33"/>
      <c r="H1116" s="33"/>
      <c r="I1116" s="34"/>
      <c r="J1116" s="34"/>
      <c r="K1116" s="14"/>
      <c r="L1116" s="32"/>
      <c r="M1116" s="14"/>
      <c r="N1116" s="14"/>
      <c r="O1116" s="2"/>
      <c r="P1116"/>
      <c r="Q1116" s="2"/>
      <c r="R1116"/>
      <c r="S1116"/>
      <c r="T1116"/>
      <c r="U1116" s="2"/>
      <c r="V1116" s="2"/>
      <c r="W1116" s="2"/>
      <c r="X1116" s="2"/>
      <c r="Y1116" s="2"/>
      <c r="Z1116" s="11"/>
      <c r="AA1116" s="15"/>
      <c r="AB1116" s="15"/>
      <c r="AC1116" s="15"/>
      <c r="AD1116" s="35"/>
      <c r="AE1116" s="99"/>
      <c r="AF1116" s="99"/>
      <c r="AG1116" s="35"/>
      <c r="AH1116" s="35"/>
      <c r="AI1116" s="35"/>
      <c r="AJ1116" s="1"/>
      <c r="AK1116" s="1"/>
      <c r="AL1116" s="1"/>
      <c r="AM1116" s="1"/>
      <c r="AN1116" s="1"/>
      <c r="AO1116" s="1"/>
      <c r="AP1116"/>
      <c r="AQ1116"/>
      <c r="AR1116"/>
      <c r="AS1116"/>
      <c r="AT1116" s="50"/>
      <c r="AU1116" s="97"/>
      <c r="AV1116" s="97"/>
      <c r="AW1116" s="97"/>
      <c r="AX1116" s="97"/>
      <c r="AY1116" s="97"/>
      <c r="BD1116" s="35"/>
      <c r="BE1116" s="35"/>
      <c r="BV1116" s="98"/>
      <c r="BW1116" s="98"/>
      <c r="BX1116" s="98"/>
      <c r="BY1116" s="112"/>
      <c r="BZ1116" s="112"/>
      <c r="CA1116" s="112"/>
      <c r="CB1116" s="98"/>
      <c r="CC1116" s="98"/>
      <c r="CD1116" s="98"/>
      <c r="CE1116" s="98"/>
      <c r="CG1116" s="100"/>
      <c r="CH1116" s="100"/>
      <c r="CI1116" s="100"/>
      <c r="CJ1116" s="100"/>
      <c r="CK1116" s="100"/>
      <c r="CL1116" s="100"/>
      <c r="CM1116" s="100"/>
      <c r="CN1116" s="100"/>
      <c r="CO1116" s="100"/>
      <c r="CP1116" s="100"/>
      <c r="CQ1116" s="100"/>
      <c r="CR1116" s="100"/>
      <c r="CS1116" s="100"/>
      <c r="CT1116" s="100"/>
      <c r="CU1116" s="100"/>
    </row>
    <row r="1117" spans="6:99" s="36" customFormat="1" ht="11.1" customHeight="1" x14ac:dyDescent="0.25">
      <c r="F1117" s="33"/>
      <c r="G1117" s="33"/>
      <c r="H1117" s="33"/>
      <c r="I1117" s="34"/>
      <c r="J1117" s="34"/>
      <c r="K1117" s="14"/>
      <c r="L1117" s="32"/>
      <c r="M1117" s="14"/>
      <c r="N1117" s="14"/>
      <c r="O1117" s="2"/>
      <c r="P1117"/>
      <c r="Q1117" s="2"/>
      <c r="R1117"/>
      <c r="S1117"/>
      <c r="T1117"/>
      <c r="U1117" s="2"/>
      <c r="V1117" s="2"/>
      <c r="W1117" s="2"/>
      <c r="X1117" s="2"/>
      <c r="Y1117" s="2"/>
      <c r="Z1117" s="11"/>
      <c r="AA1117" s="15"/>
      <c r="AB1117" s="15"/>
      <c r="AC1117" s="15"/>
      <c r="AD1117" s="35"/>
      <c r="AE1117" s="99"/>
      <c r="AF1117" s="99"/>
      <c r="AG1117" s="35"/>
      <c r="AH1117" s="35"/>
      <c r="AI1117" s="35"/>
      <c r="AJ1117" s="1"/>
      <c r="AK1117" s="1"/>
      <c r="AL1117" s="1"/>
      <c r="AM1117" s="1"/>
      <c r="AN1117" s="1"/>
      <c r="AO1117" s="1"/>
      <c r="AP1117"/>
      <c r="AQ1117"/>
      <c r="AR1117"/>
      <c r="AS1117"/>
      <c r="AT1117" s="50"/>
      <c r="AU1117" s="97"/>
      <c r="AV1117" s="97"/>
      <c r="AW1117" s="97"/>
      <c r="AX1117" s="97"/>
      <c r="AY1117" s="97"/>
      <c r="BD1117" s="35"/>
      <c r="BE1117" s="35"/>
      <c r="BV1117" s="98"/>
      <c r="BW1117" s="98"/>
      <c r="BX1117" s="98"/>
      <c r="BY1117" s="112"/>
      <c r="BZ1117" s="112"/>
      <c r="CA1117" s="112"/>
      <c r="CB1117" s="98"/>
      <c r="CC1117" s="98"/>
      <c r="CD1117" s="98"/>
      <c r="CE1117" s="98"/>
      <c r="CG1117" s="100"/>
      <c r="CH1117" s="100"/>
      <c r="CI1117" s="100"/>
      <c r="CJ1117" s="100"/>
      <c r="CK1117" s="100"/>
      <c r="CL1117" s="100"/>
      <c r="CM1117" s="100"/>
      <c r="CN1117" s="100"/>
      <c r="CO1117" s="100"/>
      <c r="CP1117" s="100"/>
      <c r="CQ1117" s="100"/>
      <c r="CR1117" s="100"/>
      <c r="CS1117" s="100"/>
      <c r="CT1117" s="100"/>
      <c r="CU1117" s="100"/>
    </row>
    <row r="1118" spans="6:99" s="36" customFormat="1" ht="11.1" customHeight="1" x14ac:dyDescent="0.25">
      <c r="F1118" s="33"/>
      <c r="G1118" s="33"/>
      <c r="H1118" s="33"/>
      <c r="I1118" s="34"/>
      <c r="J1118" s="34"/>
      <c r="K1118" s="14"/>
      <c r="L1118" s="32"/>
      <c r="M1118" s="14"/>
      <c r="N1118" s="14"/>
      <c r="O1118" s="2"/>
      <c r="P1118"/>
      <c r="Q1118" s="2"/>
      <c r="R1118"/>
      <c r="S1118"/>
      <c r="T1118"/>
      <c r="U1118" s="2"/>
      <c r="V1118" s="2"/>
      <c r="W1118" s="2"/>
      <c r="X1118" s="2"/>
      <c r="Y1118" s="2"/>
      <c r="Z1118" s="11"/>
      <c r="AA1118" s="15"/>
      <c r="AB1118" s="15"/>
      <c r="AC1118" s="15"/>
      <c r="AD1118" s="35"/>
      <c r="AE1118" s="99"/>
      <c r="AF1118" s="99"/>
      <c r="AG1118" s="35"/>
      <c r="AH1118" s="35"/>
      <c r="AI1118" s="35"/>
      <c r="AJ1118" s="1"/>
      <c r="AK1118" s="1"/>
      <c r="AL1118" s="1"/>
      <c r="AM1118" s="1"/>
      <c r="AN1118" s="1"/>
      <c r="AO1118" s="1"/>
      <c r="AP1118"/>
      <c r="AQ1118"/>
      <c r="AR1118"/>
      <c r="AS1118"/>
      <c r="AT1118" s="50"/>
      <c r="AU1118" s="97"/>
      <c r="AV1118" s="97"/>
      <c r="AW1118" s="97"/>
      <c r="AX1118" s="97"/>
      <c r="AY1118" s="97"/>
      <c r="BD1118" s="35"/>
      <c r="BE1118" s="35"/>
      <c r="BV1118" s="98"/>
      <c r="BW1118" s="98"/>
      <c r="BX1118" s="98"/>
      <c r="BY1118" s="112"/>
      <c r="BZ1118" s="112"/>
      <c r="CA1118" s="112"/>
      <c r="CB1118" s="98"/>
      <c r="CC1118" s="98"/>
      <c r="CD1118" s="98"/>
      <c r="CE1118" s="98"/>
      <c r="CG1118" s="100"/>
      <c r="CH1118" s="100"/>
      <c r="CI1118" s="100"/>
      <c r="CJ1118" s="100"/>
      <c r="CK1118" s="100"/>
      <c r="CL1118" s="100"/>
      <c r="CM1118" s="100"/>
      <c r="CN1118" s="100"/>
      <c r="CO1118" s="100"/>
      <c r="CP1118" s="100"/>
      <c r="CQ1118" s="100"/>
      <c r="CR1118" s="100"/>
      <c r="CS1118" s="100"/>
      <c r="CT1118" s="100"/>
      <c r="CU1118" s="100"/>
    </row>
    <row r="1119" spans="6:99" s="36" customFormat="1" ht="11.1" customHeight="1" x14ac:dyDescent="0.25">
      <c r="F1119" s="33"/>
      <c r="G1119" s="33"/>
      <c r="H1119" s="33"/>
      <c r="I1119" s="34"/>
      <c r="J1119" s="34"/>
      <c r="K1119" s="14"/>
      <c r="L1119" s="32"/>
      <c r="M1119" s="14"/>
      <c r="N1119" s="14"/>
      <c r="O1119" s="2"/>
      <c r="P1119"/>
      <c r="Q1119" s="2"/>
      <c r="R1119"/>
      <c r="S1119"/>
      <c r="T1119"/>
      <c r="U1119" s="2"/>
      <c r="V1119" s="2"/>
      <c r="W1119" s="2"/>
      <c r="X1119" s="2"/>
      <c r="Y1119" s="2"/>
      <c r="Z1119" s="11"/>
      <c r="AA1119" s="15"/>
      <c r="AB1119" s="15"/>
      <c r="AC1119" s="15"/>
      <c r="AD1119" s="35"/>
      <c r="AE1119" s="99"/>
      <c r="AF1119" s="99"/>
      <c r="AG1119" s="35"/>
      <c r="AH1119" s="35"/>
      <c r="AI1119" s="35"/>
      <c r="AJ1119" s="1"/>
      <c r="AK1119" s="1"/>
      <c r="AL1119" s="1"/>
      <c r="AM1119" s="1"/>
      <c r="AN1119" s="1"/>
      <c r="AO1119" s="1"/>
      <c r="AP1119"/>
      <c r="AQ1119"/>
      <c r="AR1119"/>
      <c r="AS1119"/>
      <c r="AT1119" s="50"/>
      <c r="AU1119" s="97"/>
      <c r="AV1119" s="97"/>
      <c r="AW1119" s="97"/>
      <c r="AX1119" s="97"/>
      <c r="AY1119" s="97"/>
      <c r="BD1119" s="35"/>
      <c r="BE1119" s="35"/>
      <c r="BV1119" s="98"/>
      <c r="BW1119" s="98"/>
      <c r="BX1119" s="98"/>
      <c r="BY1119" s="112"/>
      <c r="BZ1119" s="112"/>
      <c r="CA1119" s="112"/>
      <c r="CB1119" s="98"/>
      <c r="CC1119" s="98"/>
      <c r="CD1119" s="98"/>
      <c r="CE1119" s="98"/>
      <c r="CG1119" s="100"/>
      <c r="CH1119" s="100"/>
      <c r="CI1119" s="100"/>
      <c r="CJ1119" s="100"/>
      <c r="CK1119" s="100"/>
      <c r="CL1119" s="100"/>
      <c r="CM1119" s="100"/>
      <c r="CN1119" s="100"/>
      <c r="CO1119" s="100"/>
      <c r="CP1119" s="100"/>
      <c r="CQ1119" s="100"/>
      <c r="CR1119" s="100"/>
      <c r="CS1119" s="100"/>
      <c r="CT1119" s="100"/>
      <c r="CU1119" s="100"/>
    </row>
    <row r="1120" spans="6:99" s="36" customFormat="1" ht="11.1" customHeight="1" x14ac:dyDescent="0.25">
      <c r="F1120" s="33"/>
      <c r="G1120" s="33"/>
      <c r="H1120" s="33"/>
      <c r="I1120" s="34"/>
      <c r="J1120" s="34"/>
      <c r="K1120" s="14"/>
      <c r="L1120" s="32"/>
      <c r="M1120" s="14"/>
      <c r="N1120" s="14"/>
      <c r="O1120" s="2"/>
      <c r="P1120"/>
      <c r="Q1120" s="2"/>
      <c r="R1120"/>
      <c r="S1120"/>
      <c r="T1120"/>
      <c r="U1120" s="2"/>
      <c r="V1120" s="2"/>
      <c r="W1120" s="2"/>
      <c r="X1120" s="2"/>
      <c r="Y1120" s="2"/>
      <c r="Z1120" s="11"/>
      <c r="AA1120" s="15"/>
      <c r="AB1120" s="15"/>
      <c r="AC1120" s="15"/>
      <c r="AD1120" s="35"/>
      <c r="AE1120" s="99"/>
      <c r="AF1120" s="99"/>
      <c r="AG1120" s="35"/>
      <c r="AH1120" s="35"/>
      <c r="AI1120" s="35"/>
      <c r="AJ1120" s="1"/>
      <c r="AK1120" s="1"/>
      <c r="AL1120" s="1"/>
      <c r="AM1120" s="1"/>
      <c r="AN1120" s="1"/>
      <c r="AO1120" s="1"/>
      <c r="AP1120"/>
      <c r="AQ1120"/>
      <c r="AR1120"/>
      <c r="AS1120"/>
      <c r="AT1120" s="50"/>
      <c r="AU1120" s="97"/>
      <c r="AV1120" s="97"/>
      <c r="AW1120" s="97"/>
      <c r="AX1120" s="97"/>
      <c r="AY1120" s="97"/>
      <c r="BD1120" s="35"/>
      <c r="BE1120" s="35"/>
      <c r="BV1120" s="98"/>
      <c r="BW1120" s="98"/>
      <c r="BX1120" s="98"/>
      <c r="BY1120" s="112"/>
      <c r="BZ1120" s="112"/>
      <c r="CA1120" s="112"/>
      <c r="CB1120" s="98"/>
      <c r="CC1120" s="98"/>
      <c r="CD1120" s="98"/>
      <c r="CE1120" s="98"/>
      <c r="CG1120" s="100"/>
      <c r="CH1120" s="100"/>
      <c r="CI1120" s="100"/>
      <c r="CJ1120" s="100"/>
      <c r="CK1120" s="100"/>
      <c r="CL1120" s="100"/>
      <c r="CM1120" s="100"/>
      <c r="CN1120" s="100"/>
      <c r="CO1120" s="100"/>
      <c r="CP1120" s="100"/>
      <c r="CQ1120" s="100"/>
      <c r="CR1120" s="100"/>
      <c r="CS1120" s="100"/>
      <c r="CT1120" s="100"/>
      <c r="CU1120" s="100"/>
    </row>
    <row r="1121" spans="6:99" s="36" customFormat="1" ht="11.1" customHeight="1" x14ac:dyDescent="0.25">
      <c r="F1121" s="33"/>
      <c r="G1121" s="33"/>
      <c r="H1121" s="33"/>
      <c r="I1121" s="34"/>
      <c r="J1121" s="34"/>
      <c r="K1121" s="14"/>
      <c r="L1121" s="32"/>
      <c r="M1121" s="14"/>
      <c r="N1121" s="14"/>
      <c r="O1121" s="2"/>
      <c r="P1121"/>
      <c r="Q1121" s="2"/>
      <c r="R1121"/>
      <c r="S1121"/>
      <c r="T1121"/>
      <c r="U1121" s="2"/>
      <c r="V1121" s="2"/>
      <c r="W1121" s="2"/>
      <c r="X1121" s="2"/>
      <c r="Y1121" s="2"/>
      <c r="Z1121" s="11"/>
      <c r="AA1121" s="15"/>
      <c r="AB1121" s="15"/>
      <c r="AC1121" s="15"/>
      <c r="AD1121" s="35"/>
      <c r="AE1121" s="99"/>
      <c r="AF1121" s="99"/>
      <c r="AG1121" s="35"/>
      <c r="AH1121" s="35"/>
      <c r="AI1121" s="35"/>
      <c r="AJ1121" s="1"/>
      <c r="AK1121" s="1"/>
      <c r="AL1121" s="1"/>
      <c r="AM1121" s="1"/>
      <c r="AN1121" s="1"/>
      <c r="AO1121" s="1"/>
      <c r="AP1121"/>
      <c r="AQ1121"/>
      <c r="AR1121"/>
      <c r="AS1121"/>
      <c r="AT1121" s="50"/>
      <c r="AU1121" s="97"/>
      <c r="AV1121" s="97"/>
      <c r="AW1121" s="97"/>
      <c r="AX1121" s="97"/>
      <c r="AY1121" s="97"/>
      <c r="BD1121" s="35"/>
      <c r="BE1121" s="35"/>
      <c r="BV1121" s="98"/>
      <c r="BW1121" s="98"/>
      <c r="BX1121" s="98"/>
      <c r="BY1121" s="112"/>
      <c r="BZ1121" s="112"/>
      <c r="CA1121" s="112"/>
      <c r="CB1121" s="98"/>
      <c r="CC1121" s="98"/>
      <c r="CD1121" s="98"/>
      <c r="CE1121" s="98"/>
      <c r="CG1121" s="100"/>
      <c r="CH1121" s="100"/>
      <c r="CI1121" s="100"/>
      <c r="CJ1121" s="100"/>
      <c r="CK1121" s="100"/>
      <c r="CL1121" s="100"/>
      <c r="CM1121" s="100"/>
      <c r="CN1121" s="100"/>
      <c r="CO1121" s="100"/>
      <c r="CP1121" s="100"/>
      <c r="CQ1121" s="100"/>
      <c r="CR1121" s="100"/>
      <c r="CS1121" s="100"/>
      <c r="CT1121" s="100"/>
      <c r="CU1121" s="100"/>
    </row>
    <row r="1122" spans="6:99" s="36" customFormat="1" ht="11.1" customHeight="1" x14ac:dyDescent="0.25">
      <c r="F1122" s="33"/>
      <c r="G1122" s="33"/>
      <c r="H1122" s="33"/>
      <c r="I1122" s="34"/>
      <c r="J1122" s="34"/>
      <c r="K1122" s="14"/>
      <c r="L1122" s="32"/>
      <c r="M1122" s="14"/>
      <c r="N1122" s="14"/>
      <c r="O1122" s="2"/>
      <c r="P1122"/>
      <c r="Q1122" s="2"/>
      <c r="R1122"/>
      <c r="S1122"/>
      <c r="T1122"/>
      <c r="U1122" s="2"/>
      <c r="V1122" s="2"/>
      <c r="W1122" s="2"/>
      <c r="X1122" s="2"/>
      <c r="Y1122" s="2"/>
      <c r="Z1122" s="11"/>
      <c r="AA1122" s="15"/>
      <c r="AB1122" s="15"/>
      <c r="AC1122" s="15"/>
      <c r="AD1122" s="35"/>
      <c r="AE1122" s="99"/>
      <c r="AF1122" s="99"/>
      <c r="AG1122" s="35"/>
      <c r="AH1122" s="35"/>
      <c r="AI1122" s="35"/>
      <c r="AJ1122" s="1"/>
      <c r="AK1122" s="1"/>
      <c r="AL1122" s="1"/>
      <c r="AM1122" s="1"/>
      <c r="AN1122" s="1"/>
      <c r="AO1122" s="1"/>
      <c r="AP1122"/>
      <c r="AQ1122"/>
      <c r="AR1122"/>
      <c r="AS1122"/>
      <c r="AT1122" s="50"/>
      <c r="AU1122" s="97"/>
      <c r="AV1122" s="97"/>
      <c r="AW1122" s="97"/>
      <c r="AX1122" s="97"/>
      <c r="AY1122" s="97"/>
      <c r="BD1122" s="35"/>
      <c r="BE1122" s="35"/>
      <c r="BV1122" s="98"/>
      <c r="BW1122" s="98"/>
      <c r="BX1122" s="98"/>
      <c r="BY1122" s="112"/>
      <c r="BZ1122" s="112"/>
      <c r="CA1122" s="112"/>
      <c r="CB1122" s="98"/>
      <c r="CC1122" s="98"/>
      <c r="CD1122" s="98"/>
      <c r="CE1122" s="98"/>
      <c r="CG1122" s="100"/>
      <c r="CH1122" s="100"/>
      <c r="CI1122" s="100"/>
      <c r="CJ1122" s="100"/>
      <c r="CK1122" s="100"/>
      <c r="CL1122" s="100"/>
      <c r="CM1122" s="100"/>
      <c r="CN1122" s="100"/>
      <c r="CO1122" s="100"/>
      <c r="CP1122" s="100"/>
      <c r="CQ1122" s="100"/>
      <c r="CR1122" s="100"/>
      <c r="CS1122" s="100"/>
      <c r="CT1122" s="100"/>
      <c r="CU1122" s="100"/>
    </row>
    <row r="1123" spans="6:99" s="36" customFormat="1" ht="11.1" customHeight="1" x14ac:dyDescent="0.25">
      <c r="F1123" s="33"/>
      <c r="G1123" s="33"/>
      <c r="H1123" s="33"/>
      <c r="I1123" s="34"/>
      <c r="J1123" s="34"/>
      <c r="K1123" s="14"/>
      <c r="L1123" s="32"/>
      <c r="M1123" s="14"/>
      <c r="N1123" s="14"/>
      <c r="O1123" s="2"/>
      <c r="P1123"/>
      <c r="Q1123" s="2"/>
      <c r="R1123"/>
      <c r="S1123"/>
      <c r="T1123"/>
      <c r="U1123" s="2"/>
      <c r="V1123" s="2"/>
      <c r="W1123" s="2"/>
      <c r="X1123" s="2"/>
      <c r="Y1123" s="2"/>
      <c r="Z1123" s="11"/>
      <c r="AA1123" s="15"/>
      <c r="AB1123" s="15"/>
      <c r="AC1123" s="15"/>
      <c r="AD1123" s="35"/>
      <c r="AE1123" s="99"/>
      <c r="AF1123" s="99"/>
      <c r="AG1123" s="35"/>
      <c r="AH1123" s="35"/>
      <c r="AI1123" s="35"/>
      <c r="AJ1123" s="1"/>
      <c r="AK1123" s="1"/>
      <c r="AL1123" s="1"/>
      <c r="AM1123" s="1"/>
      <c r="AN1123" s="1"/>
      <c r="AO1123" s="1"/>
      <c r="AP1123"/>
      <c r="AQ1123"/>
      <c r="AR1123"/>
      <c r="AS1123"/>
      <c r="AT1123" s="50"/>
      <c r="AU1123" s="97"/>
      <c r="AV1123" s="97"/>
      <c r="AW1123" s="97"/>
      <c r="AX1123" s="97"/>
      <c r="AY1123" s="97"/>
      <c r="BD1123" s="35"/>
      <c r="BE1123" s="35"/>
      <c r="BV1123" s="98"/>
      <c r="BW1123" s="98"/>
      <c r="BX1123" s="98"/>
      <c r="BY1123" s="112"/>
      <c r="BZ1123" s="112"/>
      <c r="CA1123" s="112"/>
      <c r="CB1123" s="98"/>
      <c r="CC1123" s="98"/>
      <c r="CD1123" s="98"/>
      <c r="CE1123" s="98"/>
      <c r="CG1123" s="100"/>
      <c r="CH1123" s="100"/>
      <c r="CI1123" s="100"/>
      <c r="CJ1123" s="100"/>
      <c r="CK1123" s="100"/>
      <c r="CL1123" s="100"/>
      <c r="CM1123" s="100"/>
      <c r="CN1123" s="100"/>
      <c r="CO1123" s="100"/>
      <c r="CP1123" s="100"/>
      <c r="CQ1123" s="100"/>
      <c r="CR1123" s="100"/>
      <c r="CS1123" s="100"/>
      <c r="CT1123" s="100"/>
      <c r="CU1123" s="100"/>
    </row>
    <row r="1124" spans="6:99" s="36" customFormat="1" ht="11.1" customHeight="1" x14ac:dyDescent="0.25">
      <c r="F1124" s="33"/>
      <c r="G1124" s="33"/>
      <c r="H1124" s="33"/>
      <c r="I1124" s="34"/>
      <c r="J1124" s="34"/>
      <c r="K1124" s="14"/>
      <c r="L1124" s="32"/>
      <c r="M1124" s="14"/>
      <c r="N1124" s="14"/>
      <c r="O1124" s="2"/>
      <c r="P1124"/>
      <c r="Q1124" s="2"/>
      <c r="R1124"/>
      <c r="S1124"/>
      <c r="T1124"/>
      <c r="U1124" s="2"/>
      <c r="V1124" s="2"/>
      <c r="W1124" s="2"/>
      <c r="X1124" s="2"/>
      <c r="Y1124" s="2"/>
      <c r="Z1124" s="11"/>
      <c r="AA1124" s="15"/>
      <c r="AB1124" s="15"/>
      <c r="AC1124" s="15"/>
      <c r="AD1124" s="35"/>
      <c r="AE1124" s="99"/>
      <c r="AF1124" s="99"/>
      <c r="AG1124" s="35"/>
      <c r="AH1124" s="35"/>
      <c r="AI1124" s="35"/>
      <c r="AJ1124" s="1"/>
      <c r="AK1124" s="1"/>
      <c r="AL1124" s="1"/>
      <c r="AM1124" s="1"/>
      <c r="AN1124" s="1"/>
      <c r="AO1124" s="1"/>
      <c r="AP1124"/>
      <c r="AQ1124"/>
      <c r="AR1124"/>
      <c r="AS1124"/>
      <c r="AT1124" s="50"/>
      <c r="AU1124" s="97"/>
      <c r="AV1124" s="97"/>
      <c r="AW1124" s="97"/>
      <c r="AX1124" s="97"/>
      <c r="AY1124" s="97"/>
      <c r="BD1124" s="35"/>
      <c r="BE1124" s="35"/>
      <c r="BV1124" s="98"/>
      <c r="BW1124" s="98"/>
      <c r="BX1124" s="98"/>
      <c r="BY1124" s="112"/>
      <c r="BZ1124" s="112"/>
      <c r="CA1124" s="112"/>
      <c r="CB1124" s="98"/>
      <c r="CC1124" s="98"/>
      <c r="CD1124" s="98"/>
      <c r="CE1124" s="98"/>
      <c r="CG1124" s="100"/>
      <c r="CH1124" s="100"/>
      <c r="CI1124" s="100"/>
      <c r="CJ1124" s="100"/>
      <c r="CK1124" s="100"/>
      <c r="CL1124" s="100"/>
      <c r="CM1124" s="100"/>
      <c r="CN1124" s="100"/>
      <c r="CO1124" s="100"/>
      <c r="CP1124" s="100"/>
      <c r="CQ1124" s="100"/>
      <c r="CR1124" s="100"/>
      <c r="CS1124" s="100"/>
      <c r="CT1124" s="100"/>
      <c r="CU1124" s="100"/>
    </row>
    <row r="1125" spans="6:99" s="36" customFormat="1" ht="11.1" customHeight="1" x14ac:dyDescent="0.25">
      <c r="F1125" s="33"/>
      <c r="G1125" s="33"/>
      <c r="H1125" s="33"/>
      <c r="I1125" s="34"/>
      <c r="J1125" s="34"/>
      <c r="K1125" s="14"/>
      <c r="L1125" s="32"/>
      <c r="M1125" s="14"/>
      <c r="N1125" s="14"/>
      <c r="O1125" s="2"/>
      <c r="P1125"/>
      <c r="Q1125" s="2"/>
      <c r="R1125"/>
      <c r="S1125"/>
      <c r="T1125"/>
      <c r="U1125" s="2"/>
      <c r="V1125" s="2"/>
      <c r="W1125" s="2"/>
      <c r="X1125" s="2"/>
      <c r="Y1125" s="2"/>
      <c r="Z1125" s="11"/>
      <c r="AA1125" s="15"/>
      <c r="AB1125" s="15"/>
      <c r="AC1125" s="15"/>
      <c r="AD1125" s="35"/>
      <c r="AE1125" s="99"/>
      <c r="AF1125" s="99"/>
      <c r="AG1125" s="35"/>
      <c r="AH1125" s="35"/>
      <c r="AI1125" s="35"/>
      <c r="AJ1125" s="1"/>
      <c r="AK1125" s="1"/>
      <c r="AL1125" s="1"/>
      <c r="AM1125" s="1"/>
      <c r="AN1125" s="1"/>
      <c r="AO1125" s="1"/>
      <c r="AP1125"/>
      <c r="AQ1125"/>
      <c r="AR1125"/>
      <c r="AS1125"/>
      <c r="AT1125" s="50"/>
      <c r="AU1125" s="97"/>
      <c r="AV1125" s="97"/>
      <c r="AW1125" s="97"/>
      <c r="AX1125" s="97"/>
      <c r="AY1125" s="97"/>
      <c r="BD1125" s="35"/>
      <c r="BE1125" s="35"/>
      <c r="BV1125" s="98"/>
      <c r="BW1125" s="98"/>
      <c r="BX1125" s="98"/>
      <c r="BY1125" s="112"/>
      <c r="BZ1125" s="112"/>
      <c r="CA1125" s="112"/>
      <c r="CB1125" s="98"/>
      <c r="CC1125" s="98"/>
      <c r="CD1125" s="98"/>
      <c r="CE1125" s="98"/>
      <c r="CG1125" s="100"/>
      <c r="CH1125" s="100"/>
      <c r="CI1125" s="100"/>
      <c r="CJ1125" s="100"/>
      <c r="CK1125" s="100"/>
      <c r="CL1125" s="100"/>
      <c r="CM1125" s="100"/>
      <c r="CN1125" s="100"/>
      <c r="CO1125" s="100"/>
      <c r="CP1125" s="100"/>
      <c r="CQ1125" s="100"/>
      <c r="CR1125" s="100"/>
      <c r="CS1125" s="100"/>
      <c r="CT1125" s="100"/>
      <c r="CU1125" s="100"/>
    </row>
    <row r="1126" spans="6:99" s="36" customFormat="1" ht="11.1" customHeight="1" x14ac:dyDescent="0.25">
      <c r="F1126" s="33"/>
      <c r="G1126" s="33"/>
      <c r="H1126" s="33"/>
      <c r="I1126" s="34"/>
      <c r="J1126" s="34"/>
      <c r="K1126" s="14"/>
      <c r="L1126" s="32"/>
      <c r="M1126" s="14"/>
      <c r="N1126" s="14"/>
      <c r="O1126" s="2"/>
      <c r="P1126"/>
      <c r="Q1126" s="2"/>
      <c r="R1126"/>
      <c r="S1126"/>
      <c r="T1126"/>
      <c r="U1126" s="2"/>
      <c r="V1126" s="2"/>
      <c r="W1126" s="2"/>
      <c r="X1126" s="2"/>
      <c r="Y1126" s="2"/>
      <c r="Z1126" s="11"/>
      <c r="AA1126" s="15"/>
      <c r="AB1126" s="15"/>
      <c r="AC1126" s="15"/>
      <c r="AD1126" s="35"/>
      <c r="AE1126" s="99"/>
      <c r="AF1126" s="99"/>
      <c r="AG1126" s="35"/>
      <c r="AH1126" s="35"/>
      <c r="AI1126" s="35"/>
      <c r="AJ1126" s="1"/>
      <c r="AK1126" s="1"/>
      <c r="AL1126" s="1"/>
      <c r="AM1126" s="1"/>
      <c r="AN1126" s="1"/>
      <c r="AO1126" s="1"/>
      <c r="AP1126"/>
      <c r="AQ1126"/>
      <c r="AR1126"/>
      <c r="AS1126"/>
      <c r="AT1126" s="50"/>
      <c r="AU1126" s="97"/>
      <c r="AV1126" s="97"/>
      <c r="AW1126" s="97"/>
      <c r="AX1126" s="97"/>
      <c r="AY1126" s="97"/>
      <c r="BD1126" s="35"/>
      <c r="BE1126" s="35"/>
      <c r="BV1126" s="98"/>
      <c r="BW1126" s="98"/>
      <c r="BX1126" s="98"/>
      <c r="BY1126" s="112"/>
      <c r="BZ1126" s="112"/>
      <c r="CA1126" s="112"/>
      <c r="CB1126" s="98"/>
      <c r="CC1126" s="98"/>
      <c r="CD1126" s="98"/>
      <c r="CE1126" s="98"/>
      <c r="CG1126" s="100"/>
      <c r="CH1126" s="100"/>
      <c r="CI1126" s="100"/>
      <c r="CJ1126" s="100"/>
      <c r="CK1126" s="100"/>
      <c r="CL1126" s="100"/>
      <c r="CM1126" s="100"/>
      <c r="CN1126" s="100"/>
      <c r="CO1126" s="100"/>
      <c r="CP1126" s="100"/>
      <c r="CQ1126" s="100"/>
      <c r="CR1126" s="100"/>
      <c r="CS1126" s="100"/>
      <c r="CT1126" s="100"/>
      <c r="CU1126" s="100"/>
    </row>
    <row r="1127" spans="6:99" s="36" customFormat="1" ht="11.1" customHeight="1" x14ac:dyDescent="0.25">
      <c r="F1127" s="33"/>
      <c r="G1127" s="33"/>
      <c r="H1127" s="33"/>
      <c r="I1127" s="34"/>
      <c r="J1127" s="34"/>
      <c r="K1127" s="14"/>
      <c r="L1127" s="32"/>
      <c r="M1127" s="14"/>
      <c r="N1127" s="14"/>
      <c r="O1127" s="2"/>
      <c r="P1127"/>
      <c r="Q1127" s="2"/>
      <c r="R1127"/>
      <c r="S1127"/>
      <c r="T1127"/>
      <c r="U1127" s="2"/>
      <c r="V1127" s="2"/>
      <c r="W1127" s="2"/>
      <c r="X1127" s="2"/>
      <c r="Y1127" s="2"/>
      <c r="Z1127" s="11"/>
      <c r="AA1127" s="15"/>
      <c r="AB1127" s="15"/>
      <c r="AC1127" s="15"/>
      <c r="AD1127" s="35"/>
      <c r="AE1127" s="99"/>
      <c r="AF1127" s="99"/>
      <c r="AG1127" s="35"/>
      <c r="AH1127" s="35"/>
      <c r="AI1127" s="35"/>
      <c r="AJ1127" s="1"/>
      <c r="AK1127" s="1"/>
      <c r="AL1127" s="1"/>
      <c r="AM1127" s="1"/>
      <c r="AN1127" s="1"/>
      <c r="AO1127" s="1"/>
      <c r="AP1127"/>
      <c r="AQ1127"/>
      <c r="AR1127"/>
      <c r="AS1127"/>
      <c r="AT1127" s="50"/>
      <c r="AU1127" s="97"/>
      <c r="AV1127" s="97"/>
      <c r="AW1127" s="97"/>
      <c r="AX1127" s="97"/>
      <c r="AY1127" s="97"/>
      <c r="BD1127" s="35"/>
      <c r="BE1127" s="35"/>
      <c r="BV1127" s="98"/>
      <c r="BW1127" s="98"/>
      <c r="BX1127" s="98"/>
      <c r="BY1127" s="112"/>
      <c r="BZ1127" s="112"/>
      <c r="CA1127" s="112"/>
      <c r="CB1127" s="98"/>
      <c r="CC1127" s="98"/>
      <c r="CD1127" s="98"/>
      <c r="CE1127" s="98"/>
      <c r="CG1127" s="100"/>
      <c r="CH1127" s="100"/>
      <c r="CI1127" s="100"/>
      <c r="CJ1127" s="100"/>
      <c r="CK1127" s="100"/>
      <c r="CL1127" s="100"/>
      <c r="CM1127" s="100"/>
      <c r="CN1127" s="100"/>
      <c r="CO1127" s="100"/>
      <c r="CP1127" s="100"/>
      <c r="CQ1127" s="100"/>
      <c r="CR1127" s="100"/>
      <c r="CS1127" s="100"/>
      <c r="CT1127" s="100"/>
      <c r="CU1127" s="100"/>
    </row>
    <row r="1128" spans="6:99" s="36" customFormat="1" ht="11.1" customHeight="1" x14ac:dyDescent="0.25">
      <c r="F1128" s="33"/>
      <c r="G1128" s="33"/>
      <c r="H1128" s="33"/>
      <c r="I1128" s="34"/>
      <c r="J1128" s="34"/>
      <c r="K1128" s="14"/>
      <c r="L1128" s="32"/>
      <c r="M1128" s="14"/>
      <c r="N1128" s="14"/>
      <c r="O1128" s="2"/>
      <c r="P1128"/>
      <c r="Q1128" s="2"/>
      <c r="R1128"/>
      <c r="S1128"/>
      <c r="T1128"/>
      <c r="U1128" s="2"/>
      <c r="V1128" s="2"/>
      <c r="W1128" s="2"/>
      <c r="X1128" s="2"/>
      <c r="Y1128" s="2"/>
      <c r="Z1128" s="11"/>
      <c r="AA1128" s="15"/>
      <c r="AB1128" s="15"/>
      <c r="AC1128" s="15"/>
      <c r="AD1128" s="35"/>
      <c r="AE1128" s="99"/>
      <c r="AF1128" s="99"/>
      <c r="AG1128" s="35"/>
      <c r="AH1128" s="35"/>
      <c r="AI1128" s="35"/>
      <c r="AJ1128" s="1"/>
      <c r="AK1128" s="1"/>
      <c r="AL1128" s="1"/>
      <c r="AM1128" s="1"/>
      <c r="AN1128" s="1"/>
      <c r="AO1128" s="1"/>
      <c r="AP1128"/>
      <c r="AQ1128"/>
      <c r="AR1128"/>
      <c r="AS1128"/>
      <c r="AT1128" s="50"/>
      <c r="AU1128" s="97"/>
      <c r="AV1128" s="97"/>
      <c r="AW1128" s="97"/>
      <c r="AX1128" s="97"/>
      <c r="AY1128" s="97"/>
      <c r="BD1128" s="35"/>
      <c r="BE1128" s="35"/>
      <c r="BV1128" s="98"/>
      <c r="BW1128" s="98"/>
      <c r="BX1128" s="98"/>
      <c r="BY1128" s="112"/>
      <c r="BZ1128" s="112"/>
      <c r="CA1128" s="112"/>
      <c r="CB1128" s="98"/>
      <c r="CC1128" s="98"/>
      <c r="CD1128" s="98"/>
      <c r="CE1128" s="98"/>
      <c r="CG1128" s="100"/>
      <c r="CH1128" s="100"/>
      <c r="CI1128" s="100"/>
      <c r="CJ1128" s="100"/>
      <c r="CK1128" s="100"/>
      <c r="CL1128" s="100"/>
      <c r="CM1128" s="100"/>
      <c r="CN1128" s="100"/>
      <c r="CO1128" s="100"/>
      <c r="CP1128" s="100"/>
      <c r="CQ1128" s="100"/>
      <c r="CR1128" s="100"/>
      <c r="CS1128" s="100"/>
      <c r="CT1128" s="100"/>
      <c r="CU1128" s="100"/>
    </row>
    <row r="1129" spans="6:99" s="36" customFormat="1" ht="11.1" customHeight="1" x14ac:dyDescent="0.25">
      <c r="F1129" s="33"/>
      <c r="G1129" s="33"/>
      <c r="H1129" s="33"/>
      <c r="I1129" s="34"/>
      <c r="J1129" s="34"/>
      <c r="K1129" s="14"/>
      <c r="L1129" s="32"/>
      <c r="M1129" s="14"/>
      <c r="N1129" s="14"/>
      <c r="O1129" s="2"/>
      <c r="P1129"/>
      <c r="Q1129" s="2"/>
      <c r="R1129"/>
      <c r="S1129"/>
      <c r="T1129"/>
      <c r="U1129" s="2"/>
      <c r="V1129" s="2"/>
      <c r="W1129" s="2"/>
      <c r="X1129" s="2"/>
      <c r="Y1129" s="2"/>
      <c r="Z1129" s="11"/>
      <c r="AA1129" s="15"/>
      <c r="AB1129" s="15"/>
      <c r="AC1129" s="15"/>
      <c r="AD1129" s="35"/>
      <c r="AE1129" s="99"/>
      <c r="AF1129" s="99"/>
      <c r="AG1129" s="35"/>
      <c r="AH1129" s="35"/>
      <c r="AI1129" s="35"/>
      <c r="AJ1129" s="1"/>
      <c r="AK1129" s="1"/>
      <c r="AL1129" s="1"/>
      <c r="AM1129" s="1"/>
      <c r="AN1129" s="1"/>
      <c r="AO1129" s="1"/>
      <c r="AP1129"/>
      <c r="AQ1129"/>
      <c r="AR1129"/>
      <c r="AS1129"/>
      <c r="AT1129" s="50"/>
      <c r="AU1129" s="97"/>
      <c r="AV1129" s="97"/>
      <c r="AW1129" s="97"/>
      <c r="AX1129" s="97"/>
      <c r="AY1129" s="97"/>
      <c r="BD1129" s="35"/>
      <c r="BE1129" s="35"/>
      <c r="BV1129" s="98"/>
      <c r="BW1129" s="98"/>
      <c r="BX1129" s="98"/>
      <c r="BY1129" s="112"/>
      <c r="BZ1129" s="112"/>
      <c r="CA1129" s="112"/>
      <c r="CB1129" s="98"/>
      <c r="CC1129" s="98"/>
      <c r="CD1129" s="98"/>
      <c r="CE1129" s="98"/>
      <c r="CG1129" s="100"/>
      <c r="CH1129" s="100"/>
      <c r="CI1129" s="100"/>
      <c r="CJ1129" s="100"/>
      <c r="CK1129" s="100"/>
      <c r="CL1129" s="100"/>
      <c r="CM1129" s="100"/>
      <c r="CN1129" s="100"/>
      <c r="CO1129" s="100"/>
      <c r="CP1129" s="100"/>
      <c r="CQ1129" s="100"/>
      <c r="CR1129" s="100"/>
      <c r="CS1129" s="100"/>
      <c r="CT1129" s="100"/>
      <c r="CU1129" s="100"/>
    </row>
    <row r="1130" spans="6:99" s="36" customFormat="1" ht="11.1" customHeight="1" x14ac:dyDescent="0.25">
      <c r="F1130" s="33"/>
      <c r="G1130" s="33"/>
      <c r="H1130" s="33"/>
      <c r="I1130" s="34"/>
      <c r="J1130" s="34"/>
      <c r="K1130" s="14"/>
      <c r="L1130" s="32"/>
      <c r="M1130" s="14"/>
      <c r="N1130" s="14"/>
      <c r="O1130" s="2"/>
      <c r="P1130"/>
      <c r="Q1130" s="2"/>
      <c r="R1130"/>
      <c r="S1130"/>
      <c r="T1130"/>
      <c r="U1130" s="2"/>
      <c r="V1130" s="2"/>
      <c r="W1130" s="2"/>
      <c r="X1130" s="2"/>
      <c r="Y1130" s="2"/>
      <c r="Z1130" s="11"/>
      <c r="AA1130" s="15"/>
      <c r="AB1130" s="15"/>
      <c r="AC1130" s="15"/>
      <c r="AD1130" s="35"/>
      <c r="AE1130" s="99"/>
      <c r="AF1130" s="99"/>
      <c r="AG1130" s="35"/>
      <c r="AH1130" s="35"/>
      <c r="AI1130" s="35"/>
      <c r="AJ1130" s="1"/>
      <c r="AK1130" s="1"/>
      <c r="AL1130" s="1"/>
      <c r="AM1130" s="1"/>
      <c r="AN1130" s="1"/>
      <c r="AO1130" s="1"/>
      <c r="AP1130"/>
      <c r="AQ1130"/>
      <c r="AR1130"/>
      <c r="AS1130"/>
      <c r="AT1130" s="50"/>
      <c r="AU1130" s="97"/>
      <c r="AV1130" s="97"/>
      <c r="AW1130" s="97"/>
      <c r="AX1130" s="97"/>
      <c r="AY1130" s="97"/>
      <c r="BD1130" s="35"/>
      <c r="BE1130" s="35"/>
      <c r="BV1130" s="98"/>
      <c r="BW1130" s="98"/>
      <c r="BX1130" s="98"/>
      <c r="BY1130" s="112"/>
      <c r="BZ1130" s="112"/>
      <c r="CA1130" s="112"/>
      <c r="CB1130" s="98"/>
      <c r="CC1130" s="98"/>
      <c r="CD1130" s="98"/>
      <c r="CE1130" s="98"/>
      <c r="CG1130" s="100"/>
      <c r="CH1130" s="100"/>
      <c r="CI1130" s="100"/>
      <c r="CJ1130" s="100"/>
      <c r="CK1130" s="100"/>
      <c r="CL1130" s="100"/>
      <c r="CM1130" s="100"/>
      <c r="CN1130" s="100"/>
      <c r="CO1130" s="100"/>
      <c r="CP1130" s="100"/>
      <c r="CQ1130" s="100"/>
      <c r="CR1130" s="100"/>
      <c r="CS1130" s="100"/>
      <c r="CT1130" s="100"/>
      <c r="CU1130" s="100"/>
    </row>
    <row r="1131" spans="6:99" s="36" customFormat="1" ht="11.1" customHeight="1" x14ac:dyDescent="0.25">
      <c r="F1131" s="33"/>
      <c r="G1131" s="33"/>
      <c r="H1131" s="33"/>
      <c r="I1131" s="34"/>
      <c r="J1131" s="34"/>
      <c r="K1131" s="14"/>
      <c r="L1131" s="32"/>
      <c r="M1131" s="14"/>
      <c r="N1131" s="14"/>
      <c r="O1131" s="2"/>
      <c r="P1131"/>
      <c r="Q1131" s="2"/>
      <c r="R1131"/>
      <c r="S1131"/>
      <c r="T1131"/>
      <c r="U1131" s="2"/>
      <c r="V1131" s="2"/>
      <c r="W1131" s="2"/>
      <c r="X1131" s="2"/>
      <c r="Y1131" s="2"/>
      <c r="Z1131" s="11"/>
      <c r="AA1131" s="15"/>
      <c r="AB1131" s="15"/>
      <c r="AC1131" s="15"/>
      <c r="AD1131" s="35"/>
      <c r="AE1131" s="99"/>
      <c r="AF1131" s="99"/>
      <c r="AG1131" s="35"/>
      <c r="AH1131" s="35"/>
      <c r="AI1131" s="35"/>
      <c r="AJ1131" s="1"/>
      <c r="AK1131" s="1"/>
      <c r="AL1131" s="1"/>
      <c r="AM1131" s="1"/>
      <c r="AN1131" s="1"/>
      <c r="AO1131" s="1"/>
      <c r="AP1131"/>
      <c r="AQ1131"/>
      <c r="AR1131"/>
      <c r="AS1131"/>
      <c r="AT1131" s="50"/>
      <c r="AU1131" s="97"/>
      <c r="AV1131" s="97"/>
      <c r="AW1131" s="97"/>
      <c r="AX1131" s="97"/>
      <c r="AY1131" s="97"/>
      <c r="BD1131" s="35"/>
      <c r="BE1131" s="35"/>
      <c r="BV1131" s="98"/>
      <c r="BW1131" s="98"/>
      <c r="BX1131" s="98"/>
      <c r="BY1131" s="112"/>
      <c r="BZ1131" s="112"/>
      <c r="CA1131" s="112"/>
      <c r="CB1131" s="98"/>
      <c r="CC1131" s="98"/>
      <c r="CD1131" s="98"/>
      <c r="CE1131" s="98"/>
      <c r="CG1131" s="100"/>
      <c r="CH1131" s="100"/>
      <c r="CI1131" s="100"/>
      <c r="CJ1131" s="100"/>
      <c r="CK1131" s="100"/>
      <c r="CL1131" s="100"/>
      <c r="CM1131" s="100"/>
      <c r="CN1131" s="100"/>
      <c r="CO1131" s="100"/>
      <c r="CP1131" s="100"/>
      <c r="CQ1131" s="100"/>
      <c r="CR1131" s="100"/>
      <c r="CS1131" s="100"/>
      <c r="CT1131" s="100"/>
      <c r="CU1131" s="100"/>
    </row>
    <row r="1132" spans="6:99" s="36" customFormat="1" ht="11.1" customHeight="1" x14ac:dyDescent="0.25">
      <c r="F1132" s="33"/>
      <c r="G1132" s="33"/>
      <c r="H1132" s="33"/>
      <c r="I1132" s="34"/>
      <c r="J1132" s="34"/>
      <c r="K1132" s="14"/>
      <c r="L1132" s="32"/>
      <c r="M1132" s="14"/>
      <c r="N1132" s="14"/>
      <c r="O1132" s="2"/>
      <c r="P1132"/>
      <c r="Q1132" s="2"/>
      <c r="R1132"/>
      <c r="S1132"/>
      <c r="T1132"/>
      <c r="U1132" s="2"/>
      <c r="V1132" s="2"/>
      <c r="W1132" s="2"/>
      <c r="X1132" s="2"/>
      <c r="Y1132" s="2"/>
      <c r="Z1132" s="11"/>
      <c r="AA1132" s="15"/>
      <c r="AB1132" s="15"/>
      <c r="AC1132" s="15"/>
      <c r="AD1132" s="35"/>
      <c r="AE1132" s="99"/>
      <c r="AF1132" s="99"/>
      <c r="AG1132" s="35"/>
      <c r="AH1132" s="35"/>
      <c r="AI1132" s="35"/>
      <c r="AJ1132" s="1"/>
      <c r="AK1132" s="1"/>
      <c r="AL1132" s="1"/>
      <c r="AM1132" s="1"/>
      <c r="AN1132" s="1"/>
      <c r="AO1132" s="1"/>
      <c r="AP1132"/>
      <c r="AQ1132"/>
      <c r="AR1132"/>
      <c r="AS1132"/>
      <c r="AT1132" s="50"/>
      <c r="AU1132" s="97"/>
      <c r="AV1132" s="97"/>
      <c r="AW1132" s="97"/>
      <c r="AX1132" s="97"/>
      <c r="AY1132" s="97"/>
      <c r="BD1132" s="35"/>
      <c r="BE1132" s="35"/>
      <c r="BV1132" s="98"/>
      <c r="BW1132" s="98"/>
      <c r="BX1132" s="98"/>
      <c r="BY1132" s="112"/>
      <c r="BZ1132" s="112"/>
      <c r="CA1132" s="112"/>
      <c r="CB1132" s="98"/>
      <c r="CC1132" s="98"/>
      <c r="CD1132" s="98"/>
      <c r="CE1132" s="98"/>
      <c r="CG1132" s="100"/>
      <c r="CH1132" s="100"/>
      <c r="CI1132" s="100"/>
      <c r="CJ1132" s="100"/>
      <c r="CK1132" s="100"/>
      <c r="CL1132" s="100"/>
      <c r="CM1132" s="100"/>
      <c r="CN1132" s="100"/>
      <c r="CO1132" s="100"/>
      <c r="CP1132" s="100"/>
      <c r="CQ1132" s="100"/>
      <c r="CR1132" s="100"/>
      <c r="CS1132" s="100"/>
      <c r="CT1132" s="100"/>
      <c r="CU1132" s="100"/>
    </row>
    <row r="1133" spans="6:99" s="36" customFormat="1" ht="11.1" customHeight="1" x14ac:dyDescent="0.25">
      <c r="F1133" s="33"/>
      <c r="G1133" s="33"/>
      <c r="H1133" s="33"/>
      <c r="I1133" s="34"/>
      <c r="J1133" s="34"/>
      <c r="K1133" s="14"/>
      <c r="L1133" s="32"/>
      <c r="M1133" s="14"/>
      <c r="N1133" s="14"/>
      <c r="O1133" s="2"/>
      <c r="P1133"/>
      <c r="Q1133" s="2"/>
      <c r="R1133"/>
      <c r="S1133"/>
      <c r="T1133"/>
      <c r="U1133" s="2"/>
      <c r="V1133" s="2"/>
      <c r="W1133" s="2"/>
      <c r="X1133" s="2"/>
      <c r="Y1133" s="2"/>
      <c r="Z1133" s="11"/>
      <c r="AA1133" s="15"/>
      <c r="AB1133" s="15"/>
      <c r="AC1133" s="15"/>
      <c r="AD1133" s="35"/>
      <c r="AE1133" s="99"/>
      <c r="AF1133" s="99"/>
      <c r="AG1133" s="35"/>
      <c r="AH1133" s="35"/>
      <c r="AI1133" s="35"/>
      <c r="AJ1133" s="1"/>
      <c r="AK1133" s="1"/>
      <c r="AL1133" s="1"/>
      <c r="AM1133" s="1"/>
      <c r="AN1133" s="1"/>
      <c r="AO1133" s="1"/>
      <c r="AP1133"/>
      <c r="AQ1133"/>
      <c r="AR1133"/>
      <c r="AS1133"/>
      <c r="AT1133" s="50"/>
      <c r="AU1133" s="97"/>
      <c r="AV1133" s="97"/>
      <c r="AW1133" s="97"/>
      <c r="AX1133" s="97"/>
      <c r="AY1133" s="97"/>
      <c r="BD1133" s="35"/>
      <c r="BE1133" s="35"/>
      <c r="BV1133" s="98"/>
      <c r="BW1133" s="98"/>
      <c r="BX1133" s="98"/>
      <c r="BY1133" s="112"/>
      <c r="BZ1133" s="112"/>
      <c r="CA1133" s="112"/>
      <c r="CB1133" s="98"/>
      <c r="CC1133" s="98"/>
      <c r="CD1133" s="98"/>
      <c r="CE1133" s="98"/>
      <c r="CG1133" s="100"/>
      <c r="CH1133" s="100"/>
      <c r="CI1133" s="100"/>
      <c r="CJ1133" s="100"/>
      <c r="CK1133" s="100"/>
      <c r="CL1133" s="100"/>
      <c r="CM1133" s="100"/>
      <c r="CN1133" s="100"/>
      <c r="CO1133" s="100"/>
      <c r="CP1133" s="100"/>
      <c r="CQ1133" s="100"/>
      <c r="CR1133" s="100"/>
      <c r="CS1133" s="100"/>
      <c r="CT1133" s="100"/>
      <c r="CU1133" s="100"/>
    </row>
    <row r="1134" spans="6:99" s="36" customFormat="1" ht="11.1" customHeight="1" x14ac:dyDescent="0.25">
      <c r="F1134" s="33"/>
      <c r="G1134" s="33"/>
      <c r="H1134" s="33"/>
      <c r="I1134" s="34"/>
      <c r="J1134" s="34"/>
      <c r="K1134" s="14"/>
      <c r="L1134" s="32"/>
      <c r="M1134" s="14"/>
      <c r="N1134" s="14"/>
      <c r="O1134" s="2"/>
      <c r="P1134"/>
      <c r="Q1134" s="2"/>
      <c r="R1134"/>
      <c r="S1134"/>
      <c r="T1134"/>
      <c r="U1134" s="2"/>
      <c r="V1134" s="2"/>
      <c r="W1134" s="2"/>
      <c r="X1134" s="2"/>
      <c r="Y1134" s="2"/>
      <c r="Z1134" s="11"/>
      <c r="AA1134" s="15"/>
      <c r="AB1134" s="15"/>
      <c r="AC1134" s="15"/>
      <c r="AD1134" s="35"/>
      <c r="AE1134" s="99"/>
      <c r="AF1134" s="99"/>
      <c r="AG1134" s="35"/>
      <c r="AH1134" s="35"/>
      <c r="AI1134" s="35"/>
      <c r="AJ1134" s="1"/>
      <c r="AK1134" s="1"/>
      <c r="AL1134" s="1"/>
      <c r="AM1134" s="1"/>
      <c r="AN1134" s="1"/>
      <c r="AO1134" s="1"/>
      <c r="AP1134"/>
      <c r="AQ1134"/>
      <c r="AR1134"/>
      <c r="AS1134"/>
      <c r="AT1134" s="50"/>
      <c r="AU1134" s="97"/>
      <c r="AV1134" s="97"/>
      <c r="AW1134" s="97"/>
      <c r="AX1134" s="97"/>
      <c r="AY1134" s="97"/>
      <c r="BD1134" s="35"/>
      <c r="BE1134" s="35"/>
      <c r="BV1134" s="98"/>
      <c r="BW1134" s="98"/>
      <c r="BX1134" s="98"/>
      <c r="BY1134" s="112"/>
      <c r="BZ1134" s="112"/>
      <c r="CA1134" s="112"/>
      <c r="CB1134" s="98"/>
      <c r="CC1134" s="98"/>
      <c r="CD1134" s="98"/>
      <c r="CE1134" s="98"/>
      <c r="CG1134" s="100"/>
      <c r="CH1134" s="100"/>
      <c r="CI1134" s="100"/>
      <c r="CJ1134" s="100"/>
      <c r="CK1134" s="100"/>
      <c r="CL1134" s="100"/>
      <c r="CM1134" s="100"/>
      <c r="CN1134" s="100"/>
      <c r="CO1134" s="100"/>
      <c r="CP1134" s="100"/>
      <c r="CQ1134" s="100"/>
      <c r="CR1134" s="100"/>
      <c r="CS1134" s="100"/>
      <c r="CT1134" s="100"/>
      <c r="CU1134" s="100"/>
    </row>
    <row r="1135" spans="6:99" s="36" customFormat="1" ht="11.1" customHeight="1" x14ac:dyDescent="0.25">
      <c r="F1135" s="33"/>
      <c r="G1135" s="33"/>
      <c r="H1135" s="33"/>
      <c r="I1135" s="34"/>
      <c r="J1135" s="34"/>
      <c r="K1135" s="14"/>
      <c r="L1135" s="32"/>
      <c r="M1135" s="14"/>
      <c r="N1135" s="14"/>
      <c r="O1135" s="2"/>
      <c r="P1135"/>
      <c r="Q1135" s="2"/>
      <c r="R1135"/>
      <c r="S1135"/>
      <c r="T1135"/>
      <c r="U1135" s="2"/>
      <c r="V1135" s="2"/>
      <c r="W1135" s="2"/>
      <c r="X1135" s="2"/>
      <c r="Y1135" s="2"/>
      <c r="Z1135" s="11"/>
      <c r="AA1135" s="15"/>
      <c r="AB1135" s="15"/>
      <c r="AC1135" s="15"/>
      <c r="AD1135" s="35"/>
      <c r="AE1135" s="99"/>
      <c r="AF1135" s="99"/>
      <c r="AG1135" s="35"/>
      <c r="AH1135" s="35"/>
      <c r="AI1135" s="35"/>
      <c r="AJ1135" s="1"/>
      <c r="AK1135" s="1"/>
      <c r="AL1135" s="1"/>
      <c r="AM1135" s="1"/>
      <c r="AN1135" s="1"/>
      <c r="AO1135" s="1"/>
      <c r="AP1135"/>
      <c r="AQ1135"/>
      <c r="AR1135"/>
      <c r="AS1135"/>
      <c r="AT1135" s="50"/>
      <c r="AU1135" s="97"/>
      <c r="AV1135" s="97"/>
      <c r="AW1135" s="97"/>
      <c r="AX1135" s="97"/>
      <c r="AY1135" s="97"/>
      <c r="BD1135" s="35"/>
      <c r="BE1135" s="35"/>
      <c r="BV1135" s="98"/>
      <c r="BW1135" s="98"/>
      <c r="BX1135" s="98"/>
      <c r="BY1135" s="112"/>
      <c r="BZ1135" s="112"/>
      <c r="CA1135" s="112"/>
      <c r="CB1135" s="98"/>
      <c r="CC1135" s="98"/>
      <c r="CD1135" s="98"/>
      <c r="CE1135" s="98"/>
      <c r="CG1135" s="100"/>
      <c r="CH1135" s="100"/>
      <c r="CI1135" s="100"/>
      <c r="CJ1135" s="100"/>
      <c r="CK1135" s="100"/>
      <c r="CL1135" s="100"/>
      <c r="CM1135" s="100"/>
      <c r="CN1135" s="100"/>
      <c r="CO1135" s="100"/>
      <c r="CP1135" s="100"/>
      <c r="CQ1135" s="100"/>
      <c r="CR1135" s="100"/>
      <c r="CS1135" s="100"/>
      <c r="CT1135" s="100"/>
      <c r="CU1135" s="100"/>
    </row>
    <row r="1136" spans="6:99" s="36" customFormat="1" ht="11.1" customHeight="1" x14ac:dyDescent="0.25">
      <c r="F1136" s="33"/>
      <c r="G1136" s="33"/>
      <c r="H1136" s="33"/>
      <c r="I1136" s="34"/>
      <c r="J1136" s="34"/>
      <c r="K1136" s="14"/>
      <c r="L1136" s="32"/>
      <c r="M1136" s="14"/>
      <c r="N1136" s="14"/>
      <c r="O1136" s="2"/>
      <c r="P1136"/>
      <c r="Q1136" s="2"/>
      <c r="R1136"/>
      <c r="S1136"/>
      <c r="T1136"/>
      <c r="U1136" s="2"/>
      <c r="V1136" s="2"/>
      <c r="W1136" s="2"/>
      <c r="X1136" s="2"/>
      <c r="Y1136" s="2"/>
      <c r="Z1136" s="11"/>
      <c r="AA1136" s="15"/>
      <c r="AB1136" s="15"/>
      <c r="AC1136" s="15"/>
      <c r="AD1136" s="35"/>
      <c r="AE1136" s="99"/>
      <c r="AF1136" s="99"/>
      <c r="AG1136" s="35"/>
      <c r="AH1136" s="35"/>
      <c r="AI1136" s="35"/>
      <c r="AJ1136" s="1"/>
      <c r="AK1136" s="1"/>
      <c r="AL1136" s="1"/>
      <c r="AM1136" s="1"/>
      <c r="AN1136" s="1"/>
      <c r="AO1136" s="1"/>
      <c r="AP1136"/>
      <c r="AQ1136"/>
      <c r="AR1136"/>
      <c r="AS1136"/>
      <c r="AT1136" s="50"/>
      <c r="AU1136" s="97"/>
      <c r="AV1136" s="97"/>
      <c r="AW1136" s="97"/>
      <c r="AX1136" s="97"/>
      <c r="AY1136" s="97"/>
      <c r="BD1136" s="35"/>
      <c r="BE1136" s="35"/>
      <c r="BV1136" s="98"/>
      <c r="BW1136" s="98"/>
      <c r="BX1136" s="98"/>
      <c r="BY1136" s="112"/>
      <c r="BZ1136" s="112"/>
      <c r="CA1136" s="112"/>
      <c r="CB1136" s="98"/>
      <c r="CC1136" s="98"/>
      <c r="CD1136" s="98"/>
      <c r="CE1136" s="98"/>
      <c r="CG1136" s="100"/>
      <c r="CH1136" s="100"/>
      <c r="CI1136" s="100"/>
      <c r="CJ1136" s="100"/>
      <c r="CK1136" s="100"/>
      <c r="CL1136" s="100"/>
      <c r="CM1136" s="100"/>
      <c r="CN1136" s="100"/>
      <c r="CO1136" s="100"/>
      <c r="CP1136" s="100"/>
      <c r="CQ1136" s="100"/>
      <c r="CR1136" s="100"/>
      <c r="CS1136" s="100"/>
      <c r="CT1136" s="100"/>
      <c r="CU1136" s="100"/>
    </row>
    <row r="1137" spans="6:99" s="36" customFormat="1" ht="11.1" customHeight="1" x14ac:dyDescent="0.25">
      <c r="F1137" s="33"/>
      <c r="G1137" s="33"/>
      <c r="H1137" s="33"/>
      <c r="I1137" s="34"/>
      <c r="J1137" s="34"/>
      <c r="K1137" s="14"/>
      <c r="L1137" s="32"/>
      <c r="M1137" s="14"/>
      <c r="N1137" s="14"/>
      <c r="O1137" s="2"/>
      <c r="P1137"/>
      <c r="Q1137" s="2"/>
      <c r="R1137"/>
      <c r="S1137"/>
      <c r="T1137"/>
      <c r="U1137" s="2"/>
      <c r="V1137" s="2"/>
      <c r="W1137" s="2"/>
      <c r="X1137" s="2"/>
      <c r="Y1137" s="2"/>
      <c r="Z1137" s="11"/>
      <c r="AA1137" s="15"/>
      <c r="AB1137" s="15"/>
      <c r="AC1137" s="15"/>
      <c r="AD1137" s="35"/>
      <c r="AE1137" s="99"/>
      <c r="AF1137" s="99"/>
      <c r="AG1137" s="35"/>
      <c r="AH1137" s="35"/>
      <c r="AI1137" s="35"/>
      <c r="AJ1137" s="1"/>
      <c r="AK1137" s="1"/>
      <c r="AL1137" s="1"/>
      <c r="AM1137" s="1"/>
      <c r="AN1137" s="1"/>
      <c r="AO1137" s="1"/>
      <c r="AP1137"/>
      <c r="AQ1137"/>
      <c r="AR1137"/>
      <c r="AS1137"/>
      <c r="AT1137" s="50"/>
      <c r="AU1137" s="97"/>
      <c r="AV1137" s="97"/>
      <c r="AW1137" s="97"/>
      <c r="AX1137" s="97"/>
      <c r="AY1137" s="97"/>
      <c r="BD1137" s="35"/>
      <c r="BE1137" s="35"/>
      <c r="BV1137" s="98"/>
      <c r="BW1137" s="98"/>
      <c r="BX1137" s="98"/>
      <c r="BY1137" s="112"/>
      <c r="BZ1137" s="112"/>
      <c r="CA1137" s="112"/>
      <c r="CB1137" s="98"/>
      <c r="CC1137" s="98"/>
      <c r="CD1137" s="98"/>
      <c r="CE1137" s="98"/>
      <c r="CG1137" s="100"/>
      <c r="CH1137" s="100"/>
      <c r="CI1137" s="100"/>
      <c r="CJ1137" s="100"/>
      <c r="CK1137" s="100"/>
      <c r="CL1137" s="100"/>
      <c r="CM1137" s="100"/>
      <c r="CN1137" s="100"/>
      <c r="CO1137" s="100"/>
      <c r="CP1137" s="100"/>
      <c r="CQ1137" s="100"/>
      <c r="CR1137" s="100"/>
      <c r="CS1137" s="100"/>
      <c r="CT1137" s="100"/>
      <c r="CU1137" s="100"/>
    </row>
    <row r="1138" spans="6:99" s="36" customFormat="1" ht="11.1" customHeight="1" x14ac:dyDescent="0.25">
      <c r="F1138" s="33"/>
      <c r="G1138" s="33"/>
      <c r="H1138" s="33"/>
      <c r="I1138" s="34"/>
      <c r="J1138" s="34"/>
      <c r="K1138" s="14"/>
      <c r="L1138" s="32"/>
      <c r="M1138" s="14"/>
      <c r="N1138" s="14"/>
      <c r="O1138" s="2"/>
      <c r="P1138"/>
      <c r="Q1138" s="2"/>
      <c r="R1138"/>
      <c r="S1138"/>
      <c r="T1138"/>
      <c r="U1138" s="2"/>
      <c r="V1138" s="2"/>
      <c r="W1138" s="2"/>
      <c r="X1138" s="2"/>
      <c r="Y1138" s="2"/>
      <c r="Z1138" s="11"/>
      <c r="AA1138" s="15"/>
      <c r="AB1138" s="15"/>
      <c r="AC1138" s="15"/>
      <c r="AD1138" s="35"/>
      <c r="AE1138" s="99"/>
      <c r="AF1138" s="99"/>
      <c r="AG1138" s="35"/>
      <c r="AH1138" s="35"/>
      <c r="AI1138" s="35"/>
      <c r="AJ1138" s="1"/>
      <c r="AK1138" s="1"/>
      <c r="AL1138" s="1"/>
      <c r="AM1138" s="1"/>
      <c r="AN1138" s="1"/>
      <c r="AO1138" s="1"/>
      <c r="AP1138"/>
      <c r="AQ1138"/>
      <c r="AR1138"/>
      <c r="AS1138"/>
      <c r="AT1138" s="50"/>
      <c r="AU1138" s="97"/>
      <c r="AV1138" s="97"/>
      <c r="AW1138" s="97"/>
      <c r="AX1138" s="97"/>
      <c r="AY1138" s="97"/>
      <c r="BD1138" s="35"/>
      <c r="BE1138" s="35"/>
      <c r="BV1138" s="98"/>
      <c r="BW1138" s="98"/>
      <c r="BX1138" s="98"/>
      <c r="BY1138" s="112"/>
      <c r="BZ1138" s="112"/>
      <c r="CA1138" s="112"/>
      <c r="CB1138" s="98"/>
      <c r="CC1138" s="98"/>
      <c r="CD1138" s="98"/>
      <c r="CE1138" s="98"/>
      <c r="CG1138" s="100"/>
      <c r="CH1138" s="100"/>
      <c r="CI1138" s="100"/>
      <c r="CJ1138" s="100"/>
      <c r="CK1138" s="100"/>
      <c r="CL1138" s="100"/>
      <c r="CM1138" s="100"/>
      <c r="CN1138" s="100"/>
      <c r="CO1138" s="100"/>
      <c r="CP1138" s="100"/>
      <c r="CQ1138" s="100"/>
      <c r="CR1138" s="100"/>
      <c r="CS1138" s="100"/>
      <c r="CT1138" s="100"/>
      <c r="CU1138" s="100"/>
    </row>
    <row r="1139" spans="6:99" s="36" customFormat="1" ht="11.1" customHeight="1" x14ac:dyDescent="0.25">
      <c r="F1139" s="33"/>
      <c r="G1139" s="33"/>
      <c r="H1139" s="33"/>
      <c r="I1139" s="34"/>
      <c r="J1139" s="34"/>
      <c r="K1139" s="14"/>
      <c r="L1139" s="32"/>
      <c r="M1139" s="14"/>
      <c r="N1139" s="14"/>
      <c r="O1139" s="2"/>
      <c r="P1139"/>
      <c r="Q1139" s="2"/>
      <c r="R1139"/>
      <c r="S1139"/>
      <c r="T1139"/>
      <c r="U1139" s="2"/>
      <c r="V1139" s="2"/>
      <c r="W1139" s="2"/>
      <c r="X1139" s="2"/>
      <c r="Y1139" s="2"/>
      <c r="Z1139" s="11"/>
      <c r="AA1139" s="15"/>
      <c r="AB1139" s="15"/>
      <c r="AC1139" s="15"/>
      <c r="AD1139" s="35"/>
      <c r="AE1139" s="99"/>
      <c r="AF1139" s="99"/>
      <c r="AG1139" s="35"/>
      <c r="AH1139" s="35"/>
      <c r="AI1139" s="35"/>
      <c r="AJ1139" s="1"/>
      <c r="AK1139" s="1"/>
      <c r="AL1139" s="1"/>
      <c r="AM1139" s="1"/>
      <c r="AN1139" s="1"/>
      <c r="AO1139" s="1"/>
      <c r="AP1139"/>
      <c r="AQ1139"/>
      <c r="AR1139"/>
      <c r="AS1139"/>
      <c r="AT1139" s="50"/>
      <c r="AU1139" s="97"/>
      <c r="AV1139" s="97"/>
      <c r="AW1139" s="97"/>
      <c r="AX1139" s="97"/>
      <c r="AY1139" s="97"/>
      <c r="BD1139" s="35"/>
      <c r="BE1139" s="35"/>
      <c r="BV1139" s="98"/>
      <c r="BW1139" s="98"/>
      <c r="BX1139" s="98"/>
      <c r="BY1139" s="112"/>
      <c r="BZ1139" s="112"/>
      <c r="CA1139" s="112"/>
      <c r="CB1139" s="98"/>
      <c r="CC1139" s="98"/>
      <c r="CD1139" s="98"/>
      <c r="CE1139" s="98"/>
      <c r="CG1139" s="100"/>
      <c r="CH1139" s="100"/>
      <c r="CI1139" s="100"/>
      <c r="CJ1139" s="100"/>
      <c r="CK1139" s="100"/>
      <c r="CL1139" s="100"/>
      <c r="CM1139" s="100"/>
      <c r="CN1139" s="100"/>
      <c r="CO1139" s="100"/>
      <c r="CP1139" s="100"/>
      <c r="CQ1139" s="100"/>
      <c r="CR1139" s="100"/>
      <c r="CS1139" s="100"/>
      <c r="CT1139" s="100"/>
      <c r="CU1139" s="100"/>
    </row>
    <row r="1140" spans="6:99" s="36" customFormat="1" ht="11.1" customHeight="1" x14ac:dyDescent="0.25">
      <c r="F1140" s="33"/>
      <c r="G1140" s="33"/>
      <c r="H1140" s="33"/>
      <c r="I1140" s="34"/>
      <c r="J1140" s="34"/>
      <c r="K1140" s="14"/>
      <c r="L1140" s="32"/>
      <c r="M1140" s="14"/>
      <c r="N1140" s="14"/>
      <c r="O1140" s="2"/>
      <c r="P1140"/>
      <c r="Q1140" s="2"/>
      <c r="R1140"/>
      <c r="S1140"/>
      <c r="T1140"/>
      <c r="U1140" s="2"/>
      <c r="V1140" s="2"/>
      <c r="W1140" s="2"/>
      <c r="X1140" s="2"/>
      <c r="Y1140" s="2"/>
      <c r="Z1140" s="11"/>
      <c r="AA1140" s="15"/>
      <c r="AB1140" s="15"/>
      <c r="AC1140" s="15"/>
      <c r="AD1140" s="35"/>
      <c r="AE1140" s="99"/>
      <c r="AF1140" s="99"/>
      <c r="AG1140" s="35"/>
      <c r="AH1140" s="35"/>
      <c r="AI1140" s="35"/>
      <c r="AJ1140" s="1"/>
      <c r="AK1140" s="1"/>
      <c r="AL1140" s="1"/>
      <c r="AM1140" s="1"/>
      <c r="AN1140" s="1"/>
      <c r="AO1140" s="1"/>
      <c r="AP1140"/>
      <c r="AQ1140"/>
      <c r="AR1140"/>
      <c r="AS1140"/>
      <c r="AT1140" s="50"/>
      <c r="AU1140" s="97"/>
      <c r="AV1140" s="97"/>
      <c r="AW1140" s="97"/>
      <c r="AX1140" s="97"/>
      <c r="AY1140" s="97"/>
      <c r="BD1140" s="35"/>
      <c r="BE1140" s="35"/>
      <c r="BV1140" s="98"/>
      <c r="BW1140" s="98"/>
      <c r="BX1140" s="98"/>
      <c r="BY1140" s="112"/>
      <c r="BZ1140" s="112"/>
      <c r="CA1140" s="112"/>
      <c r="CB1140" s="98"/>
      <c r="CC1140" s="98"/>
      <c r="CD1140" s="98"/>
      <c r="CE1140" s="98"/>
      <c r="CG1140" s="100"/>
      <c r="CH1140" s="100"/>
      <c r="CI1140" s="100"/>
      <c r="CJ1140" s="100"/>
      <c r="CK1140" s="100"/>
      <c r="CL1140" s="100"/>
      <c r="CM1140" s="100"/>
      <c r="CN1140" s="100"/>
      <c r="CO1140" s="100"/>
      <c r="CP1140" s="100"/>
      <c r="CQ1140" s="100"/>
      <c r="CR1140" s="100"/>
      <c r="CS1140" s="100"/>
      <c r="CT1140" s="100"/>
      <c r="CU1140" s="100"/>
    </row>
    <row r="1141" spans="6:99" s="36" customFormat="1" ht="11.1" customHeight="1" x14ac:dyDescent="0.25">
      <c r="F1141" s="33"/>
      <c r="G1141" s="33"/>
      <c r="H1141" s="33"/>
      <c r="I1141" s="34"/>
      <c r="J1141" s="34"/>
      <c r="K1141" s="14"/>
      <c r="L1141" s="32"/>
      <c r="M1141" s="14"/>
      <c r="N1141" s="14"/>
      <c r="O1141" s="2"/>
      <c r="P1141"/>
      <c r="Q1141" s="2"/>
      <c r="R1141"/>
      <c r="S1141"/>
      <c r="T1141"/>
      <c r="U1141" s="2"/>
      <c r="V1141" s="2"/>
      <c r="W1141" s="2"/>
      <c r="X1141" s="2"/>
      <c r="Y1141" s="2"/>
      <c r="Z1141" s="11"/>
      <c r="AA1141" s="15"/>
      <c r="AB1141" s="15"/>
      <c r="AC1141" s="15"/>
      <c r="AD1141" s="35"/>
      <c r="AE1141" s="99"/>
      <c r="AF1141" s="99"/>
      <c r="AG1141" s="35"/>
      <c r="AH1141" s="35"/>
      <c r="AI1141" s="35"/>
      <c r="AJ1141" s="1"/>
      <c r="AK1141" s="1"/>
      <c r="AL1141" s="1"/>
      <c r="AM1141" s="1"/>
      <c r="AN1141" s="1"/>
      <c r="AO1141" s="1"/>
      <c r="AP1141"/>
      <c r="AQ1141"/>
      <c r="AR1141"/>
      <c r="AS1141"/>
      <c r="AT1141" s="50"/>
      <c r="AU1141" s="97"/>
      <c r="AV1141" s="97"/>
      <c r="AW1141" s="97"/>
      <c r="AX1141" s="97"/>
      <c r="AY1141" s="97"/>
      <c r="BD1141" s="35"/>
      <c r="BE1141" s="35"/>
      <c r="BV1141" s="98"/>
      <c r="BW1141" s="98"/>
      <c r="BX1141" s="98"/>
      <c r="BY1141" s="112"/>
      <c r="BZ1141" s="112"/>
      <c r="CA1141" s="112"/>
      <c r="CB1141" s="98"/>
      <c r="CC1141" s="98"/>
      <c r="CD1141" s="98"/>
      <c r="CE1141" s="98"/>
      <c r="CG1141" s="100"/>
      <c r="CH1141" s="100"/>
      <c r="CI1141" s="100"/>
      <c r="CJ1141" s="100"/>
      <c r="CK1141" s="100"/>
      <c r="CL1141" s="100"/>
      <c r="CM1141" s="100"/>
      <c r="CN1141" s="100"/>
      <c r="CO1141" s="100"/>
      <c r="CP1141" s="100"/>
      <c r="CQ1141" s="100"/>
      <c r="CR1141" s="100"/>
      <c r="CS1141" s="100"/>
      <c r="CT1141" s="100"/>
      <c r="CU1141" s="100"/>
    </row>
    <row r="1142" spans="6:99" s="36" customFormat="1" ht="11.1" customHeight="1" x14ac:dyDescent="0.25">
      <c r="F1142" s="33"/>
      <c r="G1142" s="33"/>
      <c r="H1142" s="33"/>
      <c r="I1142" s="34"/>
      <c r="J1142" s="34"/>
      <c r="K1142" s="14"/>
      <c r="L1142" s="32"/>
      <c r="M1142" s="14"/>
      <c r="N1142" s="14"/>
      <c r="O1142" s="2"/>
      <c r="P1142"/>
      <c r="Q1142" s="2"/>
      <c r="R1142"/>
      <c r="S1142"/>
      <c r="T1142"/>
      <c r="U1142" s="2"/>
      <c r="V1142" s="2"/>
      <c r="W1142" s="2"/>
      <c r="X1142" s="2"/>
      <c r="Y1142" s="2"/>
      <c r="Z1142" s="11"/>
      <c r="AA1142" s="15"/>
      <c r="AB1142" s="15"/>
      <c r="AC1142" s="15"/>
      <c r="AD1142" s="35"/>
      <c r="AE1142" s="99"/>
      <c r="AF1142" s="99"/>
      <c r="AG1142" s="35"/>
      <c r="AH1142" s="35"/>
      <c r="AI1142" s="35"/>
      <c r="AJ1142" s="1"/>
      <c r="AK1142" s="1"/>
      <c r="AL1142" s="1"/>
      <c r="AM1142" s="1"/>
      <c r="AN1142" s="1"/>
      <c r="AO1142" s="1"/>
      <c r="AP1142"/>
      <c r="AQ1142"/>
      <c r="AR1142"/>
      <c r="AS1142"/>
      <c r="AT1142" s="50"/>
      <c r="AU1142" s="97"/>
      <c r="AV1142" s="97"/>
      <c r="AW1142" s="97"/>
      <c r="AX1142" s="97"/>
      <c r="AY1142" s="97"/>
      <c r="BD1142" s="35"/>
      <c r="BE1142" s="35"/>
      <c r="BV1142" s="98"/>
      <c r="BW1142" s="98"/>
      <c r="BX1142" s="98"/>
      <c r="BY1142" s="112"/>
      <c r="BZ1142" s="112"/>
      <c r="CA1142" s="112"/>
      <c r="CB1142" s="98"/>
      <c r="CC1142" s="98"/>
      <c r="CD1142" s="98"/>
      <c r="CE1142" s="98"/>
      <c r="CG1142" s="100"/>
      <c r="CH1142" s="100"/>
      <c r="CI1142" s="100"/>
      <c r="CJ1142" s="100"/>
      <c r="CK1142" s="100"/>
      <c r="CL1142" s="100"/>
      <c r="CM1142" s="100"/>
      <c r="CN1142" s="100"/>
      <c r="CO1142" s="100"/>
      <c r="CP1142" s="100"/>
      <c r="CQ1142" s="100"/>
      <c r="CR1142" s="100"/>
      <c r="CS1142" s="100"/>
      <c r="CT1142" s="100"/>
      <c r="CU1142" s="100"/>
    </row>
    <row r="1143" spans="6:99" s="36" customFormat="1" ht="11.1" customHeight="1" x14ac:dyDescent="0.25">
      <c r="F1143" s="33"/>
      <c r="G1143" s="33"/>
      <c r="H1143" s="33"/>
      <c r="I1143" s="34"/>
      <c r="J1143" s="34"/>
      <c r="K1143" s="14"/>
      <c r="L1143" s="32"/>
      <c r="M1143" s="14"/>
      <c r="N1143" s="14"/>
      <c r="O1143" s="2"/>
      <c r="P1143"/>
      <c r="Q1143" s="2"/>
      <c r="R1143"/>
      <c r="S1143"/>
      <c r="T1143"/>
      <c r="U1143" s="2"/>
      <c r="V1143" s="2"/>
      <c r="W1143" s="2"/>
      <c r="X1143" s="2"/>
      <c r="Y1143" s="2"/>
      <c r="Z1143" s="11"/>
      <c r="AA1143" s="15"/>
      <c r="AB1143" s="15"/>
      <c r="AC1143" s="15"/>
      <c r="AD1143" s="35"/>
      <c r="AE1143" s="99"/>
      <c r="AF1143" s="99"/>
      <c r="AG1143" s="35"/>
      <c r="AH1143" s="35"/>
      <c r="AI1143" s="35"/>
      <c r="AJ1143" s="1"/>
      <c r="AK1143" s="1"/>
      <c r="AL1143" s="1"/>
      <c r="AM1143" s="1"/>
      <c r="AN1143" s="1"/>
      <c r="AO1143" s="1"/>
      <c r="AP1143"/>
      <c r="AQ1143"/>
      <c r="AR1143"/>
      <c r="AS1143"/>
      <c r="AT1143" s="50"/>
      <c r="AU1143" s="97"/>
      <c r="AV1143" s="97"/>
      <c r="AW1143" s="97"/>
      <c r="AX1143" s="97"/>
      <c r="AY1143" s="97"/>
      <c r="BD1143" s="35"/>
      <c r="BE1143" s="35"/>
      <c r="BV1143" s="98"/>
      <c r="BW1143" s="98"/>
      <c r="BX1143" s="98"/>
      <c r="BY1143" s="112"/>
      <c r="BZ1143" s="112"/>
      <c r="CA1143" s="112"/>
      <c r="CB1143" s="98"/>
      <c r="CC1143" s="98"/>
      <c r="CD1143" s="98"/>
      <c r="CE1143" s="98"/>
      <c r="CG1143" s="100"/>
      <c r="CH1143" s="100"/>
      <c r="CI1143" s="100"/>
      <c r="CJ1143" s="100"/>
      <c r="CK1143" s="100"/>
      <c r="CL1143" s="100"/>
      <c r="CM1143" s="100"/>
      <c r="CN1143" s="100"/>
      <c r="CO1143" s="100"/>
      <c r="CP1143" s="100"/>
      <c r="CQ1143" s="100"/>
      <c r="CR1143" s="100"/>
      <c r="CS1143" s="100"/>
      <c r="CT1143" s="100"/>
      <c r="CU1143" s="100"/>
    </row>
    <row r="1144" spans="6:99" s="36" customFormat="1" ht="11.1" customHeight="1" x14ac:dyDescent="0.25">
      <c r="F1144" s="33"/>
      <c r="G1144" s="33"/>
      <c r="H1144" s="33"/>
      <c r="I1144" s="34"/>
      <c r="J1144" s="34"/>
      <c r="K1144" s="14"/>
      <c r="L1144" s="32"/>
      <c r="M1144" s="14"/>
      <c r="N1144" s="14"/>
      <c r="O1144" s="2"/>
      <c r="P1144"/>
      <c r="Q1144" s="2"/>
      <c r="R1144"/>
      <c r="S1144"/>
      <c r="T1144"/>
      <c r="U1144" s="2"/>
      <c r="V1144" s="2"/>
      <c r="W1144" s="2"/>
      <c r="X1144" s="2"/>
      <c r="Y1144" s="2"/>
      <c r="Z1144" s="11"/>
      <c r="AA1144" s="15"/>
      <c r="AB1144" s="15"/>
      <c r="AC1144" s="15"/>
      <c r="AD1144" s="35"/>
      <c r="AE1144" s="99"/>
      <c r="AF1144" s="99"/>
      <c r="AG1144" s="35"/>
      <c r="AH1144" s="35"/>
      <c r="AI1144" s="35"/>
      <c r="AJ1144" s="1"/>
      <c r="AK1144" s="1"/>
      <c r="AL1144" s="1"/>
      <c r="AM1144" s="1"/>
      <c r="AN1144" s="1"/>
      <c r="AO1144" s="1"/>
      <c r="AP1144"/>
      <c r="AQ1144"/>
      <c r="AR1144"/>
      <c r="AS1144"/>
      <c r="AT1144" s="50"/>
      <c r="AU1144" s="97"/>
      <c r="AV1144" s="97"/>
      <c r="AW1144" s="97"/>
      <c r="AX1144" s="97"/>
      <c r="AY1144" s="97"/>
      <c r="BD1144" s="35"/>
      <c r="BE1144" s="35"/>
      <c r="BV1144" s="98"/>
      <c r="BW1144" s="98"/>
      <c r="BX1144" s="98"/>
      <c r="BY1144" s="112"/>
      <c r="BZ1144" s="112"/>
      <c r="CA1144" s="112"/>
      <c r="CB1144" s="98"/>
      <c r="CC1144" s="98"/>
      <c r="CD1144" s="98"/>
      <c r="CE1144" s="98"/>
      <c r="CG1144" s="100"/>
      <c r="CH1144" s="100"/>
      <c r="CI1144" s="100"/>
      <c r="CJ1144" s="100"/>
      <c r="CK1144" s="100"/>
      <c r="CL1144" s="100"/>
      <c r="CM1144" s="100"/>
      <c r="CN1144" s="100"/>
      <c r="CO1144" s="100"/>
      <c r="CP1144" s="100"/>
      <c r="CQ1144" s="100"/>
      <c r="CR1144" s="100"/>
      <c r="CS1144" s="100"/>
      <c r="CT1144" s="100"/>
      <c r="CU1144" s="100"/>
    </row>
    <row r="1145" spans="6:99" s="36" customFormat="1" ht="11.1" customHeight="1" x14ac:dyDescent="0.25">
      <c r="F1145" s="33"/>
      <c r="G1145" s="33"/>
      <c r="H1145" s="33"/>
      <c r="I1145" s="34"/>
      <c r="J1145" s="34"/>
      <c r="K1145" s="14"/>
      <c r="L1145" s="32"/>
      <c r="M1145" s="14"/>
      <c r="N1145" s="14"/>
      <c r="O1145" s="2"/>
      <c r="P1145"/>
      <c r="Q1145" s="2"/>
      <c r="R1145"/>
      <c r="S1145"/>
      <c r="T1145"/>
      <c r="U1145" s="2"/>
      <c r="V1145" s="2"/>
      <c r="W1145" s="2"/>
      <c r="X1145" s="2"/>
      <c r="Y1145" s="2"/>
      <c r="Z1145" s="11"/>
      <c r="AA1145" s="15"/>
      <c r="AB1145" s="15"/>
      <c r="AC1145" s="15"/>
      <c r="AD1145" s="35"/>
      <c r="AE1145" s="99"/>
      <c r="AF1145" s="99"/>
      <c r="AG1145" s="35"/>
      <c r="AH1145" s="35"/>
      <c r="AI1145" s="35"/>
      <c r="AJ1145" s="1"/>
      <c r="AK1145" s="1"/>
      <c r="AL1145" s="1"/>
      <c r="AM1145" s="1"/>
      <c r="AN1145" s="1"/>
      <c r="AO1145" s="1"/>
      <c r="AP1145"/>
      <c r="AQ1145"/>
      <c r="AR1145"/>
      <c r="AS1145"/>
      <c r="AT1145" s="50"/>
      <c r="AU1145" s="97"/>
      <c r="AV1145" s="97"/>
      <c r="AW1145" s="97"/>
      <c r="AX1145" s="97"/>
      <c r="AY1145" s="97"/>
      <c r="BD1145" s="35"/>
      <c r="BE1145" s="35"/>
      <c r="BV1145" s="98"/>
      <c r="BW1145" s="98"/>
      <c r="BX1145" s="98"/>
      <c r="BY1145" s="112"/>
      <c r="BZ1145" s="112"/>
      <c r="CA1145" s="112"/>
      <c r="CB1145" s="98"/>
      <c r="CC1145" s="98"/>
      <c r="CD1145" s="98"/>
      <c r="CE1145" s="98"/>
      <c r="CG1145" s="100"/>
      <c r="CH1145" s="100"/>
      <c r="CI1145" s="100"/>
      <c r="CJ1145" s="100"/>
      <c r="CK1145" s="100"/>
      <c r="CL1145" s="100"/>
      <c r="CM1145" s="100"/>
      <c r="CN1145" s="100"/>
      <c r="CO1145" s="100"/>
      <c r="CP1145" s="100"/>
      <c r="CQ1145" s="100"/>
      <c r="CR1145" s="100"/>
      <c r="CS1145" s="100"/>
      <c r="CT1145" s="100"/>
      <c r="CU1145" s="100"/>
    </row>
    <row r="1146" spans="6:99" s="36" customFormat="1" ht="11.1" customHeight="1" x14ac:dyDescent="0.25">
      <c r="F1146" s="33"/>
      <c r="G1146" s="33"/>
      <c r="H1146" s="33"/>
      <c r="I1146" s="34"/>
      <c r="J1146" s="34"/>
      <c r="K1146" s="14"/>
      <c r="L1146" s="32"/>
      <c r="M1146" s="14"/>
      <c r="N1146" s="14"/>
      <c r="O1146" s="2"/>
      <c r="P1146"/>
      <c r="Q1146" s="2"/>
      <c r="R1146"/>
      <c r="S1146"/>
      <c r="T1146"/>
      <c r="U1146" s="2"/>
      <c r="V1146" s="2"/>
      <c r="W1146" s="2"/>
      <c r="X1146" s="2"/>
      <c r="Y1146" s="2"/>
      <c r="Z1146" s="11"/>
      <c r="AA1146" s="15"/>
      <c r="AB1146" s="15"/>
      <c r="AC1146" s="15"/>
      <c r="AD1146" s="35"/>
      <c r="AE1146" s="99"/>
      <c r="AF1146" s="99"/>
      <c r="AG1146" s="35"/>
      <c r="AH1146" s="35"/>
      <c r="AI1146" s="35"/>
      <c r="AJ1146" s="1"/>
      <c r="AK1146" s="1"/>
      <c r="AL1146" s="1"/>
      <c r="AM1146" s="1"/>
      <c r="AN1146" s="1"/>
      <c r="AO1146" s="1"/>
      <c r="AP1146"/>
      <c r="AQ1146"/>
      <c r="AR1146"/>
      <c r="AS1146"/>
      <c r="AT1146" s="50"/>
      <c r="AU1146" s="97"/>
      <c r="AV1146" s="97"/>
      <c r="AW1146" s="97"/>
      <c r="AX1146" s="97"/>
      <c r="AY1146" s="97"/>
      <c r="BD1146" s="35"/>
      <c r="BE1146" s="35"/>
      <c r="BV1146" s="98"/>
      <c r="BW1146" s="98"/>
      <c r="BX1146" s="98"/>
      <c r="BY1146" s="112"/>
      <c r="BZ1146" s="112"/>
      <c r="CA1146" s="112"/>
      <c r="CB1146" s="98"/>
      <c r="CC1146" s="98"/>
      <c r="CD1146" s="98"/>
      <c r="CE1146" s="98"/>
      <c r="CG1146" s="100"/>
      <c r="CH1146" s="100"/>
      <c r="CI1146" s="100"/>
      <c r="CJ1146" s="100"/>
      <c r="CK1146" s="100"/>
      <c r="CL1146" s="100"/>
      <c r="CM1146" s="100"/>
      <c r="CN1146" s="100"/>
      <c r="CO1146" s="100"/>
      <c r="CP1146" s="100"/>
      <c r="CQ1146" s="100"/>
      <c r="CR1146" s="100"/>
      <c r="CS1146" s="100"/>
      <c r="CT1146" s="100"/>
      <c r="CU1146" s="100"/>
    </row>
    <row r="1147" spans="6:99" s="36" customFormat="1" ht="11.1" customHeight="1" x14ac:dyDescent="0.25">
      <c r="F1147" s="33"/>
      <c r="G1147" s="33"/>
      <c r="H1147" s="33"/>
      <c r="I1147" s="34"/>
      <c r="J1147" s="34"/>
      <c r="K1147" s="14"/>
      <c r="L1147" s="32"/>
      <c r="M1147" s="14"/>
      <c r="N1147" s="14"/>
      <c r="O1147" s="2"/>
      <c r="P1147"/>
      <c r="Q1147" s="2"/>
      <c r="R1147"/>
      <c r="S1147"/>
      <c r="T1147"/>
      <c r="U1147" s="2"/>
      <c r="V1147" s="2"/>
      <c r="W1147" s="2"/>
      <c r="X1147" s="2"/>
      <c r="Y1147" s="2"/>
      <c r="Z1147" s="11"/>
      <c r="AA1147" s="15"/>
      <c r="AB1147" s="15"/>
      <c r="AC1147" s="15"/>
      <c r="AD1147" s="35"/>
      <c r="AE1147" s="99"/>
      <c r="AF1147" s="99"/>
      <c r="AG1147" s="35"/>
      <c r="AH1147" s="35"/>
      <c r="AI1147" s="35"/>
      <c r="AJ1147" s="1"/>
      <c r="AK1147" s="1"/>
      <c r="AL1147" s="1"/>
      <c r="AM1147" s="1"/>
      <c r="AN1147" s="1"/>
      <c r="AO1147" s="1"/>
      <c r="AP1147"/>
      <c r="AQ1147"/>
      <c r="AR1147"/>
      <c r="AS1147"/>
      <c r="AT1147" s="50"/>
      <c r="AU1147" s="97"/>
      <c r="AV1147" s="97"/>
      <c r="AW1147" s="97"/>
      <c r="AX1147" s="97"/>
      <c r="AY1147" s="97"/>
      <c r="BD1147" s="35"/>
      <c r="BE1147" s="35"/>
      <c r="BV1147" s="98"/>
      <c r="BW1147" s="98"/>
      <c r="BX1147" s="98"/>
      <c r="BY1147" s="112"/>
      <c r="BZ1147" s="112"/>
      <c r="CA1147" s="112"/>
      <c r="CB1147" s="98"/>
      <c r="CC1147" s="98"/>
      <c r="CD1147" s="98"/>
      <c r="CE1147" s="98"/>
      <c r="CG1147" s="100"/>
      <c r="CH1147" s="100"/>
      <c r="CI1147" s="100"/>
      <c r="CJ1147" s="100"/>
      <c r="CK1147" s="100"/>
      <c r="CL1147" s="100"/>
      <c r="CM1147" s="100"/>
      <c r="CN1147" s="100"/>
      <c r="CO1147" s="100"/>
      <c r="CP1147" s="100"/>
      <c r="CQ1147" s="100"/>
      <c r="CR1147" s="100"/>
      <c r="CS1147" s="100"/>
      <c r="CT1147" s="100"/>
      <c r="CU1147" s="100"/>
    </row>
    <row r="1148" spans="6:99" s="36" customFormat="1" ht="11.1" customHeight="1" x14ac:dyDescent="0.25">
      <c r="F1148" s="33"/>
      <c r="G1148" s="33"/>
      <c r="H1148" s="33"/>
      <c r="I1148" s="34"/>
      <c r="J1148" s="34"/>
      <c r="K1148" s="14"/>
      <c r="L1148" s="32"/>
      <c r="M1148" s="14"/>
      <c r="N1148" s="14"/>
      <c r="O1148" s="2"/>
      <c r="P1148"/>
      <c r="Q1148" s="2"/>
      <c r="R1148"/>
      <c r="S1148"/>
      <c r="T1148"/>
      <c r="U1148" s="2"/>
      <c r="V1148" s="2"/>
      <c r="W1148" s="2"/>
      <c r="X1148" s="2"/>
      <c r="Y1148" s="2"/>
      <c r="Z1148" s="11"/>
      <c r="AA1148" s="15"/>
      <c r="AB1148" s="15"/>
      <c r="AC1148" s="15"/>
      <c r="AD1148" s="35"/>
      <c r="AE1148" s="99"/>
      <c r="AF1148" s="99"/>
      <c r="AG1148" s="35"/>
      <c r="AH1148" s="35"/>
      <c r="AI1148" s="35"/>
      <c r="AJ1148" s="1"/>
      <c r="AK1148" s="1"/>
      <c r="AL1148" s="1"/>
      <c r="AM1148" s="1"/>
      <c r="AN1148" s="1"/>
      <c r="AO1148" s="1"/>
      <c r="AP1148"/>
      <c r="AQ1148"/>
      <c r="AR1148"/>
      <c r="AS1148"/>
      <c r="AT1148" s="50"/>
      <c r="AU1148" s="97"/>
      <c r="AV1148" s="97"/>
      <c r="AW1148" s="97"/>
      <c r="AX1148" s="97"/>
      <c r="AY1148" s="97"/>
      <c r="BD1148" s="35"/>
      <c r="BE1148" s="35"/>
      <c r="BV1148" s="98"/>
      <c r="BW1148" s="98"/>
      <c r="BX1148" s="98"/>
      <c r="BY1148" s="112"/>
      <c r="BZ1148" s="112"/>
      <c r="CA1148" s="112"/>
      <c r="CB1148" s="98"/>
      <c r="CC1148" s="98"/>
      <c r="CD1148" s="98"/>
      <c r="CE1148" s="98"/>
      <c r="CG1148" s="100"/>
      <c r="CH1148" s="100"/>
      <c r="CI1148" s="100"/>
      <c r="CJ1148" s="100"/>
      <c r="CK1148" s="100"/>
      <c r="CL1148" s="100"/>
      <c r="CM1148" s="100"/>
      <c r="CN1148" s="100"/>
      <c r="CO1148" s="100"/>
      <c r="CP1148" s="100"/>
      <c r="CQ1148" s="100"/>
      <c r="CR1148" s="100"/>
      <c r="CS1148" s="100"/>
      <c r="CT1148" s="100"/>
      <c r="CU1148" s="100"/>
    </row>
    <row r="1149" spans="6:99" s="36" customFormat="1" ht="11.1" customHeight="1" x14ac:dyDescent="0.25">
      <c r="F1149" s="33"/>
      <c r="G1149" s="33"/>
      <c r="H1149" s="33"/>
      <c r="I1149" s="34"/>
      <c r="J1149" s="34"/>
      <c r="K1149" s="14"/>
      <c r="L1149" s="32"/>
      <c r="M1149" s="14"/>
      <c r="N1149" s="14"/>
      <c r="O1149" s="2"/>
      <c r="P1149"/>
      <c r="Q1149" s="2"/>
      <c r="R1149"/>
      <c r="S1149"/>
      <c r="T1149"/>
      <c r="U1149" s="2"/>
      <c r="V1149" s="2"/>
      <c r="W1149" s="2"/>
      <c r="X1149" s="2"/>
      <c r="Y1149" s="2"/>
      <c r="Z1149" s="11"/>
      <c r="AA1149" s="15"/>
      <c r="AB1149" s="15"/>
      <c r="AC1149" s="15"/>
      <c r="AD1149" s="35"/>
      <c r="AE1149" s="99"/>
      <c r="AF1149" s="99"/>
      <c r="AG1149" s="35"/>
      <c r="AH1149" s="35"/>
      <c r="AI1149" s="35"/>
      <c r="AJ1149" s="1"/>
      <c r="AK1149" s="1"/>
      <c r="AL1149" s="1"/>
      <c r="AM1149" s="1"/>
      <c r="AN1149" s="1"/>
      <c r="AO1149" s="1"/>
      <c r="AP1149"/>
      <c r="AQ1149"/>
      <c r="AR1149"/>
      <c r="AS1149"/>
      <c r="AT1149" s="50"/>
      <c r="AU1149" s="97"/>
      <c r="AV1149" s="97"/>
      <c r="AW1149" s="97"/>
      <c r="AX1149" s="97"/>
      <c r="AY1149" s="97"/>
      <c r="BD1149" s="35"/>
      <c r="BE1149" s="35"/>
      <c r="BV1149" s="98"/>
      <c r="BW1149" s="98"/>
      <c r="BX1149" s="98"/>
      <c r="BY1149" s="112"/>
      <c r="BZ1149" s="112"/>
      <c r="CA1149" s="112"/>
      <c r="CB1149" s="98"/>
      <c r="CC1149" s="98"/>
      <c r="CD1149" s="98"/>
      <c r="CE1149" s="98"/>
      <c r="CG1149" s="100"/>
      <c r="CH1149" s="100"/>
      <c r="CI1149" s="100"/>
      <c r="CJ1149" s="100"/>
      <c r="CK1149" s="100"/>
      <c r="CL1149" s="100"/>
      <c r="CM1149" s="100"/>
      <c r="CN1149" s="100"/>
      <c r="CO1149" s="100"/>
      <c r="CP1149" s="100"/>
      <c r="CQ1149" s="100"/>
      <c r="CR1149" s="100"/>
      <c r="CS1149" s="100"/>
      <c r="CT1149" s="100"/>
      <c r="CU1149" s="100"/>
    </row>
    <row r="1150" spans="6:99" s="36" customFormat="1" ht="11.1" customHeight="1" x14ac:dyDescent="0.25">
      <c r="F1150" s="33"/>
      <c r="G1150" s="33"/>
      <c r="H1150" s="33"/>
      <c r="I1150" s="34"/>
      <c r="J1150" s="34"/>
      <c r="K1150" s="14"/>
      <c r="L1150" s="32"/>
      <c r="M1150" s="14"/>
      <c r="N1150" s="14"/>
      <c r="O1150" s="2"/>
      <c r="P1150"/>
      <c r="Q1150" s="2"/>
      <c r="R1150"/>
      <c r="S1150"/>
      <c r="T1150"/>
      <c r="U1150" s="2"/>
      <c r="V1150" s="2"/>
      <c r="W1150" s="2"/>
      <c r="X1150" s="2"/>
      <c r="Y1150" s="2"/>
      <c r="Z1150" s="11"/>
      <c r="AA1150" s="15"/>
      <c r="AB1150" s="15"/>
      <c r="AC1150" s="15"/>
      <c r="AD1150" s="35"/>
      <c r="AE1150" s="99"/>
      <c r="AF1150" s="99"/>
      <c r="AG1150" s="35"/>
      <c r="AH1150" s="35"/>
      <c r="AI1150" s="35"/>
      <c r="AJ1150" s="1"/>
      <c r="AK1150" s="1"/>
      <c r="AL1150" s="1"/>
      <c r="AM1150" s="1"/>
      <c r="AN1150" s="1"/>
      <c r="AO1150" s="1"/>
      <c r="AP1150"/>
      <c r="AQ1150"/>
      <c r="AR1150"/>
      <c r="AS1150"/>
      <c r="AT1150" s="50"/>
      <c r="AU1150" s="97"/>
      <c r="AV1150" s="97"/>
      <c r="AW1150" s="97"/>
      <c r="AX1150" s="97"/>
      <c r="AY1150" s="97"/>
      <c r="BD1150" s="35"/>
      <c r="BE1150" s="35"/>
      <c r="BV1150" s="98"/>
      <c r="BW1150" s="98"/>
      <c r="BX1150" s="98"/>
      <c r="BY1150" s="112"/>
      <c r="BZ1150" s="112"/>
      <c r="CA1150" s="112"/>
      <c r="CB1150" s="98"/>
      <c r="CC1150" s="98"/>
      <c r="CD1150" s="98"/>
      <c r="CE1150" s="98"/>
      <c r="CG1150" s="100"/>
      <c r="CH1150" s="100"/>
      <c r="CI1150" s="100"/>
      <c r="CJ1150" s="100"/>
      <c r="CK1150" s="100"/>
      <c r="CL1150" s="100"/>
      <c r="CM1150" s="100"/>
      <c r="CN1150" s="100"/>
      <c r="CO1150" s="100"/>
      <c r="CP1150" s="100"/>
      <c r="CQ1150" s="100"/>
      <c r="CR1150" s="100"/>
      <c r="CS1150" s="100"/>
      <c r="CT1150" s="100"/>
      <c r="CU1150" s="100"/>
    </row>
    <row r="1151" spans="6:99" s="36" customFormat="1" ht="11.1" customHeight="1" x14ac:dyDescent="0.25">
      <c r="F1151" s="33"/>
      <c r="G1151" s="33"/>
      <c r="H1151" s="33"/>
      <c r="I1151" s="34"/>
      <c r="J1151" s="34"/>
      <c r="K1151" s="14"/>
      <c r="L1151" s="32"/>
      <c r="M1151" s="14"/>
      <c r="N1151" s="14"/>
      <c r="O1151" s="2"/>
      <c r="P1151"/>
      <c r="Q1151" s="2"/>
      <c r="R1151"/>
      <c r="S1151"/>
      <c r="T1151"/>
      <c r="U1151" s="2"/>
      <c r="V1151" s="2"/>
      <c r="W1151" s="2"/>
      <c r="X1151" s="2"/>
      <c r="Y1151" s="2"/>
      <c r="Z1151" s="11"/>
      <c r="AA1151" s="15"/>
      <c r="AB1151" s="15"/>
      <c r="AC1151" s="15"/>
      <c r="AD1151" s="35"/>
      <c r="AE1151" s="99"/>
      <c r="AF1151" s="99"/>
      <c r="AG1151" s="35"/>
      <c r="AH1151" s="35"/>
      <c r="AI1151" s="35"/>
      <c r="AJ1151" s="1"/>
      <c r="AK1151" s="1"/>
      <c r="AL1151" s="1"/>
      <c r="AM1151" s="1"/>
      <c r="AN1151" s="1"/>
      <c r="AO1151" s="1"/>
      <c r="AP1151"/>
      <c r="AQ1151"/>
      <c r="AR1151"/>
      <c r="AS1151"/>
      <c r="AT1151" s="50"/>
      <c r="AU1151" s="97"/>
      <c r="AV1151" s="97"/>
      <c r="AW1151" s="97"/>
      <c r="AX1151" s="97"/>
      <c r="AY1151" s="97"/>
      <c r="BD1151" s="35"/>
      <c r="BE1151" s="35"/>
      <c r="BV1151" s="98"/>
      <c r="BW1151" s="98"/>
      <c r="BX1151" s="98"/>
      <c r="BY1151" s="112"/>
      <c r="BZ1151" s="112"/>
      <c r="CA1151" s="112"/>
      <c r="CB1151" s="98"/>
      <c r="CC1151" s="98"/>
      <c r="CD1151" s="98"/>
      <c r="CE1151" s="98"/>
      <c r="CG1151" s="100"/>
      <c r="CH1151" s="100"/>
      <c r="CI1151" s="100"/>
      <c r="CJ1151" s="100"/>
      <c r="CK1151" s="100"/>
      <c r="CL1151" s="100"/>
      <c r="CM1151" s="100"/>
      <c r="CN1151" s="100"/>
      <c r="CO1151" s="100"/>
      <c r="CP1151" s="100"/>
      <c r="CQ1151" s="100"/>
      <c r="CR1151" s="100"/>
      <c r="CS1151" s="100"/>
      <c r="CT1151" s="100"/>
      <c r="CU1151" s="100"/>
    </row>
    <row r="1152" spans="6:99" s="36" customFormat="1" ht="11.1" customHeight="1" x14ac:dyDescent="0.25">
      <c r="F1152" s="33"/>
      <c r="G1152" s="33"/>
      <c r="H1152" s="33"/>
      <c r="I1152" s="34"/>
      <c r="J1152" s="34"/>
      <c r="K1152" s="14"/>
      <c r="L1152" s="32"/>
      <c r="M1152" s="14"/>
      <c r="N1152" s="14"/>
      <c r="O1152" s="2"/>
      <c r="P1152"/>
      <c r="Q1152" s="2"/>
      <c r="R1152"/>
      <c r="S1152"/>
      <c r="T1152"/>
      <c r="U1152" s="2"/>
      <c r="V1152" s="2"/>
      <c r="W1152" s="2"/>
      <c r="X1152" s="2"/>
      <c r="Y1152" s="2"/>
      <c r="Z1152" s="11"/>
      <c r="AA1152" s="15"/>
      <c r="AB1152" s="15"/>
      <c r="AC1152" s="15"/>
      <c r="AD1152" s="35"/>
      <c r="AE1152" s="99"/>
      <c r="AF1152" s="99"/>
      <c r="AG1152" s="35"/>
      <c r="AH1152" s="35"/>
      <c r="AI1152" s="35"/>
      <c r="AJ1152" s="1"/>
      <c r="AK1152" s="1"/>
      <c r="AL1152" s="1"/>
      <c r="AM1152" s="1"/>
      <c r="AN1152" s="1"/>
      <c r="AO1152" s="1"/>
      <c r="AP1152"/>
      <c r="AQ1152"/>
      <c r="AR1152"/>
      <c r="AS1152"/>
      <c r="AT1152" s="50"/>
      <c r="AU1152" s="97"/>
      <c r="AV1152" s="97"/>
      <c r="AW1152" s="97"/>
      <c r="AX1152" s="97"/>
      <c r="AY1152" s="97"/>
      <c r="BD1152" s="35"/>
      <c r="BE1152" s="35"/>
      <c r="BV1152" s="98"/>
      <c r="BW1152" s="98"/>
      <c r="BX1152" s="98"/>
      <c r="BY1152" s="112"/>
      <c r="BZ1152" s="112"/>
      <c r="CA1152" s="112"/>
      <c r="CB1152" s="98"/>
      <c r="CC1152" s="98"/>
      <c r="CD1152" s="98"/>
      <c r="CE1152" s="98"/>
      <c r="CG1152" s="100"/>
      <c r="CH1152" s="100"/>
      <c r="CI1152" s="100"/>
      <c r="CJ1152" s="100"/>
      <c r="CK1152" s="100"/>
      <c r="CL1152" s="100"/>
      <c r="CM1152" s="100"/>
      <c r="CN1152" s="100"/>
      <c r="CO1152" s="100"/>
      <c r="CP1152" s="100"/>
      <c r="CQ1152" s="100"/>
      <c r="CR1152" s="100"/>
      <c r="CS1152" s="100"/>
      <c r="CT1152" s="100"/>
      <c r="CU1152" s="100"/>
    </row>
    <row r="1153" spans="6:99" s="36" customFormat="1" ht="11.1" customHeight="1" x14ac:dyDescent="0.25">
      <c r="F1153" s="33"/>
      <c r="G1153" s="33"/>
      <c r="H1153" s="33"/>
      <c r="I1153" s="34"/>
      <c r="J1153" s="34"/>
      <c r="K1153" s="14"/>
      <c r="L1153" s="32"/>
      <c r="M1153" s="14"/>
      <c r="N1153" s="14"/>
      <c r="O1153" s="2"/>
      <c r="P1153"/>
      <c r="Q1153" s="2"/>
      <c r="R1153"/>
      <c r="S1153"/>
      <c r="T1153"/>
      <c r="U1153" s="2"/>
      <c r="V1153" s="2"/>
      <c r="W1153" s="2"/>
      <c r="X1153" s="2"/>
      <c r="Y1153" s="2"/>
      <c r="Z1153" s="11"/>
      <c r="AA1153" s="15"/>
      <c r="AB1153" s="15"/>
      <c r="AC1153" s="15"/>
      <c r="AD1153" s="35"/>
      <c r="AE1153" s="99"/>
      <c r="AF1153" s="99"/>
      <c r="AG1153" s="35"/>
      <c r="AH1153" s="35"/>
      <c r="AI1153" s="35"/>
      <c r="AJ1153" s="1"/>
      <c r="AK1153" s="1"/>
      <c r="AL1153" s="1"/>
      <c r="AM1153" s="1"/>
      <c r="AN1153" s="1"/>
      <c r="AO1153" s="1"/>
      <c r="AP1153"/>
      <c r="AQ1153"/>
      <c r="AR1153"/>
      <c r="AS1153"/>
      <c r="AT1153" s="50"/>
      <c r="AU1153" s="97"/>
      <c r="AV1153" s="97"/>
      <c r="AW1153" s="97"/>
      <c r="AX1153" s="97"/>
      <c r="AY1153" s="97"/>
      <c r="BD1153" s="35"/>
      <c r="BE1153" s="35"/>
      <c r="BV1153" s="98"/>
      <c r="BW1153" s="98"/>
      <c r="BX1153" s="98"/>
      <c r="BY1153" s="112"/>
      <c r="BZ1153" s="112"/>
      <c r="CA1153" s="112"/>
      <c r="CB1153" s="98"/>
      <c r="CC1153" s="98"/>
      <c r="CD1153" s="98"/>
      <c r="CE1153" s="98"/>
      <c r="CG1153" s="100"/>
      <c r="CH1153" s="100"/>
      <c r="CI1153" s="100"/>
      <c r="CJ1153" s="100"/>
      <c r="CK1153" s="100"/>
      <c r="CL1153" s="100"/>
      <c r="CM1153" s="100"/>
      <c r="CN1153" s="100"/>
      <c r="CO1153" s="100"/>
      <c r="CP1153" s="100"/>
      <c r="CQ1153" s="100"/>
      <c r="CR1153" s="100"/>
      <c r="CS1153" s="100"/>
      <c r="CT1153" s="100"/>
      <c r="CU1153" s="100"/>
    </row>
    <row r="1154" spans="6:99" s="36" customFormat="1" ht="11.1" customHeight="1" x14ac:dyDescent="0.25">
      <c r="F1154" s="33"/>
      <c r="G1154" s="33"/>
      <c r="H1154" s="33"/>
      <c r="I1154" s="34"/>
      <c r="J1154" s="34"/>
      <c r="K1154" s="14"/>
      <c r="L1154" s="32"/>
      <c r="M1154" s="14"/>
      <c r="N1154" s="14"/>
      <c r="O1154" s="2"/>
      <c r="P1154"/>
      <c r="Q1154" s="2"/>
      <c r="R1154"/>
      <c r="S1154"/>
      <c r="T1154"/>
      <c r="U1154" s="2"/>
      <c r="V1154" s="2"/>
      <c r="W1154" s="2"/>
      <c r="X1154" s="2"/>
      <c r="Y1154" s="2"/>
      <c r="Z1154" s="11"/>
      <c r="AA1154" s="15"/>
      <c r="AB1154" s="15"/>
      <c r="AC1154" s="15"/>
      <c r="AD1154" s="35"/>
      <c r="AE1154" s="99"/>
      <c r="AF1154" s="99"/>
      <c r="AG1154" s="35"/>
      <c r="AH1154" s="35"/>
      <c r="AI1154" s="35"/>
      <c r="AJ1154" s="1"/>
      <c r="AK1154" s="1"/>
      <c r="AL1154" s="1"/>
      <c r="AM1154" s="1"/>
      <c r="AN1154" s="1"/>
      <c r="AO1154" s="1"/>
      <c r="AP1154"/>
      <c r="AQ1154"/>
      <c r="AR1154"/>
      <c r="AS1154"/>
      <c r="AT1154" s="50"/>
      <c r="AU1154" s="97"/>
      <c r="AV1154" s="97"/>
      <c r="AW1154" s="97"/>
      <c r="AX1154" s="97"/>
      <c r="AY1154" s="97"/>
      <c r="BD1154" s="35"/>
      <c r="BE1154" s="35"/>
      <c r="BV1154" s="98"/>
      <c r="BW1154" s="98"/>
      <c r="BX1154" s="98"/>
      <c r="BY1154" s="112"/>
      <c r="BZ1154" s="112"/>
      <c r="CA1154" s="112"/>
      <c r="CB1154" s="98"/>
      <c r="CC1154" s="98"/>
      <c r="CD1154" s="98"/>
      <c r="CE1154" s="98"/>
      <c r="CG1154" s="100"/>
      <c r="CH1154" s="100"/>
      <c r="CI1154" s="100"/>
      <c r="CJ1154" s="100"/>
      <c r="CK1154" s="100"/>
      <c r="CL1154" s="100"/>
      <c r="CM1154" s="100"/>
      <c r="CN1154" s="100"/>
      <c r="CO1154" s="100"/>
      <c r="CP1154" s="100"/>
      <c r="CQ1154" s="100"/>
      <c r="CR1154" s="100"/>
      <c r="CS1154" s="100"/>
      <c r="CT1154" s="100"/>
      <c r="CU1154" s="100"/>
    </row>
    <row r="1155" spans="6:99" s="36" customFormat="1" ht="11.1" customHeight="1" x14ac:dyDescent="0.25">
      <c r="F1155" s="33"/>
      <c r="G1155" s="33"/>
      <c r="H1155" s="33"/>
      <c r="I1155" s="34"/>
      <c r="J1155" s="34"/>
      <c r="K1155" s="14"/>
      <c r="L1155" s="32"/>
      <c r="M1155" s="14"/>
      <c r="N1155" s="14"/>
      <c r="O1155" s="2"/>
      <c r="P1155"/>
      <c r="Q1155" s="2"/>
      <c r="R1155"/>
      <c r="S1155"/>
      <c r="T1155"/>
      <c r="U1155" s="2"/>
      <c r="V1155" s="2"/>
      <c r="W1155" s="2"/>
      <c r="X1155" s="2"/>
      <c r="Y1155" s="2"/>
      <c r="Z1155" s="11"/>
      <c r="AA1155" s="15"/>
      <c r="AB1155" s="15"/>
      <c r="AC1155" s="15"/>
      <c r="AD1155" s="35"/>
      <c r="AE1155" s="99"/>
      <c r="AF1155" s="99"/>
      <c r="AG1155" s="35"/>
      <c r="AH1155" s="35"/>
      <c r="AI1155" s="35"/>
      <c r="AJ1155" s="1"/>
      <c r="AK1155" s="1"/>
      <c r="AL1155" s="1"/>
      <c r="AM1155" s="1"/>
      <c r="AN1155" s="1"/>
      <c r="AO1155" s="1"/>
      <c r="AP1155"/>
      <c r="AQ1155"/>
      <c r="AR1155"/>
      <c r="AS1155"/>
      <c r="AT1155" s="50"/>
      <c r="AU1155" s="97"/>
      <c r="AV1155" s="97"/>
      <c r="AW1155" s="97"/>
      <c r="AX1155" s="97"/>
      <c r="AY1155" s="97"/>
      <c r="BD1155" s="35"/>
      <c r="BE1155" s="35"/>
      <c r="BV1155" s="98"/>
      <c r="BW1155" s="98"/>
      <c r="BX1155" s="98"/>
      <c r="BY1155" s="112"/>
      <c r="BZ1155" s="112"/>
      <c r="CA1155" s="112"/>
      <c r="CB1155" s="98"/>
      <c r="CC1155" s="98"/>
      <c r="CD1155" s="98"/>
      <c r="CE1155" s="98"/>
      <c r="CG1155" s="100"/>
      <c r="CH1155" s="100"/>
      <c r="CI1155" s="100"/>
      <c r="CJ1155" s="100"/>
      <c r="CK1155" s="100"/>
      <c r="CL1155" s="100"/>
      <c r="CM1155" s="100"/>
      <c r="CN1155" s="100"/>
      <c r="CO1155" s="100"/>
      <c r="CP1155" s="100"/>
      <c r="CQ1155" s="100"/>
      <c r="CR1155" s="100"/>
      <c r="CS1155" s="100"/>
      <c r="CT1155" s="100"/>
      <c r="CU1155" s="100"/>
    </row>
    <row r="1156" spans="6:99" s="36" customFormat="1" ht="11.1" customHeight="1" x14ac:dyDescent="0.25">
      <c r="F1156" s="33"/>
      <c r="G1156" s="33"/>
      <c r="H1156" s="33"/>
      <c r="I1156" s="34"/>
      <c r="J1156" s="34"/>
      <c r="K1156" s="14"/>
      <c r="L1156" s="32"/>
      <c r="M1156" s="14"/>
      <c r="N1156" s="14"/>
      <c r="O1156" s="2"/>
      <c r="P1156"/>
      <c r="Q1156" s="2"/>
      <c r="R1156"/>
      <c r="S1156"/>
      <c r="T1156"/>
      <c r="U1156" s="2"/>
      <c r="V1156" s="2"/>
      <c r="W1156" s="2"/>
      <c r="X1156" s="2"/>
      <c r="Y1156" s="2"/>
      <c r="Z1156" s="11"/>
      <c r="AA1156" s="15"/>
      <c r="AB1156" s="15"/>
      <c r="AC1156" s="15"/>
      <c r="AD1156" s="35"/>
      <c r="AE1156" s="99"/>
      <c r="AF1156" s="99"/>
      <c r="AG1156" s="35"/>
      <c r="AH1156" s="35"/>
      <c r="AI1156" s="35"/>
      <c r="AJ1156" s="1"/>
      <c r="AK1156" s="1"/>
      <c r="AL1156" s="1"/>
      <c r="AM1156" s="1"/>
      <c r="AN1156" s="1"/>
      <c r="AO1156" s="1"/>
      <c r="AP1156"/>
      <c r="AQ1156"/>
      <c r="AR1156"/>
      <c r="AS1156"/>
      <c r="AT1156" s="50"/>
      <c r="AU1156" s="97"/>
      <c r="AV1156" s="97"/>
      <c r="AW1156" s="97"/>
      <c r="AX1156" s="97"/>
      <c r="AY1156" s="97"/>
      <c r="BD1156" s="35"/>
      <c r="BE1156" s="35"/>
      <c r="BV1156" s="98"/>
      <c r="BW1156" s="98"/>
      <c r="BX1156" s="98"/>
      <c r="BY1156" s="112"/>
      <c r="BZ1156" s="112"/>
      <c r="CA1156" s="112"/>
      <c r="CB1156" s="98"/>
      <c r="CC1156" s="98"/>
      <c r="CD1156" s="98"/>
      <c r="CE1156" s="98"/>
      <c r="CG1156" s="100"/>
      <c r="CH1156" s="100"/>
      <c r="CI1156" s="100"/>
      <c r="CJ1156" s="100"/>
      <c r="CK1156" s="100"/>
      <c r="CL1156" s="100"/>
      <c r="CM1156" s="100"/>
      <c r="CN1156" s="100"/>
      <c r="CO1156" s="100"/>
      <c r="CP1156" s="100"/>
      <c r="CQ1156" s="100"/>
      <c r="CR1156" s="100"/>
      <c r="CS1156" s="100"/>
      <c r="CT1156" s="100"/>
      <c r="CU1156" s="100"/>
    </row>
    <row r="1157" spans="6:99" s="36" customFormat="1" ht="11.1" customHeight="1" x14ac:dyDescent="0.25">
      <c r="F1157" s="33"/>
      <c r="G1157" s="33"/>
      <c r="H1157" s="33"/>
      <c r="I1157" s="34"/>
      <c r="J1157" s="34"/>
      <c r="K1157" s="14"/>
      <c r="L1157" s="32"/>
      <c r="M1157" s="14"/>
      <c r="N1157" s="14"/>
      <c r="O1157" s="2"/>
      <c r="P1157"/>
      <c r="Q1157" s="2"/>
      <c r="R1157"/>
      <c r="S1157"/>
      <c r="T1157"/>
      <c r="U1157" s="2"/>
      <c r="V1157" s="2"/>
      <c r="W1157" s="2"/>
      <c r="X1157" s="2"/>
      <c r="Y1157" s="2"/>
      <c r="Z1157" s="11"/>
      <c r="AA1157" s="15"/>
      <c r="AB1157" s="15"/>
      <c r="AC1157" s="15"/>
      <c r="AD1157" s="35"/>
      <c r="AE1157" s="99"/>
      <c r="AF1157" s="99"/>
      <c r="AG1157" s="35"/>
      <c r="AH1157" s="35"/>
      <c r="AI1157" s="35"/>
      <c r="AJ1157" s="1"/>
      <c r="AK1157" s="1"/>
      <c r="AL1157" s="1"/>
      <c r="AM1157" s="1"/>
      <c r="AN1157" s="1"/>
      <c r="AO1157" s="1"/>
      <c r="AP1157"/>
      <c r="AQ1157"/>
      <c r="AR1157"/>
      <c r="AS1157"/>
      <c r="AT1157" s="50"/>
      <c r="AU1157" s="97"/>
      <c r="AV1157" s="97"/>
      <c r="AW1157" s="97"/>
      <c r="AX1157" s="97"/>
      <c r="AY1157" s="97"/>
      <c r="BD1157" s="35"/>
      <c r="BE1157" s="35"/>
      <c r="BV1157" s="98"/>
      <c r="BW1157" s="98"/>
      <c r="BX1157" s="98"/>
      <c r="BY1157" s="112"/>
      <c r="BZ1157" s="112"/>
      <c r="CA1157" s="112"/>
      <c r="CB1157" s="98"/>
      <c r="CC1157" s="98"/>
      <c r="CD1157" s="98"/>
      <c r="CE1157" s="98"/>
      <c r="CG1157" s="100"/>
      <c r="CH1157" s="100"/>
      <c r="CI1157" s="100"/>
      <c r="CJ1157" s="100"/>
      <c r="CK1157" s="100"/>
      <c r="CL1157" s="100"/>
      <c r="CM1157" s="100"/>
      <c r="CN1157" s="100"/>
      <c r="CO1157" s="100"/>
      <c r="CP1157" s="100"/>
      <c r="CQ1157" s="100"/>
      <c r="CR1157" s="100"/>
      <c r="CS1157" s="100"/>
      <c r="CT1157" s="100"/>
      <c r="CU1157" s="100"/>
    </row>
    <row r="1158" spans="6:99" s="36" customFormat="1" ht="11.1" customHeight="1" x14ac:dyDescent="0.25">
      <c r="F1158" s="33"/>
      <c r="G1158" s="33"/>
      <c r="H1158" s="33"/>
      <c r="I1158" s="34"/>
      <c r="J1158" s="34"/>
      <c r="K1158" s="14"/>
      <c r="L1158" s="32"/>
      <c r="M1158" s="14"/>
      <c r="N1158" s="14"/>
      <c r="O1158" s="2"/>
      <c r="P1158"/>
      <c r="Q1158" s="2"/>
      <c r="R1158"/>
      <c r="S1158"/>
      <c r="T1158"/>
      <c r="U1158" s="2"/>
      <c r="V1158" s="2"/>
      <c r="W1158" s="2"/>
      <c r="X1158" s="2"/>
      <c r="Y1158" s="2"/>
      <c r="Z1158" s="11"/>
      <c r="AA1158" s="15"/>
      <c r="AB1158" s="15"/>
      <c r="AC1158" s="15"/>
      <c r="AD1158" s="35"/>
      <c r="AE1158" s="99"/>
      <c r="AF1158" s="99"/>
      <c r="AG1158" s="35"/>
      <c r="AH1158" s="35"/>
      <c r="AI1158" s="35"/>
      <c r="AJ1158" s="1"/>
      <c r="AK1158" s="1"/>
      <c r="AL1158" s="1"/>
      <c r="AM1158" s="1"/>
      <c r="AN1158" s="1"/>
      <c r="AO1158" s="1"/>
      <c r="AP1158"/>
      <c r="AQ1158"/>
      <c r="AR1158"/>
      <c r="AS1158"/>
      <c r="AT1158" s="50"/>
      <c r="AU1158" s="97"/>
      <c r="AV1158" s="97"/>
      <c r="AW1158" s="97"/>
      <c r="AX1158" s="97"/>
      <c r="AY1158" s="97"/>
      <c r="BD1158" s="35"/>
      <c r="BE1158" s="35"/>
      <c r="BV1158" s="98"/>
      <c r="BW1158" s="98"/>
      <c r="BX1158" s="98"/>
      <c r="BY1158" s="112"/>
      <c r="BZ1158" s="112"/>
      <c r="CA1158" s="112"/>
      <c r="CB1158" s="98"/>
      <c r="CC1158" s="98"/>
      <c r="CD1158" s="98"/>
      <c r="CE1158" s="98"/>
      <c r="CG1158" s="100"/>
      <c r="CH1158" s="100"/>
      <c r="CI1158" s="100"/>
      <c r="CJ1158" s="100"/>
      <c r="CK1158" s="100"/>
      <c r="CL1158" s="100"/>
      <c r="CM1158" s="100"/>
      <c r="CN1158" s="100"/>
      <c r="CO1158" s="100"/>
      <c r="CP1158" s="100"/>
      <c r="CQ1158" s="100"/>
      <c r="CR1158" s="100"/>
      <c r="CS1158" s="100"/>
      <c r="CT1158" s="100"/>
      <c r="CU1158" s="100"/>
    </row>
    <row r="1159" spans="6:99" s="36" customFormat="1" ht="11.1" customHeight="1" x14ac:dyDescent="0.25">
      <c r="F1159" s="33"/>
      <c r="G1159" s="33"/>
      <c r="H1159" s="33"/>
      <c r="I1159" s="34"/>
      <c r="J1159" s="34"/>
      <c r="K1159" s="14"/>
      <c r="L1159" s="32"/>
      <c r="M1159" s="14"/>
      <c r="N1159" s="14"/>
      <c r="O1159" s="2"/>
      <c r="P1159"/>
      <c r="Q1159" s="2"/>
      <c r="R1159"/>
      <c r="S1159"/>
      <c r="T1159"/>
      <c r="U1159" s="2"/>
      <c r="V1159" s="2"/>
      <c r="W1159" s="2"/>
      <c r="X1159" s="2"/>
      <c r="Y1159" s="2"/>
      <c r="Z1159" s="11"/>
      <c r="AA1159" s="15"/>
      <c r="AB1159" s="15"/>
      <c r="AC1159" s="15"/>
      <c r="AD1159" s="35"/>
      <c r="AE1159" s="99"/>
      <c r="AF1159" s="99"/>
      <c r="AG1159" s="35"/>
      <c r="AH1159" s="35"/>
      <c r="AI1159" s="35"/>
      <c r="AJ1159" s="1"/>
      <c r="AK1159" s="1"/>
      <c r="AL1159" s="1"/>
      <c r="AM1159" s="1"/>
      <c r="AN1159" s="1"/>
      <c r="AO1159" s="1"/>
      <c r="AP1159"/>
      <c r="AQ1159"/>
      <c r="AR1159"/>
      <c r="AS1159"/>
      <c r="AT1159" s="50"/>
      <c r="AU1159" s="97"/>
      <c r="AV1159" s="97"/>
      <c r="AW1159" s="97"/>
      <c r="AX1159" s="97"/>
      <c r="AY1159" s="97"/>
      <c r="BD1159" s="35"/>
      <c r="BE1159" s="35"/>
      <c r="BV1159" s="98"/>
      <c r="BW1159" s="98"/>
      <c r="BX1159" s="98"/>
      <c r="BY1159" s="112"/>
      <c r="BZ1159" s="112"/>
      <c r="CA1159" s="112"/>
      <c r="CB1159" s="98"/>
      <c r="CC1159" s="98"/>
      <c r="CD1159" s="98"/>
      <c r="CE1159" s="98"/>
      <c r="CG1159" s="100"/>
      <c r="CH1159" s="100"/>
      <c r="CI1159" s="100"/>
      <c r="CJ1159" s="100"/>
      <c r="CK1159" s="100"/>
      <c r="CL1159" s="100"/>
      <c r="CM1159" s="100"/>
      <c r="CN1159" s="100"/>
      <c r="CO1159" s="100"/>
      <c r="CP1159" s="100"/>
      <c r="CQ1159" s="100"/>
      <c r="CR1159" s="100"/>
      <c r="CS1159" s="100"/>
      <c r="CT1159" s="100"/>
      <c r="CU1159" s="100"/>
    </row>
    <row r="1160" spans="6:99" s="36" customFormat="1" ht="11.1" customHeight="1" x14ac:dyDescent="0.25">
      <c r="F1160" s="33"/>
      <c r="G1160" s="33"/>
      <c r="H1160" s="33"/>
      <c r="I1160" s="34"/>
      <c r="J1160" s="34"/>
      <c r="K1160" s="14"/>
      <c r="L1160" s="32"/>
      <c r="M1160" s="14"/>
      <c r="N1160" s="14"/>
      <c r="O1160" s="2"/>
      <c r="P1160"/>
      <c r="Q1160" s="2"/>
      <c r="R1160"/>
      <c r="S1160"/>
      <c r="T1160"/>
      <c r="U1160" s="2"/>
      <c r="V1160" s="2"/>
      <c r="W1160" s="2"/>
      <c r="X1160" s="2"/>
      <c r="Y1160" s="2"/>
      <c r="Z1160" s="11"/>
      <c r="AA1160" s="15"/>
      <c r="AB1160" s="15"/>
      <c r="AC1160" s="15"/>
      <c r="AD1160" s="35"/>
      <c r="AE1160" s="99"/>
      <c r="AF1160" s="99"/>
      <c r="AG1160" s="35"/>
      <c r="AH1160" s="35"/>
      <c r="AI1160" s="35"/>
      <c r="AJ1160" s="1"/>
      <c r="AK1160" s="1"/>
      <c r="AL1160" s="1"/>
      <c r="AM1160" s="1"/>
      <c r="AN1160" s="1"/>
      <c r="AO1160" s="1"/>
      <c r="AP1160"/>
      <c r="AQ1160"/>
      <c r="AR1160"/>
      <c r="AS1160"/>
      <c r="AT1160" s="50"/>
      <c r="AU1160" s="97"/>
      <c r="AV1160" s="97"/>
      <c r="AW1160" s="97"/>
      <c r="AX1160" s="97"/>
      <c r="AY1160" s="97"/>
      <c r="BD1160" s="35"/>
      <c r="BE1160" s="35"/>
      <c r="BV1160" s="98"/>
      <c r="BW1160" s="98"/>
      <c r="BX1160" s="98"/>
      <c r="BY1160" s="112"/>
      <c r="BZ1160" s="112"/>
      <c r="CA1160" s="112"/>
      <c r="CB1160" s="98"/>
      <c r="CC1160" s="98"/>
      <c r="CD1160" s="98"/>
      <c r="CE1160" s="98"/>
      <c r="CG1160" s="100"/>
      <c r="CH1160" s="100"/>
      <c r="CI1160" s="100"/>
      <c r="CJ1160" s="100"/>
      <c r="CK1160" s="100"/>
      <c r="CL1160" s="100"/>
      <c r="CM1160" s="100"/>
      <c r="CN1160" s="100"/>
      <c r="CO1160" s="100"/>
      <c r="CP1160" s="100"/>
      <c r="CQ1160" s="100"/>
      <c r="CR1160" s="100"/>
      <c r="CS1160" s="100"/>
      <c r="CT1160" s="100"/>
      <c r="CU1160" s="100"/>
    </row>
    <row r="1161" spans="6:99" s="36" customFormat="1" ht="11.1" customHeight="1" x14ac:dyDescent="0.25">
      <c r="F1161" s="33"/>
      <c r="G1161" s="33"/>
      <c r="H1161" s="33"/>
      <c r="I1161" s="34"/>
      <c r="J1161" s="34"/>
      <c r="K1161" s="14"/>
      <c r="L1161" s="32"/>
      <c r="M1161" s="14"/>
      <c r="N1161" s="14"/>
      <c r="O1161" s="2"/>
      <c r="P1161"/>
      <c r="Q1161" s="2"/>
      <c r="R1161"/>
      <c r="S1161"/>
      <c r="T1161"/>
      <c r="U1161" s="2"/>
      <c r="V1161" s="2"/>
      <c r="W1161" s="2"/>
      <c r="X1161" s="2"/>
      <c r="Y1161" s="2"/>
      <c r="Z1161" s="11"/>
      <c r="AA1161" s="15"/>
      <c r="AB1161" s="15"/>
      <c r="AC1161" s="15"/>
      <c r="AD1161" s="35"/>
      <c r="AE1161" s="99"/>
      <c r="AF1161" s="99"/>
      <c r="AG1161" s="35"/>
      <c r="AH1161" s="35"/>
      <c r="AI1161" s="35"/>
      <c r="AJ1161" s="1"/>
      <c r="AK1161" s="1"/>
      <c r="AL1161" s="1"/>
      <c r="AM1161" s="1"/>
      <c r="AN1161" s="1"/>
      <c r="AO1161" s="1"/>
      <c r="AP1161"/>
      <c r="AQ1161"/>
      <c r="AR1161"/>
      <c r="AS1161"/>
      <c r="AT1161" s="50"/>
      <c r="AU1161" s="97"/>
      <c r="AV1161" s="97"/>
      <c r="AW1161" s="97"/>
      <c r="AX1161" s="97"/>
      <c r="AY1161" s="97"/>
      <c r="BD1161" s="35"/>
      <c r="BE1161" s="35"/>
      <c r="BV1161" s="98"/>
      <c r="BW1161" s="98"/>
      <c r="BX1161" s="98"/>
      <c r="BY1161" s="112"/>
      <c r="BZ1161" s="112"/>
      <c r="CA1161" s="112"/>
      <c r="CB1161" s="98"/>
      <c r="CC1161" s="98"/>
      <c r="CD1161" s="98"/>
      <c r="CE1161" s="98"/>
      <c r="CG1161" s="100"/>
      <c r="CH1161" s="100"/>
      <c r="CI1161" s="100"/>
      <c r="CJ1161" s="100"/>
      <c r="CK1161" s="100"/>
      <c r="CL1161" s="100"/>
      <c r="CM1161" s="100"/>
      <c r="CN1161" s="100"/>
      <c r="CO1161" s="100"/>
      <c r="CP1161" s="100"/>
      <c r="CQ1161" s="100"/>
      <c r="CR1161" s="100"/>
      <c r="CS1161" s="100"/>
      <c r="CT1161" s="100"/>
      <c r="CU1161" s="100"/>
    </row>
    <row r="1162" spans="6:99" s="36" customFormat="1" ht="11.1" customHeight="1" x14ac:dyDescent="0.25">
      <c r="F1162" s="33"/>
      <c r="G1162" s="33"/>
      <c r="H1162" s="33"/>
      <c r="I1162" s="34"/>
      <c r="J1162" s="34"/>
      <c r="K1162" s="14"/>
      <c r="L1162" s="32"/>
      <c r="M1162" s="14"/>
      <c r="N1162" s="14"/>
      <c r="O1162" s="2"/>
      <c r="P1162"/>
      <c r="Q1162" s="2"/>
      <c r="R1162"/>
      <c r="S1162"/>
      <c r="T1162"/>
      <c r="U1162" s="2"/>
      <c r="V1162" s="2"/>
      <c r="W1162" s="2"/>
      <c r="X1162" s="2"/>
      <c r="Y1162" s="2"/>
      <c r="Z1162" s="11"/>
      <c r="AA1162" s="15"/>
      <c r="AB1162" s="15"/>
      <c r="AC1162" s="15"/>
      <c r="AD1162" s="35"/>
      <c r="AE1162" s="99"/>
      <c r="AF1162" s="99"/>
      <c r="AG1162" s="35"/>
      <c r="AH1162" s="35"/>
      <c r="AI1162" s="35"/>
      <c r="AJ1162" s="1"/>
      <c r="AK1162" s="1"/>
      <c r="AL1162" s="1"/>
      <c r="AM1162" s="1"/>
      <c r="AN1162" s="1"/>
      <c r="AO1162" s="1"/>
      <c r="AP1162"/>
      <c r="AQ1162"/>
      <c r="AR1162"/>
      <c r="AS1162"/>
      <c r="AT1162" s="50"/>
      <c r="AU1162" s="97"/>
      <c r="AV1162" s="97"/>
      <c r="AW1162" s="97"/>
      <c r="AX1162" s="97"/>
      <c r="AY1162" s="97"/>
      <c r="BD1162" s="35"/>
      <c r="BE1162" s="35"/>
      <c r="BV1162" s="98"/>
      <c r="BW1162" s="98"/>
      <c r="BX1162" s="98"/>
      <c r="BY1162" s="112"/>
      <c r="BZ1162" s="112"/>
      <c r="CA1162" s="112"/>
      <c r="CB1162" s="98"/>
      <c r="CC1162" s="98"/>
      <c r="CD1162" s="98"/>
      <c r="CE1162" s="98"/>
      <c r="CG1162" s="100"/>
      <c r="CH1162" s="100"/>
      <c r="CI1162" s="100"/>
      <c r="CJ1162" s="100"/>
      <c r="CK1162" s="100"/>
      <c r="CL1162" s="100"/>
      <c r="CM1162" s="100"/>
      <c r="CN1162" s="100"/>
      <c r="CO1162" s="100"/>
      <c r="CP1162" s="100"/>
      <c r="CQ1162" s="100"/>
      <c r="CR1162" s="100"/>
      <c r="CS1162" s="100"/>
      <c r="CT1162" s="100"/>
      <c r="CU1162" s="100"/>
    </row>
    <row r="1163" spans="6:99" s="36" customFormat="1" ht="11.1" customHeight="1" x14ac:dyDescent="0.25">
      <c r="F1163" s="33"/>
      <c r="G1163" s="33"/>
      <c r="H1163" s="33"/>
      <c r="I1163" s="34"/>
      <c r="J1163" s="34"/>
      <c r="K1163" s="14"/>
      <c r="L1163" s="32"/>
      <c r="M1163" s="14"/>
      <c r="N1163" s="14"/>
      <c r="O1163" s="2"/>
      <c r="P1163"/>
      <c r="Q1163" s="2"/>
      <c r="R1163"/>
      <c r="S1163"/>
      <c r="T1163"/>
      <c r="U1163" s="2"/>
      <c r="V1163" s="2"/>
      <c r="W1163" s="2"/>
      <c r="X1163" s="2"/>
      <c r="Y1163" s="2"/>
      <c r="Z1163" s="11"/>
      <c r="AA1163" s="15"/>
      <c r="AB1163" s="15"/>
      <c r="AC1163" s="15"/>
      <c r="AD1163" s="35"/>
      <c r="AE1163" s="99"/>
      <c r="AF1163" s="99"/>
      <c r="AG1163" s="35"/>
      <c r="AH1163" s="35"/>
      <c r="AI1163" s="35"/>
      <c r="AJ1163" s="1"/>
      <c r="AK1163" s="1"/>
      <c r="AL1163" s="1"/>
      <c r="AM1163" s="1"/>
      <c r="AN1163" s="1"/>
      <c r="AO1163" s="1"/>
      <c r="AP1163"/>
      <c r="AQ1163"/>
      <c r="AR1163"/>
      <c r="AS1163"/>
      <c r="AT1163" s="50"/>
      <c r="AU1163" s="97"/>
      <c r="AV1163" s="97"/>
      <c r="AW1163" s="97"/>
      <c r="AX1163" s="97"/>
      <c r="AY1163" s="97"/>
      <c r="BD1163" s="35"/>
      <c r="BE1163" s="35"/>
      <c r="BV1163" s="98"/>
      <c r="BW1163" s="98"/>
      <c r="BX1163" s="98"/>
      <c r="BY1163" s="112"/>
      <c r="BZ1163" s="112"/>
      <c r="CA1163" s="112"/>
      <c r="CB1163" s="98"/>
      <c r="CC1163" s="98"/>
      <c r="CD1163" s="98"/>
      <c r="CE1163" s="98"/>
      <c r="CG1163" s="100"/>
      <c r="CH1163" s="100"/>
      <c r="CI1163" s="100"/>
      <c r="CJ1163" s="100"/>
      <c r="CK1163" s="100"/>
      <c r="CL1163" s="100"/>
      <c r="CM1163" s="100"/>
      <c r="CN1163" s="100"/>
      <c r="CO1163" s="100"/>
      <c r="CP1163" s="100"/>
      <c r="CQ1163" s="100"/>
      <c r="CR1163" s="100"/>
      <c r="CS1163" s="100"/>
      <c r="CT1163" s="100"/>
      <c r="CU1163" s="100"/>
    </row>
    <row r="1164" spans="6:99" s="36" customFormat="1" ht="11.1" customHeight="1" x14ac:dyDescent="0.25">
      <c r="F1164" s="33"/>
      <c r="G1164" s="33"/>
      <c r="H1164" s="33"/>
      <c r="I1164" s="34"/>
      <c r="J1164" s="34"/>
      <c r="K1164" s="14"/>
      <c r="L1164" s="32"/>
      <c r="M1164" s="14"/>
      <c r="N1164" s="14"/>
      <c r="O1164" s="2"/>
      <c r="P1164"/>
      <c r="Q1164" s="2"/>
      <c r="R1164"/>
      <c r="S1164"/>
      <c r="T1164"/>
      <c r="U1164" s="2"/>
      <c r="V1164" s="2"/>
      <c r="W1164" s="2"/>
      <c r="X1164" s="2"/>
      <c r="Y1164" s="2"/>
      <c r="Z1164" s="11"/>
      <c r="AA1164" s="15"/>
      <c r="AB1164" s="15"/>
      <c r="AC1164" s="15"/>
      <c r="AD1164" s="35"/>
      <c r="AE1164" s="99"/>
      <c r="AF1164" s="99"/>
      <c r="AG1164" s="35"/>
      <c r="AH1164" s="35"/>
      <c r="AI1164" s="35"/>
      <c r="AJ1164" s="1"/>
      <c r="AK1164" s="1"/>
      <c r="AL1164" s="1"/>
      <c r="AM1164" s="1"/>
      <c r="AN1164" s="1"/>
      <c r="AO1164" s="1"/>
      <c r="AP1164"/>
      <c r="AQ1164"/>
      <c r="AR1164"/>
      <c r="AS1164"/>
      <c r="AT1164" s="50"/>
      <c r="AU1164" s="97"/>
      <c r="AV1164" s="97"/>
      <c r="AW1164" s="97"/>
      <c r="AX1164" s="97"/>
      <c r="AY1164" s="97"/>
      <c r="BD1164" s="35"/>
      <c r="BE1164" s="35"/>
      <c r="BV1164" s="98"/>
      <c r="BW1164" s="98"/>
      <c r="BX1164" s="98"/>
      <c r="BY1164" s="112"/>
      <c r="BZ1164" s="112"/>
      <c r="CA1164" s="112"/>
      <c r="CB1164" s="98"/>
      <c r="CC1164" s="98"/>
      <c r="CD1164" s="98"/>
      <c r="CE1164" s="98"/>
      <c r="CG1164" s="100"/>
      <c r="CH1164" s="100"/>
      <c r="CI1164" s="100"/>
      <c r="CJ1164" s="100"/>
      <c r="CK1164" s="100"/>
      <c r="CL1164" s="100"/>
      <c r="CM1164" s="100"/>
      <c r="CN1164" s="100"/>
      <c r="CO1164" s="100"/>
      <c r="CP1164" s="100"/>
      <c r="CQ1164" s="100"/>
      <c r="CR1164" s="100"/>
      <c r="CS1164" s="100"/>
      <c r="CT1164" s="100"/>
      <c r="CU1164" s="100"/>
    </row>
    <row r="1165" spans="6:99" s="36" customFormat="1" ht="11.1" customHeight="1" x14ac:dyDescent="0.25">
      <c r="F1165" s="33"/>
      <c r="G1165" s="33"/>
      <c r="H1165" s="33"/>
      <c r="I1165" s="34"/>
      <c r="J1165" s="34"/>
      <c r="K1165" s="14"/>
      <c r="L1165" s="32"/>
      <c r="M1165" s="14"/>
      <c r="N1165" s="14"/>
      <c r="O1165" s="2"/>
      <c r="P1165"/>
      <c r="Q1165" s="2"/>
      <c r="R1165"/>
      <c r="S1165"/>
      <c r="T1165"/>
      <c r="U1165" s="2"/>
      <c r="V1165" s="2"/>
      <c r="W1165" s="2"/>
      <c r="X1165" s="2"/>
      <c r="Y1165" s="2"/>
      <c r="Z1165" s="11"/>
      <c r="AA1165" s="15"/>
      <c r="AB1165" s="15"/>
      <c r="AC1165" s="15"/>
      <c r="AD1165" s="35"/>
      <c r="AE1165" s="99"/>
      <c r="AF1165" s="99"/>
      <c r="AG1165" s="35"/>
      <c r="AH1165" s="35"/>
      <c r="AI1165" s="35"/>
      <c r="AJ1165" s="1"/>
      <c r="AK1165" s="1"/>
      <c r="AL1165" s="1"/>
      <c r="AM1165" s="1"/>
      <c r="AN1165" s="1"/>
      <c r="AO1165" s="1"/>
      <c r="AP1165"/>
      <c r="AQ1165"/>
      <c r="AR1165"/>
      <c r="AS1165"/>
      <c r="AT1165" s="50"/>
      <c r="AU1165" s="97"/>
      <c r="AV1165" s="97"/>
      <c r="AW1165" s="97"/>
      <c r="AX1165" s="97"/>
      <c r="AY1165" s="97"/>
      <c r="BD1165" s="35"/>
      <c r="BE1165" s="35"/>
      <c r="BV1165" s="98"/>
      <c r="BW1165" s="98"/>
      <c r="BX1165" s="98"/>
      <c r="BY1165" s="112"/>
      <c r="BZ1165" s="112"/>
      <c r="CA1165" s="112"/>
      <c r="CB1165" s="98"/>
      <c r="CC1165" s="98"/>
      <c r="CD1165" s="98"/>
      <c r="CE1165" s="98"/>
      <c r="CG1165" s="100"/>
      <c r="CH1165" s="100"/>
      <c r="CI1165" s="100"/>
      <c r="CJ1165" s="100"/>
      <c r="CK1165" s="100"/>
      <c r="CL1165" s="100"/>
      <c r="CM1165" s="100"/>
      <c r="CN1165" s="100"/>
      <c r="CO1165" s="100"/>
      <c r="CP1165" s="100"/>
      <c r="CQ1165" s="100"/>
      <c r="CR1165" s="100"/>
      <c r="CS1165" s="100"/>
      <c r="CT1165" s="100"/>
      <c r="CU1165" s="100"/>
    </row>
    <row r="1166" spans="6:99" s="36" customFormat="1" ht="11.1" customHeight="1" x14ac:dyDescent="0.25">
      <c r="F1166" s="33"/>
      <c r="G1166" s="33"/>
      <c r="H1166" s="33"/>
      <c r="I1166" s="34"/>
      <c r="J1166" s="34"/>
      <c r="K1166" s="14"/>
      <c r="L1166" s="32"/>
      <c r="M1166" s="14"/>
      <c r="N1166" s="14"/>
      <c r="O1166" s="2"/>
      <c r="P1166"/>
      <c r="Q1166" s="2"/>
      <c r="R1166"/>
      <c r="S1166"/>
      <c r="T1166"/>
      <c r="U1166" s="2"/>
      <c r="V1166" s="2"/>
      <c r="W1166" s="2"/>
      <c r="X1166" s="2"/>
      <c r="Y1166" s="2"/>
      <c r="Z1166" s="11"/>
      <c r="AA1166" s="15"/>
      <c r="AB1166" s="15"/>
      <c r="AC1166" s="15"/>
      <c r="AD1166" s="35"/>
      <c r="AE1166" s="99"/>
      <c r="AF1166" s="99"/>
      <c r="AG1166" s="35"/>
      <c r="AH1166" s="35"/>
      <c r="AI1166" s="35"/>
      <c r="AJ1166" s="1"/>
      <c r="AK1166" s="1"/>
      <c r="AL1166" s="1"/>
      <c r="AM1166" s="1"/>
      <c r="AN1166" s="1"/>
      <c r="AO1166" s="1"/>
      <c r="AP1166"/>
      <c r="AQ1166"/>
      <c r="AR1166"/>
      <c r="AS1166"/>
      <c r="AT1166" s="50"/>
      <c r="AU1166" s="97"/>
      <c r="AV1166" s="97"/>
      <c r="AW1166" s="97"/>
      <c r="AX1166" s="97"/>
      <c r="AY1166" s="97"/>
      <c r="BD1166" s="35"/>
      <c r="BE1166" s="35"/>
      <c r="BV1166" s="98"/>
      <c r="BW1166" s="98"/>
      <c r="BX1166" s="98"/>
      <c r="BY1166" s="112"/>
      <c r="BZ1166" s="112"/>
      <c r="CA1166" s="112"/>
      <c r="CB1166" s="98"/>
      <c r="CC1166" s="98"/>
      <c r="CD1166" s="98"/>
      <c r="CE1166" s="98"/>
      <c r="CG1166" s="100"/>
      <c r="CH1166" s="100"/>
      <c r="CI1166" s="100"/>
      <c r="CJ1166" s="100"/>
      <c r="CK1166" s="100"/>
      <c r="CL1166" s="100"/>
      <c r="CM1166" s="100"/>
      <c r="CN1166" s="100"/>
      <c r="CO1166" s="100"/>
      <c r="CP1166" s="100"/>
      <c r="CQ1166" s="100"/>
      <c r="CR1166" s="100"/>
      <c r="CS1166" s="100"/>
      <c r="CT1166" s="100"/>
      <c r="CU1166" s="100"/>
    </row>
    <row r="1167" spans="6:99" s="36" customFormat="1" ht="11.1" customHeight="1" x14ac:dyDescent="0.25">
      <c r="F1167" s="33"/>
      <c r="G1167" s="33"/>
      <c r="H1167" s="33"/>
      <c r="I1167" s="34"/>
      <c r="J1167" s="34"/>
      <c r="K1167" s="14"/>
      <c r="L1167" s="32"/>
      <c r="M1167" s="14"/>
      <c r="N1167" s="14"/>
      <c r="O1167" s="2"/>
      <c r="P1167"/>
      <c r="Q1167" s="2"/>
      <c r="R1167"/>
      <c r="S1167"/>
      <c r="T1167"/>
      <c r="U1167" s="2"/>
      <c r="V1167" s="2"/>
      <c r="W1167" s="2"/>
      <c r="X1167" s="2"/>
      <c r="Y1167" s="2"/>
      <c r="Z1167" s="11"/>
      <c r="AA1167" s="15"/>
      <c r="AB1167" s="15"/>
      <c r="AC1167" s="15"/>
      <c r="AD1167" s="35"/>
      <c r="AE1167" s="99"/>
      <c r="AF1167" s="99"/>
      <c r="AG1167" s="35"/>
      <c r="AH1167" s="35"/>
      <c r="AI1167" s="35"/>
      <c r="AJ1167" s="1"/>
      <c r="AK1167" s="1"/>
      <c r="AL1167" s="1"/>
      <c r="AM1167" s="1"/>
      <c r="AN1167" s="1"/>
      <c r="AO1167" s="1"/>
      <c r="AP1167"/>
      <c r="AQ1167"/>
      <c r="AR1167"/>
      <c r="AS1167"/>
      <c r="AT1167" s="50"/>
      <c r="AU1167" s="97"/>
      <c r="AV1167" s="97"/>
      <c r="AW1167" s="97"/>
      <c r="AX1167" s="97"/>
      <c r="AY1167" s="97"/>
      <c r="BD1167" s="35"/>
      <c r="BE1167" s="35"/>
      <c r="BV1167" s="98"/>
      <c r="BW1167" s="98"/>
      <c r="BX1167" s="98"/>
      <c r="BY1167" s="112"/>
      <c r="BZ1167" s="112"/>
      <c r="CA1167" s="112"/>
      <c r="CB1167" s="98"/>
      <c r="CC1167" s="98"/>
      <c r="CD1167" s="98"/>
      <c r="CE1167" s="98"/>
      <c r="CG1167" s="100"/>
      <c r="CH1167" s="100"/>
      <c r="CI1167" s="100"/>
      <c r="CJ1167" s="100"/>
      <c r="CK1167" s="100"/>
      <c r="CL1167" s="100"/>
      <c r="CM1167" s="100"/>
      <c r="CN1167" s="100"/>
      <c r="CO1167" s="100"/>
      <c r="CP1167" s="100"/>
      <c r="CQ1167" s="100"/>
      <c r="CR1167" s="100"/>
      <c r="CS1167" s="100"/>
      <c r="CT1167" s="100"/>
      <c r="CU1167" s="100"/>
    </row>
    <row r="1168" spans="6:99" s="36" customFormat="1" ht="11.1" customHeight="1" x14ac:dyDescent="0.25">
      <c r="F1168" s="33"/>
      <c r="G1168" s="33"/>
      <c r="H1168" s="33"/>
      <c r="I1168" s="34"/>
      <c r="J1168" s="34"/>
      <c r="K1168" s="14"/>
      <c r="L1168" s="32"/>
      <c r="M1168" s="14"/>
      <c r="N1168" s="14"/>
      <c r="O1168" s="2"/>
      <c r="P1168"/>
      <c r="Q1168" s="2"/>
      <c r="R1168"/>
      <c r="S1168"/>
      <c r="T1168"/>
      <c r="U1168" s="2"/>
      <c r="V1168" s="2"/>
      <c r="W1168" s="2"/>
      <c r="X1168" s="2"/>
      <c r="Y1168" s="2"/>
      <c r="Z1168" s="11"/>
      <c r="AA1168" s="15"/>
      <c r="AB1168" s="15"/>
      <c r="AC1168" s="15"/>
      <c r="AD1168" s="35"/>
      <c r="AE1168" s="99"/>
      <c r="AF1168" s="99"/>
      <c r="AG1168" s="35"/>
      <c r="AH1168" s="35"/>
      <c r="AI1168" s="35"/>
      <c r="AJ1168" s="1"/>
      <c r="AK1168" s="1"/>
      <c r="AL1168" s="1"/>
      <c r="AM1168" s="1"/>
      <c r="AN1168" s="1"/>
      <c r="AO1168" s="1"/>
      <c r="AP1168"/>
      <c r="AQ1168"/>
      <c r="AR1168"/>
      <c r="AS1168"/>
      <c r="AT1168" s="50"/>
      <c r="AU1168" s="97"/>
      <c r="AV1168" s="97"/>
      <c r="AW1168" s="97"/>
      <c r="AX1168" s="97"/>
      <c r="AY1168" s="97"/>
      <c r="BD1168" s="35"/>
      <c r="BE1168" s="35"/>
      <c r="BV1168" s="98"/>
      <c r="BW1168" s="98"/>
      <c r="BX1168" s="98"/>
      <c r="BY1168" s="112"/>
      <c r="BZ1168" s="112"/>
      <c r="CA1168" s="112"/>
      <c r="CB1168" s="98"/>
      <c r="CC1168" s="98"/>
      <c r="CD1168" s="98"/>
      <c r="CE1168" s="98"/>
      <c r="CG1168" s="100"/>
      <c r="CH1168" s="100"/>
      <c r="CI1168" s="100"/>
      <c r="CJ1168" s="100"/>
      <c r="CK1168" s="100"/>
      <c r="CL1168" s="100"/>
      <c r="CM1168" s="100"/>
      <c r="CN1168" s="100"/>
      <c r="CO1168" s="100"/>
      <c r="CP1168" s="100"/>
      <c r="CQ1168" s="100"/>
      <c r="CR1168" s="100"/>
      <c r="CS1168" s="100"/>
      <c r="CT1168" s="100"/>
      <c r="CU1168" s="100"/>
    </row>
    <row r="1169" spans="6:99" s="36" customFormat="1" ht="11.1" customHeight="1" x14ac:dyDescent="0.25">
      <c r="F1169" s="33"/>
      <c r="G1169" s="33"/>
      <c r="H1169" s="33"/>
      <c r="I1169" s="34"/>
      <c r="J1169" s="34"/>
      <c r="K1169" s="14"/>
      <c r="L1169" s="32"/>
      <c r="M1169" s="14"/>
      <c r="N1169" s="14"/>
      <c r="O1169" s="2"/>
      <c r="P1169"/>
      <c r="Q1169" s="2"/>
      <c r="R1169"/>
      <c r="S1169"/>
      <c r="T1169"/>
      <c r="U1169" s="2"/>
      <c r="V1169" s="2"/>
      <c r="W1169" s="2"/>
      <c r="X1169" s="2"/>
      <c r="Y1169" s="2"/>
      <c r="Z1169" s="11"/>
      <c r="AA1169" s="15"/>
      <c r="AB1169" s="15"/>
      <c r="AC1169" s="15"/>
      <c r="AD1169" s="35"/>
      <c r="AE1169" s="99"/>
      <c r="AF1169" s="99"/>
      <c r="AG1169" s="35"/>
      <c r="AH1169" s="35"/>
      <c r="AI1169" s="35"/>
      <c r="AJ1169" s="1"/>
      <c r="AK1169" s="1"/>
      <c r="AL1169" s="1"/>
      <c r="AM1169" s="1"/>
      <c r="AN1169" s="1"/>
      <c r="AO1169" s="1"/>
      <c r="AP1169"/>
      <c r="AQ1169"/>
      <c r="AR1169"/>
      <c r="AS1169"/>
      <c r="AT1169" s="50"/>
      <c r="AU1169" s="97"/>
      <c r="AV1169" s="97"/>
      <c r="AW1169" s="97"/>
      <c r="AX1169" s="97"/>
      <c r="AY1169" s="97"/>
      <c r="BD1169" s="35"/>
      <c r="BE1169" s="35"/>
      <c r="BV1169" s="98"/>
      <c r="BW1169" s="98"/>
      <c r="BX1169" s="98"/>
      <c r="BY1169" s="112"/>
      <c r="BZ1169" s="112"/>
      <c r="CA1169" s="112"/>
      <c r="CB1169" s="98"/>
      <c r="CC1169" s="98"/>
      <c r="CD1169" s="98"/>
      <c r="CE1169" s="98"/>
      <c r="CG1169" s="100"/>
      <c r="CH1169" s="100"/>
      <c r="CI1169" s="100"/>
      <c r="CJ1169" s="100"/>
      <c r="CK1169" s="100"/>
      <c r="CL1169" s="100"/>
      <c r="CM1169" s="100"/>
      <c r="CN1169" s="100"/>
      <c r="CO1169" s="100"/>
      <c r="CP1169" s="100"/>
      <c r="CQ1169" s="100"/>
      <c r="CR1169" s="100"/>
      <c r="CS1169" s="100"/>
      <c r="CT1169" s="100"/>
      <c r="CU1169" s="100"/>
    </row>
    <row r="1170" spans="6:99" s="36" customFormat="1" ht="11.1" customHeight="1" x14ac:dyDescent="0.25">
      <c r="F1170" s="33"/>
      <c r="G1170" s="33"/>
      <c r="H1170" s="33"/>
      <c r="I1170" s="34"/>
      <c r="J1170" s="34"/>
      <c r="K1170" s="14"/>
      <c r="L1170" s="32"/>
      <c r="M1170" s="14"/>
      <c r="N1170" s="14"/>
      <c r="O1170" s="2"/>
      <c r="P1170"/>
      <c r="Q1170" s="2"/>
      <c r="R1170"/>
      <c r="S1170"/>
      <c r="T1170"/>
      <c r="U1170" s="2"/>
      <c r="V1170" s="2"/>
      <c r="W1170" s="2"/>
      <c r="X1170" s="2"/>
      <c r="Y1170" s="2"/>
      <c r="Z1170" s="11"/>
      <c r="AA1170" s="15"/>
      <c r="AB1170" s="15"/>
      <c r="AC1170" s="15"/>
      <c r="AD1170" s="35"/>
      <c r="AE1170" s="99"/>
      <c r="AF1170" s="99"/>
      <c r="AG1170" s="35"/>
      <c r="AH1170" s="35"/>
      <c r="AI1170" s="35"/>
      <c r="AJ1170" s="1"/>
      <c r="AK1170" s="1"/>
      <c r="AL1170" s="1"/>
      <c r="AM1170" s="1"/>
      <c r="AN1170" s="1"/>
      <c r="AO1170" s="1"/>
      <c r="AP1170"/>
      <c r="AQ1170"/>
      <c r="AR1170"/>
      <c r="AS1170"/>
      <c r="AT1170" s="50"/>
      <c r="AU1170" s="97"/>
      <c r="AV1170" s="97"/>
      <c r="AW1170" s="97"/>
      <c r="AX1170" s="97"/>
      <c r="AY1170" s="97"/>
      <c r="BD1170" s="35"/>
      <c r="BE1170" s="35"/>
      <c r="BV1170" s="98"/>
      <c r="BW1170" s="98"/>
      <c r="BX1170" s="98"/>
      <c r="BY1170" s="112"/>
      <c r="BZ1170" s="112"/>
      <c r="CA1170" s="112"/>
      <c r="CB1170" s="98"/>
      <c r="CC1170" s="98"/>
      <c r="CD1170" s="98"/>
      <c r="CE1170" s="98"/>
      <c r="CG1170" s="100"/>
      <c r="CH1170" s="100"/>
      <c r="CI1170" s="100"/>
      <c r="CJ1170" s="100"/>
      <c r="CK1170" s="100"/>
      <c r="CL1170" s="100"/>
      <c r="CM1170" s="100"/>
      <c r="CN1170" s="100"/>
      <c r="CO1170" s="100"/>
      <c r="CP1170" s="100"/>
      <c r="CQ1170" s="100"/>
      <c r="CR1170" s="100"/>
      <c r="CS1170" s="100"/>
      <c r="CT1170" s="100"/>
      <c r="CU1170" s="100"/>
    </row>
    <row r="1171" spans="6:99" s="36" customFormat="1" ht="11.1" customHeight="1" x14ac:dyDescent="0.25">
      <c r="F1171" s="33"/>
      <c r="G1171" s="33"/>
      <c r="H1171" s="33"/>
      <c r="I1171" s="34"/>
      <c r="J1171" s="34"/>
      <c r="K1171" s="14"/>
      <c r="L1171" s="32"/>
      <c r="M1171" s="14"/>
      <c r="N1171" s="14"/>
      <c r="O1171" s="2"/>
      <c r="P1171"/>
      <c r="Q1171" s="2"/>
      <c r="R1171"/>
      <c r="S1171"/>
      <c r="T1171"/>
      <c r="U1171" s="2"/>
      <c r="V1171" s="2"/>
      <c r="W1171" s="2"/>
      <c r="X1171" s="2"/>
      <c r="Y1171" s="2"/>
      <c r="Z1171" s="11"/>
      <c r="AA1171" s="15"/>
      <c r="AB1171" s="15"/>
      <c r="AC1171" s="15"/>
      <c r="AD1171" s="35"/>
      <c r="AE1171" s="99"/>
      <c r="AF1171" s="99"/>
      <c r="AG1171" s="35"/>
      <c r="AH1171" s="35"/>
      <c r="AI1171" s="35"/>
      <c r="AJ1171" s="1"/>
      <c r="AK1171" s="1"/>
      <c r="AL1171" s="1"/>
      <c r="AM1171" s="1"/>
      <c r="AN1171" s="1"/>
      <c r="AO1171" s="1"/>
      <c r="AP1171"/>
      <c r="AQ1171"/>
      <c r="AR1171"/>
      <c r="AS1171"/>
      <c r="AT1171" s="50"/>
      <c r="AU1171" s="97"/>
      <c r="AV1171" s="97"/>
      <c r="AW1171" s="97"/>
      <c r="AX1171" s="97"/>
      <c r="AY1171" s="97"/>
      <c r="BD1171" s="35"/>
      <c r="BE1171" s="35"/>
      <c r="BV1171" s="98"/>
      <c r="BW1171" s="98"/>
      <c r="BX1171" s="98"/>
      <c r="BY1171" s="112"/>
      <c r="BZ1171" s="112"/>
      <c r="CA1171" s="112"/>
      <c r="CB1171" s="98"/>
      <c r="CC1171" s="98"/>
      <c r="CD1171" s="98"/>
      <c r="CE1171" s="98"/>
      <c r="CG1171" s="100"/>
      <c r="CH1171" s="100"/>
      <c r="CI1171" s="100"/>
      <c r="CJ1171" s="100"/>
      <c r="CK1171" s="100"/>
      <c r="CL1171" s="100"/>
      <c r="CM1171" s="100"/>
      <c r="CN1171" s="100"/>
      <c r="CO1171" s="100"/>
      <c r="CP1171" s="100"/>
      <c r="CQ1171" s="100"/>
      <c r="CR1171" s="100"/>
      <c r="CS1171" s="100"/>
      <c r="CT1171" s="100"/>
      <c r="CU1171" s="100"/>
    </row>
    <row r="1172" spans="6:99" s="36" customFormat="1" ht="11.1" customHeight="1" x14ac:dyDescent="0.25">
      <c r="F1172" s="33"/>
      <c r="G1172" s="33"/>
      <c r="H1172" s="33"/>
      <c r="I1172" s="34"/>
      <c r="J1172" s="34"/>
      <c r="K1172" s="14"/>
      <c r="L1172" s="32"/>
      <c r="M1172" s="14"/>
      <c r="N1172" s="14"/>
      <c r="O1172" s="2"/>
      <c r="P1172"/>
      <c r="Q1172" s="2"/>
      <c r="R1172"/>
      <c r="S1172"/>
      <c r="T1172"/>
      <c r="U1172" s="2"/>
      <c r="V1172" s="2"/>
      <c r="W1172" s="2"/>
      <c r="X1172" s="2"/>
      <c r="Y1172" s="2"/>
      <c r="Z1172" s="11"/>
      <c r="AA1172" s="15"/>
      <c r="AB1172" s="15"/>
      <c r="AC1172" s="15"/>
      <c r="AD1172" s="35"/>
      <c r="AE1172" s="99"/>
      <c r="AF1172" s="99"/>
      <c r="AG1172" s="35"/>
      <c r="AH1172" s="35"/>
      <c r="AI1172" s="35"/>
      <c r="AJ1172" s="1"/>
      <c r="AK1172" s="1"/>
      <c r="AL1172" s="1"/>
      <c r="AM1172" s="1"/>
      <c r="AN1172" s="1"/>
      <c r="AO1172" s="1"/>
      <c r="AP1172"/>
      <c r="AQ1172"/>
      <c r="AR1172"/>
      <c r="AS1172"/>
      <c r="AT1172" s="50"/>
      <c r="AU1172" s="97"/>
      <c r="AV1172" s="97"/>
      <c r="AW1172" s="97"/>
      <c r="AX1172" s="97"/>
      <c r="AY1172" s="97"/>
      <c r="BD1172" s="35"/>
      <c r="BE1172" s="35"/>
      <c r="BV1172" s="98"/>
      <c r="BW1172" s="98"/>
      <c r="BX1172" s="98"/>
      <c r="BY1172" s="112"/>
      <c r="BZ1172" s="112"/>
      <c r="CA1172" s="112"/>
      <c r="CB1172" s="98"/>
      <c r="CC1172" s="98"/>
      <c r="CD1172" s="98"/>
      <c r="CE1172" s="98"/>
      <c r="CG1172" s="100"/>
      <c r="CH1172" s="100"/>
      <c r="CI1172" s="100"/>
      <c r="CJ1172" s="100"/>
      <c r="CK1172" s="100"/>
      <c r="CL1172" s="100"/>
      <c r="CM1172" s="100"/>
      <c r="CN1172" s="100"/>
      <c r="CO1172" s="100"/>
      <c r="CP1172" s="100"/>
      <c r="CQ1172" s="100"/>
      <c r="CR1172" s="100"/>
      <c r="CS1172" s="100"/>
      <c r="CT1172" s="100"/>
      <c r="CU1172" s="100"/>
    </row>
    <row r="1173" spans="6:99" s="36" customFormat="1" ht="11.1" customHeight="1" x14ac:dyDescent="0.25">
      <c r="F1173" s="33"/>
      <c r="G1173" s="33"/>
      <c r="H1173" s="33"/>
      <c r="I1173" s="34"/>
      <c r="J1173" s="34"/>
      <c r="K1173" s="14"/>
      <c r="L1173" s="32"/>
      <c r="M1173" s="14"/>
      <c r="N1173" s="14"/>
      <c r="O1173" s="2"/>
      <c r="P1173"/>
      <c r="Q1173" s="2"/>
      <c r="R1173"/>
      <c r="S1173"/>
      <c r="T1173"/>
      <c r="U1173" s="2"/>
      <c r="V1173" s="2"/>
      <c r="W1173" s="2"/>
      <c r="X1173" s="2"/>
      <c r="Y1173" s="2"/>
      <c r="Z1173" s="11"/>
      <c r="AA1173" s="15"/>
      <c r="AB1173" s="15"/>
      <c r="AC1173" s="15"/>
      <c r="AD1173" s="35"/>
      <c r="AE1173" s="99"/>
      <c r="AF1173" s="99"/>
      <c r="AG1173" s="35"/>
      <c r="AH1173" s="35"/>
      <c r="AI1173" s="35"/>
      <c r="AJ1173" s="1"/>
      <c r="AK1173" s="1"/>
      <c r="AL1173" s="1"/>
      <c r="AM1173" s="1"/>
      <c r="AN1173" s="1"/>
      <c r="AO1173" s="1"/>
      <c r="AP1173"/>
      <c r="AQ1173"/>
      <c r="AR1173"/>
      <c r="AS1173"/>
      <c r="AT1173" s="50"/>
      <c r="AU1173" s="97"/>
      <c r="AV1173" s="97"/>
      <c r="AW1173" s="97"/>
      <c r="AX1173" s="97"/>
      <c r="AY1173" s="97"/>
      <c r="BD1173" s="35"/>
      <c r="BE1173" s="35"/>
      <c r="BV1173" s="98"/>
      <c r="BW1173" s="98"/>
      <c r="BX1173" s="98"/>
      <c r="BY1173" s="112"/>
      <c r="BZ1173" s="112"/>
      <c r="CA1173" s="112"/>
      <c r="CB1173" s="98"/>
      <c r="CC1173" s="98"/>
      <c r="CD1173" s="98"/>
      <c r="CE1173" s="98"/>
      <c r="CG1173" s="100"/>
      <c r="CH1173" s="100"/>
      <c r="CI1173" s="100"/>
      <c r="CJ1173" s="100"/>
      <c r="CK1173" s="100"/>
      <c r="CL1173" s="100"/>
      <c r="CM1173" s="100"/>
      <c r="CN1173" s="100"/>
      <c r="CO1173" s="100"/>
      <c r="CP1173" s="100"/>
      <c r="CQ1173" s="100"/>
      <c r="CR1173" s="100"/>
      <c r="CS1173" s="100"/>
      <c r="CT1173" s="100"/>
      <c r="CU1173" s="100"/>
    </row>
    <row r="1174" spans="6:99" s="36" customFormat="1" ht="11.1" customHeight="1" x14ac:dyDescent="0.25">
      <c r="F1174" s="33"/>
      <c r="G1174" s="33"/>
      <c r="H1174" s="33"/>
      <c r="I1174" s="34"/>
      <c r="J1174" s="34"/>
      <c r="K1174" s="14"/>
      <c r="L1174" s="32"/>
      <c r="M1174" s="14"/>
      <c r="N1174" s="14"/>
      <c r="O1174" s="2"/>
      <c r="P1174"/>
      <c r="Q1174" s="2"/>
      <c r="R1174"/>
      <c r="S1174"/>
      <c r="T1174"/>
      <c r="U1174" s="2"/>
      <c r="V1174" s="2"/>
      <c r="W1174" s="2"/>
      <c r="X1174" s="2"/>
      <c r="Y1174" s="2"/>
      <c r="Z1174" s="11"/>
      <c r="AA1174" s="15"/>
      <c r="AB1174" s="15"/>
      <c r="AC1174" s="15"/>
      <c r="AD1174" s="35"/>
      <c r="AE1174" s="99"/>
      <c r="AF1174" s="99"/>
      <c r="AG1174" s="35"/>
      <c r="AH1174" s="35"/>
      <c r="AI1174" s="35"/>
      <c r="AJ1174" s="1"/>
      <c r="AK1174" s="1"/>
      <c r="AL1174" s="1"/>
      <c r="AM1174" s="1"/>
      <c r="AN1174" s="1"/>
      <c r="AO1174" s="1"/>
      <c r="AP1174"/>
      <c r="AQ1174"/>
      <c r="AR1174"/>
      <c r="AS1174"/>
      <c r="AT1174" s="50"/>
      <c r="AU1174" s="97"/>
      <c r="AV1174" s="97"/>
      <c r="AW1174" s="97"/>
      <c r="AX1174" s="97"/>
      <c r="AY1174" s="97"/>
      <c r="BD1174" s="35"/>
      <c r="BE1174" s="35"/>
      <c r="BV1174" s="98"/>
      <c r="BW1174" s="98"/>
      <c r="BX1174" s="98"/>
      <c r="BY1174" s="112"/>
      <c r="BZ1174" s="112"/>
      <c r="CA1174" s="112"/>
      <c r="CB1174" s="98"/>
      <c r="CC1174" s="98"/>
      <c r="CD1174" s="98"/>
      <c r="CE1174" s="98"/>
      <c r="CG1174" s="100"/>
      <c r="CH1174" s="100"/>
      <c r="CI1174" s="100"/>
      <c r="CJ1174" s="100"/>
      <c r="CK1174" s="100"/>
      <c r="CL1174" s="100"/>
      <c r="CM1174" s="100"/>
      <c r="CN1174" s="100"/>
      <c r="CO1174" s="100"/>
      <c r="CP1174" s="100"/>
      <c r="CQ1174" s="100"/>
      <c r="CR1174" s="100"/>
      <c r="CS1174" s="100"/>
      <c r="CT1174" s="100"/>
      <c r="CU1174" s="100"/>
    </row>
    <row r="1175" spans="6:99" s="36" customFormat="1" ht="11.1" customHeight="1" x14ac:dyDescent="0.25">
      <c r="F1175" s="33"/>
      <c r="G1175" s="33"/>
      <c r="H1175" s="33"/>
      <c r="I1175" s="34"/>
      <c r="J1175" s="34"/>
      <c r="K1175" s="14"/>
      <c r="L1175" s="32"/>
      <c r="M1175" s="14"/>
      <c r="N1175" s="14"/>
      <c r="O1175" s="2"/>
      <c r="P1175"/>
      <c r="Q1175" s="2"/>
      <c r="R1175"/>
      <c r="S1175"/>
      <c r="T1175"/>
      <c r="U1175" s="2"/>
      <c r="V1175" s="2"/>
      <c r="W1175" s="2"/>
      <c r="X1175" s="2"/>
      <c r="Y1175" s="2"/>
      <c r="Z1175" s="11"/>
      <c r="AA1175" s="15"/>
      <c r="AB1175" s="15"/>
      <c r="AC1175" s="15"/>
      <c r="AD1175" s="35"/>
      <c r="AE1175" s="99"/>
      <c r="AF1175" s="99"/>
      <c r="AG1175" s="35"/>
      <c r="AH1175" s="35"/>
      <c r="AI1175" s="35"/>
      <c r="AJ1175" s="1"/>
      <c r="AK1175" s="1"/>
      <c r="AL1175" s="1"/>
      <c r="AM1175" s="1"/>
      <c r="AN1175" s="1"/>
      <c r="AO1175" s="1"/>
      <c r="AP1175"/>
      <c r="AQ1175"/>
      <c r="AR1175"/>
      <c r="AS1175"/>
      <c r="AT1175" s="50"/>
      <c r="AU1175" s="97"/>
      <c r="AV1175" s="97"/>
      <c r="AW1175" s="97"/>
      <c r="AX1175" s="97"/>
      <c r="AY1175" s="97"/>
      <c r="BD1175" s="35"/>
      <c r="BE1175" s="35"/>
      <c r="BV1175" s="98"/>
      <c r="BW1175" s="98"/>
      <c r="BX1175" s="98"/>
      <c r="BY1175" s="112"/>
      <c r="BZ1175" s="112"/>
      <c r="CA1175" s="112"/>
      <c r="CB1175" s="98"/>
      <c r="CC1175" s="98"/>
      <c r="CD1175" s="98"/>
      <c r="CE1175" s="98"/>
      <c r="CG1175" s="100"/>
      <c r="CH1175" s="100"/>
      <c r="CI1175" s="100"/>
      <c r="CJ1175" s="100"/>
      <c r="CK1175" s="100"/>
      <c r="CL1175" s="100"/>
      <c r="CM1175" s="100"/>
      <c r="CN1175" s="100"/>
      <c r="CO1175" s="100"/>
      <c r="CP1175" s="100"/>
      <c r="CQ1175" s="100"/>
      <c r="CR1175" s="100"/>
      <c r="CS1175" s="100"/>
      <c r="CT1175" s="100"/>
      <c r="CU1175" s="100"/>
    </row>
    <row r="1176" spans="6:99" s="36" customFormat="1" ht="11.1" customHeight="1" x14ac:dyDescent="0.25">
      <c r="F1176" s="33"/>
      <c r="G1176" s="33"/>
      <c r="H1176" s="33"/>
      <c r="I1176" s="34"/>
      <c r="J1176" s="34"/>
      <c r="K1176" s="14"/>
      <c r="L1176" s="32"/>
      <c r="M1176" s="14"/>
      <c r="N1176" s="14"/>
      <c r="O1176" s="2"/>
      <c r="P1176"/>
      <c r="Q1176" s="2"/>
      <c r="R1176"/>
      <c r="S1176"/>
      <c r="T1176"/>
      <c r="U1176" s="2"/>
      <c r="V1176" s="2"/>
      <c r="W1176" s="2"/>
      <c r="X1176" s="2"/>
      <c r="Y1176" s="2"/>
      <c r="Z1176" s="11"/>
      <c r="AA1176" s="15"/>
      <c r="AB1176" s="15"/>
      <c r="AC1176" s="15"/>
      <c r="AD1176" s="35"/>
      <c r="AE1176" s="99"/>
      <c r="AF1176" s="99"/>
      <c r="AG1176" s="35"/>
      <c r="AH1176" s="35"/>
      <c r="AI1176" s="35"/>
      <c r="AJ1176" s="1"/>
      <c r="AK1176" s="1"/>
      <c r="AL1176" s="1"/>
      <c r="AM1176" s="1"/>
      <c r="AN1176" s="1"/>
      <c r="AO1176" s="1"/>
      <c r="AP1176"/>
      <c r="AQ1176"/>
      <c r="AR1176"/>
      <c r="AS1176"/>
      <c r="AT1176" s="50"/>
      <c r="AU1176" s="97"/>
      <c r="AV1176" s="97"/>
      <c r="AW1176" s="97"/>
      <c r="AX1176" s="97"/>
      <c r="AY1176" s="97"/>
      <c r="BD1176" s="35"/>
      <c r="BE1176" s="35"/>
      <c r="BV1176" s="98"/>
      <c r="BW1176" s="98"/>
      <c r="BX1176" s="98"/>
      <c r="BY1176" s="112"/>
      <c r="BZ1176" s="112"/>
      <c r="CA1176" s="112"/>
      <c r="CB1176" s="98"/>
      <c r="CC1176" s="98"/>
      <c r="CD1176" s="98"/>
      <c r="CE1176" s="98"/>
      <c r="CG1176" s="100"/>
      <c r="CH1176" s="100"/>
      <c r="CI1176" s="100"/>
      <c r="CJ1176" s="100"/>
      <c r="CK1176" s="100"/>
      <c r="CL1176" s="100"/>
      <c r="CM1176" s="100"/>
      <c r="CN1176" s="100"/>
      <c r="CO1176" s="100"/>
      <c r="CP1176" s="100"/>
      <c r="CQ1176" s="100"/>
      <c r="CR1176" s="100"/>
      <c r="CS1176" s="100"/>
      <c r="CT1176" s="100"/>
      <c r="CU1176" s="100"/>
    </row>
    <row r="1177" spans="6:99" s="36" customFormat="1" ht="11.1" customHeight="1" x14ac:dyDescent="0.25">
      <c r="F1177" s="33"/>
      <c r="G1177" s="33"/>
      <c r="H1177" s="33"/>
      <c r="I1177" s="34"/>
      <c r="J1177" s="34"/>
      <c r="K1177" s="14"/>
      <c r="L1177" s="32"/>
      <c r="M1177" s="14"/>
      <c r="N1177" s="14"/>
      <c r="O1177" s="2"/>
      <c r="P1177"/>
      <c r="Q1177" s="2"/>
      <c r="R1177"/>
      <c r="S1177"/>
      <c r="T1177"/>
      <c r="U1177" s="2"/>
      <c r="V1177" s="2"/>
      <c r="W1177" s="2"/>
      <c r="X1177" s="2"/>
      <c r="Y1177" s="2"/>
      <c r="Z1177" s="11"/>
      <c r="AA1177" s="15"/>
      <c r="AB1177" s="15"/>
      <c r="AC1177" s="15"/>
      <c r="AD1177" s="35"/>
      <c r="AE1177" s="99"/>
      <c r="AF1177" s="99"/>
      <c r="AG1177" s="35"/>
      <c r="AH1177" s="35"/>
      <c r="AI1177" s="35"/>
      <c r="AJ1177" s="1"/>
      <c r="AK1177" s="1"/>
      <c r="AL1177" s="1"/>
      <c r="AM1177" s="1"/>
      <c r="AN1177" s="1"/>
      <c r="AO1177" s="1"/>
      <c r="AP1177"/>
      <c r="AQ1177"/>
      <c r="AR1177"/>
      <c r="AS1177"/>
      <c r="AT1177" s="50"/>
      <c r="AU1177" s="97"/>
      <c r="AV1177" s="97"/>
      <c r="AW1177" s="97"/>
      <c r="AX1177" s="97"/>
      <c r="AY1177" s="97"/>
      <c r="BD1177" s="35"/>
      <c r="BE1177" s="35"/>
      <c r="BV1177" s="98"/>
      <c r="BW1177" s="98"/>
      <c r="BX1177" s="98"/>
      <c r="BY1177" s="112"/>
      <c r="BZ1177" s="112"/>
      <c r="CA1177" s="112"/>
      <c r="CB1177" s="98"/>
      <c r="CC1177" s="98"/>
      <c r="CD1177" s="98"/>
      <c r="CE1177" s="98"/>
      <c r="CG1177" s="100"/>
      <c r="CH1177" s="100"/>
      <c r="CI1177" s="100"/>
      <c r="CJ1177" s="100"/>
      <c r="CK1177" s="100"/>
      <c r="CL1177" s="100"/>
      <c r="CM1177" s="100"/>
      <c r="CN1177" s="100"/>
      <c r="CO1177" s="100"/>
      <c r="CP1177" s="100"/>
      <c r="CQ1177" s="100"/>
      <c r="CR1177" s="100"/>
      <c r="CS1177" s="100"/>
      <c r="CT1177" s="100"/>
      <c r="CU1177" s="100"/>
    </row>
    <row r="1178" spans="6:99" s="36" customFormat="1" ht="11.1" customHeight="1" x14ac:dyDescent="0.25">
      <c r="F1178" s="33"/>
      <c r="G1178" s="33"/>
      <c r="H1178" s="33"/>
      <c r="I1178" s="34"/>
      <c r="J1178" s="34"/>
      <c r="K1178" s="14"/>
      <c r="L1178" s="32"/>
      <c r="M1178" s="14"/>
      <c r="N1178" s="14"/>
      <c r="O1178" s="2"/>
      <c r="P1178"/>
      <c r="Q1178" s="2"/>
      <c r="R1178"/>
      <c r="S1178"/>
      <c r="T1178"/>
      <c r="U1178" s="2"/>
      <c r="V1178" s="2"/>
      <c r="W1178" s="2"/>
      <c r="X1178" s="2"/>
      <c r="Y1178" s="2"/>
      <c r="Z1178" s="11"/>
      <c r="AA1178" s="15"/>
      <c r="AB1178" s="15"/>
      <c r="AC1178" s="15"/>
      <c r="AD1178" s="35"/>
      <c r="AE1178" s="99"/>
      <c r="AF1178" s="99"/>
      <c r="AG1178" s="35"/>
      <c r="AH1178" s="35"/>
      <c r="AI1178" s="35"/>
      <c r="AJ1178" s="1"/>
      <c r="AK1178" s="1"/>
      <c r="AL1178" s="1"/>
      <c r="AM1178" s="1"/>
      <c r="AN1178" s="1"/>
      <c r="AO1178" s="1"/>
      <c r="AP1178"/>
      <c r="AQ1178"/>
      <c r="AR1178"/>
      <c r="AS1178"/>
      <c r="AT1178" s="50"/>
      <c r="AU1178" s="97"/>
      <c r="AV1178" s="97"/>
      <c r="AW1178" s="97"/>
      <c r="AX1178" s="97"/>
      <c r="AY1178" s="97"/>
      <c r="BD1178" s="35"/>
      <c r="BE1178" s="35"/>
      <c r="BV1178" s="98"/>
      <c r="BW1178" s="98"/>
      <c r="BX1178" s="98"/>
      <c r="BY1178" s="112"/>
      <c r="BZ1178" s="112"/>
      <c r="CA1178" s="112"/>
      <c r="CB1178" s="98"/>
      <c r="CC1178" s="98"/>
      <c r="CD1178" s="98"/>
      <c r="CE1178" s="98"/>
      <c r="CG1178" s="100"/>
      <c r="CH1178" s="100"/>
      <c r="CI1178" s="100"/>
      <c r="CJ1178" s="100"/>
      <c r="CK1178" s="100"/>
      <c r="CL1178" s="100"/>
      <c r="CM1178" s="100"/>
      <c r="CN1178" s="100"/>
      <c r="CO1178" s="100"/>
      <c r="CP1178" s="100"/>
      <c r="CQ1178" s="100"/>
      <c r="CR1178" s="100"/>
      <c r="CS1178" s="100"/>
      <c r="CT1178" s="100"/>
      <c r="CU1178" s="100"/>
    </row>
    <row r="1179" spans="6:99" s="36" customFormat="1" ht="11.1" customHeight="1" x14ac:dyDescent="0.25">
      <c r="F1179" s="33"/>
      <c r="G1179" s="33"/>
      <c r="H1179" s="33"/>
      <c r="I1179" s="34"/>
      <c r="J1179" s="34"/>
      <c r="K1179" s="14"/>
      <c r="L1179" s="32"/>
      <c r="M1179" s="14"/>
      <c r="N1179" s="14"/>
      <c r="O1179" s="2"/>
      <c r="P1179"/>
      <c r="Q1179" s="2"/>
      <c r="R1179"/>
      <c r="S1179"/>
      <c r="T1179"/>
      <c r="U1179" s="2"/>
      <c r="V1179" s="2"/>
      <c r="W1179" s="2"/>
      <c r="X1179" s="2"/>
      <c r="Y1179" s="2"/>
      <c r="Z1179" s="11"/>
      <c r="AA1179" s="15"/>
      <c r="AB1179" s="15"/>
      <c r="AC1179" s="15"/>
      <c r="AD1179" s="35"/>
      <c r="AE1179" s="99"/>
      <c r="AF1179" s="99"/>
      <c r="AG1179" s="35"/>
      <c r="AH1179" s="35"/>
      <c r="AI1179" s="35"/>
      <c r="AJ1179" s="1"/>
      <c r="AK1179" s="1"/>
      <c r="AL1179" s="1"/>
      <c r="AM1179" s="1"/>
      <c r="AN1179" s="1"/>
      <c r="AO1179" s="1"/>
      <c r="AP1179"/>
      <c r="AQ1179"/>
      <c r="AR1179"/>
      <c r="AS1179"/>
      <c r="AT1179" s="50"/>
      <c r="AU1179" s="97"/>
      <c r="AV1179" s="97"/>
      <c r="AW1179" s="97"/>
      <c r="AX1179" s="97"/>
      <c r="AY1179" s="97"/>
      <c r="BD1179" s="35"/>
      <c r="BE1179" s="35"/>
      <c r="BV1179" s="98"/>
      <c r="BW1179" s="98"/>
      <c r="BX1179" s="98"/>
      <c r="BY1179" s="112"/>
      <c r="BZ1179" s="112"/>
      <c r="CA1179" s="112"/>
      <c r="CB1179" s="98"/>
      <c r="CC1179" s="98"/>
      <c r="CD1179" s="98"/>
      <c r="CE1179" s="98"/>
      <c r="CG1179" s="100"/>
      <c r="CH1179" s="100"/>
      <c r="CI1179" s="100"/>
      <c r="CJ1179" s="100"/>
      <c r="CK1179" s="100"/>
      <c r="CL1179" s="100"/>
      <c r="CM1179" s="100"/>
      <c r="CN1179" s="100"/>
      <c r="CO1179" s="100"/>
      <c r="CP1179" s="100"/>
      <c r="CQ1179" s="100"/>
      <c r="CR1179" s="100"/>
      <c r="CS1179" s="100"/>
      <c r="CT1179" s="100"/>
      <c r="CU1179" s="100"/>
    </row>
    <row r="1180" spans="6:99" s="36" customFormat="1" ht="11.1" customHeight="1" x14ac:dyDescent="0.25">
      <c r="F1180" s="33"/>
      <c r="G1180" s="33"/>
      <c r="H1180" s="33"/>
      <c r="I1180" s="34"/>
      <c r="J1180" s="34"/>
      <c r="K1180" s="14"/>
      <c r="L1180" s="32"/>
      <c r="M1180" s="14"/>
      <c r="N1180" s="14"/>
      <c r="O1180" s="2"/>
      <c r="P1180"/>
      <c r="Q1180" s="2"/>
      <c r="R1180"/>
      <c r="S1180"/>
      <c r="T1180"/>
      <c r="U1180" s="2"/>
      <c r="V1180" s="2"/>
      <c r="W1180" s="2"/>
      <c r="X1180" s="2"/>
      <c r="Y1180" s="2"/>
      <c r="Z1180" s="11"/>
      <c r="AA1180" s="15"/>
      <c r="AB1180" s="15"/>
      <c r="AC1180" s="15"/>
      <c r="AD1180" s="35"/>
      <c r="AE1180" s="99"/>
      <c r="AF1180" s="99"/>
      <c r="AG1180" s="35"/>
      <c r="AH1180" s="35"/>
      <c r="AI1180" s="35"/>
      <c r="AJ1180" s="1"/>
      <c r="AK1180" s="1"/>
      <c r="AL1180" s="1"/>
      <c r="AM1180" s="1"/>
      <c r="AN1180" s="1"/>
      <c r="AO1180" s="1"/>
      <c r="AP1180"/>
      <c r="AQ1180"/>
      <c r="AR1180"/>
      <c r="AS1180"/>
      <c r="AT1180" s="50"/>
      <c r="AU1180" s="97"/>
      <c r="AV1180" s="97"/>
      <c r="AW1180" s="97"/>
      <c r="AX1180" s="97"/>
      <c r="AY1180" s="97"/>
      <c r="BD1180" s="35"/>
      <c r="BE1180" s="35"/>
      <c r="BV1180" s="98"/>
      <c r="BW1180" s="98"/>
      <c r="BX1180" s="98"/>
      <c r="BY1180" s="112"/>
      <c r="BZ1180" s="112"/>
      <c r="CA1180" s="112"/>
      <c r="CB1180" s="98"/>
      <c r="CC1180" s="98"/>
      <c r="CD1180" s="98"/>
      <c r="CE1180" s="98"/>
      <c r="CG1180" s="100"/>
      <c r="CH1180" s="100"/>
      <c r="CI1180" s="100"/>
      <c r="CJ1180" s="100"/>
      <c r="CK1180" s="100"/>
      <c r="CL1180" s="100"/>
      <c r="CM1180" s="100"/>
      <c r="CN1180" s="100"/>
      <c r="CO1180" s="100"/>
      <c r="CP1180" s="100"/>
      <c r="CQ1180" s="100"/>
      <c r="CR1180" s="100"/>
      <c r="CS1180" s="100"/>
      <c r="CT1180" s="100"/>
      <c r="CU1180" s="100"/>
    </row>
    <row r="1181" spans="6:99" s="36" customFormat="1" ht="11.1" customHeight="1" x14ac:dyDescent="0.25">
      <c r="F1181" s="33"/>
      <c r="G1181" s="33"/>
      <c r="H1181" s="33"/>
      <c r="I1181" s="34"/>
      <c r="J1181" s="34"/>
      <c r="K1181" s="14"/>
      <c r="L1181" s="32"/>
      <c r="M1181" s="14"/>
      <c r="N1181" s="14"/>
      <c r="O1181" s="2"/>
      <c r="P1181"/>
      <c r="Q1181" s="2"/>
      <c r="R1181"/>
      <c r="S1181"/>
      <c r="T1181"/>
      <c r="U1181" s="2"/>
      <c r="V1181" s="2"/>
      <c r="W1181" s="2"/>
      <c r="X1181" s="2"/>
      <c r="Y1181" s="2"/>
      <c r="Z1181" s="11"/>
      <c r="AA1181" s="15"/>
      <c r="AB1181" s="15"/>
      <c r="AC1181" s="15"/>
      <c r="AD1181" s="35"/>
      <c r="AE1181" s="99"/>
      <c r="AF1181" s="99"/>
      <c r="AG1181" s="35"/>
      <c r="AH1181" s="35"/>
      <c r="AI1181" s="35"/>
      <c r="AJ1181" s="1"/>
      <c r="AK1181" s="1"/>
      <c r="AL1181" s="1"/>
      <c r="AM1181" s="1"/>
      <c r="AN1181" s="1"/>
      <c r="AO1181" s="1"/>
      <c r="AP1181"/>
      <c r="AQ1181"/>
      <c r="AR1181"/>
      <c r="AS1181"/>
      <c r="AT1181" s="50"/>
      <c r="AU1181" s="97"/>
      <c r="AV1181" s="97"/>
      <c r="AW1181" s="97"/>
      <c r="AX1181" s="97"/>
      <c r="AY1181" s="97"/>
      <c r="BD1181" s="35"/>
      <c r="BE1181" s="35"/>
      <c r="BV1181" s="98"/>
      <c r="BW1181" s="98"/>
      <c r="BX1181" s="98"/>
      <c r="BY1181" s="112"/>
      <c r="BZ1181" s="112"/>
      <c r="CA1181" s="112"/>
      <c r="CB1181" s="98"/>
      <c r="CC1181" s="98"/>
      <c r="CD1181" s="98"/>
      <c r="CE1181" s="98"/>
      <c r="CG1181" s="100"/>
      <c r="CH1181" s="100"/>
      <c r="CI1181" s="100"/>
      <c r="CJ1181" s="100"/>
      <c r="CK1181" s="100"/>
      <c r="CL1181" s="100"/>
      <c r="CM1181" s="100"/>
      <c r="CN1181" s="100"/>
      <c r="CO1181" s="100"/>
      <c r="CP1181" s="100"/>
      <c r="CQ1181" s="100"/>
      <c r="CR1181" s="100"/>
      <c r="CS1181" s="100"/>
      <c r="CT1181" s="100"/>
      <c r="CU1181" s="100"/>
    </row>
    <row r="1182" spans="6:99" s="36" customFormat="1" ht="11.1" customHeight="1" x14ac:dyDescent="0.25">
      <c r="F1182" s="33"/>
      <c r="G1182" s="33"/>
      <c r="H1182" s="33"/>
      <c r="I1182" s="34"/>
      <c r="J1182" s="34"/>
      <c r="K1182" s="14"/>
      <c r="L1182" s="32"/>
      <c r="M1182" s="14"/>
      <c r="N1182" s="14"/>
      <c r="O1182" s="2"/>
      <c r="P1182"/>
      <c r="Q1182" s="2"/>
      <c r="R1182"/>
      <c r="S1182"/>
      <c r="T1182"/>
      <c r="U1182" s="2"/>
      <c r="V1182" s="2"/>
      <c r="W1182" s="2"/>
      <c r="X1182" s="2"/>
      <c r="Y1182" s="2"/>
      <c r="Z1182" s="11"/>
      <c r="AA1182" s="15"/>
      <c r="AB1182" s="15"/>
      <c r="AC1182" s="15"/>
      <c r="AD1182" s="35"/>
      <c r="AE1182" s="99"/>
      <c r="AF1182" s="99"/>
      <c r="AG1182" s="35"/>
      <c r="AH1182" s="35"/>
      <c r="AI1182" s="35"/>
      <c r="AJ1182" s="1"/>
      <c r="AK1182" s="1"/>
      <c r="AL1182" s="1"/>
      <c r="AM1182" s="1"/>
      <c r="AN1182" s="1"/>
      <c r="AO1182" s="1"/>
      <c r="AP1182"/>
      <c r="AQ1182"/>
      <c r="AR1182"/>
      <c r="AS1182"/>
      <c r="AT1182" s="50"/>
      <c r="AU1182" s="97"/>
      <c r="AV1182" s="97"/>
      <c r="AW1182" s="97"/>
      <c r="AX1182" s="97"/>
      <c r="AY1182" s="97"/>
      <c r="BD1182" s="35"/>
      <c r="BE1182" s="35"/>
      <c r="BV1182" s="98"/>
      <c r="BW1182" s="98"/>
      <c r="BX1182" s="98"/>
      <c r="BY1182" s="112"/>
      <c r="BZ1182" s="112"/>
      <c r="CA1182" s="112"/>
      <c r="CB1182" s="98"/>
      <c r="CC1182" s="98"/>
      <c r="CD1182" s="98"/>
      <c r="CE1182" s="98"/>
      <c r="CG1182" s="100"/>
      <c r="CH1182" s="100"/>
      <c r="CI1182" s="100"/>
      <c r="CJ1182" s="100"/>
      <c r="CK1182" s="100"/>
      <c r="CL1182" s="100"/>
      <c r="CM1182" s="100"/>
      <c r="CN1182" s="100"/>
      <c r="CO1182" s="100"/>
      <c r="CP1182" s="100"/>
      <c r="CQ1182" s="100"/>
      <c r="CR1182" s="100"/>
      <c r="CS1182" s="100"/>
      <c r="CT1182" s="100"/>
      <c r="CU1182" s="100"/>
    </row>
    <row r="1183" spans="6:99" s="36" customFormat="1" ht="11.1" customHeight="1" x14ac:dyDescent="0.25">
      <c r="F1183" s="33"/>
      <c r="G1183" s="33"/>
      <c r="H1183" s="33"/>
      <c r="I1183" s="34"/>
      <c r="J1183" s="34"/>
      <c r="K1183" s="14"/>
      <c r="L1183" s="32"/>
      <c r="M1183" s="14"/>
      <c r="N1183" s="14"/>
      <c r="O1183" s="2"/>
      <c r="P1183"/>
      <c r="Q1183" s="2"/>
      <c r="R1183"/>
      <c r="S1183"/>
      <c r="T1183"/>
      <c r="U1183" s="2"/>
      <c r="V1183" s="2"/>
      <c r="W1183" s="2"/>
      <c r="X1183" s="2"/>
      <c r="Y1183" s="2"/>
      <c r="Z1183" s="11"/>
      <c r="AA1183" s="15"/>
      <c r="AB1183" s="15"/>
      <c r="AC1183" s="15"/>
      <c r="AD1183" s="35"/>
      <c r="AE1183" s="99"/>
      <c r="AF1183" s="99"/>
      <c r="AG1183" s="35"/>
      <c r="AH1183" s="35"/>
      <c r="AI1183" s="35"/>
      <c r="AJ1183" s="1"/>
      <c r="AK1183" s="1"/>
      <c r="AL1183" s="1"/>
      <c r="AM1183" s="1"/>
      <c r="AN1183" s="1"/>
      <c r="AO1183" s="1"/>
      <c r="AP1183"/>
      <c r="AQ1183"/>
      <c r="AR1183"/>
      <c r="AS1183"/>
      <c r="AT1183" s="50"/>
      <c r="AU1183" s="97"/>
      <c r="AV1183" s="97"/>
      <c r="AW1183" s="97"/>
      <c r="AX1183" s="97"/>
      <c r="AY1183" s="97"/>
      <c r="BD1183" s="35"/>
      <c r="BE1183" s="35"/>
      <c r="BV1183" s="98"/>
      <c r="BW1183" s="98"/>
      <c r="BX1183" s="98"/>
      <c r="BY1183" s="112"/>
      <c r="BZ1183" s="112"/>
      <c r="CA1183" s="112"/>
      <c r="CB1183" s="98"/>
      <c r="CC1183" s="98"/>
      <c r="CD1183" s="98"/>
      <c r="CE1183" s="98"/>
      <c r="CG1183" s="100"/>
      <c r="CH1183" s="100"/>
      <c r="CI1183" s="100"/>
      <c r="CJ1183" s="100"/>
      <c r="CK1183" s="100"/>
      <c r="CL1183" s="100"/>
      <c r="CM1183" s="100"/>
      <c r="CN1183" s="100"/>
      <c r="CO1183" s="100"/>
      <c r="CP1183" s="100"/>
      <c r="CQ1183" s="100"/>
      <c r="CR1183" s="100"/>
      <c r="CS1183" s="100"/>
      <c r="CT1183" s="100"/>
      <c r="CU1183" s="100"/>
    </row>
    <row r="1184" spans="6:99" s="36" customFormat="1" ht="11.1" customHeight="1" x14ac:dyDescent="0.25">
      <c r="F1184" s="33"/>
      <c r="G1184" s="33"/>
      <c r="H1184" s="33"/>
      <c r="I1184" s="34"/>
      <c r="J1184" s="34"/>
      <c r="K1184" s="14"/>
      <c r="L1184" s="32"/>
      <c r="M1184" s="14"/>
      <c r="N1184" s="14"/>
      <c r="O1184" s="2"/>
      <c r="P1184"/>
      <c r="Q1184" s="2"/>
      <c r="R1184"/>
      <c r="S1184"/>
      <c r="T1184"/>
      <c r="U1184" s="2"/>
      <c r="V1184" s="2"/>
      <c r="W1184" s="2"/>
      <c r="X1184" s="2"/>
      <c r="Y1184" s="2"/>
      <c r="Z1184" s="11"/>
      <c r="AA1184" s="15"/>
      <c r="AB1184" s="15"/>
      <c r="AC1184" s="15"/>
      <c r="AD1184" s="35"/>
      <c r="AE1184" s="99"/>
      <c r="AF1184" s="99"/>
      <c r="AG1184" s="35"/>
      <c r="AH1184" s="35"/>
      <c r="AI1184" s="35"/>
      <c r="AJ1184" s="1"/>
      <c r="AK1184" s="1"/>
      <c r="AL1184" s="1"/>
      <c r="AM1184" s="1"/>
      <c r="AN1184" s="1"/>
      <c r="AO1184" s="1"/>
      <c r="AP1184"/>
      <c r="AQ1184"/>
      <c r="AR1184"/>
      <c r="AS1184"/>
      <c r="AT1184" s="50"/>
      <c r="AU1184" s="97"/>
      <c r="AV1184" s="97"/>
      <c r="AW1184" s="97"/>
      <c r="AX1184" s="97"/>
      <c r="AY1184" s="97"/>
      <c r="BD1184" s="35"/>
      <c r="BE1184" s="35"/>
      <c r="BV1184" s="98"/>
      <c r="BW1184" s="98"/>
      <c r="BX1184" s="98"/>
      <c r="BY1184" s="112"/>
      <c r="BZ1184" s="112"/>
      <c r="CA1184" s="112"/>
      <c r="CB1184" s="98"/>
      <c r="CC1184" s="98"/>
      <c r="CD1184" s="98"/>
      <c r="CE1184" s="98"/>
      <c r="CG1184" s="100"/>
      <c r="CH1184" s="100"/>
      <c r="CI1184" s="100"/>
      <c r="CJ1184" s="100"/>
      <c r="CK1184" s="100"/>
      <c r="CL1184" s="100"/>
      <c r="CM1184" s="100"/>
      <c r="CN1184" s="100"/>
      <c r="CO1184" s="100"/>
      <c r="CP1184" s="100"/>
      <c r="CQ1184" s="100"/>
      <c r="CR1184" s="100"/>
      <c r="CS1184" s="100"/>
      <c r="CT1184" s="100"/>
      <c r="CU1184" s="100"/>
    </row>
    <row r="1185" spans="6:99" s="36" customFormat="1" ht="11.1" customHeight="1" x14ac:dyDescent="0.25">
      <c r="F1185" s="33"/>
      <c r="G1185" s="33"/>
      <c r="H1185" s="33"/>
      <c r="I1185" s="34"/>
      <c r="J1185" s="34"/>
      <c r="K1185" s="14"/>
      <c r="L1185" s="32"/>
      <c r="M1185" s="14"/>
      <c r="N1185" s="14"/>
      <c r="O1185" s="2"/>
      <c r="P1185"/>
      <c r="Q1185" s="2"/>
      <c r="R1185"/>
      <c r="S1185"/>
      <c r="T1185"/>
      <c r="U1185" s="2"/>
      <c r="V1185" s="2"/>
      <c r="W1185" s="2"/>
      <c r="X1185" s="2"/>
      <c r="Y1185" s="2"/>
      <c r="Z1185" s="11"/>
      <c r="AA1185" s="15"/>
      <c r="AB1185" s="15"/>
      <c r="AC1185" s="15"/>
      <c r="AD1185" s="35"/>
      <c r="AE1185" s="99"/>
      <c r="AF1185" s="99"/>
      <c r="AG1185" s="35"/>
      <c r="AH1185" s="35"/>
      <c r="AI1185" s="35"/>
      <c r="AJ1185" s="1"/>
      <c r="AK1185" s="1"/>
      <c r="AL1185" s="1"/>
      <c r="AM1185" s="1"/>
      <c r="AN1185" s="1"/>
      <c r="AO1185" s="1"/>
      <c r="AP1185"/>
      <c r="AQ1185"/>
      <c r="AR1185"/>
      <c r="AS1185"/>
      <c r="AT1185" s="50"/>
      <c r="AU1185" s="97"/>
      <c r="AV1185" s="97"/>
      <c r="AW1185" s="97"/>
      <c r="AX1185" s="97"/>
      <c r="AY1185" s="97"/>
      <c r="BD1185" s="35"/>
      <c r="BE1185" s="35"/>
      <c r="BV1185" s="98"/>
      <c r="BW1185" s="98"/>
      <c r="BX1185" s="98"/>
      <c r="BY1185" s="112"/>
      <c r="BZ1185" s="112"/>
      <c r="CA1185" s="112"/>
      <c r="CB1185" s="98"/>
      <c r="CC1185" s="98"/>
      <c r="CD1185" s="98"/>
      <c r="CE1185" s="98"/>
      <c r="CG1185" s="100"/>
      <c r="CH1185" s="100"/>
      <c r="CI1185" s="100"/>
      <c r="CJ1185" s="100"/>
      <c r="CK1185" s="100"/>
      <c r="CL1185" s="100"/>
      <c r="CM1185" s="100"/>
      <c r="CN1185" s="100"/>
      <c r="CO1185" s="100"/>
      <c r="CP1185" s="100"/>
      <c r="CQ1185" s="100"/>
      <c r="CR1185" s="100"/>
      <c r="CS1185" s="100"/>
      <c r="CT1185" s="100"/>
      <c r="CU1185" s="100"/>
    </row>
    <row r="1186" spans="6:99" s="36" customFormat="1" ht="11.1" customHeight="1" x14ac:dyDescent="0.25">
      <c r="F1186" s="33"/>
      <c r="G1186" s="33"/>
      <c r="H1186" s="33"/>
      <c r="I1186" s="34"/>
      <c r="J1186" s="34"/>
      <c r="K1186" s="14"/>
      <c r="L1186" s="32"/>
      <c r="M1186" s="14"/>
      <c r="N1186" s="14"/>
      <c r="O1186" s="2"/>
      <c r="P1186"/>
      <c r="Q1186" s="2"/>
      <c r="R1186"/>
      <c r="S1186"/>
      <c r="T1186"/>
      <c r="U1186" s="2"/>
      <c r="V1186" s="2"/>
      <c r="W1186" s="2"/>
      <c r="X1186" s="2"/>
      <c r="Y1186" s="2"/>
      <c r="Z1186" s="11"/>
      <c r="AA1186" s="15"/>
      <c r="AB1186" s="15"/>
      <c r="AC1186" s="15"/>
      <c r="AD1186" s="35"/>
      <c r="AE1186" s="99"/>
      <c r="AF1186" s="99"/>
      <c r="AG1186" s="35"/>
      <c r="AH1186" s="35"/>
      <c r="AI1186" s="35"/>
      <c r="AJ1186" s="1"/>
      <c r="AK1186" s="1"/>
      <c r="AL1186" s="1"/>
      <c r="AM1186" s="1"/>
      <c r="AN1186" s="1"/>
      <c r="AO1186" s="1"/>
      <c r="AP1186"/>
      <c r="AQ1186"/>
      <c r="AR1186"/>
      <c r="AS1186"/>
      <c r="AT1186" s="50"/>
      <c r="AU1186" s="97"/>
      <c r="AV1186" s="97"/>
      <c r="AW1186" s="97"/>
      <c r="AX1186" s="97"/>
      <c r="AY1186" s="97"/>
      <c r="BD1186" s="35"/>
      <c r="BE1186" s="35"/>
      <c r="BV1186" s="98"/>
      <c r="BW1186" s="98"/>
      <c r="BX1186" s="98"/>
      <c r="BY1186" s="112"/>
      <c r="BZ1186" s="112"/>
      <c r="CA1186" s="112"/>
      <c r="CB1186" s="98"/>
      <c r="CC1186" s="98"/>
      <c r="CD1186" s="98"/>
      <c r="CE1186" s="98"/>
      <c r="CG1186" s="100"/>
      <c r="CH1186" s="100"/>
      <c r="CI1186" s="100"/>
      <c r="CJ1186" s="100"/>
      <c r="CK1186" s="100"/>
      <c r="CL1186" s="100"/>
      <c r="CM1186" s="100"/>
      <c r="CN1186" s="100"/>
      <c r="CO1186" s="100"/>
      <c r="CP1186" s="100"/>
      <c r="CQ1186" s="100"/>
      <c r="CR1186" s="100"/>
      <c r="CS1186" s="100"/>
      <c r="CT1186" s="100"/>
      <c r="CU1186" s="100"/>
    </row>
    <row r="1187" spans="6:99" s="36" customFormat="1" ht="11.1" customHeight="1" x14ac:dyDescent="0.25">
      <c r="F1187" s="33"/>
      <c r="G1187" s="33"/>
      <c r="H1187" s="33"/>
      <c r="I1187" s="34"/>
      <c r="J1187" s="34"/>
      <c r="K1187" s="14"/>
      <c r="L1187" s="32"/>
      <c r="M1187" s="14"/>
      <c r="N1187" s="14"/>
      <c r="O1187" s="2"/>
      <c r="P1187"/>
      <c r="Q1187" s="2"/>
      <c r="R1187"/>
      <c r="S1187"/>
      <c r="T1187"/>
      <c r="U1187" s="2"/>
      <c r="V1187" s="2"/>
      <c r="W1187" s="2"/>
      <c r="X1187" s="2"/>
      <c r="Y1187" s="2"/>
      <c r="Z1187" s="11"/>
      <c r="AA1187" s="15"/>
      <c r="AB1187" s="15"/>
      <c r="AC1187" s="15"/>
      <c r="AD1187" s="35"/>
      <c r="AE1187" s="99"/>
      <c r="AF1187" s="99"/>
      <c r="AG1187" s="35"/>
      <c r="AH1187" s="35"/>
      <c r="AI1187" s="35"/>
      <c r="AJ1187" s="1"/>
      <c r="AK1187" s="1"/>
      <c r="AL1187" s="1"/>
      <c r="AM1187" s="1"/>
      <c r="AN1187" s="1"/>
      <c r="AO1187" s="1"/>
      <c r="AP1187"/>
      <c r="AQ1187"/>
      <c r="AR1187"/>
      <c r="AS1187"/>
      <c r="AT1187" s="97"/>
      <c r="AU1187" s="97"/>
      <c r="AV1187" s="97"/>
      <c r="AW1187" s="97"/>
      <c r="AX1187" s="97"/>
      <c r="AY1187" s="97"/>
      <c r="BD1187" s="35"/>
      <c r="BE1187" s="35"/>
      <c r="BV1187" s="98"/>
      <c r="BW1187" s="98"/>
      <c r="BX1187" s="98"/>
      <c r="BY1187" s="112"/>
      <c r="BZ1187" s="112"/>
      <c r="CA1187" s="112"/>
      <c r="CB1187" s="98"/>
      <c r="CC1187" s="98"/>
      <c r="CD1187" s="98"/>
      <c r="CE1187" s="98"/>
      <c r="CG1187" s="100"/>
      <c r="CH1187" s="100"/>
      <c r="CI1187" s="100"/>
      <c r="CJ1187" s="100"/>
      <c r="CK1187" s="100"/>
      <c r="CL1187" s="100"/>
      <c r="CM1187" s="100"/>
      <c r="CN1187" s="100"/>
      <c r="CO1187" s="100"/>
      <c r="CP1187" s="100"/>
      <c r="CQ1187" s="100"/>
      <c r="CR1187" s="100"/>
      <c r="CS1187" s="100"/>
      <c r="CT1187" s="100"/>
      <c r="CU1187" s="100"/>
    </row>
    <row r="1188" spans="6:99" s="36" customFormat="1" ht="11.1" customHeight="1" x14ac:dyDescent="0.25">
      <c r="F1188" s="33"/>
      <c r="G1188" s="33"/>
      <c r="H1188" s="33"/>
      <c r="I1188" s="34"/>
      <c r="J1188" s="34"/>
      <c r="K1188" s="14"/>
      <c r="L1188" s="32"/>
      <c r="M1188" s="14"/>
      <c r="N1188" s="14"/>
      <c r="O1188" s="2"/>
      <c r="P1188"/>
      <c r="Q1188" s="2"/>
      <c r="R1188"/>
      <c r="S1188"/>
      <c r="T1188"/>
      <c r="U1188" s="2"/>
      <c r="V1188" s="2"/>
      <c r="W1188" s="2"/>
      <c r="X1188" s="2"/>
      <c r="Y1188" s="2"/>
      <c r="Z1188" s="11"/>
      <c r="AA1188" s="15"/>
      <c r="AB1188" s="15"/>
      <c r="AC1188" s="15"/>
      <c r="AD1188" s="35"/>
      <c r="AE1188" s="99"/>
      <c r="AF1188" s="99"/>
      <c r="AG1188" s="35"/>
      <c r="AH1188" s="35"/>
      <c r="AI1188" s="35"/>
      <c r="AJ1188" s="1"/>
      <c r="AK1188" s="1"/>
      <c r="AL1188" s="1"/>
      <c r="AM1188" s="1"/>
      <c r="AN1188" s="1"/>
      <c r="AO1188" s="1"/>
      <c r="AP1188"/>
      <c r="AQ1188"/>
      <c r="AR1188"/>
      <c r="AS1188"/>
      <c r="AT1188" s="97"/>
      <c r="AU1188" s="97"/>
      <c r="AV1188" s="97"/>
      <c r="AW1188" s="97"/>
      <c r="AX1188" s="97"/>
      <c r="AY1188" s="97"/>
      <c r="BD1188" s="35"/>
      <c r="BE1188" s="35"/>
      <c r="BV1188" s="98"/>
      <c r="BW1188" s="98"/>
      <c r="BX1188" s="98"/>
      <c r="BY1188" s="112"/>
      <c r="BZ1188" s="112"/>
      <c r="CA1188" s="112"/>
      <c r="CB1188" s="98"/>
      <c r="CC1188" s="98"/>
      <c r="CD1188" s="98"/>
      <c r="CE1188" s="98"/>
      <c r="CG1188" s="100"/>
      <c r="CH1188" s="100"/>
      <c r="CI1188" s="100"/>
      <c r="CJ1188" s="100"/>
      <c r="CK1188" s="100"/>
      <c r="CL1188" s="100"/>
      <c r="CM1188" s="100"/>
      <c r="CN1188" s="100"/>
      <c r="CO1188" s="100"/>
      <c r="CP1188" s="100"/>
      <c r="CQ1188" s="100"/>
      <c r="CR1188" s="100"/>
      <c r="CS1188" s="100"/>
      <c r="CT1188" s="100"/>
      <c r="CU1188" s="100"/>
    </row>
    <row r="1189" spans="6:99" s="36" customFormat="1" ht="11.1" customHeight="1" x14ac:dyDescent="0.25">
      <c r="F1189" s="33"/>
      <c r="G1189" s="33"/>
      <c r="H1189" s="33"/>
      <c r="I1189" s="34"/>
      <c r="J1189" s="34"/>
      <c r="K1189" s="14"/>
      <c r="L1189" s="32"/>
      <c r="M1189" s="14"/>
      <c r="N1189" s="14"/>
      <c r="O1189" s="2"/>
      <c r="P1189"/>
      <c r="Q1189" s="2"/>
      <c r="R1189"/>
      <c r="S1189"/>
      <c r="T1189"/>
      <c r="U1189" s="2"/>
      <c r="V1189" s="2"/>
      <c r="W1189" s="2"/>
      <c r="X1189" s="2"/>
      <c r="Y1189" s="2"/>
      <c r="Z1189" s="11"/>
      <c r="AA1189" s="15"/>
      <c r="AB1189" s="15"/>
      <c r="AC1189" s="15"/>
      <c r="AD1189" s="35"/>
      <c r="AE1189" s="99"/>
      <c r="AF1189" s="99"/>
      <c r="AG1189" s="35"/>
      <c r="AH1189" s="35"/>
      <c r="AI1189" s="35"/>
      <c r="AJ1189" s="1"/>
      <c r="AK1189" s="1"/>
      <c r="AL1189" s="1"/>
      <c r="AM1189" s="1"/>
      <c r="AN1189" s="1"/>
      <c r="AO1189" s="1"/>
      <c r="AP1189"/>
      <c r="AQ1189"/>
      <c r="AR1189"/>
      <c r="AS1189"/>
      <c r="AT1189" s="97"/>
      <c r="AU1189" s="97"/>
      <c r="AV1189" s="97"/>
      <c r="AW1189" s="97"/>
      <c r="AX1189" s="97"/>
      <c r="AY1189" s="97"/>
      <c r="BD1189" s="35"/>
      <c r="BE1189" s="35"/>
      <c r="BV1189" s="98"/>
      <c r="BW1189" s="98"/>
      <c r="BX1189" s="98"/>
      <c r="BY1189" s="112"/>
      <c r="BZ1189" s="112"/>
      <c r="CA1189" s="112"/>
      <c r="CB1189" s="98"/>
      <c r="CC1189" s="98"/>
      <c r="CD1189" s="98"/>
      <c r="CE1189" s="98"/>
      <c r="CG1189" s="100"/>
      <c r="CH1189" s="100"/>
      <c r="CI1189" s="100"/>
      <c r="CJ1189" s="100"/>
      <c r="CK1189" s="100"/>
      <c r="CL1189" s="100"/>
      <c r="CM1189" s="100"/>
      <c r="CN1189" s="100"/>
      <c r="CO1189" s="100"/>
      <c r="CP1189" s="100"/>
      <c r="CQ1189" s="100"/>
      <c r="CR1189" s="100"/>
      <c r="CS1189" s="100"/>
      <c r="CT1189" s="100"/>
      <c r="CU1189" s="100"/>
    </row>
    <row r="1190" spans="6:99" s="36" customFormat="1" ht="11.1" customHeight="1" x14ac:dyDescent="0.25">
      <c r="F1190" s="33"/>
      <c r="G1190" s="33"/>
      <c r="H1190" s="33"/>
      <c r="I1190" s="34"/>
      <c r="J1190" s="34"/>
      <c r="K1190" s="14"/>
      <c r="L1190" s="32"/>
      <c r="M1190" s="14"/>
      <c r="N1190" s="14"/>
      <c r="O1190" s="2"/>
      <c r="P1190"/>
      <c r="Q1190" s="2"/>
      <c r="R1190"/>
      <c r="S1190"/>
      <c r="T1190"/>
      <c r="U1190" s="2"/>
      <c r="V1190" s="2"/>
      <c r="W1190" s="2"/>
      <c r="X1190" s="2"/>
      <c r="Y1190" s="2"/>
      <c r="Z1190" s="11"/>
      <c r="AA1190" s="15"/>
      <c r="AB1190" s="15"/>
      <c r="AC1190" s="15"/>
      <c r="AD1190" s="35"/>
      <c r="AE1190" s="99"/>
      <c r="AF1190" s="99"/>
      <c r="AG1190" s="35"/>
      <c r="AH1190" s="35"/>
      <c r="AI1190" s="35"/>
      <c r="AJ1190" s="1"/>
      <c r="AK1190" s="1"/>
      <c r="AL1190" s="1"/>
      <c r="AM1190" s="1"/>
      <c r="AN1190" s="1"/>
      <c r="AO1190" s="1"/>
      <c r="AP1190"/>
      <c r="AQ1190"/>
      <c r="AR1190"/>
      <c r="AS1190"/>
      <c r="AT1190" s="97"/>
      <c r="AU1190" s="97"/>
      <c r="AV1190" s="97"/>
      <c r="AW1190" s="97"/>
      <c r="AX1190" s="97"/>
      <c r="AY1190" s="97"/>
      <c r="BD1190" s="35"/>
      <c r="BE1190" s="35"/>
      <c r="BV1190" s="98"/>
      <c r="BW1190" s="98"/>
      <c r="BX1190" s="98"/>
      <c r="BY1190" s="112"/>
      <c r="BZ1190" s="112"/>
      <c r="CA1190" s="112"/>
      <c r="CB1190" s="98"/>
      <c r="CC1190" s="98"/>
      <c r="CD1190" s="98"/>
      <c r="CE1190" s="98"/>
      <c r="CG1190" s="100"/>
      <c r="CH1190" s="100"/>
      <c r="CI1190" s="100"/>
      <c r="CJ1190" s="100"/>
      <c r="CK1190" s="100"/>
      <c r="CL1190" s="100"/>
      <c r="CM1190" s="100"/>
      <c r="CN1190" s="100"/>
      <c r="CO1190" s="100"/>
      <c r="CP1190" s="100"/>
      <c r="CQ1190" s="100"/>
      <c r="CR1190" s="100"/>
      <c r="CS1190" s="100"/>
      <c r="CT1190" s="100"/>
      <c r="CU1190" s="100"/>
    </row>
    <row r="1191" spans="6:99" s="36" customFormat="1" ht="11.1" customHeight="1" x14ac:dyDescent="0.25">
      <c r="F1191" s="33"/>
      <c r="G1191" s="33"/>
      <c r="H1191" s="33"/>
      <c r="I1191" s="34"/>
      <c r="J1191" s="34"/>
      <c r="K1191" s="14"/>
      <c r="L1191" s="32"/>
      <c r="M1191" s="14"/>
      <c r="N1191" s="14"/>
      <c r="O1191" s="2"/>
      <c r="P1191"/>
      <c r="Q1191" s="2"/>
      <c r="R1191"/>
      <c r="S1191"/>
      <c r="T1191"/>
      <c r="U1191" s="2"/>
      <c r="V1191" s="2"/>
      <c r="W1191" s="2"/>
      <c r="X1191" s="2"/>
      <c r="Y1191" s="2"/>
      <c r="Z1191" s="11"/>
      <c r="AA1191" s="15"/>
      <c r="AB1191" s="15"/>
      <c r="AC1191" s="15"/>
      <c r="AD1191" s="35"/>
      <c r="AE1191" s="99"/>
      <c r="AF1191" s="99"/>
      <c r="AG1191" s="35"/>
      <c r="AH1191" s="35"/>
      <c r="AI1191" s="35"/>
      <c r="AJ1191" s="1"/>
      <c r="AK1191" s="1"/>
      <c r="AL1191" s="1"/>
      <c r="AM1191" s="1"/>
      <c r="AN1191" s="1"/>
      <c r="AO1191" s="1"/>
      <c r="AP1191"/>
      <c r="AQ1191"/>
      <c r="AR1191"/>
      <c r="AS1191"/>
      <c r="AT1191" s="97"/>
      <c r="AU1191" s="97"/>
      <c r="AV1191" s="97"/>
      <c r="AW1191" s="97"/>
      <c r="AX1191" s="97"/>
      <c r="AY1191" s="97"/>
      <c r="BD1191" s="35"/>
      <c r="BE1191" s="35"/>
      <c r="BV1191" s="98"/>
      <c r="BW1191" s="98"/>
      <c r="BX1191" s="98"/>
      <c r="BY1191" s="112"/>
      <c r="BZ1191" s="112"/>
      <c r="CA1191" s="112"/>
      <c r="CB1191" s="98"/>
      <c r="CC1191" s="98"/>
      <c r="CD1191" s="98"/>
      <c r="CE1191" s="98"/>
      <c r="CG1191" s="100"/>
      <c r="CH1191" s="100"/>
      <c r="CI1191" s="100"/>
      <c r="CJ1191" s="100"/>
      <c r="CK1191" s="100"/>
      <c r="CL1191" s="100"/>
      <c r="CM1191" s="100"/>
      <c r="CN1191" s="100"/>
      <c r="CO1191" s="100"/>
      <c r="CP1191" s="100"/>
      <c r="CQ1191" s="100"/>
      <c r="CR1191" s="100"/>
      <c r="CS1191" s="100"/>
      <c r="CT1191" s="100"/>
      <c r="CU1191" s="100"/>
    </row>
    <row r="1192" spans="6:99" s="36" customFormat="1" ht="11.1" customHeight="1" x14ac:dyDescent="0.25">
      <c r="F1192" s="33"/>
      <c r="G1192" s="33"/>
      <c r="H1192" s="33"/>
      <c r="I1192" s="34"/>
      <c r="J1192" s="34"/>
      <c r="K1192" s="14"/>
      <c r="L1192" s="32"/>
      <c r="M1192" s="14"/>
      <c r="N1192" s="14"/>
      <c r="O1192" s="2"/>
      <c r="P1192"/>
      <c r="Q1192" s="2"/>
      <c r="R1192"/>
      <c r="S1192"/>
      <c r="T1192"/>
      <c r="U1192" s="2"/>
      <c r="V1192" s="2"/>
      <c r="W1192" s="2"/>
      <c r="X1192" s="2"/>
      <c r="Y1192" s="2"/>
      <c r="Z1192" s="11"/>
      <c r="AA1192" s="15"/>
      <c r="AB1192" s="15"/>
      <c r="AC1192" s="15"/>
      <c r="AD1192" s="35"/>
      <c r="AE1192" s="99"/>
      <c r="AF1192" s="99"/>
      <c r="AG1192" s="35"/>
      <c r="AH1192" s="35"/>
      <c r="AI1192" s="35"/>
      <c r="AJ1192" s="1"/>
      <c r="AK1192" s="1"/>
      <c r="AL1192" s="1"/>
      <c r="AM1192" s="1"/>
      <c r="AN1192" s="1"/>
      <c r="AO1192" s="1"/>
      <c r="AP1192"/>
      <c r="AQ1192"/>
      <c r="AR1192"/>
      <c r="AS1192"/>
      <c r="AT1192" s="97"/>
      <c r="AU1192" s="97"/>
      <c r="AV1192" s="97"/>
      <c r="AW1192" s="97"/>
      <c r="AX1192" s="97"/>
      <c r="AY1192" s="97"/>
      <c r="BD1192" s="35"/>
      <c r="BE1192" s="35"/>
      <c r="BV1192" s="98"/>
      <c r="BW1192" s="98"/>
      <c r="BX1192" s="98"/>
      <c r="BY1192" s="112"/>
      <c r="BZ1192" s="112"/>
      <c r="CA1192" s="112"/>
      <c r="CB1192" s="98"/>
      <c r="CC1192" s="98"/>
      <c r="CD1192" s="98"/>
      <c r="CE1192" s="98"/>
      <c r="CG1192" s="100"/>
      <c r="CH1192" s="100"/>
      <c r="CI1192" s="100"/>
      <c r="CJ1192" s="100"/>
      <c r="CK1192" s="100"/>
      <c r="CL1192" s="100"/>
      <c r="CM1192" s="100"/>
      <c r="CN1192" s="100"/>
      <c r="CO1192" s="100"/>
      <c r="CP1192" s="100"/>
      <c r="CQ1192" s="100"/>
      <c r="CR1192" s="100"/>
      <c r="CS1192" s="100"/>
      <c r="CT1192" s="100"/>
      <c r="CU1192" s="100"/>
    </row>
    <row r="1193" spans="6:99" s="36" customFormat="1" ht="11.1" customHeight="1" x14ac:dyDescent="0.25">
      <c r="F1193" s="33"/>
      <c r="G1193" s="33"/>
      <c r="H1193" s="33"/>
      <c r="I1193" s="34"/>
      <c r="J1193" s="34"/>
      <c r="K1193" s="14"/>
      <c r="L1193" s="32"/>
      <c r="M1193" s="14"/>
      <c r="N1193" s="14"/>
      <c r="O1193" s="2"/>
      <c r="P1193"/>
      <c r="Q1193" s="2"/>
      <c r="R1193"/>
      <c r="S1193"/>
      <c r="T1193"/>
      <c r="U1193" s="2"/>
      <c r="V1193" s="2"/>
      <c r="W1193" s="2"/>
      <c r="X1193" s="2"/>
      <c r="Y1193" s="2"/>
      <c r="Z1193" s="11"/>
      <c r="AA1193" s="15"/>
      <c r="AB1193" s="15"/>
      <c r="AC1193" s="15"/>
      <c r="AD1193" s="35"/>
      <c r="AE1193" s="99"/>
      <c r="AF1193" s="99"/>
      <c r="AG1193" s="35"/>
      <c r="AH1193" s="35"/>
      <c r="AI1193" s="35"/>
      <c r="AJ1193" s="1"/>
      <c r="AK1193" s="1"/>
      <c r="AL1193" s="1"/>
      <c r="AM1193" s="1"/>
      <c r="AN1193" s="1"/>
      <c r="AO1193" s="1"/>
      <c r="AP1193"/>
      <c r="AQ1193"/>
      <c r="AR1193"/>
      <c r="AS1193"/>
      <c r="AT1193" s="97"/>
      <c r="AU1193" s="97"/>
      <c r="AV1193" s="97"/>
      <c r="AW1193" s="97"/>
      <c r="AX1193" s="97"/>
      <c r="AY1193" s="97"/>
      <c r="BD1193" s="35"/>
      <c r="BE1193" s="35"/>
      <c r="BV1193" s="98"/>
      <c r="BW1193" s="98"/>
      <c r="BX1193" s="98"/>
      <c r="BY1193" s="112"/>
      <c r="BZ1193" s="112"/>
      <c r="CA1193" s="112"/>
      <c r="CB1193" s="98"/>
      <c r="CC1193" s="98"/>
      <c r="CD1193" s="98"/>
      <c r="CE1193" s="98"/>
      <c r="CG1193" s="100"/>
      <c r="CH1193" s="100"/>
      <c r="CI1193" s="100"/>
      <c r="CJ1193" s="100"/>
      <c r="CK1193" s="100"/>
      <c r="CL1193" s="100"/>
      <c r="CM1193" s="100"/>
      <c r="CN1193" s="100"/>
      <c r="CO1193" s="100"/>
      <c r="CP1193" s="100"/>
      <c r="CQ1193" s="100"/>
      <c r="CR1193" s="100"/>
      <c r="CS1193" s="100"/>
      <c r="CT1193" s="100"/>
      <c r="CU1193" s="100"/>
    </row>
    <row r="1194" spans="6:99" s="36" customFormat="1" ht="11.1" customHeight="1" x14ac:dyDescent="0.25">
      <c r="F1194" s="33"/>
      <c r="G1194" s="33"/>
      <c r="H1194" s="33"/>
      <c r="I1194" s="34"/>
      <c r="J1194" s="34"/>
      <c r="K1194" s="14"/>
      <c r="L1194" s="32"/>
      <c r="M1194" s="14"/>
      <c r="N1194" s="14"/>
      <c r="O1194" s="2"/>
      <c r="P1194"/>
      <c r="Q1194" s="2"/>
      <c r="R1194"/>
      <c r="S1194"/>
      <c r="T1194"/>
      <c r="U1194" s="2"/>
      <c r="V1194" s="2"/>
      <c r="W1194" s="2"/>
      <c r="X1194" s="2"/>
      <c r="Y1194" s="2"/>
      <c r="Z1194" s="11"/>
      <c r="AA1194" s="15"/>
      <c r="AB1194" s="15"/>
      <c r="AC1194" s="15"/>
      <c r="AD1194" s="35"/>
      <c r="AE1194" s="99"/>
      <c r="AF1194" s="99"/>
      <c r="AG1194" s="35"/>
      <c r="AH1194" s="35"/>
      <c r="AI1194" s="35"/>
      <c r="AJ1194" s="1"/>
      <c r="AK1194" s="1"/>
      <c r="AL1194" s="1"/>
      <c r="AM1194" s="1"/>
      <c r="AN1194" s="1"/>
      <c r="AO1194" s="1"/>
      <c r="AP1194"/>
      <c r="AQ1194"/>
      <c r="AR1194"/>
      <c r="AS1194"/>
      <c r="AT1194" s="97"/>
      <c r="AU1194" s="97"/>
      <c r="AV1194" s="97"/>
      <c r="AW1194" s="97"/>
      <c r="AX1194" s="97"/>
      <c r="AY1194" s="97"/>
      <c r="BD1194" s="35"/>
      <c r="BE1194" s="35"/>
      <c r="BV1194" s="98"/>
      <c r="BW1194" s="98"/>
      <c r="BX1194" s="98"/>
      <c r="BY1194" s="112"/>
      <c r="BZ1194" s="112"/>
      <c r="CA1194" s="112"/>
      <c r="CB1194" s="98"/>
      <c r="CC1194" s="98"/>
      <c r="CD1194" s="98"/>
      <c r="CE1194" s="98"/>
      <c r="CG1194" s="100"/>
      <c r="CH1194" s="100"/>
      <c r="CI1194" s="100"/>
      <c r="CJ1194" s="100"/>
      <c r="CK1194" s="100"/>
      <c r="CL1194" s="100"/>
      <c r="CM1194" s="100"/>
      <c r="CN1194" s="100"/>
      <c r="CO1194" s="100"/>
      <c r="CP1194" s="100"/>
      <c r="CQ1194" s="100"/>
      <c r="CR1194" s="100"/>
      <c r="CS1194" s="100"/>
      <c r="CT1194" s="100"/>
      <c r="CU1194" s="100"/>
    </row>
    <row r="1195" spans="6:99" s="36" customFormat="1" ht="11.1" customHeight="1" x14ac:dyDescent="0.25">
      <c r="F1195" s="33"/>
      <c r="G1195" s="33"/>
      <c r="H1195" s="33"/>
      <c r="I1195" s="34"/>
      <c r="J1195" s="34"/>
      <c r="K1195" s="37"/>
      <c r="L1195" s="32"/>
      <c r="M1195" s="37"/>
      <c r="N1195" s="37"/>
      <c r="O1195" s="2"/>
      <c r="P1195"/>
      <c r="Q1195" s="2"/>
      <c r="R1195"/>
      <c r="S1195"/>
      <c r="T1195"/>
      <c r="U1195" s="2"/>
      <c r="V1195" s="2"/>
      <c r="W1195" s="2"/>
      <c r="X1195" s="2"/>
      <c r="Y1195" s="2"/>
      <c r="Z1195" s="32"/>
      <c r="AA1195" s="1"/>
      <c r="AB1195" s="1"/>
      <c r="AC1195" s="1"/>
      <c r="AD1195" s="35"/>
      <c r="AE1195" s="99"/>
      <c r="AF1195" s="99"/>
      <c r="AG1195" s="35"/>
      <c r="AH1195" s="35"/>
      <c r="AI1195" s="35"/>
      <c r="AJ1195" s="1"/>
      <c r="AK1195" s="1"/>
      <c r="AL1195" s="1"/>
      <c r="AM1195" s="1"/>
      <c r="AN1195" s="1"/>
      <c r="AO1195" s="1"/>
      <c r="AP1195"/>
      <c r="AQ1195"/>
      <c r="AR1195"/>
      <c r="AS1195"/>
      <c r="AT1195" s="97"/>
      <c r="AU1195" s="97"/>
      <c r="AV1195" s="97"/>
      <c r="AW1195" s="97"/>
      <c r="AX1195" s="97"/>
      <c r="AY1195" s="97"/>
      <c r="BD1195" s="35"/>
      <c r="BE1195" s="35"/>
      <c r="BV1195" s="98"/>
      <c r="BW1195" s="98"/>
      <c r="BX1195" s="98"/>
      <c r="BY1195" s="112"/>
      <c r="BZ1195" s="112"/>
      <c r="CA1195" s="112"/>
      <c r="CB1195" s="98"/>
      <c r="CC1195" s="98"/>
      <c r="CD1195" s="98"/>
      <c r="CE1195" s="98"/>
      <c r="CG1195" s="100"/>
      <c r="CH1195" s="100"/>
      <c r="CI1195" s="100"/>
      <c r="CJ1195" s="100"/>
      <c r="CK1195" s="100"/>
      <c r="CL1195" s="100"/>
      <c r="CM1195" s="100"/>
      <c r="CN1195" s="100"/>
      <c r="CO1195" s="100"/>
      <c r="CP1195" s="100"/>
      <c r="CQ1195" s="100"/>
      <c r="CR1195" s="100"/>
      <c r="CS1195" s="100"/>
      <c r="CT1195" s="100"/>
      <c r="CU1195" s="100"/>
    </row>
    <row r="1196" spans="6:99" s="36" customFormat="1" ht="11.1" customHeight="1" x14ac:dyDescent="0.25">
      <c r="F1196" s="33"/>
      <c r="G1196" s="33"/>
      <c r="H1196" s="33"/>
      <c r="I1196" s="34"/>
      <c r="J1196" s="34"/>
      <c r="K1196" s="37"/>
      <c r="L1196" s="32"/>
      <c r="M1196" s="37"/>
      <c r="N1196" s="37"/>
      <c r="O1196" s="2"/>
      <c r="P1196"/>
      <c r="Q1196" s="2"/>
      <c r="R1196"/>
      <c r="S1196"/>
      <c r="T1196"/>
      <c r="U1196" s="2"/>
      <c r="V1196" s="2"/>
      <c r="W1196" s="2"/>
      <c r="X1196" s="2"/>
      <c r="Y1196" s="2"/>
      <c r="Z1196" s="32"/>
      <c r="AA1196" s="1"/>
      <c r="AB1196" s="1"/>
      <c r="AC1196" s="1"/>
      <c r="AD1196" s="35"/>
      <c r="AE1196" s="99"/>
      <c r="AF1196" s="99"/>
      <c r="AG1196" s="35"/>
      <c r="AH1196" s="35"/>
      <c r="AI1196" s="35"/>
      <c r="AJ1196" s="1"/>
      <c r="AK1196" s="1"/>
      <c r="AL1196" s="1"/>
      <c r="AM1196" s="1"/>
      <c r="AN1196" s="1"/>
      <c r="AO1196" s="1"/>
      <c r="AP1196"/>
      <c r="AQ1196"/>
      <c r="AR1196"/>
      <c r="AS1196"/>
      <c r="AT1196" s="97"/>
      <c r="AU1196" s="97"/>
      <c r="AV1196" s="97"/>
      <c r="AW1196" s="97"/>
      <c r="AX1196" s="97"/>
      <c r="AY1196" s="97"/>
      <c r="BD1196" s="35"/>
      <c r="BE1196" s="35"/>
      <c r="BV1196" s="98"/>
      <c r="BW1196" s="98"/>
      <c r="BX1196" s="98"/>
      <c r="BY1196" s="112"/>
      <c r="BZ1196" s="112"/>
      <c r="CA1196" s="112"/>
      <c r="CB1196" s="98"/>
      <c r="CC1196" s="98"/>
      <c r="CD1196" s="98"/>
      <c r="CE1196" s="98"/>
      <c r="CG1196" s="100"/>
      <c r="CH1196" s="100"/>
      <c r="CI1196" s="100"/>
      <c r="CJ1196" s="100"/>
      <c r="CK1196" s="100"/>
      <c r="CL1196" s="100"/>
      <c r="CM1196" s="100"/>
      <c r="CN1196" s="100"/>
      <c r="CO1196" s="100"/>
      <c r="CP1196" s="100"/>
      <c r="CQ1196" s="100"/>
      <c r="CR1196" s="100"/>
      <c r="CS1196" s="100"/>
      <c r="CT1196" s="100"/>
      <c r="CU1196" s="100"/>
    </row>
    <row r="1197" spans="6:99" s="36" customFormat="1" ht="11.1" customHeight="1" x14ac:dyDescent="0.25">
      <c r="F1197" s="33"/>
      <c r="G1197" s="33"/>
      <c r="H1197" s="33"/>
      <c r="I1197" s="34"/>
      <c r="J1197" s="34"/>
      <c r="K1197" s="37"/>
      <c r="L1197" s="32"/>
      <c r="M1197" s="37"/>
      <c r="N1197" s="37"/>
      <c r="O1197" s="2"/>
      <c r="P1197"/>
      <c r="Q1197" s="2"/>
      <c r="R1197"/>
      <c r="S1197"/>
      <c r="T1197"/>
      <c r="U1197" s="2"/>
      <c r="V1197" s="2"/>
      <c r="W1197" s="2"/>
      <c r="X1197" s="2"/>
      <c r="Y1197" s="2"/>
      <c r="Z1197" s="32"/>
      <c r="AA1197" s="1"/>
      <c r="AB1197" s="1"/>
      <c r="AC1197" s="1"/>
      <c r="AD1197" s="35"/>
      <c r="AE1197" s="99"/>
      <c r="AF1197" s="99"/>
      <c r="AG1197" s="35"/>
      <c r="AH1197" s="35"/>
      <c r="AI1197" s="35"/>
      <c r="AJ1197" s="1"/>
      <c r="AK1197" s="1"/>
      <c r="AL1197" s="1"/>
      <c r="AM1197" s="1"/>
      <c r="AN1197" s="1"/>
      <c r="AO1197" s="1"/>
      <c r="AP1197"/>
      <c r="AQ1197"/>
      <c r="AR1197"/>
      <c r="AS1197"/>
      <c r="AT1197" s="97"/>
      <c r="AU1197" s="97"/>
      <c r="AV1197" s="97"/>
      <c r="AW1197" s="97"/>
      <c r="AX1197" s="97"/>
      <c r="AY1197" s="97"/>
      <c r="BD1197" s="35"/>
      <c r="BE1197" s="35"/>
      <c r="BV1197" s="98"/>
      <c r="BW1197" s="98"/>
      <c r="BX1197" s="98"/>
      <c r="BY1197" s="112"/>
      <c r="BZ1197" s="112"/>
      <c r="CA1197" s="112"/>
      <c r="CB1197" s="98"/>
      <c r="CC1197" s="98"/>
      <c r="CD1197" s="98"/>
      <c r="CE1197" s="98"/>
      <c r="CG1197" s="100"/>
      <c r="CH1197" s="100"/>
      <c r="CI1197" s="100"/>
      <c r="CJ1197" s="100"/>
      <c r="CK1197" s="100"/>
      <c r="CL1197" s="100"/>
      <c r="CM1197" s="100"/>
      <c r="CN1197" s="100"/>
      <c r="CO1197" s="100"/>
      <c r="CP1197" s="100"/>
      <c r="CQ1197" s="100"/>
      <c r="CR1197" s="100"/>
      <c r="CS1197" s="100"/>
      <c r="CT1197" s="100"/>
      <c r="CU1197" s="100"/>
    </row>
    <row r="1198" spans="6:99" s="36" customFormat="1" ht="11.1" customHeight="1" x14ac:dyDescent="0.25">
      <c r="F1198" s="33"/>
      <c r="G1198" s="33"/>
      <c r="H1198" s="33"/>
      <c r="I1198" s="34"/>
      <c r="J1198" s="34"/>
      <c r="K1198" s="37"/>
      <c r="L1198" s="32"/>
      <c r="M1198" s="37"/>
      <c r="N1198" s="37"/>
      <c r="O1198" s="2"/>
      <c r="P1198"/>
      <c r="Q1198" s="2"/>
      <c r="R1198"/>
      <c r="S1198"/>
      <c r="T1198"/>
      <c r="U1198" s="2"/>
      <c r="V1198" s="2"/>
      <c r="W1198" s="2"/>
      <c r="X1198" s="2"/>
      <c r="Y1198" s="2"/>
      <c r="Z1198" s="32"/>
      <c r="AA1198" s="1"/>
      <c r="AB1198" s="1"/>
      <c r="AC1198" s="1"/>
      <c r="AD1198" s="35"/>
      <c r="AE1198" s="99"/>
      <c r="AF1198" s="99"/>
      <c r="AG1198" s="35"/>
      <c r="AH1198" s="35"/>
      <c r="AI1198" s="35"/>
      <c r="AJ1198" s="1"/>
      <c r="AK1198" s="1"/>
      <c r="AL1198" s="1"/>
      <c r="AM1198" s="1"/>
      <c r="AN1198" s="1"/>
      <c r="AO1198" s="1"/>
      <c r="AP1198"/>
      <c r="AQ1198"/>
      <c r="AR1198"/>
      <c r="AS1198"/>
      <c r="AT1198" s="97"/>
      <c r="AU1198" s="97"/>
      <c r="AV1198" s="97"/>
      <c r="AW1198" s="97"/>
      <c r="AX1198" s="97"/>
      <c r="AY1198" s="97"/>
      <c r="BD1198" s="35"/>
      <c r="BE1198" s="35"/>
      <c r="BV1198" s="98"/>
      <c r="BW1198" s="98"/>
      <c r="BX1198" s="98"/>
      <c r="BY1198" s="112"/>
      <c r="BZ1198" s="112"/>
      <c r="CA1198" s="112"/>
      <c r="CB1198" s="98"/>
      <c r="CC1198" s="98"/>
      <c r="CD1198" s="98"/>
      <c r="CE1198" s="98"/>
      <c r="CG1198" s="100"/>
      <c r="CH1198" s="100"/>
      <c r="CI1198" s="100"/>
      <c r="CJ1198" s="100"/>
      <c r="CK1198" s="100"/>
      <c r="CL1198" s="100"/>
      <c r="CM1198" s="100"/>
      <c r="CN1198" s="100"/>
      <c r="CO1198" s="100"/>
      <c r="CP1198" s="100"/>
      <c r="CQ1198" s="100"/>
      <c r="CR1198" s="100"/>
      <c r="CS1198" s="100"/>
      <c r="CT1198" s="100"/>
      <c r="CU1198" s="100"/>
    </row>
    <row r="1199" spans="6:99" s="36" customFormat="1" ht="11.1" customHeight="1" x14ac:dyDescent="0.25">
      <c r="F1199" s="33"/>
      <c r="G1199" s="33"/>
      <c r="H1199" s="33"/>
      <c r="I1199" s="34"/>
      <c r="J1199" s="34"/>
      <c r="K1199" s="37"/>
      <c r="L1199" s="32"/>
      <c r="M1199" s="37"/>
      <c r="N1199" s="37"/>
      <c r="O1199" s="2"/>
      <c r="P1199"/>
      <c r="Q1199" s="2"/>
      <c r="R1199"/>
      <c r="S1199"/>
      <c r="T1199"/>
      <c r="U1199" s="2"/>
      <c r="V1199" s="2"/>
      <c r="W1199" s="2"/>
      <c r="X1199" s="2"/>
      <c r="Y1199" s="2"/>
      <c r="Z1199" s="32"/>
      <c r="AA1199" s="1"/>
      <c r="AB1199" s="1"/>
      <c r="AC1199" s="1"/>
      <c r="AD1199" s="35"/>
      <c r="AE1199" s="99"/>
      <c r="AF1199" s="99"/>
      <c r="AG1199" s="35"/>
      <c r="AH1199" s="35"/>
      <c r="AI1199" s="35"/>
      <c r="AJ1199" s="1"/>
      <c r="AK1199" s="1"/>
      <c r="AL1199" s="1"/>
      <c r="AM1199" s="1"/>
      <c r="AN1199" s="1"/>
      <c r="AO1199" s="1"/>
      <c r="AP1199"/>
      <c r="AQ1199"/>
      <c r="AR1199"/>
      <c r="AS1199"/>
      <c r="AT1199" s="97"/>
      <c r="AU1199" s="97"/>
      <c r="AV1199" s="97"/>
      <c r="AW1199" s="97"/>
      <c r="AX1199" s="97"/>
      <c r="AY1199" s="97"/>
      <c r="BD1199" s="35"/>
      <c r="BE1199" s="35"/>
      <c r="BV1199" s="98"/>
      <c r="BW1199" s="98"/>
      <c r="BX1199" s="98"/>
      <c r="BY1199" s="112"/>
      <c r="BZ1199" s="112"/>
      <c r="CA1199" s="112"/>
      <c r="CB1199" s="98"/>
      <c r="CC1199" s="98"/>
      <c r="CD1199" s="98"/>
      <c r="CE1199" s="98"/>
      <c r="CG1199" s="100"/>
      <c r="CH1199" s="100"/>
      <c r="CI1199" s="100"/>
      <c r="CJ1199" s="100"/>
      <c r="CK1199" s="100"/>
      <c r="CL1199" s="100"/>
      <c r="CM1199" s="100"/>
      <c r="CN1199" s="100"/>
      <c r="CO1199" s="100"/>
      <c r="CP1199" s="100"/>
      <c r="CQ1199" s="100"/>
      <c r="CR1199" s="100"/>
      <c r="CS1199" s="100"/>
      <c r="CT1199" s="100"/>
      <c r="CU1199" s="100"/>
    </row>
    <row r="1200" spans="6:99" s="36" customFormat="1" ht="11.1" customHeight="1" x14ac:dyDescent="0.25">
      <c r="F1200" s="33"/>
      <c r="G1200" s="33"/>
      <c r="H1200" s="33"/>
      <c r="I1200" s="34"/>
      <c r="J1200" s="34"/>
      <c r="K1200" s="37"/>
      <c r="L1200" s="32"/>
      <c r="M1200" s="37"/>
      <c r="N1200" s="37"/>
      <c r="O1200" s="2"/>
      <c r="P1200"/>
      <c r="Q1200" s="2"/>
      <c r="R1200"/>
      <c r="S1200"/>
      <c r="T1200"/>
      <c r="U1200" s="2"/>
      <c r="V1200" s="2"/>
      <c r="W1200" s="2"/>
      <c r="X1200" s="2"/>
      <c r="Y1200" s="2"/>
      <c r="Z1200" s="32"/>
      <c r="AA1200" s="1"/>
      <c r="AB1200" s="1"/>
      <c r="AC1200" s="1"/>
      <c r="AD1200" s="35"/>
      <c r="AE1200" s="99"/>
      <c r="AF1200" s="99"/>
      <c r="AG1200" s="35"/>
      <c r="AH1200" s="35"/>
      <c r="AI1200" s="35"/>
      <c r="AJ1200" s="1"/>
      <c r="AK1200" s="1"/>
      <c r="AL1200" s="1"/>
      <c r="AM1200" s="1"/>
      <c r="AN1200" s="1"/>
      <c r="AO1200" s="1"/>
      <c r="AP1200"/>
      <c r="AQ1200"/>
      <c r="AR1200"/>
      <c r="AS1200"/>
      <c r="AT1200" s="97"/>
      <c r="AU1200" s="97"/>
      <c r="AV1200" s="97"/>
      <c r="AW1200" s="97"/>
      <c r="AX1200" s="97"/>
      <c r="AY1200" s="97"/>
      <c r="BD1200" s="35"/>
      <c r="BE1200" s="35"/>
      <c r="BV1200" s="98"/>
      <c r="BW1200" s="98"/>
      <c r="BX1200" s="98"/>
      <c r="BY1200" s="112"/>
      <c r="BZ1200" s="112"/>
      <c r="CA1200" s="112"/>
      <c r="CB1200" s="98"/>
      <c r="CC1200" s="98"/>
      <c r="CD1200" s="98"/>
      <c r="CE1200" s="98"/>
      <c r="CG1200" s="100"/>
      <c r="CH1200" s="100"/>
      <c r="CI1200" s="100"/>
      <c r="CJ1200" s="100"/>
      <c r="CK1200" s="100"/>
      <c r="CL1200" s="100"/>
      <c r="CM1200" s="100"/>
      <c r="CN1200" s="100"/>
      <c r="CO1200" s="100"/>
      <c r="CP1200" s="100"/>
      <c r="CQ1200" s="100"/>
      <c r="CR1200" s="100"/>
      <c r="CS1200" s="100"/>
      <c r="CT1200" s="100"/>
      <c r="CU1200" s="100"/>
    </row>
  </sheetData>
  <conditionalFormatting sqref="L7:L42">
    <cfRule type="cellIs" dxfId="12" priority="44" operator="equal">
      <formula>0</formula>
    </cfRule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{52E278D0-F905-4956-BDD5-85B38190E861}</x14:id>
        </ext>
      </extLst>
    </cfRule>
  </conditionalFormatting>
  <conditionalFormatting sqref="P7:P4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:P51 P53:P7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S6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{15283B41-97EB-45A8-A893-A73B52F74060}</x14:id>
        </ext>
      </extLst>
    </cfRule>
  </conditionalFormatting>
  <conditionalFormatting sqref="V6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{19A10055-E6FA-42D7-8454-2E7124E82538}</x14:id>
        </ext>
      </extLst>
    </cfRule>
  </conditionalFormatting>
  <conditionalFormatting sqref="Y7:Y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42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{55A61B60-BD6C-46C0-9965-CF4FF4BB3D72}</x14:id>
        </ext>
      </extLst>
    </cfRule>
  </conditionalFormatting>
  <conditionalFormatting sqref="AA7:AA3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:AA42">
    <cfRule type="cellIs" dxfId="11" priority="18" operator="equal">
      <formula>0</formula>
    </cfRule>
  </conditionalFormatting>
  <conditionalFormatting sqref="AA36:AA4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C4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F42">
    <cfRule type="cellIs" dxfId="10" priority="16" operator="equal">
      <formula>0</formula>
    </cfRule>
  </conditionalFormatting>
  <conditionalFormatting sqref="AE7:AF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6:AF4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H4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:AH42 AC7:AC42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40:AS52">
    <cfRule type="notContainsBlanks" dxfId="9" priority="28">
      <formula>LEN(TRIM(AJ40))&gt;0</formula>
    </cfRule>
  </conditionalFormatting>
  <conditionalFormatting sqref="AJ54:AS66">
    <cfRule type="notContainsBlanks" dxfId="8" priority="14">
      <formula>LEN(TRIM(AJ54))&gt;0</formula>
    </cfRule>
  </conditionalFormatting>
  <conditionalFormatting sqref="AJ68:AS80">
    <cfRule type="notContainsBlanks" dxfId="7" priority="12">
      <formula>LEN(TRIM(AJ68))&gt;0</formula>
    </cfRule>
  </conditionalFormatting>
  <conditionalFormatting sqref="AP40:AS52">
    <cfRule type="notContainsBlanks" dxfId="6" priority="39">
      <formula>LEN(TRIM(AP40))&gt;0</formula>
    </cfRule>
  </conditionalFormatting>
  <conditionalFormatting sqref="AP54:AS66">
    <cfRule type="notContainsBlanks" dxfId="5" priority="15">
      <formula>LEN(TRIM(AP54))&gt;0</formula>
    </cfRule>
  </conditionalFormatting>
  <conditionalFormatting sqref="AP68:AS80">
    <cfRule type="notContainsBlanks" dxfId="4" priority="13">
      <formula>LEN(TRIM(AP68))&gt;0</formula>
    </cfRule>
  </conditionalFormatting>
  <conditionalFormatting sqref="AW6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{4AD17A22-1301-43D3-BD8F-CF3DF27C0FE4}</x14:id>
        </ext>
      </extLst>
    </cfRule>
  </conditionalFormatting>
  <conditionalFormatting sqref="AW4:AX4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{52317348-C58A-4A81-85C8-05BFAF454198}</x14:id>
        </ext>
      </extLst>
    </cfRule>
  </conditionalFormatting>
  <conditionalFormatting sqref="AX6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{9A7ECD73-AFD2-4745-A2D7-DCF1E400B94E}</x14:id>
        </ext>
      </extLst>
    </cfRule>
  </conditionalFormatting>
  <conditionalFormatting sqref="BB6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{BD7B097B-9C28-4D27-A9B5-E67BD1F49731}</x14:id>
        </ext>
      </extLst>
    </cfRule>
  </conditionalFormatting>
  <conditionalFormatting sqref="BB45:BB46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{9182DC9F-FCBF-4518-A946-271C9A11CA00}</x14:id>
        </ext>
      </extLst>
    </cfRule>
  </conditionalFormatting>
  <conditionalFormatting sqref="BF45:BF4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62:BJ80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{ACCEE000-4A51-4213-857C-BED64C8349E4}</x14:id>
        </ext>
      </extLst>
    </cfRule>
  </conditionalFormatting>
  <conditionalFormatting sqref="BP47:BP80 BG45:BH46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{028FAD41-C50E-4916-9AED-E43CEFCE060C}</x14:id>
        </ext>
      </extLst>
    </cfRule>
  </conditionalFormatting>
  <conditionalFormatting sqref="BF7 BF9:BF35">
    <cfRule type="cellIs" dxfId="3" priority="4" operator="equal">
      <formula>3</formula>
    </cfRule>
    <cfRule type="cellIs" dxfId="2" priority="3" operator="equal">
      <formula>1</formula>
    </cfRule>
  </conditionalFormatting>
  <conditionalFormatting sqref="BF7:BF35">
    <cfRule type="cellIs" dxfId="1" priority="1" operator="equal">
      <formula>1</formula>
    </cfRule>
    <cfRule type="cellIs" dxfId="0" priority="2" operator="equal">
      <formula>3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E278D0-F905-4956-BDD5-85B38190E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L7:L42</xm:sqref>
        </x14:conditionalFormatting>
        <x14:conditionalFormatting xmlns:xm="http://schemas.microsoft.com/office/excel/2006/main">
          <x14:cfRule type="dataBar" id="{15283B41-97EB-45A8-A893-A73B52F740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R6:S6</xm:sqref>
        </x14:conditionalFormatting>
        <x14:conditionalFormatting xmlns:xm="http://schemas.microsoft.com/office/excel/2006/main">
          <x14:cfRule type="dataBar" id="{19A10055-E6FA-42D7-8454-2E7124E825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V6</xm:sqref>
        </x14:conditionalFormatting>
        <x14:conditionalFormatting xmlns:xm="http://schemas.microsoft.com/office/excel/2006/main">
          <x14:cfRule type="dataBar" id="{55A61B60-BD6C-46C0-9965-CF4FF4BB3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Z8:Z42</xm:sqref>
        </x14:conditionalFormatting>
        <x14:conditionalFormatting xmlns:xm="http://schemas.microsoft.com/office/excel/2006/main">
          <x14:cfRule type="dataBar" id="{4AD17A22-1301-43D3-BD8F-CF3DF27C0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AW6</xm:sqref>
        </x14:conditionalFormatting>
        <x14:conditionalFormatting xmlns:xm="http://schemas.microsoft.com/office/excel/2006/main">
          <x14:cfRule type="dataBar" id="{52317348-C58A-4A81-85C8-05BFAF454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9A7ECD73-AFD2-4745-A2D7-DCF1E400B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AX6</xm:sqref>
        </x14:conditionalFormatting>
        <x14:conditionalFormatting xmlns:xm="http://schemas.microsoft.com/office/excel/2006/main">
          <x14:cfRule type="dataBar" id="{BD7B097B-9C28-4D27-A9B5-E67BD1F497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BB6</xm:sqref>
        </x14:conditionalFormatting>
        <x14:conditionalFormatting xmlns:xm="http://schemas.microsoft.com/office/excel/2006/main">
          <x14:cfRule type="dataBar" id="{9182DC9F-FCBF-4518-A946-271C9A11C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BB45:BB46</xm:sqref>
        </x14:conditionalFormatting>
        <x14:conditionalFormatting xmlns:xm="http://schemas.microsoft.com/office/excel/2006/main">
          <x14:cfRule type="dataBar" id="{ACCEE000-4A51-4213-857C-BED64C8349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BJ62:BJ80</xm:sqref>
        </x14:conditionalFormatting>
        <x14:conditionalFormatting xmlns:xm="http://schemas.microsoft.com/office/excel/2006/main">
          <x14:cfRule type="dataBar" id="{028FAD41-C50E-4916-9AED-E43CEFCE06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BP47:BP80 BG45:BH46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5889-0EF1-44F7-8E94-4636ECF6E721}">
  <dimension ref="A1:W29"/>
  <sheetViews>
    <sheetView workbookViewId="0">
      <selection activeCell="O12" sqref="O12"/>
    </sheetView>
  </sheetViews>
  <sheetFormatPr defaultRowHeight="15" x14ac:dyDescent="0.25"/>
  <cols>
    <col min="1" max="16384" width="9.140625" style="145"/>
  </cols>
  <sheetData>
    <row r="1" spans="1:23" x14ac:dyDescent="0.25">
      <c r="A1" s="137">
        <f>T4d!AU7</f>
        <v>0</v>
      </c>
      <c r="B1" s="137">
        <f>T4d!AV7</f>
        <v>0</v>
      </c>
      <c r="C1" s="138">
        <f>T4d!AW7</f>
        <v>467509.78129999997</v>
      </c>
      <c r="D1" s="138">
        <f>T4d!AX7</f>
        <v>7616967.75</v>
      </c>
      <c r="E1" s="137">
        <f>T4d!AY7</f>
        <v>4500</v>
      </c>
      <c r="F1" s="137">
        <f>T4d!AZ7</f>
        <v>12</v>
      </c>
      <c r="G1" s="139">
        <f>T4d!BA7</f>
        <v>8.6767896000000005E-4</v>
      </c>
      <c r="H1" s="138">
        <f>T4d!BB7</f>
        <v>989</v>
      </c>
      <c r="I1" s="140">
        <f>T4d!BC7</f>
        <v>3</v>
      </c>
      <c r="J1" s="139">
        <f>T4d!BD7</f>
        <v>3.0000000000000001E-5</v>
      </c>
      <c r="K1" s="139">
        <f>T4d!BE7</f>
        <v>2.9999999999999898E-2</v>
      </c>
      <c r="L1" s="141">
        <f>T4d!BF7</f>
        <v>1</v>
      </c>
      <c r="M1" s="141">
        <f>T4d!BG7</f>
        <v>1</v>
      </c>
      <c r="N1" s="141">
        <f>T4d!BH7</f>
        <v>0</v>
      </c>
      <c r="P1" s="146">
        <v>0</v>
      </c>
      <c r="Q1" s="147">
        <v>-1</v>
      </c>
      <c r="R1" s="147" t="s">
        <v>103</v>
      </c>
      <c r="S1" s="147" t="s">
        <v>103</v>
      </c>
      <c r="U1" s="148">
        <v>0</v>
      </c>
      <c r="V1" s="148" t="s">
        <v>98</v>
      </c>
      <c r="W1" s="134">
        <v>25</v>
      </c>
    </row>
    <row r="2" spans="1:23" x14ac:dyDescent="0.25">
      <c r="A2" s="137">
        <f>T4d!AU8</f>
        <v>1</v>
      </c>
      <c r="B2" s="137">
        <f>T4d!AV8</f>
        <v>0</v>
      </c>
      <c r="C2" s="138">
        <f>T4d!AW8</f>
        <v>468059.78129999997</v>
      </c>
      <c r="D2" s="138">
        <f>T4d!AX8</f>
        <v>7616642.75</v>
      </c>
      <c r="E2" s="137">
        <f>T4d!AY8</f>
        <v>7000</v>
      </c>
      <c r="F2" s="137">
        <f>T4d!AZ8</f>
        <v>12</v>
      </c>
      <c r="G2" s="139">
        <f>T4d!BA8</f>
        <v>8.6767896000000005E-4</v>
      </c>
      <c r="H2" s="138">
        <f>T4d!BB8</f>
        <v>961</v>
      </c>
      <c r="I2" s="140">
        <f>T4d!BC8</f>
        <v>3</v>
      </c>
      <c r="J2" s="139">
        <f>T4d!BD8</f>
        <v>3.0000000000000001E-5</v>
      </c>
      <c r="K2" s="139">
        <f>T4d!BE8</f>
        <v>2.9999999999999898E-2</v>
      </c>
      <c r="L2" s="141">
        <f>T4d!BF8</f>
        <v>2</v>
      </c>
      <c r="M2" s="141">
        <f>T4d!BG8</f>
        <v>1</v>
      </c>
      <c r="N2" s="141">
        <f>T4d!BH8</f>
        <v>0</v>
      </c>
      <c r="P2" s="146">
        <v>1</v>
      </c>
      <c r="Q2" s="147">
        <v>0</v>
      </c>
      <c r="R2" s="147">
        <v>-2</v>
      </c>
      <c r="S2" s="147" t="s">
        <v>103</v>
      </c>
      <c r="U2" s="148">
        <v>4</v>
      </c>
      <c r="V2" s="148" t="s">
        <v>98</v>
      </c>
      <c r="W2" s="134">
        <v>10</v>
      </c>
    </row>
    <row r="3" spans="1:23" x14ac:dyDescent="0.25">
      <c r="A3" s="137">
        <f>T4d!AU9</f>
        <v>2</v>
      </c>
      <c r="B3" s="137">
        <f>T4d!AV9</f>
        <v>0</v>
      </c>
      <c r="C3" s="138">
        <f>T4d!AW9</f>
        <v>468334.78129999997</v>
      </c>
      <c r="D3" s="138">
        <f>T4d!AX9</f>
        <v>7615805.25</v>
      </c>
      <c r="E3" s="137">
        <f>T4d!AY9</f>
        <v>6000</v>
      </c>
      <c r="F3" s="137">
        <f>T4d!AZ9</f>
        <v>12</v>
      </c>
      <c r="G3" s="139">
        <f>T4d!BA9</f>
        <v>8.6767896000000005E-4</v>
      </c>
      <c r="H3" s="138">
        <f>T4d!BB9</f>
        <v>937</v>
      </c>
      <c r="I3" s="140">
        <f>T4d!BC9</f>
        <v>3</v>
      </c>
      <c r="J3" s="139">
        <f>T4d!BD9</f>
        <v>3.0000000000000001E-5</v>
      </c>
      <c r="K3" s="139">
        <f>T4d!BE9</f>
        <v>2.9999999999999898E-2</v>
      </c>
      <c r="L3" s="142">
        <f>T4d!BF9</f>
        <v>2</v>
      </c>
      <c r="M3" s="141">
        <f>T4d!BG9</f>
        <v>1</v>
      </c>
      <c r="N3" s="141">
        <f>T4d!BH9</f>
        <v>0</v>
      </c>
      <c r="P3" s="146">
        <v>2</v>
      </c>
      <c r="Q3" s="147">
        <v>1</v>
      </c>
      <c r="R3" s="147">
        <v>-3</v>
      </c>
      <c r="S3" s="147" t="s">
        <v>103</v>
      </c>
      <c r="U3" s="148">
        <v>8</v>
      </c>
      <c r="V3" s="148" t="s">
        <v>98</v>
      </c>
      <c r="W3" s="134">
        <v>150</v>
      </c>
    </row>
    <row r="4" spans="1:23" x14ac:dyDescent="0.25">
      <c r="A4" s="137">
        <f>T4d!AU10</f>
        <v>3</v>
      </c>
      <c r="B4" s="137">
        <f>T4d!AV10</f>
        <v>0</v>
      </c>
      <c r="C4" s="138">
        <f>T4d!AW10</f>
        <v>468397.28129999997</v>
      </c>
      <c r="D4" s="138">
        <f>T4d!AX10</f>
        <v>7614955.25</v>
      </c>
      <c r="E4" s="137">
        <f>T4d!AY10</f>
        <v>5550</v>
      </c>
      <c r="F4" s="137">
        <f>T4d!AZ10</f>
        <v>12</v>
      </c>
      <c r="G4" s="139">
        <f>T4d!BA10</f>
        <v>8.6767896000000005E-4</v>
      </c>
      <c r="H4" s="138">
        <f>T4d!BB10</f>
        <v>903</v>
      </c>
      <c r="I4" s="140">
        <f>T4d!BC10</f>
        <v>3</v>
      </c>
      <c r="J4" s="139">
        <f>T4d!BD10</f>
        <v>3.0000000000000001E-5</v>
      </c>
      <c r="K4" s="139">
        <f>T4d!BE10</f>
        <v>2.9999999999999898E-2</v>
      </c>
      <c r="L4" s="142">
        <f>T4d!BF10</f>
        <v>2</v>
      </c>
      <c r="M4" s="141">
        <f>T4d!BG10</f>
        <v>1</v>
      </c>
      <c r="N4" s="141">
        <f>T4d!BH10</f>
        <v>0</v>
      </c>
      <c r="P4" s="146">
        <v>3</v>
      </c>
      <c r="Q4" s="147">
        <v>2</v>
      </c>
      <c r="R4" s="147">
        <v>-7</v>
      </c>
      <c r="S4" s="147" t="s">
        <v>103</v>
      </c>
      <c r="U4" s="148">
        <v>12</v>
      </c>
      <c r="V4" s="148" t="s">
        <v>98</v>
      </c>
      <c r="W4" s="134">
        <v>150</v>
      </c>
    </row>
    <row r="5" spans="1:23" x14ac:dyDescent="0.25">
      <c r="A5" s="137">
        <f>T4d!AU11</f>
        <v>4</v>
      </c>
      <c r="B5" s="137">
        <f>T4d!AV11</f>
        <v>0</v>
      </c>
      <c r="C5" s="138">
        <f>T4d!AW11</f>
        <v>471134.78129999997</v>
      </c>
      <c r="D5" s="138">
        <f>T4d!AX11</f>
        <v>7613992.75</v>
      </c>
      <c r="E5" s="137">
        <f>T4d!AY11</f>
        <v>6500</v>
      </c>
      <c r="F5" s="137">
        <f>T4d!AZ11</f>
        <v>12</v>
      </c>
      <c r="G5" s="139">
        <f>T4d!BA11</f>
        <v>9.4339624000000001E-4</v>
      </c>
      <c r="H5" s="138">
        <f>T4d!BB11</f>
        <v>1001</v>
      </c>
      <c r="I5" s="140">
        <f>T4d!BC11</f>
        <v>3</v>
      </c>
      <c r="J5" s="139">
        <f>T4d!BD11</f>
        <v>3.0000000000000001E-5</v>
      </c>
      <c r="K5" s="139">
        <f>T4d!BE11</f>
        <v>2.9999999999999898E-2</v>
      </c>
      <c r="L5" s="143">
        <f>T4d!BF11</f>
        <v>1</v>
      </c>
      <c r="M5" s="141">
        <f>T4d!BG11</f>
        <v>1</v>
      </c>
      <c r="N5" s="141">
        <f>T4d!BH11</f>
        <v>0</v>
      </c>
      <c r="P5" s="146">
        <v>4</v>
      </c>
      <c r="Q5" s="147">
        <v>-5</v>
      </c>
      <c r="R5" s="147" t="s">
        <v>103</v>
      </c>
      <c r="S5" s="147" t="s">
        <v>103</v>
      </c>
      <c r="U5" s="148">
        <v>16</v>
      </c>
      <c r="V5" s="148" t="s">
        <v>98</v>
      </c>
      <c r="W5" s="134">
        <v>150</v>
      </c>
    </row>
    <row r="6" spans="1:23" x14ac:dyDescent="0.25">
      <c r="A6" s="137">
        <f>T4d!AU12</f>
        <v>5</v>
      </c>
      <c r="B6" s="137">
        <f>T4d!AV12</f>
        <v>0</v>
      </c>
      <c r="C6" s="138">
        <f>T4d!AW12</f>
        <v>469922.28129999997</v>
      </c>
      <c r="D6" s="138">
        <f>T4d!AX12</f>
        <v>7614405.25</v>
      </c>
      <c r="E6" s="137">
        <f>T4d!AY12</f>
        <v>5000</v>
      </c>
      <c r="F6" s="137">
        <f>T4d!AZ12</f>
        <v>12</v>
      </c>
      <c r="G6" s="139">
        <f>T4d!BA12</f>
        <v>9.4339624000000001E-4</v>
      </c>
      <c r="H6" s="138">
        <f>T4d!BB12</f>
        <v>976</v>
      </c>
      <c r="I6" s="140">
        <f>T4d!BC12</f>
        <v>3</v>
      </c>
      <c r="J6" s="139">
        <f>T4d!BD12</f>
        <v>3.0000000000000001E-5</v>
      </c>
      <c r="K6" s="139">
        <f>T4d!BE12</f>
        <v>2.9999999999999898E-2</v>
      </c>
      <c r="L6" s="142">
        <f>T4d!BF12</f>
        <v>2</v>
      </c>
      <c r="M6" s="141">
        <f>T4d!BG12</f>
        <v>1</v>
      </c>
      <c r="N6" s="141">
        <f>T4d!BH12</f>
        <v>0</v>
      </c>
      <c r="P6" s="146">
        <v>5</v>
      </c>
      <c r="Q6" s="147">
        <v>4</v>
      </c>
      <c r="R6" s="147">
        <v>-6</v>
      </c>
      <c r="S6" s="147" t="s">
        <v>103</v>
      </c>
      <c r="U6" s="148">
        <v>22</v>
      </c>
      <c r="V6" s="148" t="s">
        <v>98</v>
      </c>
      <c r="W6" s="134">
        <v>150</v>
      </c>
    </row>
    <row r="7" spans="1:23" x14ac:dyDescent="0.25">
      <c r="A7" s="137">
        <f>T4d!AU13</f>
        <v>6</v>
      </c>
      <c r="B7" s="137">
        <f>T4d!AV13</f>
        <v>0</v>
      </c>
      <c r="C7" s="138">
        <f>T4d!AW13</f>
        <v>468834.78129999997</v>
      </c>
      <c r="D7" s="138">
        <f>T4d!AX13</f>
        <v>7614292.75</v>
      </c>
      <c r="E7" s="137">
        <f>T4d!AY13</f>
        <v>5000</v>
      </c>
      <c r="F7" s="137">
        <f>T4d!AZ13</f>
        <v>12</v>
      </c>
      <c r="G7" s="139">
        <f>T4d!BA13</f>
        <v>9.4339624000000001E-4</v>
      </c>
      <c r="H7" s="138">
        <f>T4d!BB13</f>
        <v>907</v>
      </c>
      <c r="I7" s="140">
        <f>T4d!BC13</f>
        <v>3</v>
      </c>
      <c r="J7" s="139">
        <f>T4d!BD13</f>
        <v>3.0000000000000001E-5</v>
      </c>
      <c r="K7" s="139">
        <f>T4d!BE13</f>
        <v>2.9999999999999898E-2</v>
      </c>
      <c r="L7" s="142">
        <f>T4d!BF13</f>
        <v>2</v>
      </c>
      <c r="M7" s="141">
        <f>T4d!BG13</f>
        <v>1</v>
      </c>
      <c r="N7" s="141">
        <f>T4d!BH13</f>
        <v>0</v>
      </c>
      <c r="P7" s="146">
        <v>6</v>
      </c>
      <c r="Q7" s="147">
        <v>5</v>
      </c>
      <c r="R7" s="147">
        <v>-7</v>
      </c>
      <c r="S7" s="147" t="s">
        <v>103</v>
      </c>
      <c r="U7" s="149">
        <v>10</v>
      </c>
      <c r="V7" s="134" t="s">
        <v>99</v>
      </c>
      <c r="W7" s="134" t="s">
        <v>100</v>
      </c>
    </row>
    <row r="8" spans="1:23" x14ac:dyDescent="0.25">
      <c r="A8" s="137">
        <f>T4d!AU14</f>
        <v>7</v>
      </c>
      <c r="B8" s="137">
        <f>T4d!AV14</f>
        <v>0</v>
      </c>
      <c r="C8" s="138">
        <f>T4d!AW14</f>
        <v>468047.28129999997</v>
      </c>
      <c r="D8" s="138">
        <f>T4d!AX14</f>
        <v>7614180.25</v>
      </c>
      <c r="E8" s="137">
        <f>T4d!AY14</f>
        <v>5000</v>
      </c>
      <c r="F8" s="137">
        <f>T4d!AZ14</f>
        <v>12</v>
      </c>
      <c r="G8" s="139">
        <f>T4d!BA14</f>
        <v>9.4339624000000001E-4</v>
      </c>
      <c r="H8" s="138">
        <f>T4d!BB14</f>
        <v>889</v>
      </c>
      <c r="I8" s="140">
        <f>T4d!BC14</f>
        <v>3</v>
      </c>
      <c r="J8" s="139">
        <f>T4d!BD14</f>
        <v>3.0000000000000001E-5</v>
      </c>
      <c r="K8" s="139">
        <f>T4d!BE14</f>
        <v>2.9999999999999898E-2</v>
      </c>
      <c r="L8" s="144">
        <f>T4d!BF14</f>
        <v>3</v>
      </c>
      <c r="M8" s="141">
        <f>T4d!BG14</f>
        <v>1</v>
      </c>
      <c r="N8" s="141">
        <f>T4d!BH14</f>
        <v>0</v>
      </c>
      <c r="P8" s="146">
        <v>7</v>
      </c>
      <c r="Q8" s="147">
        <v>2</v>
      </c>
      <c r="R8" s="147">
        <v>8</v>
      </c>
      <c r="S8" s="147">
        <v>-10</v>
      </c>
      <c r="U8" s="149">
        <v>7</v>
      </c>
      <c r="V8" s="134" t="s">
        <v>99</v>
      </c>
      <c r="W8" s="134" t="s">
        <v>100</v>
      </c>
    </row>
    <row r="9" spans="1:23" x14ac:dyDescent="0.25">
      <c r="A9" s="137">
        <f>T4d!AU15</f>
        <v>8</v>
      </c>
      <c r="B9" s="137">
        <f>T4d!AV15</f>
        <v>0</v>
      </c>
      <c r="C9" s="138">
        <f>T4d!AW15</f>
        <v>469934.78129999997</v>
      </c>
      <c r="D9" s="138">
        <f>T4d!AX15</f>
        <v>7612342.75</v>
      </c>
      <c r="E9" s="137">
        <f>T4d!AY15</f>
        <v>5000</v>
      </c>
      <c r="F9" s="137">
        <f>T4d!AZ15</f>
        <v>12</v>
      </c>
      <c r="G9" s="139">
        <f>T4d!BA15</f>
        <v>9.4339624000000001E-4</v>
      </c>
      <c r="H9" s="138">
        <f>T4d!BB15</f>
        <v>969</v>
      </c>
      <c r="I9" s="140">
        <f>T4d!BC15</f>
        <v>3</v>
      </c>
      <c r="J9" s="139">
        <f>T4d!BD15</f>
        <v>3.0000000000000001E-5</v>
      </c>
      <c r="K9" s="139">
        <f>T4d!BE15</f>
        <v>2.9999999999999898E-2</v>
      </c>
      <c r="L9" s="143">
        <f>T4d!BF15</f>
        <v>1</v>
      </c>
      <c r="M9" s="141">
        <f>T4d!BG15</f>
        <v>1</v>
      </c>
      <c r="N9" s="141">
        <f>T4d!BH15</f>
        <v>0</v>
      </c>
      <c r="P9" s="146">
        <v>8</v>
      </c>
      <c r="Q9" s="147">
        <v>-9</v>
      </c>
      <c r="R9" s="147" t="s">
        <v>103</v>
      </c>
      <c r="S9" s="147" t="s">
        <v>103</v>
      </c>
      <c r="U9" s="149">
        <v>10</v>
      </c>
      <c r="V9" s="134" t="s">
        <v>99</v>
      </c>
      <c r="W9" s="134" t="s">
        <v>100</v>
      </c>
    </row>
    <row r="10" spans="1:23" x14ac:dyDescent="0.25">
      <c r="A10" s="137">
        <f>T4d!AU16</f>
        <v>9</v>
      </c>
      <c r="B10" s="137">
        <f>T4d!AV16</f>
        <v>0</v>
      </c>
      <c r="C10" s="138">
        <f>T4d!AW16</f>
        <v>468797.28129999997</v>
      </c>
      <c r="D10" s="138">
        <f>T4d!AX16</f>
        <v>7612842.75</v>
      </c>
      <c r="E10" s="137">
        <f>T4d!AY16</f>
        <v>5000</v>
      </c>
      <c r="F10" s="137">
        <f>T4d!AZ16</f>
        <v>10</v>
      </c>
      <c r="G10" s="139">
        <f>T4d!BA16</f>
        <v>5.4545456000000005E-4</v>
      </c>
      <c r="H10" s="138">
        <f>T4d!BB16</f>
        <v>911</v>
      </c>
      <c r="I10" s="140">
        <f>T4d!BC16</f>
        <v>3</v>
      </c>
      <c r="J10" s="139">
        <f>T4d!BD16</f>
        <v>3.0000000000000001E-5</v>
      </c>
      <c r="K10" s="139">
        <f>T4d!BE16</f>
        <v>2.9999999999999898E-2</v>
      </c>
      <c r="L10" s="142">
        <f>T4d!BF16</f>
        <v>2</v>
      </c>
      <c r="M10" s="141">
        <f>T4d!BG16</f>
        <v>1</v>
      </c>
      <c r="N10" s="141">
        <f>T4d!BH16</f>
        <v>0</v>
      </c>
      <c r="P10" s="146">
        <v>9</v>
      </c>
      <c r="Q10" s="147">
        <v>8</v>
      </c>
      <c r="R10" s="147">
        <v>-10</v>
      </c>
      <c r="S10" s="147" t="s">
        <v>103</v>
      </c>
      <c r="U10" s="149">
        <v>14</v>
      </c>
      <c r="V10" s="134" t="s">
        <v>99</v>
      </c>
      <c r="W10" s="134" t="s">
        <v>100</v>
      </c>
    </row>
    <row r="11" spans="1:23" x14ac:dyDescent="0.25">
      <c r="A11" s="137">
        <f>T4d!AU17</f>
        <v>10</v>
      </c>
      <c r="B11" s="137">
        <f>T4d!AV17</f>
        <v>0</v>
      </c>
      <c r="C11" s="138">
        <f>T4d!AW17</f>
        <v>467797.28129999997</v>
      </c>
      <c r="D11" s="138">
        <f>T4d!AX17</f>
        <v>7613980.25</v>
      </c>
      <c r="E11" s="137">
        <f>T4d!AY17</f>
        <v>5000</v>
      </c>
      <c r="F11" s="137">
        <f>T4d!AZ17</f>
        <v>10</v>
      </c>
      <c r="G11" s="139">
        <f>T4d!BA17</f>
        <v>5.4545456000000005E-4</v>
      </c>
      <c r="H11" s="138">
        <f>T4d!BB17</f>
        <v>888</v>
      </c>
      <c r="I11" s="140">
        <f>T4d!BC17</f>
        <v>3</v>
      </c>
      <c r="J11" s="139">
        <f>T4d!BD17</f>
        <v>3.0000000000000001E-5</v>
      </c>
      <c r="K11" s="139">
        <f>T4d!BE17</f>
        <v>2.9999999999999898E-2</v>
      </c>
      <c r="L11" s="144">
        <f>T4d!BF17</f>
        <v>3</v>
      </c>
      <c r="M11" s="141">
        <f>T4d!BG17</f>
        <v>1</v>
      </c>
      <c r="N11" s="141">
        <f>T4d!BH17</f>
        <v>0</v>
      </c>
      <c r="P11" s="146">
        <v>10</v>
      </c>
      <c r="Q11" s="147">
        <v>6</v>
      </c>
      <c r="R11" s="147">
        <v>9</v>
      </c>
      <c r="S11" s="147">
        <v>-11</v>
      </c>
      <c r="U11" s="149">
        <v>17</v>
      </c>
      <c r="V11" s="134" t="s">
        <v>99</v>
      </c>
      <c r="W11" s="134" t="s">
        <v>100</v>
      </c>
    </row>
    <row r="12" spans="1:23" x14ac:dyDescent="0.25">
      <c r="A12" s="137">
        <f>T4d!AU18</f>
        <v>11</v>
      </c>
      <c r="B12" s="137">
        <f>T4d!AV18</f>
        <v>0</v>
      </c>
      <c r="C12" s="138">
        <f>T4d!AW18</f>
        <v>467172.28129999997</v>
      </c>
      <c r="D12" s="138">
        <f>T4d!AX18</f>
        <v>7613492.75</v>
      </c>
      <c r="E12" s="137">
        <f>T4d!AY18</f>
        <v>4500</v>
      </c>
      <c r="F12" s="137">
        <f>T4d!AZ18</f>
        <v>10</v>
      </c>
      <c r="G12" s="139">
        <f>T4d!BA18</f>
        <v>5.4545456000000005E-4</v>
      </c>
      <c r="H12" s="138">
        <f>T4d!BB18</f>
        <v>880</v>
      </c>
      <c r="I12" s="140">
        <f>T4d!BC18</f>
        <v>3</v>
      </c>
      <c r="J12" s="139">
        <f>T4d!BD18</f>
        <v>3.0000000000000001E-5</v>
      </c>
      <c r="K12" s="139">
        <f>T4d!BE18</f>
        <v>2.9999999999999898E-2</v>
      </c>
      <c r="L12" s="142">
        <f>T4d!BF18</f>
        <v>2</v>
      </c>
      <c r="M12" s="141">
        <f>T4d!BG18</f>
        <v>1</v>
      </c>
      <c r="N12" s="141">
        <f>T4d!BH18</f>
        <v>0</v>
      </c>
      <c r="P12" s="146">
        <v>11</v>
      </c>
      <c r="Q12" s="147">
        <v>10</v>
      </c>
      <c r="R12" s="147">
        <v>-14</v>
      </c>
      <c r="S12" s="147" t="s">
        <v>103</v>
      </c>
      <c r="U12" s="149">
        <v>27</v>
      </c>
      <c r="V12" s="134" t="s">
        <v>99</v>
      </c>
      <c r="W12" s="134" t="s">
        <v>100</v>
      </c>
    </row>
    <row r="13" spans="1:23" x14ac:dyDescent="0.25">
      <c r="A13" s="137">
        <f>T4d!AU19</f>
        <v>12</v>
      </c>
      <c r="B13" s="137">
        <f>T4d!AV19</f>
        <v>0</v>
      </c>
      <c r="C13" s="138">
        <f>T4d!AW19</f>
        <v>468434.78129999997</v>
      </c>
      <c r="D13" s="138">
        <f>T4d!AX19</f>
        <v>7611380.25</v>
      </c>
      <c r="E13" s="137">
        <f>T4d!AY19</f>
        <v>6000</v>
      </c>
      <c r="F13" s="137">
        <f>T4d!AZ19</f>
        <v>10</v>
      </c>
      <c r="G13" s="139">
        <f>T4d!BA19</f>
        <v>5.4545456000000005E-4</v>
      </c>
      <c r="H13" s="138">
        <f>T4d!BB19</f>
        <v>911</v>
      </c>
      <c r="I13" s="140">
        <f>T4d!BC19</f>
        <v>3</v>
      </c>
      <c r="J13" s="139">
        <f>T4d!BD19</f>
        <v>3.0000000000000001E-5</v>
      </c>
      <c r="K13" s="139">
        <f>T4d!BE19</f>
        <v>2.9999999999999898E-2</v>
      </c>
      <c r="L13" s="143">
        <f>T4d!BF19</f>
        <v>1</v>
      </c>
      <c r="M13" s="141">
        <f>T4d!BG19</f>
        <v>1</v>
      </c>
      <c r="N13" s="141">
        <f>T4d!BH19</f>
        <v>0</v>
      </c>
      <c r="P13" s="146">
        <v>12</v>
      </c>
      <c r="Q13" s="147">
        <v>-13</v>
      </c>
      <c r="R13" s="147" t="s">
        <v>103</v>
      </c>
      <c r="S13" s="147" t="s">
        <v>103</v>
      </c>
      <c r="U13" s="137">
        <v>10</v>
      </c>
      <c r="V13" s="137" t="s">
        <v>101</v>
      </c>
      <c r="W13" s="137">
        <v>1075.5450000000001</v>
      </c>
    </row>
    <row r="14" spans="1:23" x14ac:dyDescent="0.25">
      <c r="A14" s="137">
        <f>T4d!AU20</f>
        <v>13</v>
      </c>
      <c r="B14" s="137">
        <f>T4d!AV20</f>
        <v>0</v>
      </c>
      <c r="C14" s="138">
        <f>T4d!AW20</f>
        <v>467384.78129999997</v>
      </c>
      <c r="D14" s="138">
        <f>T4d!AX20</f>
        <v>7612080.25</v>
      </c>
      <c r="E14" s="137">
        <f>T4d!AY20</f>
        <v>5000</v>
      </c>
      <c r="F14" s="137">
        <f>T4d!AZ20</f>
        <v>10</v>
      </c>
      <c r="G14" s="139">
        <f>T4d!BA20</f>
        <v>5.4545456000000005E-4</v>
      </c>
      <c r="H14" s="138">
        <f>T4d!BB20</f>
        <v>896</v>
      </c>
      <c r="I14" s="140">
        <f>T4d!BC20</f>
        <v>3</v>
      </c>
      <c r="J14" s="139">
        <f>T4d!BD20</f>
        <v>3.0000000000000001E-5</v>
      </c>
      <c r="K14" s="139">
        <f>T4d!BE20</f>
        <v>2.9999999999999898E-2</v>
      </c>
      <c r="L14" s="142">
        <f>T4d!BF20</f>
        <v>2</v>
      </c>
      <c r="M14" s="141">
        <f>T4d!BG20</f>
        <v>1</v>
      </c>
      <c r="N14" s="141">
        <f>T4d!BH20</f>
        <v>0</v>
      </c>
      <c r="P14" s="146">
        <v>13</v>
      </c>
      <c r="Q14" s="147">
        <v>12</v>
      </c>
      <c r="R14" s="147">
        <v>-14</v>
      </c>
      <c r="S14" s="147" t="s">
        <v>103</v>
      </c>
      <c r="U14" s="137">
        <v>7</v>
      </c>
      <c r="V14" s="137" t="s">
        <v>101</v>
      </c>
      <c r="W14" s="137">
        <v>1072.636</v>
      </c>
    </row>
    <row r="15" spans="1:23" x14ac:dyDescent="0.25">
      <c r="A15" s="137">
        <f>T4d!AU21</f>
        <v>14</v>
      </c>
      <c r="B15" s="137">
        <f>T4d!AV21</f>
        <v>0</v>
      </c>
      <c r="C15" s="138">
        <f>T4d!AW21</f>
        <v>466597.28129999997</v>
      </c>
      <c r="D15" s="138">
        <f>T4d!AX21</f>
        <v>7613155.25</v>
      </c>
      <c r="E15" s="137">
        <f>T4d!AY21</f>
        <v>2000</v>
      </c>
      <c r="F15" s="137">
        <f>T4d!AZ21</f>
        <v>10</v>
      </c>
      <c r="G15" s="139">
        <f>T4d!BA21</f>
        <v>5.4545456000000005E-4</v>
      </c>
      <c r="H15" s="138">
        <f>T4d!BB21</f>
        <v>880</v>
      </c>
      <c r="I15" s="140">
        <f>T4d!BC21</f>
        <v>3</v>
      </c>
      <c r="J15" s="139">
        <f>T4d!BD21</f>
        <v>3.0000000000000001E-5</v>
      </c>
      <c r="K15" s="139">
        <f>T4d!BE21</f>
        <v>2.9999999999999898E-2</v>
      </c>
      <c r="L15" s="144">
        <f>T4d!BF21</f>
        <v>3</v>
      </c>
      <c r="M15" s="141">
        <f>T4d!BG21</f>
        <v>1</v>
      </c>
      <c r="N15" s="141">
        <f>T4d!BH21</f>
        <v>0</v>
      </c>
      <c r="P15" s="146">
        <v>14</v>
      </c>
      <c r="Q15" s="147">
        <v>10</v>
      </c>
      <c r="R15" s="147">
        <v>13</v>
      </c>
      <c r="S15" s="147">
        <v>-15</v>
      </c>
      <c r="U15" s="137">
        <v>10</v>
      </c>
      <c r="V15" s="137" t="s">
        <v>101</v>
      </c>
      <c r="W15" s="137">
        <v>1069.873</v>
      </c>
    </row>
    <row r="16" spans="1:23" x14ac:dyDescent="0.25">
      <c r="A16" s="137">
        <f>T4d!AU22</f>
        <v>15</v>
      </c>
      <c r="B16" s="137">
        <f>T4d!AV22</f>
        <v>0</v>
      </c>
      <c r="C16" s="138">
        <f>T4d!AW22</f>
        <v>465672.28129999997</v>
      </c>
      <c r="D16" s="138">
        <f>T4d!AX22</f>
        <v>7613092.75</v>
      </c>
      <c r="E16" s="137">
        <f>T4d!AY22</f>
        <v>2500</v>
      </c>
      <c r="F16" s="137">
        <f>T4d!AZ22</f>
        <v>10</v>
      </c>
      <c r="G16" s="139">
        <f>T4d!BA22</f>
        <v>1.81818179999999E-3</v>
      </c>
      <c r="H16" s="138">
        <f>T4d!BB22</f>
        <v>880</v>
      </c>
      <c r="I16" s="140">
        <f>T4d!BC22</f>
        <v>3</v>
      </c>
      <c r="J16" s="139">
        <f>T4d!BD22</f>
        <v>3.0000000000000001E-5</v>
      </c>
      <c r="K16" s="139">
        <f>T4d!BE22</f>
        <v>2.9999999999999898E-2</v>
      </c>
      <c r="L16" s="142">
        <f>T4d!BF22</f>
        <v>2</v>
      </c>
      <c r="M16" s="141">
        <f>T4d!BG22</f>
        <v>1</v>
      </c>
      <c r="N16" s="141">
        <f>T4d!BH22</f>
        <v>0</v>
      </c>
      <c r="P16" s="146">
        <v>15</v>
      </c>
      <c r="Q16" s="147">
        <v>14</v>
      </c>
      <c r="R16" s="147">
        <v>-16</v>
      </c>
      <c r="S16" s="147" t="s">
        <v>103</v>
      </c>
      <c r="U16" s="137">
        <v>14</v>
      </c>
      <c r="V16" s="137" t="s">
        <v>101</v>
      </c>
      <c r="W16" s="137">
        <v>1066.819</v>
      </c>
    </row>
    <row r="17" spans="1:23" x14ac:dyDescent="0.25">
      <c r="A17" s="137">
        <f>T4d!AU23</f>
        <v>16</v>
      </c>
      <c r="B17" s="137">
        <f>T4d!AV23</f>
        <v>0</v>
      </c>
      <c r="C17" s="138">
        <f>T4d!AW23</f>
        <v>464872.28129999997</v>
      </c>
      <c r="D17" s="138">
        <f>T4d!AX23</f>
        <v>7613880.25</v>
      </c>
      <c r="E17" s="137">
        <f>T4d!AY23</f>
        <v>5000</v>
      </c>
      <c r="F17" s="137">
        <f>T4d!AZ23</f>
        <v>10</v>
      </c>
      <c r="G17" s="139">
        <f>T4d!BA23</f>
        <v>1.81818179999999E-3</v>
      </c>
      <c r="H17" s="138">
        <f>T4d!BB23</f>
        <v>890</v>
      </c>
      <c r="I17" s="140">
        <f>T4d!BC23</f>
        <v>3</v>
      </c>
      <c r="J17" s="139">
        <f>T4d!BD23</f>
        <v>3.0000000000000001E-5</v>
      </c>
      <c r="K17" s="139">
        <f>T4d!BE23</f>
        <v>2.9999999999999898E-2</v>
      </c>
      <c r="L17" s="143">
        <f>T4d!BF23</f>
        <v>1</v>
      </c>
      <c r="M17" s="141">
        <f>T4d!BG23</f>
        <v>1</v>
      </c>
      <c r="N17" s="141">
        <f>T4d!BH23</f>
        <v>0</v>
      </c>
      <c r="P17" s="146">
        <v>16</v>
      </c>
      <c r="Q17" s="147">
        <v>-17</v>
      </c>
      <c r="R17" s="147" t="s">
        <v>103</v>
      </c>
      <c r="S17" s="147" t="s">
        <v>103</v>
      </c>
      <c r="U17" s="137">
        <v>17</v>
      </c>
      <c r="V17" s="137" t="s">
        <v>101</v>
      </c>
      <c r="W17" s="137">
        <v>1063.6189999999999</v>
      </c>
    </row>
    <row r="18" spans="1:23" x14ac:dyDescent="0.25">
      <c r="A18" s="137">
        <f>T4d!AU24</f>
        <v>17</v>
      </c>
      <c r="B18" s="137">
        <f>T4d!AV24</f>
        <v>0</v>
      </c>
      <c r="C18" s="138">
        <f>T4d!AW24</f>
        <v>465422.28129999997</v>
      </c>
      <c r="D18" s="138">
        <f>T4d!AX24</f>
        <v>7612830.25</v>
      </c>
      <c r="E18" s="137">
        <f>T4d!AY24</f>
        <v>3500</v>
      </c>
      <c r="F18" s="137">
        <f>T4d!AZ24</f>
        <v>10</v>
      </c>
      <c r="G18" s="139">
        <f>T4d!BA24</f>
        <v>1.81818179999999E-3</v>
      </c>
      <c r="H18" s="138">
        <f>T4d!BB24</f>
        <v>877</v>
      </c>
      <c r="I18" s="140">
        <f>T4d!BC24</f>
        <v>3</v>
      </c>
      <c r="J18" s="139">
        <f>T4d!BD24</f>
        <v>3.0000000000000001E-5</v>
      </c>
      <c r="K18" s="139">
        <f>T4d!BE24</f>
        <v>2.9999999999999898E-2</v>
      </c>
      <c r="L18" s="144">
        <f>T4d!BF24</f>
        <v>3</v>
      </c>
      <c r="M18" s="141">
        <f>T4d!BG24</f>
        <v>1</v>
      </c>
      <c r="N18" s="141">
        <f>T4d!BH24</f>
        <v>0</v>
      </c>
      <c r="P18" s="146">
        <v>17</v>
      </c>
      <c r="Q18" s="147">
        <v>16</v>
      </c>
      <c r="R18" s="147">
        <v>17</v>
      </c>
      <c r="S18" s="147">
        <v>-18</v>
      </c>
      <c r="U18" s="137">
        <v>27</v>
      </c>
      <c r="V18" s="137" t="s">
        <v>101</v>
      </c>
      <c r="W18" s="137">
        <v>1061.5809999999999</v>
      </c>
    </row>
    <row r="19" spans="1:23" x14ac:dyDescent="0.25">
      <c r="A19" s="137">
        <f>T4d!AU25</f>
        <v>18</v>
      </c>
      <c r="B19" s="137">
        <f>T4d!AV25</f>
        <v>0</v>
      </c>
      <c r="C19" s="138">
        <f>T4d!AW25</f>
        <v>465284.78129999997</v>
      </c>
      <c r="D19" s="138">
        <f>T4d!AX25</f>
        <v>7611667.75</v>
      </c>
      <c r="E19" s="137">
        <f>T4d!AY25</f>
        <v>4000</v>
      </c>
      <c r="F19" s="137">
        <f>T4d!AZ25</f>
        <v>15</v>
      </c>
      <c r="G19" s="139">
        <f>T4d!BA25</f>
        <v>1E-3</v>
      </c>
      <c r="H19" s="138">
        <f>T4d!BB25</f>
        <v>863</v>
      </c>
      <c r="I19" s="140">
        <f>T4d!BC25</f>
        <v>3</v>
      </c>
      <c r="J19" s="139">
        <f>T4d!BD25</f>
        <v>3.0000000000000001E-5</v>
      </c>
      <c r="K19" s="139">
        <f>T4d!BE25</f>
        <v>2.9999999999999898E-2</v>
      </c>
      <c r="L19" s="142">
        <f>T4d!BF25</f>
        <v>2</v>
      </c>
      <c r="M19" s="141">
        <f>T4d!BG25</f>
        <v>1</v>
      </c>
      <c r="N19" s="141">
        <f>T4d!BH25</f>
        <v>0</v>
      </c>
      <c r="P19" s="146">
        <v>18</v>
      </c>
      <c r="Q19" s="147">
        <v>17</v>
      </c>
      <c r="R19" s="147">
        <v>-19</v>
      </c>
      <c r="S19" s="147" t="s">
        <v>103</v>
      </c>
    </row>
    <row r="20" spans="1:23" x14ac:dyDescent="0.25">
      <c r="A20" s="137">
        <f>T4d!AU26</f>
        <v>19</v>
      </c>
      <c r="B20" s="137">
        <f>T4d!AV26</f>
        <v>0</v>
      </c>
      <c r="C20" s="138">
        <f>T4d!AW26</f>
        <v>464384.78129999997</v>
      </c>
      <c r="D20" s="138">
        <f>T4d!AX26</f>
        <v>7611405.25</v>
      </c>
      <c r="E20" s="137">
        <f>T4d!AY26</f>
        <v>5000</v>
      </c>
      <c r="F20" s="137">
        <f>T4d!AZ26</f>
        <v>15</v>
      </c>
      <c r="G20" s="139">
        <f>T4d!BA26</f>
        <v>1E-3</v>
      </c>
      <c r="H20" s="138">
        <f>T4d!BB26</f>
        <v>854</v>
      </c>
      <c r="I20" s="140">
        <f>T4d!BC26</f>
        <v>3</v>
      </c>
      <c r="J20" s="139">
        <f>T4d!BD26</f>
        <v>3.0000000000000001E-5</v>
      </c>
      <c r="K20" s="139">
        <f>T4d!BE26</f>
        <v>2.9999999999999898E-2</v>
      </c>
      <c r="L20" s="142">
        <f>T4d!BF26</f>
        <v>2</v>
      </c>
      <c r="M20" s="141">
        <f>T4d!BG26</f>
        <v>1</v>
      </c>
      <c r="N20" s="141">
        <f>T4d!BH26</f>
        <v>0</v>
      </c>
      <c r="P20" s="146">
        <v>19</v>
      </c>
      <c r="Q20" s="147">
        <v>18</v>
      </c>
      <c r="R20" s="147">
        <v>-20</v>
      </c>
      <c r="S20" s="147" t="s">
        <v>103</v>
      </c>
    </row>
    <row r="21" spans="1:23" x14ac:dyDescent="0.25">
      <c r="A21" s="137">
        <f>T4d!AU27</f>
        <v>20</v>
      </c>
      <c r="B21" s="137">
        <f>T4d!AV27</f>
        <v>0</v>
      </c>
      <c r="C21" s="138">
        <f>T4d!AW27</f>
        <v>464297.28129999997</v>
      </c>
      <c r="D21" s="138">
        <f>T4d!AX27</f>
        <v>7610630.25</v>
      </c>
      <c r="E21" s="137">
        <f>T4d!AY27</f>
        <v>3500</v>
      </c>
      <c r="F21" s="137">
        <f>T4d!AZ27</f>
        <v>15</v>
      </c>
      <c r="G21" s="139">
        <f>T4d!BA27</f>
        <v>1E-3</v>
      </c>
      <c r="H21" s="138">
        <f>T4d!BB27</f>
        <v>847</v>
      </c>
      <c r="I21" s="140">
        <f>T4d!BC27</f>
        <v>3</v>
      </c>
      <c r="J21" s="139">
        <f>T4d!BD27</f>
        <v>3.0000000000000001E-5</v>
      </c>
      <c r="K21" s="139">
        <f>T4d!BE27</f>
        <v>2.9999999999999898E-2</v>
      </c>
      <c r="L21" s="142">
        <f>T4d!BF27</f>
        <v>2</v>
      </c>
      <c r="M21" s="141">
        <f>T4d!BG27</f>
        <v>1</v>
      </c>
      <c r="N21" s="141">
        <f>T4d!BH27</f>
        <v>0</v>
      </c>
      <c r="P21" s="146">
        <v>20</v>
      </c>
      <c r="Q21" s="147">
        <v>19</v>
      </c>
      <c r="R21" s="147">
        <v>-21</v>
      </c>
      <c r="S21" s="147" t="s">
        <v>103</v>
      </c>
    </row>
    <row r="22" spans="1:23" x14ac:dyDescent="0.25">
      <c r="A22" s="137">
        <f>T4d!AU28</f>
        <v>21</v>
      </c>
      <c r="B22" s="137">
        <f>T4d!AV28</f>
        <v>0</v>
      </c>
      <c r="C22" s="138">
        <f>T4d!AW28</f>
        <v>464784.78129999997</v>
      </c>
      <c r="D22" s="138">
        <f>T4d!AX28</f>
        <v>7609967.75</v>
      </c>
      <c r="E22" s="137">
        <f>T4d!AY28</f>
        <v>2500</v>
      </c>
      <c r="F22" s="137">
        <f>T4d!AZ28</f>
        <v>15</v>
      </c>
      <c r="G22" s="139">
        <f>T4d!BA28</f>
        <v>1E-3</v>
      </c>
      <c r="H22" s="138">
        <f>T4d!BB28</f>
        <v>844</v>
      </c>
      <c r="I22" s="140">
        <f>T4d!BC28</f>
        <v>3</v>
      </c>
      <c r="J22" s="139">
        <f>T4d!BD28</f>
        <v>3.0000000000000001E-5</v>
      </c>
      <c r="K22" s="139">
        <f>T4d!BE28</f>
        <v>2.9999999999999898E-2</v>
      </c>
      <c r="L22" s="142">
        <f>T4d!BF28</f>
        <v>2</v>
      </c>
      <c r="M22" s="141">
        <f>T4d!BG28</f>
        <v>1</v>
      </c>
      <c r="N22" s="141">
        <f>T4d!BH28</f>
        <v>0</v>
      </c>
      <c r="P22" s="146">
        <v>21</v>
      </c>
      <c r="Q22" s="147">
        <v>20</v>
      </c>
      <c r="R22" s="147">
        <v>-27</v>
      </c>
      <c r="S22" s="147" t="s">
        <v>103</v>
      </c>
    </row>
    <row r="23" spans="1:23" x14ac:dyDescent="0.25">
      <c r="A23" s="137">
        <f>T4d!AU29</f>
        <v>22</v>
      </c>
      <c r="B23" s="137">
        <f>T4d!AV29</f>
        <v>0</v>
      </c>
      <c r="C23" s="138">
        <f>T4d!AW29</f>
        <v>468284.78129999997</v>
      </c>
      <c r="D23" s="138">
        <f>T4d!AX29</f>
        <v>7609942.75</v>
      </c>
      <c r="E23" s="137">
        <f>T4d!AY29</f>
        <v>5000</v>
      </c>
      <c r="F23" s="137">
        <f>T4d!AZ29</f>
        <v>12</v>
      </c>
      <c r="G23" s="139">
        <f>T4d!BA29</f>
        <v>9.0909091999999902E-4</v>
      </c>
      <c r="H23" s="138">
        <f>T4d!BB29</f>
        <v>928</v>
      </c>
      <c r="I23" s="140">
        <f>T4d!BC29</f>
        <v>3</v>
      </c>
      <c r="J23" s="139">
        <f>T4d!BD29</f>
        <v>3.0000000000000001E-5</v>
      </c>
      <c r="K23" s="139">
        <f>T4d!BE29</f>
        <v>2.9999999999999898E-2</v>
      </c>
      <c r="L23" s="143">
        <f>T4d!BF29</f>
        <v>1</v>
      </c>
      <c r="M23" s="141">
        <f>T4d!BG29</f>
        <v>1</v>
      </c>
      <c r="N23" s="141">
        <f>T4d!BH29</f>
        <v>0</v>
      </c>
      <c r="P23" s="146">
        <v>22</v>
      </c>
      <c r="Q23" s="147">
        <v>-23</v>
      </c>
      <c r="R23" s="147" t="s">
        <v>103</v>
      </c>
      <c r="S23" s="147" t="s">
        <v>103</v>
      </c>
    </row>
    <row r="24" spans="1:23" x14ac:dyDescent="0.25">
      <c r="A24" s="137">
        <f>T4d!AU30</f>
        <v>23</v>
      </c>
      <c r="B24" s="137">
        <f>T4d!AV30</f>
        <v>0</v>
      </c>
      <c r="C24" s="138">
        <f>T4d!AW30</f>
        <v>466622.28129999997</v>
      </c>
      <c r="D24" s="138">
        <f>T4d!AX30</f>
        <v>7609955.25</v>
      </c>
      <c r="E24" s="137">
        <f>T4d!AY30</f>
        <v>5000</v>
      </c>
      <c r="F24" s="137">
        <f>T4d!AZ30</f>
        <v>12</v>
      </c>
      <c r="G24" s="139">
        <f>T4d!BA30</f>
        <v>9.0909091999999902E-4</v>
      </c>
      <c r="H24" s="138">
        <f>T4d!BB30</f>
        <v>895</v>
      </c>
      <c r="I24" s="140">
        <f>T4d!BC30</f>
        <v>3</v>
      </c>
      <c r="J24" s="139">
        <f>T4d!BD30</f>
        <v>3.0000000000000001E-5</v>
      </c>
      <c r="K24" s="139">
        <f>T4d!BE30</f>
        <v>2.9999999999999898E-2</v>
      </c>
      <c r="L24" s="142">
        <f>T4d!BF30</f>
        <v>2</v>
      </c>
      <c r="M24" s="141">
        <f>T4d!BG30</f>
        <v>1</v>
      </c>
      <c r="N24" s="141">
        <f>T4d!BH30</f>
        <v>0</v>
      </c>
      <c r="P24" s="146">
        <v>23</v>
      </c>
      <c r="Q24" s="147">
        <v>22</v>
      </c>
      <c r="R24" s="147">
        <v>-24</v>
      </c>
      <c r="S24" s="147" t="s">
        <v>103</v>
      </c>
    </row>
    <row r="25" spans="1:23" x14ac:dyDescent="0.25">
      <c r="A25" s="137">
        <f>T4d!AU31</f>
        <v>24</v>
      </c>
      <c r="B25" s="137">
        <f>T4d!AV31</f>
        <v>0</v>
      </c>
      <c r="C25" s="138">
        <f>T4d!AW31</f>
        <v>466097.28129999997</v>
      </c>
      <c r="D25" s="138">
        <f>T4d!AX31</f>
        <v>7610467.75</v>
      </c>
      <c r="E25" s="137">
        <f>T4d!AY31</f>
        <v>5000</v>
      </c>
      <c r="F25" s="137">
        <f>T4d!AZ31</f>
        <v>12</v>
      </c>
      <c r="G25" s="139">
        <f>T4d!BA31</f>
        <v>9.0909091999999902E-4</v>
      </c>
      <c r="H25" s="138">
        <f>T4d!BB31</f>
        <v>865</v>
      </c>
      <c r="I25" s="140">
        <f>T4d!BC31</f>
        <v>3</v>
      </c>
      <c r="J25" s="139">
        <f>T4d!BD31</f>
        <v>3.0000000000000001E-5</v>
      </c>
      <c r="K25" s="139">
        <f>T4d!BE31</f>
        <v>2.9999999999999898E-2</v>
      </c>
      <c r="L25" s="142">
        <f>T4d!BF31</f>
        <v>2</v>
      </c>
      <c r="M25" s="141">
        <f>T4d!BG31</f>
        <v>1</v>
      </c>
      <c r="N25" s="141">
        <f>T4d!BH31</f>
        <v>0</v>
      </c>
      <c r="P25" s="146">
        <v>24</v>
      </c>
      <c r="Q25" s="147">
        <v>23</v>
      </c>
      <c r="R25" s="147">
        <v>-25</v>
      </c>
      <c r="S25" s="147" t="s">
        <v>103</v>
      </c>
    </row>
    <row r="26" spans="1:23" x14ac:dyDescent="0.25">
      <c r="A26" s="137">
        <f>T4d!AU32</f>
        <v>25</v>
      </c>
      <c r="B26" s="137">
        <f>T4d!AV32</f>
        <v>0</v>
      </c>
      <c r="C26" s="138">
        <f>T4d!AW32</f>
        <v>465534.78129999997</v>
      </c>
      <c r="D26" s="138">
        <f>T4d!AX32</f>
        <v>7610505.25</v>
      </c>
      <c r="E26" s="137">
        <f>T4d!AY32</f>
        <v>5000</v>
      </c>
      <c r="F26" s="137">
        <f>T4d!AZ32</f>
        <v>12</v>
      </c>
      <c r="G26" s="139">
        <f>T4d!BA32</f>
        <v>9.0909091999999902E-4</v>
      </c>
      <c r="H26" s="138">
        <f>T4d!BB32</f>
        <v>856</v>
      </c>
      <c r="I26" s="140">
        <f>T4d!BC32</f>
        <v>3</v>
      </c>
      <c r="J26" s="139">
        <f>T4d!BD32</f>
        <v>3.0000000000000001E-5</v>
      </c>
      <c r="K26" s="139">
        <f>T4d!BE32</f>
        <v>2.9999999999999898E-2</v>
      </c>
      <c r="L26" s="142">
        <f>T4d!BF32</f>
        <v>2</v>
      </c>
      <c r="M26" s="141">
        <f>T4d!BG32</f>
        <v>1</v>
      </c>
      <c r="N26" s="141">
        <f>T4d!BH32</f>
        <v>0</v>
      </c>
      <c r="P26" s="146">
        <v>25</v>
      </c>
      <c r="Q26" s="147">
        <v>24</v>
      </c>
      <c r="R26" s="147">
        <v>-26</v>
      </c>
      <c r="S26" s="147" t="s">
        <v>103</v>
      </c>
    </row>
    <row r="27" spans="1:23" x14ac:dyDescent="0.25">
      <c r="A27" s="137">
        <f>T4d!AU33</f>
        <v>26</v>
      </c>
      <c r="B27" s="137">
        <f>T4d!AV33</f>
        <v>0</v>
      </c>
      <c r="C27" s="138">
        <f>T4d!AW33</f>
        <v>464909.78129999997</v>
      </c>
      <c r="D27" s="138">
        <f>T4d!AX33</f>
        <v>7609892.75</v>
      </c>
      <c r="E27" s="137">
        <f>T4d!AY33</f>
        <v>2000</v>
      </c>
      <c r="F27" s="137">
        <f>T4d!AZ33</f>
        <v>12</v>
      </c>
      <c r="G27" s="139">
        <f>T4d!BA33</f>
        <v>9.0909091999999902E-4</v>
      </c>
      <c r="H27" s="138">
        <f>T4d!BB33</f>
        <v>844</v>
      </c>
      <c r="I27" s="140">
        <f>T4d!BC33</f>
        <v>3</v>
      </c>
      <c r="J27" s="139">
        <f>T4d!BD33</f>
        <v>3.0000000000000001E-5</v>
      </c>
      <c r="K27" s="139">
        <f>T4d!BE33</f>
        <v>2.9999999999999898E-2</v>
      </c>
      <c r="L27" s="142">
        <f>T4d!BF33</f>
        <v>2</v>
      </c>
      <c r="M27" s="141">
        <f>T4d!BG33</f>
        <v>1</v>
      </c>
      <c r="N27" s="141">
        <f>T4d!BH33</f>
        <v>0</v>
      </c>
      <c r="P27" s="146">
        <v>26</v>
      </c>
      <c r="Q27" s="147">
        <v>25</v>
      </c>
      <c r="R27" s="147">
        <v>-27</v>
      </c>
      <c r="S27" s="147" t="s">
        <v>103</v>
      </c>
    </row>
    <row r="28" spans="1:23" x14ac:dyDescent="0.25">
      <c r="A28" s="137">
        <f>T4d!AU34</f>
        <v>27</v>
      </c>
      <c r="B28" s="137">
        <f>T4d!AV34</f>
        <v>0</v>
      </c>
      <c r="C28" s="138">
        <f>T4d!AW34</f>
        <v>464822.28129999997</v>
      </c>
      <c r="D28" s="138">
        <f>T4d!AX34</f>
        <v>7609305.25</v>
      </c>
      <c r="E28" s="137">
        <f>T4d!AY34</f>
        <v>5000</v>
      </c>
      <c r="F28" s="137">
        <f>T4d!AZ34</f>
        <v>55</v>
      </c>
      <c r="G28" s="139">
        <f>T4d!BA34</f>
        <v>9.67741939999999E-4</v>
      </c>
      <c r="H28" s="138">
        <f>T4d!BB34</f>
        <v>846</v>
      </c>
      <c r="I28" s="140">
        <f>T4d!BC34</f>
        <v>3</v>
      </c>
      <c r="J28" s="139">
        <f>T4d!BD34</f>
        <v>6.0000000000000002E-5</v>
      </c>
      <c r="K28" s="139">
        <f>T4d!BE34</f>
        <v>2.5000000000000001E-2</v>
      </c>
      <c r="L28" s="144">
        <f>T4d!BF34</f>
        <v>3</v>
      </c>
      <c r="M28" s="141">
        <f>T4d!BG34</f>
        <v>1</v>
      </c>
      <c r="N28" s="141">
        <f>T4d!BH34</f>
        <v>0</v>
      </c>
      <c r="P28" s="146">
        <v>27</v>
      </c>
      <c r="Q28" s="147">
        <v>20</v>
      </c>
      <c r="R28" s="147">
        <v>26</v>
      </c>
      <c r="S28" s="147">
        <v>-28</v>
      </c>
    </row>
    <row r="29" spans="1:23" x14ac:dyDescent="0.25">
      <c r="A29" s="137">
        <f>T4d!AU35</f>
        <v>28</v>
      </c>
      <c r="B29" s="137">
        <f>T4d!AV35</f>
        <v>0</v>
      </c>
      <c r="C29" s="138">
        <f>T4d!AW35</f>
        <v>464172.28129999997</v>
      </c>
      <c r="D29" s="138">
        <f>T4d!AX35</f>
        <v>7607930.25</v>
      </c>
      <c r="E29" s="137">
        <f>T4d!AY35</f>
        <v>5500</v>
      </c>
      <c r="F29" s="137">
        <f>T4d!AZ35</f>
        <v>55</v>
      </c>
      <c r="G29" s="139">
        <f>T4d!BA35</f>
        <v>9.67741939999999E-4</v>
      </c>
      <c r="H29" s="138">
        <f>T4d!BB35</f>
        <v>842</v>
      </c>
      <c r="I29" s="140">
        <f>T4d!BC35</f>
        <v>3</v>
      </c>
      <c r="J29" s="139">
        <f>T4d!BD35</f>
        <v>6.0000000000000002E-5</v>
      </c>
      <c r="K29" s="139">
        <f>T4d!BE35</f>
        <v>2.5000000000000001E-2</v>
      </c>
      <c r="L29" s="142">
        <f>T4d!BF35</f>
        <v>2</v>
      </c>
      <c r="M29" s="141">
        <f>T4d!BG35</f>
        <v>1</v>
      </c>
      <c r="N29" s="141">
        <f>T4d!BH35</f>
        <v>0</v>
      </c>
      <c r="P29" s="146">
        <v>28</v>
      </c>
      <c r="Q29" s="147">
        <v>27</v>
      </c>
      <c r="R29" s="147">
        <v>-29</v>
      </c>
      <c r="S29" s="14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T4d</vt:lpstr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2025-11-29T16:21:30Z</dcterms:created>
  <dcterms:modified xsi:type="dcterms:W3CDTF">2025-12-17T07:46:33Z</dcterms:modified>
</cp:coreProperties>
</file>
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5_REPOS\02_Beta-Me\GeoStatistics\GeostatsPy___pygslib\"/>
    </mc:Choice>
  </mc:AlternateContent>
  <xr:revisionPtr revIDLastSave="0" documentId="13_ncr:1_{C4A93E39-79F9-4E25-81B9-E6F5D51C2542}" xr6:coauthVersionLast="47" xr6:coauthVersionMax="47" xr10:uidLastSave="{00000000-0000-0000-0000-000000000000}"/>
  <bookViews>
    <workbookView xWindow="-120" yWindow="-120" windowWidth="29040" windowHeight="16440" xr2:uid="{F59B6A69-D14E-4381-8D8E-488614D58FA8}"/>
  </bookViews>
  <sheets>
    <sheet name="A" sheetId="1" r:id="rId1"/>
  </sheets>
  <externalReferences>
    <externalReference r:id="rId2"/>
    <externalReference r:id="rId3"/>
    <externalReference r:id="rId4"/>
  </externalReferences>
  <definedNames>
    <definedName name="a">[2]!Tab.711[#Headers]</definedName>
    <definedName name="aq">#REF!</definedName>
    <definedName name="AV">#REF!</definedName>
    <definedName name="Coord">#REF!</definedName>
    <definedName name="I">#REF!</definedName>
    <definedName name="Mean_A">'[3]Discrete distribution'!$B$30</definedName>
    <definedName name="mean_X" localSheetId="0">#REF!</definedName>
    <definedName name="mean_X">#REF!</definedName>
    <definedName name="mean_X.">#REF!</definedName>
    <definedName name="mean_Y" localSheetId="0">#REF!</definedName>
    <definedName name="mean_Y">#REF!</definedName>
    <definedName name="mean_Y.">#REF!</definedName>
    <definedName name="mu">'[3]Normal distribution'!$B$8</definedName>
    <definedName name="mu_A">[3]portfolio!$C$3</definedName>
    <definedName name="mu_B">[3]portfolio!$C$4</definedName>
    <definedName name="P1_A">'[3]Discrete distribution'!$C$4</definedName>
    <definedName name="P2_A">'[3]Discrete distribution'!$C$5</definedName>
    <definedName name="P3_A">'[3]Discrete distribution'!$C$6</definedName>
    <definedName name="P4_A">'[3]Discrete distribution'!$C$7</definedName>
    <definedName name="P5_A">'[3]Discrete distribution'!$C$8</definedName>
    <definedName name="Rot">#REF!</definedName>
    <definedName name="SD_A">'[3]Discrete distribution'!$B$32</definedName>
    <definedName name="SD_X" localSheetId="0">#REF!</definedName>
    <definedName name="SD_X">#REF!</definedName>
    <definedName name="SD_Y" localSheetId="0">#REF!</definedName>
    <definedName name="SD_Y">#REF!</definedName>
    <definedName name="sigma">'[3]Normal distribution'!$C$8</definedName>
    <definedName name="sigma_AB">[3]portfolio!$F$3</definedName>
    <definedName name="sigma2_A">[3]portfolio!$D$3</definedName>
    <definedName name="sigma2_B">[3]portfolio!$D$4</definedName>
    <definedName name="Variance_A">'[3]Discrete distribution'!$B$31</definedName>
    <definedName name="X">#REF!</definedName>
    <definedName name="x_A">[3]portfolio!$C$9</definedName>
    <definedName name="x_B">[3]portfolio!$C$10</definedName>
    <definedName name="Xo" localSheetId="0">A!#REF!</definedName>
    <definedName name="Xo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6" i="1" l="1"/>
  <c r="AB40" i="1"/>
  <c r="AM34" i="1" s="1"/>
  <c r="AA40" i="1"/>
  <c r="D30" i="1"/>
  <c r="E30" i="1" s="1"/>
  <c r="C29" i="1"/>
  <c r="C28" i="1"/>
  <c r="C27" i="1" s="1"/>
  <c r="C26" i="1" s="1"/>
  <c r="V17" i="1"/>
  <c r="O16" i="1"/>
  <c r="J12" i="1"/>
  <c r="AI9" i="1"/>
  <c r="AS4" i="1"/>
  <c r="F30" i="1" l="1"/>
  <c r="G30" i="1" s="1"/>
  <c r="H30" i="1" s="1"/>
  <c r="I30" i="1" s="1"/>
  <c r="E19" i="1"/>
  <c r="C25" i="1"/>
  <c r="C24" i="1" s="1"/>
  <c r="C23" i="1" s="1"/>
  <c r="C22" i="1" s="1"/>
  <c r="C21" i="1" s="1"/>
  <c r="C20" i="1" s="1"/>
  <c r="C19" i="1" s="1"/>
  <c r="E29" i="1"/>
  <c r="AO36" i="1"/>
  <c r="AN35" i="1"/>
  <c r="AP37" i="1"/>
  <c r="C18" i="1" l="1"/>
  <c r="F19" i="1"/>
  <c r="AI18" i="1" s="1"/>
  <c r="AH18" i="1"/>
  <c r="I13" i="1"/>
  <c r="J30" i="1"/>
  <c r="K30" i="1" s="1"/>
  <c r="D29" i="1" l="1"/>
  <c r="L30" i="1"/>
  <c r="M30" i="1" s="1"/>
  <c r="N30" i="1" s="1"/>
  <c r="AH15" i="1"/>
  <c r="AG17" i="1"/>
  <c r="AU37" i="1" s="1"/>
  <c r="AS43" i="1" s="1"/>
  <c r="C17" i="1"/>
  <c r="V18" i="1"/>
  <c r="AI17" i="1" s="1"/>
  <c r="C16" i="1" l="1"/>
  <c r="C15" i="1" s="1"/>
  <c r="C14" i="1" s="1"/>
  <c r="C13" i="1" s="1"/>
  <c r="O17" i="1"/>
  <c r="AI16" i="1" s="1"/>
  <c r="N17" i="1"/>
  <c r="O30" i="1"/>
  <c r="P30" i="1" s="1"/>
  <c r="Q30" i="1" l="1"/>
  <c r="R30" i="1" s="1"/>
  <c r="S30" i="1" s="1"/>
  <c r="T30" i="1" s="1"/>
  <c r="U30" i="1" s="1"/>
  <c r="P7" i="1"/>
  <c r="AH16" i="1"/>
  <c r="AD16" i="1"/>
  <c r="AG16" i="1"/>
  <c r="AU36" i="1" s="1"/>
  <c r="AS42" i="1" s="1"/>
  <c r="C12" i="1"/>
  <c r="C11" i="1" s="1"/>
  <c r="C10" i="1" s="1"/>
  <c r="C9" i="1" s="1"/>
  <c r="C8" i="1" s="1"/>
  <c r="C7" i="1" s="1"/>
  <c r="J13" i="1"/>
  <c r="AI15" i="1" l="1"/>
  <c r="AG15" i="1"/>
  <c r="AU35" i="1" s="1"/>
  <c r="AS41" i="1" s="1"/>
  <c r="AD15" i="1"/>
  <c r="AC15" i="1"/>
  <c r="C6" i="1"/>
  <c r="C5" i="1" s="1"/>
  <c r="C4" i="1" s="1"/>
  <c r="C3" i="1" s="1"/>
  <c r="C2" i="1" s="1"/>
  <c r="Q7" i="1"/>
  <c r="AI14" i="1" s="1"/>
  <c r="AC17" i="1"/>
  <c r="AO37" i="1" s="1"/>
  <c r="AP36" i="1"/>
  <c r="AD14" i="1"/>
  <c r="AH14" i="1"/>
  <c r="AG14" i="1"/>
  <c r="AU34" i="1" s="1"/>
  <c r="AS40" i="1" s="1"/>
  <c r="AC14" i="1"/>
  <c r="U18" i="1"/>
  <c r="AH17" i="1" s="1"/>
  <c r="V30" i="1"/>
  <c r="W30" i="1" s="1"/>
  <c r="X30" i="1" s="1"/>
  <c r="AA17" i="1" l="1"/>
  <c r="AM37" i="1" s="1"/>
  <c r="AP34" i="1"/>
  <c r="AF27" i="1"/>
  <c r="AF28" i="1"/>
  <c r="AB16" i="1"/>
  <c r="AN36" i="1" s="1"/>
  <c r="AO35" i="1"/>
  <c r="AA16" i="1"/>
  <c r="AM36" i="1" s="1"/>
  <c r="AO34" i="1"/>
  <c r="AB17" i="1"/>
  <c r="AN37" i="1" s="1"/>
  <c r="AP35" i="1"/>
  <c r="AB14" i="1"/>
  <c r="AA15" i="1" l="1"/>
  <c r="AM35" i="1" s="1"/>
  <c r="AN34" i="1"/>
  <c r="AM40" i="1" s="1" a="1"/>
  <c r="AN8" i="1"/>
  <c r="AP6" i="1"/>
  <c r="AS14" i="1"/>
  <c r="AM8" i="1"/>
  <c r="AO6" i="1"/>
  <c r="AM7" i="1"/>
  <c r="AS16" i="1"/>
  <c r="AN6" i="1"/>
  <c r="AU7" i="1"/>
  <c r="AM6" i="1"/>
  <c r="AP7" i="1"/>
  <c r="AN5" i="1"/>
  <c r="AS17" i="1"/>
  <c r="AU5" i="1"/>
  <c r="AO8" i="1"/>
  <c r="AN7" i="1"/>
  <c r="AP5" i="1"/>
  <c r="AP8" i="1"/>
  <c r="AO7" i="1"/>
  <c r="AU8" i="1"/>
  <c r="AU6" i="1"/>
  <c r="AO5" i="1"/>
  <c r="AM5" i="1"/>
  <c r="AS15" i="1"/>
  <c r="AM44" i="1" l="1"/>
  <c r="AP41" i="1"/>
  <c r="AQ43" i="1"/>
  <c r="AO41" i="1"/>
  <c r="AN42" i="1"/>
  <c r="AP43" i="1"/>
  <c r="AN41" i="1"/>
  <c r="AO43" i="1"/>
  <c r="AM41" i="1"/>
  <c r="AN43" i="1"/>
  <c r="AQ40" i="1"/>
  <c r="AP44" i="1"/>
  <c r="AM43" i="1"/>
  <c r="AP40" i="1"/>
  <c r="AQ42" i="1"/>
  <c r="AO40" i="1"/>
  <c r="AM42" i="1"/>
  <c r="AP42" i="1"/>
  <c r="AN40" i="1"/>
  <c r="AQ44" i="1"/>
  <c r="AO42" i="1"/>
  <c r="AM40" i="1"/>
  <c r="AU40" i="1" s="1" a="1"/>
  <c r="AO44" i="1"/>
  <c r="AN44" i="1"/>
  <c r="AQ41" i="1"/>
  <c r="AM14" i="1" a="1"/>
  <c r="AU44" i="1" l="1"/>
  <c r="AU43" i="1"/>
  <c r="AQ53" i="1" s="1"/>
  <c r="AS53" i="1" s="1"/>
  <c r="AU42" i="1"/>
  <c r="AQ52" i="1" s="1"/>
  <c r="AS52" i="1" s="1"/>
  <c r="AU41" i="1"/>
  <c r="AQ51" i="1" s="1"/>
  <c r="AS51" i="1" s="1"/>
  <c r="AU40" i="1"/>
  <c r="AQ16" i="1"/>
  <c r="AO14" i="1"/>
  <c r="AP16" i="1"/>
  <c r="AN14" i="1"/>
  <c r="AO17" i="1"/>
  <c r="AQ14" i="1"/>
  <c r="AQ18" i="1"/>
  <c r="AO16" i="1"/>
  <c r="AM14" i="1"/>
  <c r="AO18" i="1"/>
  <c r="AM18" i="1"/>
  <c r="AP14" i="1"/>
  <c r="AP18" i="1"/>
  <c r="AN16" i="1"/>
  <c r="AO15" i="1"/>
  <c r="AM16" i="1"/>
  <c r="AP15" i="1"/>
  <c r="AM15" i="1"/>
  <c r="AN18" i="1"/>
  <c r="AQ15" i="1"/>
  <c r="AM17" i="1"/>
  <c r="AQ17" i="1"/>
  <c r="AP17" i="1"/>
  <c r="AN15" i="1"/>
  <c r="AN17" i="1"/>
  <c r="AU45" i="1" l="1"/>
  <c r="AQ50" i="1"/>
  <c r="AS50" i="1" s="1"/>
  <c r="AS55" i="1" s="1"/>
  <c r="AU14" i="1" a="1"/>
  <c r="AQ24" i="1" a="1"/>
  <c r="AQ25" i="1" l="1"/>
  <c r="AS25" i="1" s="1"/>
  <c r="AQ24" i="1"/>
  <c r="AS24" i="1" s="1"/>
  <c r="AQ27" i="1"/>
  <c r="AS27" i="1" s="1"/>
  <c r="AQ26" i="1"/>
  <c r="AS26" i="1" s="1"/>
  <c r="AU15" i="1"/>
  <c r="AU14" i="1"/>
  <c r="AU18" i="1"/>
  <c r="AU16" i="1"/>
  <c r="AU17" i="1"/>
  <c r="AU19" i="1" l="1"/>
  <c r="F18" i="1"/>
  <c r="AS29" i="1"/>
  <c r="AG9" i="1"/>
</calcChain>
</file>

<file path=xl/sharedStrings.xml><?xml version="1.0" encoding="utf-8"?>
<sst xmlns="http://schemas.openxmlformats.org/spreadsheetml/2006/main" count="40" uniqueCount="26">
  <si>
    <t>y</t>
  </si>
  <si>
    <t>inputs:</t>
  </si>
  <si>
    <t>Var.</t>
  </si>
  <si>
    <r>
      <rPr>
        <b/>
        <sz val="20"/>
        <color theme="1"/>
        <rFont val="Symbol"/>
        <family val="1"/>
        <charset val="2"/>
      </rPr>
      <t>l</t>
    </r>
    <r>
      <rPr>
        <b/>
        <vertAlign val="subscript"/>
        <sz val="20"/>
        <color theme="1"/>
        <rFont val="Calibri"/>
        <family val="2"/>
        <scheme val="minor"/>
      </rPr>
      <t>1</t>
    </r>
  </si>
  <si>
    <r>
      <rPr>
        <b/>
        <sz val="20"/>
        <color theme="1"/>
        <rFont val="Symbol"/>
        <family val="1"/>
        <charset val="2"/>
      </rPr>
      <t>l</t>
    </r>
    <r>
      <rPr>
        <b/>
        <vertAlign val="subscript"/>
        <sz val="20"/>
        <color theme="1"/>
        <rFont val="Calibri"/>
        <family val="2"/>
        <scheme val="minor"/>
      </rPr>
      <t>2</t>
    </r>
  </si>
  <si>
    <r>
      <rPr>
        <b/>
        <sz val="20"/>
        <color theme="1"/>
        <rFont val="Symbol"/>
        <family val="1"/>
        <charset val="2"/>
      </rPr>
      <t>l</t>
    </r>
    <r>
      <rPr>
        <b/>
        <vertAlign val="subscript"/>
        <sz val="20"/>
        <color theme="1"/>
        <rFont val="Calibri"/>
        <family val="2"/>
        <scheme val="minor"/>
      </rPr>
      <t>3</t>
    </r>
  </si>
  <si>
    <r>
      <rPr>
        <b/>
        <sz val="20"/>
        <color theme="1"/>
        <rFont val="Symbol"/>
        <family val="1"/>
        <charset val="2"/>
      </rPr>
      <t>l</t>
    </r>
    <r>
      <rPr>
        <b/>
        <vertAlign val="subscript"/>
        <sz val="20"/>
        <color theme="1"/>
        <rFont val="Calibri"/>
        <family val="2"/>
        <scheme val="minor"/>
      </rPr>
      <t>4</t>
    </r>
  </si>
  <si>
    <t>m</t>
  </si>
  <si>
    <t>Variances</t>
  </si>
  <si>
    <t>positions:</t>
  </si>
  <si>
    <t>pt 5</t>
  </si>
  <si>
    <t>x</t>
  </si>
  <si>
    <t xml:space="preserve">Weighs </t>
  </si>
  <si>
    <t>Parcial Result</t>
  </si>
  <si>
    <t xml:space="preserve">a = </t>
  </si>
  <si>
    <t>Slope</t>
  </si>
  <si>
    <t>n</t>
  </si>
  <si>
    <t xml:space="preserve">b = </t>
  </si>
  <si>
    <t>Intercept</t>
  </si>
  <si>
    <t>Final</t>
  </si>
  <si>
    <t>S</t>
  </si>
  <si>
    <t>Result</t>
  </si>
  <si>
    <t>Mod. Ajustado variograma experimental</t>
  </si>
  <si>
    <t>Krigagem simples</t>
  </si>
  <si>
    <t>h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</si>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</sst>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3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Arial"/>
      <family val="2"/>
    </font>
    <font>
      <sz val="18"/>
      <name val="Calibri"/>
      <family val="2"/>
      <scheme val="minor"/>
    </font>
    <font>
      <b/>
      <sz val="14"/>
      <name val="Arial"/>
      <family val="2"/>
    </font>
    <font>
      <b/>
      <sz val="20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20"/>
      <color theme="1"/>
      <name val="Symbol"/>
      <family val="1"/>
      <charset val="2"/>
    </font>
    <font>
      <b/>
      <vertAlign val="subscript"/>
      <sz val="20"/>
      <color theme="1"/>
      <name val="Calibri"/>
      <family val="2"/>
      <scheme val="minor"/>
    </font>
    <font>
      <b/>
      <sz val="25"/>
      <color theme="0"/>
      <name val="Calibri"/>
      <family val="2"/>
      <scheme val="minor"/>
    </font>
    <font>
      <b/>
      <sz val="25"/>
      <color theme="1"/>
      <name val="Calibri"/>
      <family val="2"/>
      <scheme val="minor"/>
    </font>
    <font>
      <sz val="15"/>
      <color rgb="FFFF0000"/>
      <name val="Calibri"/>
      <family val="2"/>
      <scheme val="minor"/>
    </font>
    <font>
      <b/>
      <sz val="20"/>
      <color theme="1"/>
      <name val="Calibri Light"/>
      <family val="2"/>
      <scheme val="major"/>
    </font>
    <font>
      <b/>
      <i/>
      <sz val="25"/>
      <name val="Calibri"/>
      <family val="2"/>
      <scheme val="minor"/>
    </font>
    <font>
      <b/>
      <sz val="36"/>
      <color theme="1"/>
      <name val="Symbol"/>
      <family val="1"/>
      <charset val="2"/>
    </font>
    <font>
      <sz val="11"/>
      <name val="Calibri"/>
      <family val="2"/>
      <scheme val="minor"/>
    </font>
    <font>
      <b/>
      <sz val="22"/>
      <color theme="1"/>
      <name val="Calibri (Body)"/>
    </font>
    <font>
      <sz val="22"/>
      <color theme="1"/>
      <name val="Cambria Math"/>
      <family val="1"/>
    </font>
    <font>
      <b/>
      <sz val="20"/>
      <name val="Calibri"/>
      <family val="2"/>
      <scheme val="minor"/>
    </font>
    <font>
      <b/>
      <sz val="20"/>
      <color rgb="FF0000FF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color theme="1"/>
      <name val="Symbol"/>
      <family val="1"/>
      <charset val="2"/>
    </font>
    <font>
      <b/>
      <sz val="15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3333CC"/>
      <name val="Calibri"/>
      <family val="2"/>
      <scheme val="minor"/>
    </font>
    <font>
      <b/>
      <sz val="25"/>
      <name val="Calibri"/>
      <family val="2"/>
      <scheme val="minor"/>
    </font>
    <font>
      <sz val="20"/>
      <name val="Calibri"/>
      <family val="2"/>
      <scheme val="minor"/>
    </font>
    <font>
      <b/>
      <sz val="30"/>
      <color theme="0"/>
      <name val="Calibri"/>
      <family val="2"/>
      <scheme val="minor"/>
    </font>
    <font>
      <b/>
      <sz val="25"/>
      <color theme="0"/>
      <name val="Symbol"/>
      <family val="1"/>
      <charset val="2"/>
    </font>
    <font>
      <sz val="14"/>
      <color rgb="FF3333CC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20"/>
      <color rgb="FF3333CC"/>
      <name val="Calibri"/>
      <family val="2"/>
      <scheme val="minor"/>
    </font>
    <font>
      <b/>
      <sz val="20"/>
      <color theme="0"/>
      <name val="Symbol"/>
      <family val="1"/>
      <charset val="2"/>
    </font>
  </fonts>
  <fills count="2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8BE1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89FF8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D1FF"/>
        <bgColor indexed="64"/>
      </patternFill>
    </fill>
    <fill>
      <patternFill patternType="solid">
        <fgColor rgb="FF93E3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FFFF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vertical="center"/>
    </xf>
    <xf numFmtId="1" fontId="0" fillId="2" borderId="0" xfId="0" applyNumberFormat="1" applyFill="1" applyAlignment="1">
      <alignment horizontal="center" vertical="center"/>
    </xf>
    <xf numFmtId="2" fontId="2" fillId="2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2" fontId="4" fillId="3" borderId="0" xfId="0" applyNumberFormat="1" applyFont="1" applyFill="1" applyAlignment="1">
      <alignment horizontal="right" vertical="center"/>
    </xf>
    <xf numFmtId="0" fontId="5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2" fontId="3" fillId="3" borderId="0" xfId="0" applyNumberFormat="1" applyFont="1" applyFill="1" applyAlignment="1">
      <alignment horizontal="left" vertical="center"/>
    </xf>
    <xf numFmtId="0" fontId="6" fillId="3" borderId="0" xfId="0" applyFont="1" applyFill="1" applyAlignment="1">
      <alignment horizontal="right" vertical="center"/>
    </xf>
    <xf numFmtId="2" fontId="7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2" fontId="8" fillId="3" borderId="0" xfId="0" applyNumberFormat="1" applyFont="1" applyFill="1" applyAlignment="1">
      <alignment horizontal="center" vertical="center"/>
    </xf>
    <xf numFmtId="2" fontId="0" fillId="2" borderId="0" xfId="0" applyNumberFormat="1" applyFill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1" fontId="11" fillId="5" borderId="0" xfId="0" applyNumberFormat="1" applyFont="1" applyFill="1" applyAlignment="1">
      <alignment horizontal="center" vertical="center"/>
    </xf>
    <xf numFmtId="1" fontId="12" fillId="6" borderId="0" xfId="0" applyNumberFormat="1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2" fontId="13" fillId="7" borderId="4" xfId="0" applyNumberFormat="1" applyFont="1" applyFill="1" applyBorder="1" applyAlignment="1">
      <alignment horizontal="center" vertical="center"/>
    </xf>
    <xf numFmtId="2" fontId="13" fillId="8" borderId="2" xfId="0" applyNumberFormat="1" applyFont="1" applyFill="1" applyBorder="1" applyAlignment="1">
      <alignment horizontal="center" vertical="center"/>
    </xf>
    <xf numFmtId="2" fontId="13" fillId="8" borderId="3" xfId="0" applyNumberFormat="1" applyFont="1" applyFill="1" applyBorder="1" applyAlignment="1">
      <alignment horizontal="center" vertical="center"/>
    </xf>
    <xf numFmtId="2" fontId="13" fillId="0" borderId="3" xfId="0" applyNumberFormat="1" applyFont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164" fontId="5" fillId="10" borderId="5" xfId="0" applyNumberFormat="1" applyFont="1" applyFill="1" applyBorder="1" applyAlignment="1">
      <alignment horizontal="center" vertical="center"/>
    </xf>
    <xf numFmtId="1" fontId="16" fillId="6" borderId="6" xfId="0" applyNumberFormat="1" applyFont="1" applyFill="1" applyBorder="1" applyAlignment="1">
      <alignment horizontal="center" vertical="center"/>
    </xf>
    <xf numFmtId="1" fontId="17" fillId="5" borderId="0" xfId="0" applyNumberFormat="1" applyFont="1" applyFill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9" fillId="11" borderId="8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2" fontId="13" fillId="8" borderId="7" xfId="0" applyNumberFormat="1" applyFont="1" applyFill="1" applyBorder="1" applyAlignment="1">
      <alignment horizontal="center" vertical="center"/>
    </xf>
    <xf numFmtId="2" fontId="13" fillId="7" borderId="0" xfId="0" applyNumberFormat="1" applyFont="1" applyFill="1" applyAlignment="1">
      <alignment horizontal="center" vertical="center"/>
    </xf>
    <xf numFmtId="2" fontId="13" fillId="8" borderId="0" xfId="0" applyNumberFormat="1" applyFont="1" applyFill="1" applyAlignment="1">
      <alignment horizontal="center" vertical="center"/>
    </xf>
    <xf numFmtId="2" fontId="13" fillId="8" borderId="8" xfId="0" applyNumberFormat="1" applyFont="1" applyFill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/>
    </xf>
    <xf numFmtId="164" fontId="5" fillId="10" borderId="9" xfId="0" applyNumberFormat="1" applyFont="1" applyFill="1" applyBorder="1" applyAlignment="1">
      <alignment horizontal="center" vertical="center"/>
    </xf>
    <xf numFmtId="1" fontId="10" fillId="8" borderId="10" xfId="0" applyNumberFormat="1" applyFont="1" applyFill="1" applyBorder="1" applyAlignment="1">
      <alignment horizontal="center" vertical="center"/>
    </xf>
    <xf numFmtId="1" fontId="10" fillId="8" borderId="11" xfId="0" applyNumberFormat="1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9" fillId="12" borderId="8" xfId="0" applyFont="1" applyFill="1" applyBorder="1" applyAlignment="1">
      <alignment horizontal="center" vertical="center"/>
    </xf>
    <xf numFmtId="0" fontId="18" fillId="3" borderId="12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  <xf numFmtId="2" fontId="13" fillId="8" borderId="12" xfId="0" applyNumberFormat="1" applyFont="1" applyFill="1" applyBorder="1" applyAlignment="1">
      <alignment horizontal="center" vertical="center"/>
    </xf>
    <xf numFmtId="2" fontId="13" fillId="8" borderId="13" xfId="0" applyNumberFormat="1" applyFont="1" applyFill="1" applyBorder="1" applyAlignment="1">
      <alignment horizontal="center" vertical="center"/>
    </xf>
    <xf numFmtId="2" fontId="13" fillId="7" borderId="14" xfId="0" applyNumberFormat="1" applyFont="1" applyFill="1" applyBorder="1" applyAlignment="1">
      <alignment horizontal="center" vertical="center"/>
    </xf>
    <xf numFmtId="164" fontId="5" fillId="10" borderId="15" xfId="0" applyNumberFormat="1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1" fontId="12" fillId="13" borderId="0" xfId="0" applyNumberFormat="1" applyFont="1" applyFill="1" applyAlignment="1">
      <alignment horizontal="center" vertical="center"/>
    </xf>
    <xf numFmtId="1" fontId="2" fillId="14" borderId="0" xfId="0" applyNumberFormat="1" applyFont="1" applyFill="1" applyAlignment="1">
      <alignment horizontal="center" vertical="center"/>
    </xf>
    <xf numFmtId="2" fontId="13" fillId="0" borderId="12" xfId="0" applyNumberFormat="1" applyFont="1" applyBorder="1" applyAlignment="1">
      <alignment horizontal="center" vertical="center"/>
    </xf>
    <xf numFmtId="2" fontId="13" fillId="0" borderId="13" xfId="0" applyNumberFormat="1" applyFont="1" applyBorder="1" applyAlignment="1">
      <alignment horizontal="center" vertical="center"/>
    </xf>
    <xf numFmtId="2" fontId="13" fillId="0" borderId="14" xfId="0" applyNumberFormat="1" applyFont="1" applyBorder="1" applyAlignment="1">
      <alignment horizontal="center" vertical="center"/>
    </xf>
    <xf numFmtId="0" fontId="14" fillId="15" borderId="0" xfId="0" applyFont="1" applyFill="1" applyAlignment="1">
      <alignment horizontal="center" vertical="center"/>
    </xf>
    <xf numFmtId="1" fontId="19" fillId="16" borderId="15" xfId="0" applyNumberFormat="1" applyFont="1" applyFill="1" applyBorder="1" applyAlignment="1">
      <alignment horizontal="center" vertical="center"/>
    </xf>
    <xf numFmtId="0" fontId="20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21" fillId="3" borderId="0" xfId="0" applyFont="1" applyFill="1" applyAlignment="1">
      <alignment horizontal="center" vertical="center"/>
    </xf>
    <xf numFmtId="0" fontId="22" fillId="3" borderId="0" xfId="0" applyFont="1" applyFill="1" applyAlignment="1">
      <alignment vertical="center"/>
    </xf>
    <xf numFmtId="0" fontId="8" fillId="3" borderId="0" xfId="0" applyFont="1" applyFill="1" applyAlignment="1">
      <alignment horizontal="left" vertical="center"/>
    </xf>
    <xf numFmtId="1" fontId="16" fillId="6" borderId="16" xfId="0" applyNumberFormat="1" applyFont="1" applyFill="1" applyBorder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0" fontId="24" fillId="3" borderId="0" xfId="0" applyFont="1" applyFill="1" applyAlignment="1">
      <alignment vertical="center"/>
    </xf>
    <xf numFmtId="2" fontId="25" fillId="3" borderId="0" xfId="0" applyNumberFormat="1" applyFont="1" applyFill="1" applyAlignment="1">
      <alignment horizontal="right" vertical="center"/>
    </xf>
    <xf numFmtId="2" fontId="25" fillId="3" borderId="0" xfId="0" applyNumberFormat="1" applyFont="1" applyFill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1" fontId="26" fillId="4" borderId="2" xfId="0" applyNumberFormat="1" applyFont="1" applyFill="1" applyBorder="1" applyAlignment="1">
      <alignment horizontal="center" vertical="center"/>
    </xf>
    <xf numFmtId="1" fontId="26" fillId="4" borderId="3" xfId="0" applyNumberFormat="1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164" fontId="27" fillId="10" borderId="5" xfId="0" applyNumberFormat="1" applyFont="1" applyFill="1" applyBorder="1" applyAlignment="1">
      <alignment horizontal="center"/>
    </xf>
    <xf numFmtId="1" fontId="10" fillId="8" borderId="0" xfId="0" applyNumberFormat="1" applyFont="1" applyFill="1" applyAlignment="1">
      <alignment horizontal="center" vertical="center"/>
    </xf>
    <xf numFmtId="164" fontId="5" fillId="9" borderId="0" xfId="0" applyNumberFormat="1" applyFont="1" applyFill="1" applyAlignment="1">
      <alignment horizontal="center" vertical="center"/>
    </xf>
    <xf numFmtId="2" fontId="28" fillId="15" borderId="0" xfId="0" applyNumberFormat="1" applyFont="1" applyFill="1" applyAlignment="1">
      <alignment horizontal="center" vertical="center"/>
    </xf>
    <xf numFmtId="1" fontId="18" fillId="3" borderId="7" xfId="0" applyNumberFormat="1" applyFont="1" applyFill="1" applyBorder="1" applyAlignment="1">
      <alignment horizontal="center" vertical="center"/>
    </xf>
    <xf numFmtId="1" fontId="26" fillId="11" borderId="0" xfId="0" applyNumberFormat="1" applyFont="1" applyFill="1" applyAlignment="1">
      <alignment horizontal="center" vertical="center"/>
    </xf>
    <xf numFmtId="1" fontId="26" fillId="11" borderId="8" xfId="0" applyNumberFormat="1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164" fontId="27" fillId="10" borderId="9" xfId="0" applyNumberFormat="1" applyFont="1" applyFill="1" applyBorder="1" applyAlignment="1">
      <alignment horizontal="center"/>
    </xf>
    <xf numFmtId="1" fontId="18" fillId="3" borderId="0" xfId="0" applyNumberFormat="1" applyFont="1" applyFill="1" applyAlignment="1">
      <alignment horizontal="center" vertical="center"/>
    </xf>
    <xf numFmtId="1" fontId="26" fillId="12" borderId="8" xfId="0" applyNumberFormat="1" applyFont="1" applyFill="1" applyBorder="1" applyAlignment="1">
      <alignment horizontal="center" vertical="center"/>
    </xf>
    <xf numFmtId="1" fontId="18" fillId="3" borderId="12" xfId="0" applyNumberFormat="1" applyFont="1" applyFill="1" applyBorder="1" applyAlignment="1">
      <alignment horizontal="center" vertical="center"/>
    </xf>
    <xf numFmtId="1" fontId="18" fillId="3" borderId="13" xfId="0" applyNumberFormat="1" applyFont="1" applyFill="1" applyBorder="1" applyAlignment="1">
      <alignment horizontal="center" vertical="center"/>
    </xf>
    <xf numFmtId="164" fontId="27" fillId="10" borderId="15" xfId="0" applyNumberFormat="1" applyFont="1" applyFill="1" applyBorder="1" applyAlignment="1">
      <alignment horizontal="center"/>
    </xf>
    <xf numFmtId="1" fontId="29" fillId="13" borderId="16" xfId="0" applyNumberFormat="1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center" vertical="center"/>
    </xf>
    <xf numFmtId="164" fontId="30" fillId="3" borderId="14" xfId="0" applyNumberFormat="1" applyFont="1" applyFill="1" applyBorder="1" applyAlignment="1">
      <alignment horizontal="center" vertical="center"/>
    </xf>
    <xf numFmtId="164" fontId="30" fillId="3" borderId="0" xfId="0" applyNumberFormat="1" applyFont="1" applyFill="1" applyAlignment="1">
      <alignment horizontal="center" vertical="center"/>
    </xf>
    <xf numFmtId="1" fontId="13" fillId="3" borderId="1" xfId="0" applyNumberFormat="1" applyFont="1" applyFill="1" applyBorder="1" applyAlignment="1">
      <alignment horizontal="center" vertical="center"/>
    </xf>
    <xf numFmtId="1" fontId="31" fillId="14" borderId="0" xfId="0" applyNumberFormat="1" applyFont="1" applyFill="1" applyAlignment="1">
      <alignment horizontal="center"/>
    </xf>
    <xf numFmtId="1" fontId="31" fillId="14" borderId="16" xfId="0" applyNumberFormat="1" applyFont="1" applyFill="1" applyBorder="1" applyAlignment="1">
      <alignment horizontal="center"/>
    </xf>
    <xf numFmtId="2" fontId="7" fillId="3" borderId="0" xfId="0" applyNumberFormat="1" applyFont="1" applyFill="1" applyAlignment="1">
      <alignment horizontal="right" vertical="center"/>
    </xf>
    <xf numFmtId="2" fontId="22" fillId="3" borderId="0" xfId="0" applyNumberFormat="1" applyFont="1" applyFill="1" applyAlignment="1">
      <alignment horizontal="center"/>
    </xf>
    <xf numFmtId="164" fontId="32" fillId="8" borderId="0" xfId="0" applyNumberFormat="1" applyFont="1" applyFill="1" applyAlignment="1">
      <alignment horizontal="center" vertical="center"/>
    </xf>
    <xf numFmtId="2" fontId="33" fillId="3" borderId="0" xfId="0" applyNumberFormat="1" applyFont="1" applyFill="1" applyAlignment="1">
      <alignment horizontal="right" vertical="center"/>
    </xf>
    <xf numFmtId="2" fontId="27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164" fontId="34" fillId="0" borderId="5" xfId="0" applyNumberFormat="1" applyFont="1" applyBorder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3" fillId="17" borderId="0" xfId="0" applyFont="1" applyFill="1" applyAlignment="1">
      <alignment horizontal="center" vertical="center"/>
    </xf>
    <xf numFmtId="164" fontId="2" fillId="17" borderId="0" xfId="0" applyNumberFormat="1" applyFont="1" applyFill="1" applyAlignment="1">
      <alignment horizontal="center" vertical="center"/>
    </xf>
    <xf numFmtId="164" fontId="2" fillId="17" borderId="0" xfId="0" applyNumberFormat="1" applyFont="1" applyFill="1" applyAlignment="1">
      <alignment horizontal="left" vertical="center"/>
    </xf>
    <xf numFmtId="1" fontId="16" fillId="6" borderId="17" xfId="0" applyNumberFormat="1" applyFont="1" applyFill="1" applyBorder="1" applyAlignment="1">
      <alignment horizontal="center" vertical="center"/>
    </xf>
    <xf numFmtId="164" fontId="35" fillId="6" borderId="3" xfId="0" applyNumberFormat="1" applyFont="1" applyFill="1" applyBorder="1" applyAlignment="1">
      <alignment horizontal="center" vertical="center"/>
    </xf>
    <xf numFmtId="1" fontId="35" fillId="13" borderId="5" xfId="0" applyNumberFormat="1" applyFont="1" applyFill="1" applyBorder="1" applyAlignment="1">
      <alignment vertical="center"/>
    </xf>
    <xf numFmtId="2" fontId="33" fillId="3" borderId="0" xfId="0" applyNumberFormat="1" applyFont="1" applyFill="1" applyAlignment="1">
      <alignment horizontal="left" vertical="center"/>
    </xf>
    <xf numFmtId="1" fontId="10" fillId="18" borderId="10" xfId="0" applyNumberFormat="1" applyFont="1" applyFill="1" applyBorder="1" applyAlignment="1">
      <alignment horizontal="center" vertical="center"/>
    </xf>
    <xf numFmtId="1" fontId="10" fillId="18" borderId="11" xfId="0" applyNumberFormat="1" applyFont="1" applyFill="1" applyBorder="1" applyAlignment="1">
      <alignment horizontal="center" vertical="center"/>
    </xf>
    <xf numFmtId="1" fontId="16" fillId="6" borderId="18" xfId="0" applyNumberFormat="1" applyFont="1" applyFill="1" applyBorder="1" applyAlignment="1">
      <alignment horizontal="center" vertical="center"/>
    </xf>
    <xf numFmtId="164" fontId="36" fillId="6" borderId="19" xfId="0" applyNumberFormat="1" applyFont="1" applyFill="1" applyBorder="1" applyAlignment="1">
      <alignment horizontal="center" vertical="center"/>
    </xf>
    <xf numFmtId="1" fontId="35" fillId="13" borderId="15" xfId="0" applyNumberFormat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164" fontId="37" fillId="2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2" fontId="2" fillId="3" borderId="0" xfId="0" applyNumberFormat="1" applyFont="1" applyFill="1" applyAlignment="1">
      <alignment horizontal="center" vertical="center"/>
    </xf>
    <xf numFmtId="2" fontId="34" fillId="3" borderId="0" xfId="0" applyNumberFormat="1" applyFont="1" applyFill="1" applyAlignment="1">
      <alignment horizontal="center"/>
    </xf>
    <xf numFmtId="0" fontId="2" fillId="3" borderId="20" xfId="0" applyFont="1" applyFill="1" applyBorder="1" applyAlignment="1">
      <alignment horizontal="right"/>
    </xf>
    <xf numFmtId="164" fontId="10" fillId="7" borderId="4" xfId="0" applyNumberFormat="1" applyFont="1" applyFill="1" applyBorder="1" applyAlignment="1">
      <alignment horizontal="center" vertical="center"/>
    </xf>
    <xf numFmtId="164" fontId="10" fillId="8" borderId="2" xfId="0" applyNumberFormat="1" applyFont="1" applyFill="1" applyBorder="1" applyAlignment="1">
      <alignment horizontal="center" vertical="center"/>
    </xf>
    <xf numFmtId="164" fontId="10" fillId="8" borderId="3" xfId="0" applyNumberFormat="1" applyFont="1" applyFill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1" fontId="2" fillId="10" borderId="5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164" fontId="10" fillId="8" borderId="7" xfId="0" applyNumberFormat="1" applyFont="1" applyFill="1" applyBorder="1" applyAlignment="1">
      <alignment horizontal="center" vertical="center"/>
    </xf>
    <xf numFmtId="164" fontId="10" fillId="7" borderId="0" xfId="0" applyNumberFormat="1" applyFont="1" applyFill="1" applyAlignment="1">
      <alignment horizontal="center" vertical="center"/>
    </xf>
    <xf numFmtId="164" fontId="10" fillId="8" borderId="0" xfId="0" applyNumberFormat="1" applyFont="1" applyFill="1" applyAlignment="1">
      <alignment horizontal="center" vertical="center"/>
    </xf>
    <xf numFmtId="164" fontId="10" fillId="8" borderId="8" xfId="0" applyNumberFormat="1" applyFont="1" applyFill="1" applyBorder="1" applyAlignment="1">
      <alignment horizontal="center" vertical="center"/>
    </xf>
    <xf numFmtId="1" fontId="9" fillId="0" borderId="8" xfId="0" applyNumberFormat="1" applyFont="1" applyBorder="1" applyAlignment="1">
      <alignment horizontal="center" vertical="center"/>
    </xf>
    <xf numFmtId="1" fontId="2" fillId="10" borderId="9" xfId="0" applyNumberFormat="1" applyFont="1" applyFill="1" applyBorder="1" applyAlignment="1">
      <alignment horizontal="center" vertical="center"/>
    </xf>
    <xf numFmtId="2" fontId="38" fillId="3" borderId="0" xfId="0" applyNumberFormat="1" applyFont="1" applyFill="1" applyAlignment="1">
      <alignment horizontal="center" vertical="center"/>
    </xf>
    <xf numFmtId="164" fontId="10" fillId="8" borderId="12" xfId="0" applyNumberFormat="1" applyFont="1" applyFill="1" applyBorder="1" applyAlignment="1">
      <alignment horizontal="center" vertical="center"/>
    </xf>
    <xf numFmtId="164" fontId="10" fillId="8" borderId="13" xfId="0" applyNumberFormat="1" applyFont="1" applyFill="1" applyBorder="1" applyAlignment="1">
      <alignment horizontal="center" vertical="center"/>
    </xf>
    <xf numFmtId="164" fontId="10" fillId="7" borderId="14" xfId="0" applyNumberFormat="1" applyFont="1" applyFill="1" applyBorder="1" applyAlignment="1">
      <alignment horizontal="center" vertical="center"/>
    </xf>
    <xf numFmtId="1" fontId="2" fillId="10" borderId="15" xfId="0" applyNumberFormat="1" applyFont="1" applyFill="1" applyBorder="1" applyAlignment="1">
      <alignment horizontal="center" vertical="center"/>
    </xf>
    <xf numFmtId="1" fontId="9" fillId="0" borderId="12" xfId="0" applyNumberFormat="1" applyFont="1" applyBorder="1" applyAlignment="1">
      <alignment horizontal="center" vertical="center"/>
    </xf>
    <xf numFmtId="1" fontId="9" fillId="0" borderId="13" xfId="0" applyNumberFormat="1" applyFont="1" applyBorder="1" applyAlignment="1">
      <alignment horizontal="center" vertical="center"/>
    </xf>
    <xf numFmtId="1" fontId="9" fillId="0" borderId="14" xfId="0" applyNumberFormat="1" applyFont="1" applyBorder="1" applyAlignment="1">
      <alignment horizontal="center" vertical="center"/>
    </xf>
    <xf numFmtId="0" fontId="39" fillId="3" borderId="0" xfId="0" applyFont="1" applyFill="1" applyAlignment="1">
      <alignment horizontal="center" vertical="center"/>
    </xf>
    <xf numFmtId="1" fontId="34" fillId="3" borderId="0" xfId="0" applyNumberFormat="1" applyFont="1" applyFill="1" applyAlignment="1">
      <alignment horizontal="center"/>
    </xf>
    <xf numFmtId="12" fontId="2" fillId="16" borderId="0" xfId="0" applyNumberFormat="1" applyFont="1" applyFill="1" applyAlignment="1">
      <alignment horizontal="center" vertical="center"/>
    </xf>
    <xf numFmtId="164" fontId="9" fillId="19" borderId="0" xfId="0" applyNumberFormat="1" applyFont="1" applyFill="1" applyAlignment="1">
      <alignment horizontal="center" vertical="center"/>
    </xf>
    <xf numFmtId="164" fontId="2" fillId="19" borderId="0" xfId="0" applyNumberFormat="1" applyFont="1" applyFill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/>
    </xf>
    <xf numFmtId="164" fontId="10" fillId="0" borderId="8" xfId="0" applyNumberFormat="1" applyFont="1" applyBorder="1" applyAlignment="1">
      <alignment horizontal="center" vertical="center"/>
    </xf>
    <xf numFmtId="164" fontId="10" fillId="0" borderId="12" xfId="0" applyNumberFormat="1" applyFont="1" applyBorder="1" applyAlignment="1">
      <alignment horizontal="center" vertical="center"/>
    </xf>
    <xf numFmtId="164" fontId="10" fillId="0" borderId="13" xfId="0" applyNumberFormat="1" applyFont="1" applyBorder="1" applyAlignment="1">
      <alignment horizontal="center" vertical="center"/>
    </xf>
    <xf numFmtId="164" fontId="10" fillId="0" borderId="14" xfId="0" applyNumberFormat="1" applyFont="1" applyBorder="1" applyAlignment="1">
      <alignment horizontal="center" vertical="center"/>
    </xf>
    <xf numFmtId="0" fontId="10" fillId="3" borderId="0" xfId="0" applyFont="1" applyFill="1" applyAlignment="1">
      <alignment vertical="center"/>
    </xf>
    <xf numFmtId="164" fontId="2" fillId="9" borderId="0" xfId="0" applyNumberFormat="1" applyFont="1" applyFill="1" applyAlignment="1">
      <alignment horizontal="center" vertical="center"/>
    </xf>
    <xf numFmtId="2" fontId="14" fillId="15" borderId="0" xfId="0" applyNumberFormat="1" applyFont="1" applyFill="1" applyAlignment="1">
      <alignment horizontal="center" vertical="center"/>
    </xf>
    <xf numFmtId="2" fontId="2" fillId="16" borderId="0" xfId="0" applyNumberFormat="1" applyFont="1" applyFill="1" applyAlignment="1">
      <alignment horizontal="center" vertical="center"/>
    </xf>
    <xf numFmtId="1" fontId="2" fillId="19" borderId="0" xfId="0" applyNumberFormat="1" applyFont="1" applyFill="1" applyAlignment="1">
      <alignment horizontal="center" vertical="center"/>
    </xf>
    <xf numFmtId="2" fontId="34" fillId="3" borderId="0" xfId="0" applyNumberFormat="1" applyFont="1" applyFill="1" applyAlignment="1">
      <alignment horizontal="right" vertical="center"/>
    </xf>
    <xf numFmtId="164" fontId="40" fillId="8" borderId="0" xfId="0" applyNumberFormat="1" applyFont="1" applyFill="1" applyAlignment="1">
      <alignment horizontal="center" vertical="center"/>
    </xf>
    <xf numFmtId="1" fontId="12" fillId="6" borderId="17" xfId="0" applyNumberFormat="1" applyFont="1" applyFill="1" applyBorder="1" applyAlignment="1">
      <alignment horizontal="center" vertical="center"/>
    </xf>
    <xf numFmtId="164" fontId="12" fillId="6" borderId="3" xfId="0" applyNumberFormat="1" applyFont="1" applyFill="1" applyBorder="1" applyAlignment="1">
      <alignment horizontal="center" vertical="center"/>
    </xf>
    <xf numFmtId="1" fontId="12" fillId="13" borderId="5" xfId="0" applyNumberFormat="1" applyFont="1" applyFill="1" applyBorder="1" applyAlignment="1">
      <alignment vertical="center"/>
    </xf>
    <xf numFmtId="2" fontId="25" fillId="3" borderId="0" xfId="0" applyNumberFormat="1" applyFont="1" applyFill="1" applyAlignment="1">
      <alignment horizontal="left" vertical="center"/>
    </xf>
    <xf numFmtId="1" fontId="12" fillId="6" borderId="18" xfId="0" applyNumberFormat="1" applyFont="1" applyFill="1" applyBorder="1" applyAlignment="1">
      <alignment horizontal="center" vertical="center"/>
    </xf>
    <xf numFmtId="164" fontId="41" fillId="6" borderId="19" xfId="0" applyNumberFormat="1" applyFont="1" applyFill="1" applyBorder="1" applyAlignment="1">
      <alignment horizontal="center" vertical="center"/>
    </xf>
    <xf numFmtId="1" fontId="12" fillId="13" borderId="15" xfId="0" applyNumberFormat="1" applyFont="1" applyFill="1" applyBorder="1" applyAlignment="1">
      <alignment vertical="center"/>
    </xf>
    <xf numFmtId="164" fontId="37" fillId="0" borderId="0" xfId="0" applyNumberFormat="1" applyFont="1"/>
    <xf numFmtId="0" fontId="0" fillId="0" borderId="0" xfId="0" applyAlignment="1">
      <alignment vertical="center"/>
    </xf>
    <xf numFmtId="1" fontId="5" fillId="5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449151389523755"/>
          <c:y val="0.22523325632993799"/>
          <c:w val="0.79054751702667614"/>
          <c:h val="0.63021162482240234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square"/>
            <c:size val="35"/>
            <c:spPr>
              <a:solidFill>
                <a:srgbClr val="93E3FF">
                  <a:alpha val="50000"/>
                </a:srgbClr>
              </a:solidFill>
              <a:ln w="3175">
                <a:solidFill>
                  <a:srgbClr val="000000"/>
                </a:solidFill>
              </a:ln>
              <a:effectLst/>
            </c:spPr>
          </c:marker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0-5B37-418F-82AE-23DD7385FC1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3FACAA57-926A-4F67-9D1B-CC9B0522671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5B37-418F-82AE-23DD7385FC1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51D2DD8-42A1-4B90-B1D7-79F966B1E97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5B37-418F-82AE-23DD7385FC1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7A4A720-FC15-450E-9A06-45AFC0DFA92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B37-418F-82AE-23DD7385FC1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3217E17-F4A9-45FB-AC29-10D69CF119F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B37-418F-82AE-23DD7385FC19}"/>
                </c:ext>
              </c:extLst>
            </c:dLbl>
            <c:dLbl>
              <c:idx val="4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2500" b="1">
                        <a:solidFill>
                          <a:srgbClr val="FF0000"/>
                        </a:solidFill>
                      </a:defRPr>
                    </a:pPr>
                    <a:fld id="{3AD85B1F-C337-4BE6-B257-85D03A1D4E00}" type="CELLRANGE">
                      <a:rPr lang="en-US"/>
                      <a:pPr>
                        <a:defRPr sz="2500" b="1">
                          <a:solidFill>
                            <a:srgbClr val="FF0000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5B37-418F-82AE-23DD7385FC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500" b="1"/>
                </a:pPr>
                <a:endParaRPr lang="LID4096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 w="44450" cap="rnd">
                <a:solidFill>
                  <a:srgbClr val="FF0000"/>
                </a:solidFill>
                <a:prstDash val="dash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8920649200174922E-2"/>
                  <c:y val="-0.31562813603560935"/>
                </c:manualLayout>
              </c:layout>
              <c:tx>
                <c:rich>
                  <a:bodyPr rot="0" vert="horz"/>
                  <a:lstStyle/>
                  <a:p>
                    <a:pPr>
                      <a:defRPr b="1"/>
                    </a:pPr>
                    <a:r>
                      <a:rPr lang="en-US" sz="2400" baseline="0"/>
                      <a:t>y = 0.7297x + 7.7622</a:t>
                    </a:r>
                    <a:endParaRPr lang="en-US" sz="2400"/>
                  </a:p>
                </c:rich>
              </c:tx>
              <c:numFmt formatCode="General" sourceLinked="0"/>
              <c:spPr>
                <a:solidFill>
                  <a:srgbClr val="93E3FF"/>
                </a:solidFill>
                <a:ln w="25400">
                  <a:noFill/>
                </a:ln>
              </c:spPr>
            </c:trendlineLbl>
          </c:trendline>
          <c:xVal>
            <c:numRef>
              <c:f>A!$AH$14:$AH$18</c:f>
              <c:numCache>
                <c:formatCode>0</c:formatCode>
                <c:ptCount val="5"/>
                <c:pt idx="0">
                  <c:v>13</c:v>
                </c:pt>
                <c:pt idx="1">
                  <c:v>6</c:v>
                </c:pt>
                <c:pt idx="2">
                  <c:v>11</c:v>
                </c:pt>
                <c:pt idx="3">
                  <c:v>18</c:v>
                </c:pt>
                <c:pt idx="4">
                  <c:v>2</c:v>
                </c:pt>
              </c:numCache>
            </c:numRef>
          </c:xVal>
          <c:yVal>
            <c:numRef>
              <c:f>A!$AI$14:$AI$18</c:f>
              <c:numCache>
                <c:formatCode>0</c:formatCode>
                <c:ptCount val="5"/>
                <c:pt idx="0">
                  <c:v>23</c:v>
                </c:pt>
                <c:pt idx="1">
                  <c:v>17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A!$AG$5:$AG$9</c15:f>
                <c15:dlblRangeCache>
                  <c:ptCount val="5"/>
                  <c:pt idx="0">
                    <c:v>40</c:v>
                  </c:pt>
                  <c:pt idx="1">
                    <c:v>-1</c:v>
                  </c:pt>
                  <c:pt idx="2">
                    <c:v>-20</c:v>
                  </c:pt>
                  <c:pt idx="3">
                    <c:v>400</c:v>
                  </c:pt>
                  <c:pt idx="4">
                    <c:v>116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5B37-418F-82AE-23DD7385F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9913904"/>
        <c:axId val="1"/>
      </c:scatterChart>
      <c:valAx>
        <c:axId val="1219913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600"/>
            </a:pPr>
            <a:endParaRPr lang="LID4096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 sz="1600"/>
            </a:pPr>
            <a:endParaRPr lang="LID4096"/>
          </a:p>
        </c:txPr>
        <c:crossAx val="1219913904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2000"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chart" Target="../charts/chart1.xml"/><Relationship Id="rId6" Type="http://schemas.openxmlformats.org/officeDocument/2006/relationships/image" Target="../media/image6.png"/><Relationship Id="rId5" Type="http://schemas.openxmlformats.org/officeDocument/2006/relationships/image" Target="../media/image5.wmf"/><Relationship Id="rId4" Type="http://schemas.openxmlformats.org/officeDocument/2006/relationships/image" Target="../media/image4.w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247650</xdr:colOff>
      <xdr:row>57</xdr:row>
      <xdr:rowOff>0</xdr:rowOff>
    </xdr:from>
    <xdr:ext cx="7239000" cy="838697"/>
    <xdr:sp macro="" textlink="">
      <xdr:nvSpPr>
        <xdr:cNvPr id="2" name="Object 4">
          <a:extLst>
            <a:ext uri="{63B3BB69-23CF-44E3-9099-C40C66FF867C}">
              <a14:compatExt xmlns:a14="http://schemas.microsoft.com/office/drawing/2010/main" spid="_x0000_s1028"/>
            </a:ext>
            <a:ext uri="{FF2B5EF4-FFF2-40B4-BE49-F238E27FC236}">
              <a16:creationId xmlns:a16="http://schemas.microsoft.com/office/drawing/2014/main" id="{EB141270-6235-48F6-A9C9-4526C92AAD43}"/>
            </a:ext>
          </a:extLst>
        </xdr:cNvPr>
        <xdr:cNvSpPr txBox="1"/>
      </xdr:nvSpPr>
      <xdr:spPr>
        <a:xfrm>
          <a:off x="10306050" y="19545300"/>
          <a:ext cx="7239000" cy="838697"/>
        </a:xfrm>
        <a:prstGeom prst="rect">
          <a:avLst/>
        </a:prstGeom>
      </xdr:spPr>
      <xdr:txBody>
        <a:bodyPr vertOverflow="clip" horzOverflow="clip" wrap="square">
          <a:noAutofit/>
        </a:bodyPr>
        <a:lstStyle/>
        <a:p>
          <a:endParaRPr lang="pt-BR" sz="3000" b="1" i="0">
            <a:solidFill>
              <a:srgbClr val="000000"/>
            </a:solidFill>
          </a:endParaRPr>
        </a:p>
      </xdr:txBody>
    </xdr:sp>
    <xdr:clientData/>
  </xdr:oneCellAnchor>
  <xdr:twoCellAnchor>
    <xdr:from>
      <xdr:col>24</xdr:col>
      <xdr:colOff>79806</xdr:colOff>
      <xdr:row>2</xdr:row>
      <xdr:rowOff>234677</xdr:rowOff>
    </xdr:from>
    <xdr:to>
      <xdr:col>29</xdr:col>
      <xdr:colOff>475686</xdr:colOff>
      <xdr:row>12</xdr:row>
      <xdr:rowOff>106132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E3BD63AB-6EB9-47CD-8BC5-9B63D09C45EE}"/>
            </a:ext>
          </a:extLst>
        </xdr:cNvPr>
        <xdr:cNvGrpSpPr/>
      </xdr:nvGrpSpPr>
      <xdr:grpSpPr>
        <a:xfrm>
          <a:off x="11142413" y="819784"/>
          <a:ext cx="3321416" cy="3518169"/>
          <a:chOff x="11263135" y="1094937"/>
          <a:chExt cx="3567483" cy="3477429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4" name="Object 4">
                <a:extLst>
                  <a:ext uri="{63B3BB69-23CF-44E3-9099-C40C66FF867C}">
                    <a14:compatExt spid="_x0000_s1028"/>
                  </a:ext>
                  <a:ext uri="{FF2B5EF4-FFF2-40B4-BE49-F238E27FC236}">
                    <a16:creationId xmlns:a16="http://schemas.microsoft.com/office/drawing/2014/main" id="{097159E0-E5BC-CD61-3CF8-E46FF421B594}"/>
                  </a:ext>
                </a:extLst>
              </xdr:cNvPr>
              <xdr:cNvSpPr txBox="1"/>
            </xdr:nvSpPr>
            <xdr:spPr>
              <a:xfrm>
                <a:off x="11278941" y="4052822"/>
                <a:ext cx="3551677" cy="519544"/>
              </a:xfrm>
              <a:prstGeom prst="rect">
                <a:avLst/>
              </a:prstGeom>
            </xdr:spPr>
            <xdr:txBody>
              <a:bodyPr vertOverflow="clip" horzOverflow="clip" wrap="square">
                <a:noAutofit/>
              </a:bodyPr>
              <a:lstStyle/>
              <a:p>
                <a:pPr algn="ctr"/>
                <a14:m>
                  <m:oMathPara xmlns:m="http://schemas.openxmlformats.org/officeDocument/2006/math">
                    <m:oMathParaPr>
                      <m:jc m:val="left"/>
                    </m:oMathParaPr>
                    <m:oMath xmlns:m="http://schemas.openxmlformats.org/officeDocument/2006/math">
                      <m:r>
                        <a:rPr lang="pt-BR" sz="2500" b="1" i="0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𝐏𝐡𝐲𝐬𝐢𝐜𝐚𝐥</m:t>
                      </m:r>
                      <m:r>
                        <a:rPr lang="pt-BR" sz="2500" b="1" i="0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pt-BR" sz="2500" b="1" i="0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𝐝𝐢𝐬𝐭𝐚𝐧𝐜𝐞𝐬</m:t>
                      </m:r>
                      <m:r>
                        <a:rPr lang="pt-BR" sz="2500" b="1" i="0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  </m:t>
                      </m:r>
                      <m:sSub>
                        <m:sSubPr>
                          <m:ctrlPr>
                            <a:rPr lang="pt-BR" sz="2500" b="1" i="1">
                              <a:solidFill>
                                <a:sysClr val="windowText" lastClr="000000"/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pt-BR" sz="2500" b="1" i="1">
                              <a:solidFill>
                                <a:sysClr val="windowText" lastClr="000000"/>
                              </a:solidFill>
                              <a:latin typeface="Cambria Math" panose="02040503050406030204" pitchFamily="18" charset="0"/>
                            </a:rPr>
                            <m:t>𝒉</m:t>
                          </m:r>
                        </m:e>
                        <m:sub>
                          <m:r>
                            <a:rPr lang="pt-BR" sz="2500" b="1" i="1">
                              <a:solidFill>
                                <a:sysClr val="windowText" lastClr="000000"/>
                              </a:solidFill>
                              <a:latin typeface="Cambria Math" panose="02040503050406030204" pitchFamily="18" charset="0"/>
                            </a:rPr>
                            <m:t>𝒊</m:t>
                          </m:r>
                        </m:sub>
                      </m:sSub>
                    </m:oMath>
                  </m:oMathPara>
                </a14:m>
                <a:endParaRPr lang="pt-BR" sz="2500" b="1" i="0">
                  <a:solidFill>
                    <a:sysClr val="windowText" lastClr="000000"/>
                  </a:solidFill>
                </a:endParaRPr>
              </a:p>
            </xdr:txBody>
          </xdr:sp>
        </mc:Choice>
        <mc:Fallback>
          <xdr:sp macro="" textlink="">
            <xdr:nvSpPr>
              <xdr:cNvPr id="4" name="Object 4">
                <a:extLst>
                  <a:ext uri="{63B3BB69-23CF-44E3-9099-C40C66FF867C}">
                    <a14:compatExt xmlns:a14="http://schemas.microsoft.com/office/drawing/2010/main" spid="_x0000_s1028"/>
                  </a:ext>
                  <a:ext uri="{FF2B5EF4-FFF2-40B4-BE49-F238E27FC236}">
                    <a16:creationId xmlns:a16="http://schemas.microsoft.com/office/drawing/2014/main" id="{097159E0-E5BC-CD61-3CF8-E46FF421B594}"/>
                  </a:ext>
                </a:extLst>
              </xdr:cNvPr>
              <xdr:cNvSpPr txBox="1"/>
            </xdr:nvSpPr>
            <xdr:spPr>
              <a:xfrm>
                <a:off x="11278941" y="4052822"/>
                <a:ext cx="3551677" cy="519544"/>
              </a:xfrm>
              <a:prstGeom prst="rect">
                <a:avLst/>
              </a:prstGeom>
            </xdr:spPr>
            <xdr:txBody>
              <a:bodyPr vertOverflow="clip" horzOverflow="clip" wrap="square">
                <a:noAutofit/>
              </a:bodyPr>
              <a:lstStyle/>
              <a:p>
                <a:pPr algn="ctr"/>
                <a:r>
                  <a:rPr lang="pt-BR" sz="2500" b="1" i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𝐏𝐡𝐲𝐬𝐢𝐜𝐚𝐥 𝐝𝐢𝐬𝐭𝐚𝐧𝐜𝐞𝐬  𝒉_𝒊</a:t>
                </a:r>
                <a:endParaRPr lang="pt-BR" sz="2500" b="1" i="0">
                  <a:solidFill>
                    <a:sysClr val="windowText" lastClr="000000"/>
                  </a:solidFill>
                </a:endParaRPr>
              </a:p>
            </xdr:txBody>
          </xdr:sp>
        </mc:Fallback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5" name="Object 4">
                <a:extLst>
                  <a:ext uri="{63B3BB69-23CF-44E3-9099-C40C66FF867C}">
                    <a14:compatExt spid="_x0000_s1028"/>
                  </a:ext>
                  <a:ext uri="{FF2B5EF4-FFF2-40B4-BE49-F238E27FC236}">
                    <a16:creationId xmlns:a16="http://schemas.microsoft.com/office/drawing/2014/main" id="{97CCFAE0-C503-BB34-901A-65347CBDBD06}"/>
                  </a:ext>
                </a:extLst>
              </xdr:cNvPr>
              <xdr:cNvSpPr txBox="1"/>
            </xdr:nvSpPr>
            <xdr:spPr>
              <a:xfrm>
                <a:off x="11263135" y="1094937"/>
                <a:ext cx="3170217" cy="507767"/>
              </a:xfrm>
              <a:prstGeom prst="rect">
                <a:avLst/>
              </a:prstGeom>
            </xdr:spPr>
            <xdr:txBody>
              <a:bodyPr vertOverflow="clip" horzOverflow="clip" wrap="square">
                <a:noAutofit/>
              </a:bodyPr>
              <a:lstStyle/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14:m>
                  <m:oMathPara xmlns:m="http://schemas.openxmlformats.org/officeDocument/2006/math">
                    <m:oMathParaPr>
                      <m:jc m:val="left"/>
                    </m:oMathParaPr>
                    <m:oMath xmlns:m="http://schemas.openxmlformats.org/officeDocument/2006/math">
                      <m:r>
                        <m:rPr>
                          <m:nor/>
                        </m:rPr>
                        <a:rPr kumimoji="0" lang="en-GB" sz="2500" b="1" i="0" u="none" strike="noStrike" kern="1200" cap="none" spc="0" normalizeH="0" baseline="0" noProof="0" dirty="0">
                          <a:ln>
                            <a:noFill/>
                          </a:ln>
                          <a:solidFill>
                            <a:sysClr val="windowText" lastClr="000000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Relative</m:t>
                      </m:r>
                      <m:r>
                        <m:rPr>
                          <m:nor/>
                        </m:rPr>
                        <a:rPr kumimoji="0" lang="en-GB" sz="2500" b="1" i="0" u="none" strike="noStrike" kern="1200" cap="none" spc="0" normalizeH="0" baseline="0" noProof="0" dirty="0">
                          <a:ln>
                            <a:noFill/>
                          </a:ln>
                          <a:solidFill>
                            <a:sysClr val="windowText" lastClr="000000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 </m:t>
                      </m:r>
                      <m:r>
                        <m:rPr>
                          <m:nor/>
                        </m:rPr>
                        <a:rPr kumimoji="0" lang="en-GB" sz="2500" b="1" i="0" u="none" strike="noStrike" kern="1200" cap="none" spc="0" normalizeH="0" baseline="0" noProof="0" dirty="0">
                          <a:ln>
                            <a:noFill/>
                          </a:ln>
                          <a:solidFill>
                            <a:sysClr val="windowText" lastClr="000000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positions</m:t>
                      </m:r>
                      <m:r>
                        <m:rPr>
                          <m:nor/>
                        </m:rPr>
                        <a:rPr kumimoji="0" lang="en-GB" sz="2500" b="1" i="0" u="none" strike="noStrike" kern="1200" cap="none" spc="0" normalizeH="0" baseline="0" noProof="0" dirty="0">
                          <a:ln>
                            <a:noFill/>
                          </a:ln>
                          <a:solidFill>
                            <a:sysClr val="windowText" lastClr="000000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 </m:t>
                      </m:r>
                    </m:oMath>
                  </m:oMathPara>
                </a14:m>
                <a:endParaRPr kumimoji="0" lang="en-GB" sz="2500" b="1" i="0" u="none" strike="noStrike" kern="1200" cap="none" spc="0" normalizeH="0" baseline="0" noProof="0" dirty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endParaRPr>
              </a:p>
            </xdr:txBody>
          </xdr:sp>
        </mc:Choice>
        <mc:Fallback>
          <xdr:sp macro="" textlink="">
            <xdr:nvSpPr>
              <xdr:cNvPr id="5" name="Object 4">
                <a:extLst>
                  <a:ext uri="{63B3BB69-23CF-44E3-9099-C40C66FF867C}">
                    <a14:compatExt xmlns:a14="http://schemas.microsoft.com/office/drawing/2010/main" spid="_x0000_s1028"/>
                  </a:ext>
                  <a:ext uri="{FF2B5EF4-FFF2-40B4-BE49-F238E27FC236}">
                    <a16:creationId xmlns:a16="http://schemas.microsoft.com/office/drawing/2014/main" id="{97CCFAE0-C503-BB34-901A-65347CBDBD06}"/>
                  </a:ext>
                </a:extLst>
              </xdr:cNvPr>
              <xdr:cNvSpPr txBox="1"/>
            </xdr:nvSpPr>
            <xdr:spPr>
              <a:xfrm>
                <a:off x="11263135" y="1094937"/>
                <a:ext cx="3170217" cy="507767"/>
              </a:xfrm>
              <a:prstGeom prst="rect">
                <a:avLst/>
              </a:prstGeom>
            </xdr:spPr>
            <xdr:txBody>
              <a:bodyPr vertOverflow="clip" horzOverflow="clip" wrap="square">
                <a:noAutofit/>
              </a:bodyPr>
              <a:lstStyle/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GB" sz="2500" b="1" i="0" u="none" strike="noStrike" kern="1200" cap="none" spc="0" normalizeH="0" baseline="0" noProof="0" dirty="0">
                    <a:ln>
                      <a:noFill/>
                    </a:ln>
                    <a:solidFill>
                      <a:sysClr val="windowText" lastClr="000000"/>
                    </a:solidFill>
                    <a:effectLst/>
                    <a:uLnTx/>
                    <a:uFillTx/>
                    <a:latin typeface="Cambria Math" panose="02040503050406030204" pitchFamily="18" charset="0"/>
                    <a:ea typeface="Cambria Math" panose="02040503050406030204" pitchFamily="18" charset="0"/>
                    <a:cs typeface="+mn-cs"/>
                  </a:rPr>
                  <a:t>"Relative positions </a:t>
                </a:r>
                <a:r>
                  <a:rPr kumimoji="0" lang="LID4096" sz="2500" b="1" i="0" u="none" strike="noStrike" kern="1200" cap="none" spc="0" normalizeH="0" baseline="0" noProof="0" dirty="0">
                    <a:ln>
                      <a:noFill/>
                    </a:ln>
                    <a:solidFill>
                      <a:sysClr val="windowText" lastClr="000000"/>
                    </a:solidFill>
                    <a:effectLst/>
                    <a:uLnTx/>
                    <a:uFillTx/>
                    <a:latin typeface="Cambria Math" panose="02040503050406030204" pitchFamily="18" charset="0"/>
                    <a:ea typeface="Cambria Math" panose="02040503050406030204" pitchFamily="18" charset="0"/>
                    <a:cs typeface="+mn-cs"/>
                  </a:rPr>
                  <a:t>"</a:t>
                </a:r>
                <a:endParaRPr kumimoji="0" lang="en-GB" sz="2500" b="1" i="0" u="none" strike="noStrike" kern="1200" cap="none" spc="0" normalizeH="0" baseline="0" noProof="0" dirty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endParaRPr>
              </a:p>
            </xdr:txBody>
          </xdr:sp>
        </mc:Fallback>
      </mc:AlternateContent>
    </xdr:grpSp>
    <xdr:clientData/>
  </xdr:twoCellAnchor>
  <xdr:twoCellAnchor>
    <xdr:from>
      <xdr:col>3</xdr:col>
      <xdr:colOff>136072</xdr:colOff>
      <xdr:row>11</xdr:row>
      <xdr:rowOff>27214</xdr:rowOff>
    </xdr:from>
    <xdr:to>
      <xdr:col>22</xdr:col>
      <xdr:colOff>435428</xdr:colOff>
      <xdr:row>21</xdr:row>
      <xdr:rowOff>163285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5496E744-9478-4569-A1A0-D9B45FA285EF}"/>
            </a:ext>
          </a:extLst>
        </xdr:cNvPr>
        <xdr:cNvGrpSpPr/>
      </xdr:nvGrpSpPr>
      <xdr:grpSpPr>
        <a:xfrm>
          <a:off x="911679" y="3918857"/>
          <a:ext cx="9606642" cy="3537857"/>
          <a:chOff x="1188995" y="4177393"/>
          <a:chExt cx="9569156" cy="3537857"/>
        </a:xfrm>
      </xdr:grpSpPr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31FF4807-3A80-9A95-57DF-6458EA4C30A2}"/>
              </a:ext>
            </a:extLst>
          </xdr:cNvPr>
          <xdr:cNvSpPr txBox="1"/>
        </xdr:nvSpPr>
        <xdr:spPr>
          <a:xfrm>
            <a:off x="1317004" y="7007679"/>
            <a:ext cx="625929" cy="707571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3000" b="1"/>
              <a:t>!!</a:t>
            </a:r>
            <a:endParaRPr lang="LID4096" sz="3000" b="1"/>
          </a:p>
        </xdr:txBody>
      </xdr:sp>
      <xdr:cxnSp macro="">
        <xdr:nvCxnSpPr>
          <xdr:cNvPr id="8" name="Straight Connector 7">
            <a:extLst>
              <a:ext uri="{FF2B5EF4-FFF2-40B4-BE49-F238E27FC236}">
                <a16:creationId xmlns:a16="http://schemas.microsoft.com/office/drawing/2014/main" id="{D5F65EA8-D518-8BE2-A6B0-6C67EA8DF112}"/>
              </a:ext>
            </a:extLst>
          </xdr:cNvPr>
          <xdr:cNvCxnSpPr/>
        </xdr:nvCxnSpPr>
        <xdr:spPr>
          <a:xfrm flipV="1">
            <a:off x="1188995" y="4177393"/>
            <a:ext cx="9569156" cy="1850572"/>
          </a:xfrm>
          <a:prstGeom prst="line">
            <a:avLst/>
          </a:prstGeom>
          <a:ln w="38100">
            <a:solidFill>
              <a:srgbClr val="FF0000"/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217716</xdr:colOff>
      <xdr:row>18</xdr:row>
      <xdr:rowOff>149678</xdr:rowOff>
    </xdr:from>
    <xdr:to>
      <xdr:col>23</xdr:col>
      <xdr:colOff>3</xdr:colOff>
      <xdr:row>28</xdr:row>
      <xdr:rowOff>122464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80C558BA-CC7D-402E-8A0C-4F1ED3718B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721178</xdr:colOff>
      <xdr:row>22</xdr:row>
      <xdr:rowOff>149681</xdr:rowOff>
    </xdr:from>
    <xdr:to>
      <xdr:col>35</xdr:col>
      <xdr:colOff>169214</xdr:colOff>
      <xdr:row>23</xdr:row>
      <xdr:rowOff>299358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Object 4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51057ED4-953E-49CD-A96C-16569A07F943}"/>
                </a:ext>
              </a:extLst>
            </xdr:cNvPr>
            <xdr:cNvSpPr txBox="1"/>
          </xdr:nvSpPr>
          <xdr:spPr>
            <a:xfrm>
              <a:off x="14675303" y="7817306"/>
              <a:ext cx="3305661" cy="492577"/>
            </a:xfrm>
            <a:prstGeom prst="rect">
              <a:avLst/>
            </a:prstGeom>
          </xdr:spPr>
          <xdr:txBody>
            <a:bodyPr vertOverflow="clip" horzOverflow="clip" wrap="square">
              <a:noAutofit/>
            </a:bodyPr>
            <a:lstStyle/>
            <a:p>
              <a:pPr algn="r"/>
              <a14:m>
                <m:oMath xmlns:m="http://schemas.openxmlformats.org/officeDocument/2006/math">
                  <m:r>
                    <a:rPr lang="pt-BR" sz="2500" b="0" i="1">
                      <a:solidFill>
                        <a:srgbClr val="000000"/>
                      </a:solidFill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𝑏𝑦</m:t>
                  </m:r>
                </m:oMath>
              </a14:m>
              <a:r>
                <a:rPr lang="pt-BR" sz="2500" b="0" i="0">
                  <a:effectLst/>
                  <a:latin typeface=" linear regression"/>
                  <a:ea typeface="+mn-ea"/>
                  <a:cs typeface="+mn-cs"/>
                </a:rPr>
                <a:t> linear regression:</a:t>
              </a:r>
              <a:endParaRPr lang="en-150" sz="2500">
                <a:effectLst/>
                <a:latin typeface=" linear regression"/>
              </a:endParaRPr>
            </a:p>
            <a:p>
              <a:pPr algn="r"/>
              <a:endParaRPr lang="pt-BR" sz="2500" b="0" i="0">
                <a:solidFill>
                  <a:schemeClr val="bg1">
                    <a:lumMod val="85000"/>
                  </a:schemeClr>
                </a:solidFill>
                <a:latin typeface=" linear regression"/>
                <a:ea typeface="Cambria Math" panose="02040503050406030204" pitchFamily="18" charset="0"/>
              </a:endParaRPr>
            </a:p>
          </xdr:txBody>
        </xdr:sp>
      </mc:Choice>
      <mc:Fallback>
        <xdr:sp macro="" textlink="">
          <xdr:nvSpPr>
            <xdr:cNvPr id="10" name="Object 4">
              <a:extLst>
                <a:ext uri="{63B3BB69-23CF-44E3-9099-C40C66FF867C}">
                  <a14:compatExt xmlns:a14="http://schemas.microsoft.com/office/drawing/2010/main" spid="_x0000_s1028"/>
                </a:ext>
                <a:ext uri="{FF2B5EF4-FFF2-40B4-BE49-F238E27FC236}">
                  <a16:creationId xmlns:a16="http://schemas.microsoft.com/office/drawing/2014/main" id="{51057ED4-953E-49CD-A96C-16569A07F943}"/>
                </a:ext>
              </a:extLst>
            </xdr:cNvPr>
            <xdr:cNvSpPr txBox="1"/>
          </xdr:nvSpPr>
          <xdr:spPr>
            <a:xfrm>
              <a:off x="14675303" y="7817306"/>
              <a:ext cx="3305661" cy="492577"/>
            </a:xfrm>
            <a:prstGeom prst="rect">
              <a:avLst/>
            </a:prstGeom>
          </xdr:spPr>
          <xdr:txBody>
            <a:bodyPr vertOverflow="clip" horzOverflow="clip" wrap="square">
              <a:noAutofit/>
            </a:bodyPr>
            <a:lstStyle/>
            <a:p>
              <a:pPr algn="r"/>
              <a:r>
                <a:rPr lang="pt-BR" sz="2500" b="0" i="0">
                  <a:solidFill>
                    <a:srgbClr val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𝑏𝑦</a:t>
              </a:r>
              <a:r>
                <a:rPr lang="pt-BR" sz="2500" b="0" i="0">
                  <a:effectLst/>
                  <a:latin typeface=" linear regression"/>
                  <a:ea typeface="+mn-ea"/>
                  <a:cs typeface="+mn-cs"/>
                </a:rPr>
                <a:t> linear regression:</a:t>
              </a:r>
              <a:endParaRPr lang="en-150" sz="2500">
                <a:effectLst/>
                <a:latin typeface=" linear regression"/>
              </a:endParaRPr>
            </a:p>
            <a:p>
              <a:pPr algn="r"/>
              <a:endParaRPr lang="pt-BR" sz="2500" b="0" i="0">
                <a:solidFill>
                  <a:schemeClr val="bg1">
                    <a:lumMod val="85000"/>
                  </a:schemeClr>
                </a:solidFill>
                <a:latin typeface=" linear regression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twoCellAnchor>
  <xdr:twoCellAnchor>
    <xdr:from>
      <xdr:col>42</xdr:col>
      <xdr:colOff>27212</xdr:colOff>
      <xdr:row>1</xdr:row>
      <xdr:rowOff>163285</xdr:rowOff>
    </xdr:from>
    <xdr:to>
      <xdr:col>47</xdr:col>
      <xdr:colOff>285749</xdr:colOff>
      <xdr:row>3</xdr:row>
      <xdr:rowOff>2963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Object 4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53C6A922-7E46-421C-9AF5-2C08C01F81D5}"/>
                </a:ext>
              </a:extLst>
            </xdr:cNvPr>
            <xdr:cNvSpPr txBox="1"/>
          </xdr:nvSpPr>
          <xdr:spPr>
            <a:xfrm>
              <a:off x="21325112" y="325210"/>
              <a:ext cx="3268437" cy="677878"/>
            </a:xfrm>
            <a:prstGeom prst="rect">
              <a:avLst/>
            </a:prstGeom>
          </xdr:spPr>
          <xdr:txBody>
            <a:bodyPr vertOverflow="clip" horzOverflow="clip" wrap="square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kumimoji="0" lang="pt-BR" sz="3500" b="1" i="1" u="none" strike="noStrike" kern="0" cap="none" spc="0" normalizeH="0" baseline="0" noProof="0">
                        <a:ln>
                          <a:noFill/>
                        </a:ln>
                        <a:solidFill>
                          <a:srgbClr val="00B05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𝑿</m:t>
                    </m:r>
                    <m:r>
                      <a:rPr kumimoji="0" lang="pt-BR" sz="3500" b="1" i="1" u="none" strike="noStrike" kern="0" cap="none" spc="0" normalizeH="0" baseline="0" noProof="0">
                        <a:ln>
                          <a:noFill/>
                        </a:ln>
                        <a:solidFill>
                          <a:srgbClr val="00B05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∗  </m:t>
                    </m:r>
                    <m:bar>
                      <m:barPr>
                        <m:ctrlPr>
                          <a:rPr kumimoji="0" lang="pt-BR" sz="3500" b="1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rgbClr val="FF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kumimoji="0" lang="pt-BR" sz="3500" b="1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rgbClr val="FF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𝒂</m:t>
                        </m:r>
                      </m:e>
                    </m:bar>
                    <m:r>
                      <a:rPr kumimoji="0" lang="pt-BR" sz="3500" b="1" i="1" u="none" strike="noStrike" kern="0" cap="none" spc="0" normalizeH="0" baseline="0" noProof="0">
                        <a:ln>
                          <a:noFill/>
                        </a:ln>
                        <a:solidFill>
                          <a:srgbClr val="FF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pt-BR" sz="3500" b="1" i="1">
                        <a:solidFill>
                          <a:srgbClr val="0000FF"/>
                        </a:solidFill>
                        <a:latin typeface="Cambria Math" panose="02040503050406030204" pitchFamily="18" charset="0"/>
                      </a:rPr>
                      <m:t>= </m:t>
                    </m:r>
                    <m:bar>
                      <m:barPr>
                        <m:ctrlPr>
                          <a:rPr kumimoji="0" lang="pt-BR" sz="3500" b="1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rgbClr val="0000FF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kumimoji="0" lang="pt-BR" sz="3500" b="1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rgbClr val="0000FF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𝒃</m:t>
                        </m:r>
                      </m:e>
                    </m:bar>
                  </m:oMath>
                </m:oMathPara>
              </a14:m>
              <a:endParaRPr lang="pt-BR" sz="3500" b="1">
                <a:solidFill>
                  <a:srgbClr val="FF0000"/>
                </a:solidFill>
              </a:endParaRPr>
            </a:p>
          </xdr:txBody>
        </xdr:sp>
      </mc:Choice>
      <mc:Fallback>
        <xdr:sp macro="" textlink="">
          <xdr:nvSpPr>
            <xdr:cNvPr id="11" name="Object 4">
              <a:extLst>
                <a:ext uri="{63B3BB69-23CF-44E3-9099-C40C66FF867C}">
                  <a14:compatExt xmlns:a14="http://schemas.microsoft.com/office/drawing/2010/main" spid="_x0000_s1028"/>
                </a:ext>
                <a:ext uri="{FF2B5EF4-FFF2-40B4-BE49-F238E27FC236}">
                  <a16:creationId xmlns:a16="http://schemas.microsoft.com/office/drawing/2014/main" id="{53C6A922-7E46-421C-9AF5-2C08C01F81D5}"/>
                </a:ext>
              </a:extLst>
            </xdr:cNvPr>
            <xdr:cNvSpPr txBox="1"/>
          </xdr:nvSpPr>
          <xdr:spPr>
            <a:xfrm>
              <a:off x="21325112" y="325210"/>
              <a:ext cx="3268437" cy="677878"/>
            </a:xfrm>
            <a:prstGeom prst="rect">
              <a:avLst/>
            </a:prstGeom>
          </xdr:spPr>
          <xdr:txBody>
            <a:bodyPr vertOverflow="clip" horzOverflow="clip" wrap="square">
              <a:noAutofit/>
            </a:bodyPr>
            <a:lstStyle/>
            <a:p>
              <a:pPr/>
              <a:r>
                <a:rPr kumimoji="0" lang="pt-BR" sz="3500" b="1" i="0" u="none" strike="noStrike" kern="0" cap="none" spc="0" normalizeH="0" baseline="0" noProof="0">
                  <a:ln>
                    <a:noFill/>
                  </a:ln>
                  <a:solidFill>
                    <a:srgbClr val="00B05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𝑿  ∗  </a:t>
              </a:r>
              <a:r>
                <a:rPr kumimoji="0" lang="pt-BR" sz="3500" b="1" i="0" u="none" strike="noStrike" kern="0" cap="none" spc="0" normalizeH="0" baseline="0" noProof="0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▁𝒂  </a:t>
              </a:r>
              <a:r>
                <a:rPr lang="pt-BR" sz="3500" b="1" i="0">
                  <a:solidFill>
                    <a:srgbClr val="0000FF"/>
                  </a:solidFill>
                  <a:latin typeface="Cambria Math" panose="02040503050406030204" pitchFamily="18" charset="0"/>
                </a:rPr>
                <a:t>= </a:t>
              </a:r>
              <a:r>
                <a:rPr kumimoji="0" lang="pt-BR" sz="3500" b="1" i="0" u="none" strike="noStrike" kern="0" cap="none" spc="0" normalizeH="0" baseline="0" noProof="0">
                  <a:ln>
                    <a:noFill/>
                  </a:ln>
                  <a:solidFill>
                    <a:srgbClr val="0000FF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▁𝒃</a:t>
              </a:r>
              <a:endParaRPr lang="pt-BR" sz="3500" b="1">
                <a:solidFill>
                  <a:srgbClr val="FF0000"/>
                </a:solidFill>
              </a:endParaRPr>
            </a:p>
          </xdr:txBody>
        </xdr:sp>
      </mc:Fallback>
    </mc:AlternateContent>
    <xdr:clientData/>
  </xdr:twoCellAnchor>
  <xdr:twoCellAnchor>
    <xdr:from>
      <xdr:col>41</xdr:col>
      <xdr:colOff>435428</xdr:colOff>
      <xdr:row>10</xdr:row>
      <xdr:rowOff>95250</xdr:rowOff>
    </xdr:from>
    <xdr:to>
      <xdr:col>47</xdr:col>
      <xdr:colOff>285750</xdr:colOff>
      <xdr:row>12</xdr:row>
      <xdr:rowOff>98214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Object 4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A2B6F0C3-694B-4AF5-A251-EAB41DF514DA}"/>
                </a:ext>
              </a:extLst>
            </xdr:cNvPr>
            <xdr:cNvSpPr txBox="1"/>
          </xdr:nvSpPr>
          <xdr:spPr>
            <a:xfrm>
              <a:off x="21104678" y="3648075"/>
              <a:ext cx="3488872" cy="688764"/>
            </a:xfrm>
            <a:prstGeom prst="rect">
              <a:avLst/>
            </a:prstGeom>
          </xdr:spPr>
          <xdr:txBody>
            <a:bodyPr vertOverflow="clip" horzOverflow="clip" wrap="square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p>
                      <m:sSupPr>
                        <m:ctrlPr>
                          <a:rPr kumimoji="0" lang="pt-BR" sz="3500" b="1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rgbClr val="00B05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kumimoji="0" lang="pt-BR" sz="3500" b="1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rgbClr val="00B05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𝑿</m:t>
                        </m:r>
                      </m:e>
                      <m:sup>
                        <m:r>
                          <a:rPr kumimoji="0" lang="pt-BR" sz="3500" b="1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rgbClr val="00B05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kumimoji="0" lang="pt-BR" sz="3500" b="1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rgbClr val="00B05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p>
                    </m:sSup>
                    <m:r>
                      <a:rPr lang="pt-BR" sz="3500" b="1" i="1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pt-BR" sz="3500" b="1" i="1">
                        <a:solidFill>
                          <a:srgbClr val="0000FF"/>
                        </a:solidFill>
                        <a:latin typeface="Cambria Math" panose="02040503050406030204" pitchFamily="18" charset="0"/>
                      </a:rPr>
                      <m:t>∗  </m:t>
                    </m:r>
                    <m:bar>
                      <m:barPr>
                        <m:ctrlPr>
                          <a:rPr kumimoji="0" lang="pt-BR" sz="3500" b="1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rgbClr val="0000FF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kumimoji="0" lang="pt-BR" sz="3500" b="1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rgbClr val="0000FF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𝒃</m:t>
                        </m:r>
                      </m:e>
                    </m:bar>
                    <m:r>
                      <a:rPr kumimoji="0" lang="pt-BR" sz="3500" b="1" i="1" u="none" strike="noStrike" kern="0" cap="none" spc="0" normalizeH="0" baseline="0" noProof="0">
                        <a:ln>
                          <a:noFill/>
                        </a:ln>
                        <a:solidFill>
                          <a:srgbClr val="FF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pt-BR" sz="3500" b="1" i="1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bar>
                      <m:barPr>
                        <m:ctrlPr>
                          <a:rPr kumimoji="0" lang="pt-BR" sz="3500" b="1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rgbClr val="FF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kumimoji="0" lang="pt-BR" sz="3500" b="1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rgbClr val="FF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𝒂</m:t>
                        </m:r>
                      </m:e>
                    </m:bar>
                  </m:oMath>
                </m:oMathPara>
              </a14:m>
              <a:endParaRPr lang="pt-BR" sz="3500" b="1">
                <a:solidFill>
                  <a:srgbClr val="FF0000"/>
                </a:solidFill>
              </a:endParaRPr>
            </a:p>
          </xdr:txBody>
        </xdr:sp>
      </mc:Choice>
      <mc:Fallback>
        <xdr:sp macro="" textlink="">
          <xdr:nvSpPr>
            <xdr:cNvPr id="12" name="Object 4">
              <a:extLst>
                <a:ext uri="{63B3BB69-23CF-44E3-9099-C40C66FF867C}">
                  <a14:compatExt xmlns:a14="http://schemas.microsoft.com/office/drawing/2010/main" spid="_x0000_s1028"/>
                </a:ext>
                <a:ext uri="{FF2B5EF4-FFF2-40B4-BE49-F238E27FC236}">
                  <a16:creationId xmlns:a16="http://schemas.microsoft.com/office/drawing/2014/main" id="{A2B6F0C3-694B-4AF5-A251-EAB41DF514DA}"/>
                </a:ext>
              </a:extLst>
            </xdr:cNvPr>
            <xdr:cNvSpPr txBox="1"/>
          </xdr:nvSpPr>
          <xdr:spPr>
            <a:xfrm>
              <a:off x="21104678" y="3648075"/>
              <a:ext cx="3488872" cy="688764"/>
            </a:xfrm>
            <a:prstGeom prst="rect">
              <a:avLst/>
            </a:prstGeom>
          </xdr:spPr>
          <xdr:txBody>
            <a:bodyPr vertOverflow="clip" horzOverflow="clip" wrap="square">
              <a:noAutofit/>
            </a:bodyPr>
            <a:lstStyle/>
            <a:p>
              <a:pPr/>
              <a:r>
                <a:rPr kumimoji="0" lang="pt-BR" sz="3500" b="1" i="0" u="none" strike="noStrike" kern="0" cap="none" spc="0" normalizeH="0" baseline="0" noProof="0">
                  <a:ln>
                    <a:noFill/>
                  </a:ln>
                  <a:solidFill>
                    <a:srgbClr val="00B05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𝑿^(−𝟏)</a:t>
              </a:r>
              <a:r>
                <a:rPr kumimoji="0" lang="pt-BR" sz="3500" b="1" i="0" u="none" strike="noStrike" kern="0" cap="none" spc="0" normalizeH="0" baseline="0" noProof="0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pt-BR" sz="35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 </a:t>
              </a:r>
              <a:r>
                <a:rPr lang="pt-BR" sz="3500" b="1" i="0">
                  <a:solidFill>
                    <a:srgbClr val="0000FF"/>
                  </a:solidFill>
                  <a:latin typeface="Cambria Math" panose="02040503050406030204" pitchFamily="18" charset="0"/>
                </a:rPr>
                <a:t>∗  </a:t>
              </a:r>
              <a:r>
                <a:rPr kumimoji="0" lang="pt-BR" sz="3500" b="1" i="0" u="none" strike="noStrike" kern="0" cap="none" spc="0" normalizeH="0" baseline="0" noProof="0">
                  <a:ln>
                    <a:noFill/>
                  </a:ln>
                  <a:solidFill>
                    <a:srgbClr val="0000FF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▁𝒃</a:t>
              </a:r>
              <a:r>
                <a:rPr kumimoji="0" lang="pt-BR" sz="3500" b="1" i="0" u="none" strike="noStrike" kern="0" cap="none" spc="0" normalizeH="0" baseline="0" noProof="0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  <a:r>
                <a:rPr lang="pt-BR" sz="35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=</a:t>
              </a:r>
              <a:r>
                <a:rPr kumimoji="0" lang="pt-BR" sz="3500" b="1" i="0" u="none" strike="noStrike" kern="0" cap="none" spc="0" normalizeH="0" baseline="0" noProof="0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▁𝒂</a:t>
              </a:r>
              <a:endParaRPr lang="pt-BR" sz="3500" b="1">
                <a:solidFill>
                  <a:srgbClr val="FF0000"/>
                </a:solidFill>
              </a:endParaRPr>
            </a:p>
          </xdr:txBody>
        </xdr:sp>
      </mc:Fallback>
    </mc:AlternateContent>
    <xdr:clientData/>
  </xdr:twoCellAnchor>
  <xdr:twoCellAnchor>
    <xdr:from>
      <xdr:col>4</xdr:col>
      <xdr:colOff>190501</xdr:colOff>
      <xdr:row>1</xdr:row>
      <xdr:rowOff>258535</xdr:rowOff>
    </xdr:from>
    <xdr:to>
      <xdr:col>10</xdr:col>
      <xdr:colOff>217714</xdr:colOff>
      <xdr:row>8</xdr:row>
      <xdr:rowOff>176893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Object 4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7C6E068F-3D9F-46BE-A9F4-E5B655800A5C}"/>
                </a:ext>
              </a:extLst>
            </xdr:cNvPr>
            <xdr:cNvSpPr txBox="1"/>
          </xdr:nvSpPr>
          <xdr:spPr>
            <a:xfrm>
              <a:off x="1571626" y="420460"/>
              <a:ext cx="2999013" cy="2623458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none">
              <a:noAutofit/>
            </a:bodyPr>
            <a:lstStyle/>
            <a:p>
              <a:pPr algn="l"/>
              <a:r>
                <a:rPr lang="pt-BR" sz="3000" b="1">
                  <a:solidFill>
                    <a:schemeClr val="bg1">
                      <a:lumMod val="85000"/>
                    </a:schemeClr>
                  </a:solidFill>
                </a:rPr>
                <a:t>  </a:t>
              </a:r>
              <a14:m>
                <m:oMath xmlns:m="http://schemas.openxmlformats.org/officeDocument/2006/math">
                  <m:r>
                    <a:rPr lang="pt-BR" sz="3000" b="1" i="0">
                      <a:solidFill>
                        <a:schemeClr val="bg1">
                          <a:lumMod val="85000"/>
                        </a:schemeClr>
                      </a:solidFill>
                      <a:latin typeface="Cambria Math" panose="02040503050406030204" pitchFamily="18" charset="0"/>
                    </a:rPr>
                    <m:t>𝐀</m:t>
                  </m:r>
                  <m:r>
                    <a:rPr lang="pt-BR" sz="3000" b="1" i="0">
                      <a:solidFill>
                        <a:schemeClr val="bg1">
                          <a:lumMod val="85000"/>
                        </a:schemeClr>
                      </a:solidFill>
                      <a:latin typeface="Cambria Math" panose="02040503050406030204" pitchFamily="18" charset="0"/>
                    </a:rPr>
                    <m:t>  ∗ </m:t>
                  </m:r>
                  <m:bar>
                    <m:barPr>
                      <m:ctrlPr>
                        <a:rPr kumimoji="0" lang="pt-BR" sz="3000" b="1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schemeClr val="bg1">
                              <a:lumMod val="85000"/>
                            </a:schemeClr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barPr>
                    <m:e>
                      <m:r>
                        <a:rPr kumimoji="0" lang="pt-BR" sz="3000" b="1" i="0" u="none" strike="noStrike" kern="0" cap="none" spc="0" normalizeH="0" baseline="0" noProof="0">
                          <a:ln>
                            <a:noFill/>
                          </a:ln>
                          <a:solidFill>
                            <a:schemeClr val="bg1">
                              <a:lumMod val="85000"/>
                            </a:schemeClr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𝐱</m:t>
                      </m:r>
                    </m:e>
                  </m:bar>
                  <m:r>
                    <a:rPr kumimoji="0" lang="pt-BR" sz="3000" b="1" i="0" u="none" strike="noStrike" kern="0" cap="none" spc="0" normalizeH="0" baseline="0" noProof="0">
                      <a:ln>
                        <a:noFill/>
                      </a:ln>
                      <a:solidFill>
                        <a:schemeClr val="bg1">
                          <a:lumMod val="85000"/>
                        </a:schemeClr>
                      </a:solidFill>
                      <a:effectLst/>
                      <a:uLnTx/>
                      <a:uFillTx/>
                      <a:latin typeface="Cambria Math" panose="02040503050406030204" pitchFamily="18" charset="0"/>
                      <a:ea typeface="+mn-ea"/>
                      <a:cs typeface="+mn-cs"/>
                    </a:rPr>
                    <m:t>−</m:t>
                  </m:r>
                  <m:bar>
                    <m:barPr>
                      <m:ctrlPr>
                        <a:rPr lang="pt-BR" sz="3000" b="1" i="1" baseline="0">
                          <a:solidFill>
                            <a:schemeClr val="bg1">
                              <a:lumMod val="85000"/>
                            </a:schemeClr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barPr>
                    <m:e>
                      <m:r>
                        <a:rPr lang="pt-BR" sz="3000" b="1" i="0" baseline="0">
                          <a:solidFill>
                            <a:schemeClr val="bg1">
                              <a:lumMod val="85000"/>
                            </a:schemeClr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𝐛</m:t>
                      </m:r>
                    </m:e>
                  </m:bar>
                  <m:r>
                    <a:rPr lang="pt-BR" sz="3000" b="1" i="0">
                      <a:solidFill>
                        <a:schemeClr val="bg1">
                          <a:lumMod val="85000"/>
                        </a:schemeClr>
                      </a:solidFill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pt-BR" sz="3000" b="1" i="0">
                  <a:solidFill>
                    <a:schemeClr val="bg1">
                      <a:lumMod val="85000"/>
                    </a:schemeClr>
                  </a:solidFill>
                </a:rPr>
                <a:t> 0</a:t>
              </a:r>
            </a:p>
            <a:p>
              <a:pPr algn="l"/>
              <a:endParaRPr lang="pt-BR" sz="500" b="1" i="0">
                <a:solidFill>
                  <a:schemeClr val="bg1">
                    <a:lumMod val="85000"/>
                  </a:schemeClr>
                </a:solidFill>
              </a:endParaRPr>
            </a:p>
            <a:p>
              <a:pPr algn="ctr"/>
              <a:r>
                <a:rPr lang="pt-BR" sz="3000" b="1" i="0">
                  <a:solidFill>
                    <a:schemeClr val="bg1">
                      <a:lumMod val="85000"/>
                    </a:schemeClr>
                  </a:solidFill>
                </a:rPr>
                <a:t>≠</a:t>
              </a:r>
              <a:r>
                <a:rPr lang="pt-BR" sz="2200" b="1" i="0">
                  <a:solidFill>
                    <a:schemeClr val="bg1">
                      <a:lumMod val="85000"/>
                    </a:schemeClr>
                  </a:solidFill>
                </a:rPr>
                <a:t>  Linear Least Squares </a:t>
              </a:r>
            </a:p>
            <a:p>
              <a:pPr algn="ctr"/>
              <a:r>
                <a:rPr lang="pt-BR" sz="2200" b="1" i="0">
                  <a:solidFill>
                    <a:schemeClr val="bg1">
                      <a:lumMod val="85000"/>
                    </a:schemeClr>
                  </a:solidFill>
                </a:rPr>
                <a:t>to find a vector x </a:t>
              </a:r>
            </a:p>
            <a:p>
              <a:pPr algn="ctr"/>
              <a:r>
                <a:rPr lang="pt-BR" sz="2200" b="1" i="0">
                  <a:solidFill>
                    <a:schemeClr val="bg1">
                      <a:lumMod val="85000"/>
                    </a:schemeClr>
                  </a:solidFill>
                </a:rPr>
                <a:t>for a minimum :</a:t>
              </a:r>
            </a:p>
            <a:p>
              <a:pPr algn="ctr"/>
              <a:endParaRPr lang="pt-BR" sz="500" b="1" i="0">
                <a:solidFill>
                  <a:schemeClr val="bg1">
                    <a:lumMod val="85000"/>
                  </a:schemeClr>
                </a:solidFill>
              </a:endParaRPr>
            </a:p>
            <a:p>
              <a:pPr algn="ctr"/>
              <a:r>
                <a:rPr lang="pt-BR" sz="3000" b="1" i="0">
                  <a:solidFill>
                    <a:schemeClr val="bg1">
                      <a:lumMod val="85000"/>
                    </a:schemeClr>
                  </a:solidFill>
                </a:rPr>
                <a:t>|</a:t>
              </a:r>
              <a14:m>
                <m:oMath xmlns:m="http://schemas.openxmlformats.org/officeDocument/2006/math">
                  <m:r>
                    <a:rPr lang="pt-BR" sz="3000" b="1" i="0">
                      <a:solidFill>
                        <a:schemeClr val="bg1">
                          <a:lumMod val="85000"/>
                        </a:schemeClr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𝐀</m:t>
                  </m:r>
                </m:oMath>
              </a14:m>
              <a:r>
                <a:rPr lang="pt-BR" sz="3000" b="1" i="0">
                  <a:solidFill>
                    <a:schemeClr val="bg1">
                      <a:lumMod val="85000"/>
                    </a:schemeClr>
                  </a:solidFill>
                </a:rPr>
                <a:t>  ∗   </a:t>
              </a:r>
              <a14:m>
                <m:oMath xmlns:m="http://schemas.openxmlformats.org/officeDocument/2006/math">
                  <m:bar>
                    <m:barPr>
                      <m:ctrlPr>
                        <a:rPr lang="pt-BR" sz="3000" b="1" i="1" baseline="0">
                          <a:solidFill>
                            <a:schemeClr val="bg1">
                              <a:lumMod val="85000"/>
                            </a:schemeClr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barPr>
                    <m:e>
                      <m:r>
                        <a:rPr lang="pt-BR" sz="3000" b="1" i="0" baseline="0">
                          <a:solidFill>
                            <a:schemeClr val="bg1">
                              <a:lumMod val="85000"/>
                            </a:schemeClr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𝐱</m:t>
                      </m:r>
                    </m:e>
                  </m:bar>
                </m:oMath>
              </a14:m>
              <a:r>
                <a:rPr lang="pt-BR" sz="3000" b="1" i="0">
                  <a:solidFill>
                    <a:schemeClr val="bg1">
                      <a:lumMod val="85000"/>
                    </a:schemeClr>
                  </a:solidFill>
                </a:rPr>
                <a:t> </a:t>
              </a:r>
              <a14:m>
                <m:oMath xmlns:m="http://schemas.openxmlformats.org/officeDocument/2006/math">
                  <m:r>
                    <a:rPr lang="pt-BR" sz="3000" b="1" i="0" baseline="0">
                      <a:solidFill>
                        <a:schemeClr val="bg1">
                          <a:lumMod val="85000"/>
                        </a:schemeClr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−</m:t>
                  </m:r>
                </m:oMath>
              </a14:m>
              <a:r>
                <a:rPr lang="pt-BR" sz="3000" b="1" i="0">
                  <a:solidFill>
                    <a:schemeClr val="bg1">
                      <a:lumMod val="85000"/>
                    </a:schemeClr>
                  </a:solidFill>
                </a:rPr>
                <a:t> </a:t>
              </a:r>
              <a14:m>
                <m:oMath xmlns:m="http://schemas.openxmlformats.org/officeDocument/2006/math">
                  <m:bar>
                    <m:barPr>
                      <m:ctrlPr>
                        <a:rPr lang="pt-BR" sz="3000" b="1" i="1" baseline="0">
                          <a:solidFill>
                            <a:schemeClr val="bg1">
                              <a:lumMod val="85000"/>
                            </a:schemeClr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barPr>
                    <m:e>
                      <m:r>
                        <a:rPr lang="pt-BR" sz="3000" b="1" i="0" baseline="0">
                          <a:solidFill>
                            <a:schemeClr val="bg1">
                              <a:lumMod val="85000"/>
                            </a:schemeClr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𝐛</m:t>
                      </m:r>
                    </m:e>
                  </m:bar>
                </m:oMath>
              </a14:m>
              <a:r>
                <a:rPr lang="pt-BR" sz="3000" b="1" i="0">
                  <a:solidFill>
                    <a:schemeClr val="bg1">
                      <a:lumMod val="85000"/>
                    </a:schemeClr>
                  </a:solidFill>
                </a:rPr>
                <a:t> |</a:t>
              </a:r>
            </a:p>
            <a:p>
              <a:pPr algn="l"/>
              <a:endParaRPr lang="pt-BR" sz="3000" b="1" i="0">
                <a:solidFill>
                  <a:schemeClr val="bg1">
                    <a:lumMod val="85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3" name="Object 4">
              <a:extLst>
                <a:ext uri="{63B3BB69-23CF-44E3-9099-C40C66FF867C}">
                  <a14:compatExt xmlns:a14="http://schemas.microsoft.com/office/drawing/2010/main" spid="_x0000_s1028"/>
                </a:ext>
                <a:ext uri="{FF2B5EF4-FFF2-40B4-BE49-F238E27FC236}">
                  <a16:creationId xmlns:a16="http://schemas.microsoft.com/office/drawing/2014/main" id="{7C6E068F-3D9F-46BE-A9F4-E5B655800A5C}"/>
                </a:ext>
              </a:extLst>
            </xdr:cNvPr>
            <xdr:cNvSpPr txBox="1"/>
          </xdr:nvSpPr>
          <xdr:spPr>
            <a:xfrm>
              <a:off x="1571626" y="420460"/>
              <a:ext cx="2999013" cy="2623458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none">
              <a:noAutofit/>
            </a:bodyPr>
            <a:lstStyle/>
            <a:p>
              <a:pPr algn="l"/>
              <a:r>
                <a:rPr lang="pt-BR" sz="3000" b="1">
                  <a:solidFill>
                    <a:schemeClr val="bg1">
                      <a:lumMod val="85000"/>
                    </a:schemeClr>
                  </a:solidFill>
                </a:rPr>
                <a:t>  </a:t>
              </a:r>
              <a:r>
                <a:rPr lang="pt-BR" sz="3000" b="1" i="0">
                  <a:solidFill>
                    <a:schemeClr val="bg1">
                      <a:lumMod val="85000"/>
                    </a:schemeClr>
                  </a:solidFill>
                  <a:latin typeface="Cambria Math" panose="02040503050406030204" pitchFamily="18" charset="0"/>
                </a:rPr>
                <a:t>𝐀  ∗ </a:t>
              </a:r>
              <a:r>
                <a:rPr kumimoji="0" lang="pt-BR" sz="3000" b="1" i="0" u="none" strike="noStrike" kern="0" cap="none" spc="0" normalizeH="0" baseline="0" noProof="0">
                  <a:ln>
                    <a:noFill/>
                  </a:ln>
                  <a:solidFill>
                    <a:schemeClr val="bg1">
                      <a:lumMod val="85000"/>
                    </a:schemeClr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▁𝐱−</a:t>
              </a:r>
              <a:r>
                <a:rPr lang="pt-BR" sz="3000" b="1" i="0" baseline="0">
                  <a:solidFill>
                    <a:schemeClr val="bg1">
                      <a:lumMod val="8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▁𝐛</a:t>
              </a:r>
              <a:r>
                <a:rPr lang="pt-BR" sz="3000" b="1" i="0">
                  <a:solidFill>
                    <a:schemeClr val="bg1">
                      <a:lumMod val="85000"/>
                    </a:schemeClr>
                  </a:solidFill>
                  <a:latin typeface="Cambria Math" panose="02040503050406030204" pitchFamily="18" charset="0"/>
                </a:rPr>
                <a:t>=</a:t>
              </a:r>
              <a:r>
                <a:rPr lang="pt-BR" sz="3000" b="1" i="0">
                  <a:solidFill>
                    <a:schemeClr val="bg1">
                      <a:lumMod val="85000"/>
                    </a:schemeClr>
                  </a:solidFill>
                </a:rPr>
                <a:t> 0</a:t>
              </a:r>
            </a:p>
            <a:p>
              <a:pPr algn="l"/>
              <a:endParaRPr lang="pt-BR" sz="500" b="1" i="0">
                <a:solidFill>
                  <a:schemeClr val="bg1">
                    <a:lumMod val="85000"/>
                  </a:schemeClr>
                </a:solidFill>
              </a:endParaRPr>
            </a:p>
            <a:p>
              <a:pPr algn="ctr"/>
              <a:r>
                <a:rPr lang="pt-BR" sz="3000" b="1" i="0">
                  <a:solidFill>
                    <a:schemeClr val="bg1">
                      <a:lumMod val="85000"/>
                    </a:schemeClr>
                  </a:solidFill>
                </a:rPr>
                <a:t>≠</a:t>
              </a:r>
              <a:r>
                <a:rPr lang="pt-BR" sz="2200" b="1" i="0">
                  <a:solidFill>
                    <a:schemeClr val="bg1">
                      <a:lumMod val="85000"/>
                    </a:schemeClr>
                  </a:solidFill>
                </a:rPr>
                <a:t>  Linear Least Squares </a:t>
              </a:r>
            </a:p>
            <a:p>
              <a:pPr algn="ctr"/>
              <a:r>
                <a:rPr lang="pt-BR" sz="2200" b="1" i="0">
                  <a:solidFill>
                    <a:schemeClr val="bg1">
                      <a:lumMod val="85000"/>
                    </a:schemeClr>
                  </a:solidFill>
                </a:rPr>
                <a:t>to find a vector x </a:t>
              </a:r>
            </a:p>
            <a:p>
              <a:pPr algn="ctr"/>
              <a:r>
                <a:rPr lang="pt-BR" sz="2200" b="1" i="0">
                  <a:solidFill>
                    <a:schemeClr val="bg1">
                      <a:lumMod val="85000"/>
                    </a:schemeClr>
                  </a:solidFill>
                </a:rPr>
                <a:t>for a minimum :</a:t>
              </a:r>
            </a:p>
            <a:p>
              <a:pPr algn="ctr"/>
              <a:endParaRPr lang="pt-BR" sz="500" b="1" i="0">
                <a:solidFill>
                  <a:schemeClr val="bg1">
                    <a:lumMod val="85000"/>
                  </a:schemeClr>
                </a:solidFill>
              </a:endParaRPr>
            </a:p>
            <a:p>
              <a:pPr algn="ctr"/>
              <a:r>
                <a:rPr lang="pt-BR" sz="3000" b="1" i="0">
                  <a:solidFill>
                    <a:schemeClr val="bg1">
                      <a:lumMod val="85000"/>
                    </a:schemeClr>
                  </a:solidFill>
                </a:rPr>
                <a:t>|</a:t>
              </a:r>
              <a:r>
                <a:rPr lang="pt-BR" sz="3000" b="1" i="0">
                  <a:solidFill>
                    <a:schemeClr val="bg1">
                      <a:lumMod val="8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𝐀</a:t>
              </a:r>
              <a:r>
                <a:rPr lang="pt-BR" sz="3000" b="1" i="0">
                  <a:solidFill>
                    <a:schemeClr val="bg1">
                      <a:lumMod val="85000"/>
                    </a:schemeClr>
                  </a:solidFill>
                </a:rPr>
                <a:t>  ∗   </a:t>
              </a:r>
              <a:r>
                <a:rPr lang="pt-BR" sz="3000" b="1" i="0" baseline="0">
                  <a:solidFill>
                    <a:schemeClr val="bg1">
                      <a:lumMod val="8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▁𝐱</a:t>
              </a:r>
              <a:r>
                <a:rPr lang="pt-BR" sz="3000" b="1" i="0">
                  <a:solidFill>
                    <a:schemeClr val="bg1">
                      <a:lumMod val="85000"/>
                    </a:schemeClr>
                  </a:solidFill>
                </a:rPr>
                <a:t> </a:t>
              </a:r>
              <a:r>
                <a:rPr lang="pt-BR" sz="3000" b="1" i="0" baseline="0">
                  <a:solidFill>
                    <a:schemeClr val="bg1">
                      <a:lumMod val="8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pt-BR" sz="3000" b="1" i="0">
                  <a:solidFill>
                    <a:schemeClr val="bg1">
                      <a:lumMod val="85000"/>
                    </a:schemeClr>
                  </a:solidFill>
                </a:rPr>
                <a:t> </a:t>
              </a:r>
              <a:r>
                <a:rPr lang="pt-BR" sz="3000" b="1" i="0" baseline="0">
                  <a:solidFill>
                    <a:schemeClr val="bg1">
                      <a:lumMod val="8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▁𝐛</a:t>
              </a:r>
              <a:r>
                <a:rPr lang="pt-BR" sz="3000" b="1" i="0">
                  <a:solidFill>
                    <a:schemeClr val="bg1">
                      <a:lumMod val="85000"/>
                    </a:schemeClr>
                  </a:solidFill>
                </a:rPr>
                <a:t> |</a:t>
              </a:r>
            </a:p>
            <a:p>
              <a:pPr algn="l"/>
              <a:endParaRPr lang="pt-BR" sz="3000" b="1" i="0">
                <a:solidFill>
                  <a:schemeClr val="bg1">
                    <a:lumMod val="85000"/>
                  </a:schemeClr>
                </a:solidFill>
              </a:endParaRPr>
            </a:p>
          </xdr:txBody>
        </xdr:sp>
      </mc:Fallback>
    </mc:AlternateContent>
    <xdr:clientData/>
  </xdr:twoCellAnchor>
  <xdr:twoCellAnchor>
    <xdr:from>
      <xdr:col>30</xdr:col>
      <xdr:colOff>81644</xdr:colOff>
      <xdr:row>24</xdr:row>
      <xdr:rowOff>68035</xdr:rowOff>
    </xdr:from>
    <xdr:to>
      <xdr:col>35</xdr:col>
      <xdr:colOff>258537</xdr:colOff>
      <xdr:row>25</xdr:row>
      <xdr:rowOff>220678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Object 4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BB06BD3A-6050-474D-A6E0-14FBDBA3DD4A}"/>
                </a:ext>
              </a:extLst>
            </xdr:cNvPr>
            <xdr:cNvSpPr txBox="1"/>
          </xdr:nvSpPr>
          <xdr:spPr>
            <a:xfrm>
              <a:off x="14893019" y="8421460"/>
              <a:ext cx="3177268" cy="495543"/>
            </a:xfrm>
            <a:prstGeom prst="rect">
              <a:avLst/>
            </a:prstGeom>
            <a:solidFill>
              <a:srgbClr val="93E3FF"/>
            </a:solidFill>
          </xdr:spPr>
          <xdr:txBody>
            <a:bodyPr vertOverflow="clip" horzOverflow="clip" wrap="square" lIns="0" tIns="0" rIns="0" bIns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kumimoji="0" lang="pt-BR" sz="3000" b="1" i="0" u="none" strike="noStrike" kern="0" cap="none" spc="0" normalizeH="0" baseline="0" noProof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𝐲</m:t>
                    </m:r>
                    <m:r>
                      <a:rPr kumimoji="0" lang="pt-BR" sz="3000" b="1" i="0" u="none" strike="noStrike" kern="0" cap="none" spc="0" normalizeH="0" baseline="0" noProof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kumimoji="0" lang="pt-BR" sz="3000" b="1" i="0" u="none" strike="noStrike" kern="0" cap="none" spc="0" normalizeH="0" baseline="0" noProof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𝐚𝐱</m:t>
                    </m:r>
                    <m:r>
                      <a:rPr kumimoji="0" lang="pt-BR" sz="3000" b="1" i="0" u="none" strike="noStrike" kern="0" cap="none" spc="0" normalizeH="0" baseline="0" noProof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kumimoji="0" lang="pt-BR" sz="3000" b="1" i="0" u="none" strike="noStrike" kern="0" cap="none" spc="0" normalizeH="0" baseline="0" noProof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𝐛</m:t>
                    </m:r>
                  </m:oMath>
                </m:oMathPara>
              </a14:m>
              <a:endParaRPr lang="pt-BR" sz="3000" b="1" i="0">
                <a:solidFill>
                  <a:sysClr val="windowText" lastClr="000000"/>
                </a:solidFill>
              </a:endParaRPr>
            </a:p>
          </xdr:txBody>
        </xdr:sp>
      </mc:Choice>
      <mc:Fallback>
        <xdr:sp macro="" textlink="">
          <xdr:nvSpPr>
            <xdr:cNvPr id="14" name="Object 4">
              <a:extLst>
                <a:ext uri="{63B3BB69-23CF-44E3-9099-C40C66FF867C}">
                  <a14:compatExt xmlns:a14="http://schemas.microsoft.com/office/drawing/2010/main" spid="_x0000_s1028"/>
                </a:ext>
                <a:ext uri="{FF2B5EF4-FFF2-40B4-BE49-F238E27FC236}">
                  <a16:creationId xmlns:a16="http://schemas.microsoft.com/office/drawing/2014/main" id="{BB06BD3A-6050-474D-A6E0-14FBDBA3DD4A}"/>
                </a:ext>
              </a:extLst>
            </xdr:cNvPr>
            <xdr:cNvSpPr txBox="1"/>
          </xdr:nvSpPr>
          <xdr:spPr>
            <a:xfrm>
              <a:off x="14893019" y="8421460"/>
              <a:ext cx="3177268" cy="495543"/>
            </a:xfrm>
            <a:prstGeom prst="rect">
              <a:avLst/>
            </a:prstGeom>
            <a:solidFill>
              <a:srgbClr val="93E3FF"/>
            </a:solidFill>
          </xdr:spPr>
          <xdr:txBody>
            <a:bodyPr vertOverflow="clip" horzOverflow="clip" wrap="square" lIns="0" tIns="0" rIns="0" bIns="0" anchor="ctr">
              <a:noAutofit/>
            </a:bodyPr>
            <a:lstStyle/>
            <a:p>
              <a:pPr/>
              <a:r>
                <a:rPr kumimoji="0" lang="pt-BR" sz="3000" b="1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𝐲=𝐚𝐱+𝐛</a:t>
              </a:r>
              <a:endParaRPr lang="pt-BR" sz="300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twoCellAnchor>
  <xdr:twoCellAnchor>
    <xdr:from>
      <xdr:col>24</xdr:col>
      <xdr:colOff>340179</xdr:colOff>
      <xdr:row>22</xdr:row>
      <xdr:rowOff>231320</xdr:rowOff>
    </xdr:from>
    <xdr:to>
      <xdr:col>29</xdr:col>
      <xdr:colOff>462642</xdr:colOff>
      <xdr:row>29</xdr:row>
      <xdr:rowOff>108855</xdr:rowOff>
    </xdr:to>
    <xdr:sp macro="" textlink="">
      <xdr:nvSpPr>
        <xdr:cNvPr id="15" name="Object 4">
          <a:extLst>
            <a:ext uri="{63B3BB69-23CF-44E3-9099-C40C66FF867C}">
              <a14:compatExt xmlns:a14="http://schemas.microsoft.com/office/drawing/2010/main" spid="_x0000_s1028"/>
            </a:ext>
            <a:ext uri="{FF2B5EF4-FFF2-40B4-BE49-F238E27FC236}">
              <a16:creationId xmlns:a16="http://schemas.microsoft.com/office/drawing/2014/main" id="{ADD9C274-E751-4FED-B91E-6A43867702E3}"/>
            </a:ext>
          </a:extLst>
        </xdr:cNvPr>
        <xdr:cNvSpPr txBox="1"/>
      </xdr:nvSpPr>
      <xdr:spPr>
        <a:xfrm>
          <a:off x="11370129" y="7898945"/>
          <a:ext cx="3046638" cy="2277835"/>
        </a:xfrm>
        <a:prstGeom prst="rect">
          <a:avLst/>
        </a:prstGeom>
      </xdr:spPr>
      <xdr:txBody>
        <a:bodyPr vertOverflow="clip" horzOverflow="clip" wrap="square">
          <a:noAutofit/>
        </a:bodyPr>
        <a:lstStyle/>
        <a:p>
          <a:pPr algn="r"/>
          <a:r>
            <a:rPr lang="pt-BR" sz="2500" b="0">
              <a:solidFill>
                <a:srgbClr val="000000"/>
              </a:solidFill>
              <a:latin typeface="+mj-lt"/>
              <a:ea typeface="Cambria Math" panose="02040503050406030204" pitchFamily="18" charset="0"/>
            </a:rPr>
            <a:t>.. not the best option but the simplests  →</a:t>
          </a:r>
        </a:p>
        <a:p>
          <a:pPr algn="r"/>
          <a:endParaRPr lang="pt-BR" sz="2500" b="0" i="0">
            <a:solidFill>
              <a:srgbClr val="000000"/>
            </a:solidFill>
            <a:latin typeface="+mj-lt"/>
            <a:ea typeface="Cambria Math" panose="02040503050406030204" pitchFamily="18" charset="0"/>
          </a:endParaRPr>
        </a:p>
        <a:p>
          <a:pPr algn="r"/>
          <a:r>
            <a:rPr lang="pt-BR" sz="2500" b="0">
              <a:solidFill>
                <a:srgbClr val="000000"/>
              </a:solidFill>
              <a:latin typeface="+mj-lt"/>
              <a:ea typeface="Cambria Math" panose="02040503050406030204" pitchFamily="18" charset="0"/>
            </a:rPr>
            <a:t>afterwords, try variogram analysis for instance</a:t>
          </a:r>
        </a:p>
      </xdr:txBody>
    </xdr:sp>
    <xdr:clientData/>
  </xdr:twoCellAnchor>
  <xdr:twoCellAnchor>
    <xdr:from>
      <xdr:col>32</xdr:col>
      <xdr:colOff>272143</xdr:colOff>
      <xdr:row>10</xdr:row>
      <xdr:rowOff>1</xdr:rowOff>
    </xdr:from>
    <xdr:to>
      <xdr:col>35</xdr:col>
      <xdr:colOff>40824</xdr:colOff>
      <xdr:row>11</xdr:row>
      <xdr:rowOff>27216</xdr:rowOff>
    </xdr:to>
    <xdr:sp macro="" textlink="">
      <xdr:nvSpPr>
        <xdr:cNvPr id="16" name="Object 4">
          <a:extLst>
            <a:ext uri="{63B3BB69-23CF-44E3-9099-C40C66FF867C}">
              <a14:compatExt xmlns:a14="http://schemas.microsoft.com/office/drawing/2010/main" spid="_x0000_s1028"/>
            </a:ext>
            <a:ext uri="{FF2B5EF4-FFF2-40B4-BE49-F238E27FC236}">
              <a16:creationId xmlns:a16="http://schemas.microsoft.com/office/drawing/2014/main" id="{CD92DE3F-4070-4ECA-A106-EFC85D564057}"/>
            </a:ext>
          </a:extLst>
        </xdr:cNvPr>
        <xdr:cNvSpPr txBox="1"/>
      </xdr:nvSpPr>
      <xdr:spPr>
        <a:xfrm>
          <a:off x="16264618" y="3552826"/>
          <a:ext cx="1587956" cy="370115"/>
        </a:xfrm>
        <a:prstGeom prst="rect">
          <a:avLst/>
        </a:prstGeom>
      </xdr:spPr>
      <xdr:txBody>
        <a:bodyPr vertOverflow="clip" horzOverflow="clip" wrap="square">
          <a:noAutofit/>
        </a:bodyPr>
        <a:lstStyle/>
        <a:p>
          <a:pPr algn="r"/>
          <a:r>
            <a:rPr lang="pt-BR" sz="2000" b="1" i="0"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</a:rPr>
            <a:t>or try new</a:t>
          </a:r>
        </a:p>
      </xdr:txBody>
    </xdr:sp>
    <xdr:clientData/>
  </xdr:twoCellAnchor>
  <xdr:twoCellAnchor>
    <xdr:from>
      <xdr:col>29</xdr:col>
      <xdr:colOff>598715</xdr:colOff>
      <xdr:row>1</xdr:row>
      <xdr:rowOff>244929</xdr:rowOff>
    </xdr:from>
    <xdr:to>
      <xdr:col>30</xdr:col>
      <xdr:colOff>326572</xdr:colOff>
      <xdr:row>3</xdr:row>
      <xdr:rowOff>27215</xdr:rowOff>
    </xdr:to>
    <xdr:sp macro="" textlink="">
      <xdr:nvSpPr>
        <xdr:cNvPr id="17" name="Arrow: Right 16">
          <a:extLst>
            <a:ext uri="{FF2B5EF4-FFF2-40B4-BE49-F238E27FC236}">
              <a16:creationId xmlns:a16="http://schemas.microsoft.com/office/drawing/2014/main" id="{3A1D52D9-2800-4EC2-A6B7-98B0C0C97AEC}"/>
            </a:ext>
          </a:extLst>
        </xdr:cNvPr>
        <xdr:cNvSpPr/>
      </xdr:nvSpPr>
      <xdr:spPr>
        <a:xfrm rot="2218445">
          <a:off x="14552840" y="406854"/>
          <a:ext cx="585107" cy="62048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oneCellAnchor>
    <xdr:from>
      <xdr:col>18</xdr:col>
      <xdr:colOff>353786</xdr:colOff>
      <xdr:row>1</xdr:row>
      <xdr:rowOff>326571</xdr:rowOff>
    </xdr:from>
    <xdr:ext cx="1920240" cy="51655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Object 4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4C3A8CFC-4861-4B14-A0C4-25E8B4C285F6}"/>
                </a:ext>
              </a:extLst>
            </xdr:cNvPr>
            <xdr:cNvSpPr txBox="1"/>
          </xdr:nvSpPr>
          <xdr:spPr>
            <a:xfrm>
              <a:off x="8440511" y="488496"/>
              <a:ext cx="1920240" cy="516552"/>
            </a:xfrm>
            <a:prstGeom prst="rect">
              <a:avLst/>
            </a:prstGeom>
            <a:solidFill>
              <a:schemeClr val="bg1"/>
            </a:solidFill>
          </xdr:spPr>
          <xdr:txBody>
            <a:bodyPr vertOverflow="clip" horzOverflow="clip" wrap="square" lIns="0" tIns="0" rIns="0" bIns="0" anchor="ctr" anchorCtr="0">
              <a:spAutoFit/>
            </a:bodyPr>
            <a:lstStyle/>
            <a:p>
              <a:pPr algn="ctr"/>
              <a:r>
                <a:rPr lang="pt-BR" sz="3300" b="1">
                  <a:solidFill>
                    <a:srgbClr val="000000"/>
                  </a:solidFill>
                </a:rPr>
                <a:t>a </a:t>
              </a:r>
              <a14:m>
                <m:oMath xmlns:m="http://schemas.openxmlformats.org/officeDocument/2006/math">
                  <m:r>
                    <a:rPr lang="pt-BR" sz="3300" b="1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∗</m:t>
                  </m:r>
                  <m:r>
                    <a:rPr lang="pt-BR" sz="3300" b="1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𝑿</m:t>
                  </m:r>
                  <m:r>
                    <a:rPr lang="pt-BR" sz="3300" b="1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=</m:t>
                  </m:r>
                  <m:r>
                    <a:rPr lang="pt-BR" sz="3300" b="1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𝒃</m:t>
                  </m:r>
                </m:oMath>
              </a14:m>
              <a:endParaRPr lang="LID4096" sz="3300" b="1"/>
            </a:p>
          </xdr:txBody>
        </xdr:sp>
      </mc:Choice>
      <mc:Fallback>
        <xdr:sp macro="" textlink="">
          <xdr:nvSpPr>
            <xdr:cNvPr id="18" name="Object 4">
              <a:extLst>
                <a:ext uri="{63B3BB69-23CF-44E3-9099-C40C66FF867C}">
                  <a14:compatExt xmlns:a14="http://schemas.microsoft.com/office/drawing/2010/main" spid="_x0000_s1028"/>
                </a:ext>
                <a:ext uri="{FF2B5EF4-FFF2-40B4-BE49-F238E27FC236}">
                  <a16:creationId xmlns:a16="http://schemas.microsoft.com/office/drawing/2014/main" id="{4C3A8CFC-4861-4B14-A0C4-25E8B4C285F6}"/>
                </a:ext>
              </a:extLst>
            </xdr:cNvPr>
            <xdr:cNvSpPr txBox="1"/>
          </xdr:nvSpPr>
          <xdr:spPr>
            <a:xfrm>
              <a:off x="8440511" y="488496"/>
              <a:ext cx="1920240" cy="516552"/>
            </a:xfrm>
            <a:prstGeom prst="rect">
              <a:avLst/>
            </a:prstGeom>
            <a:solidFill>
              <a:schemeClr val="bg1"/>
            </a:solidFill>
          </xdr:spPr>
          <xdr:txBody>
            <a:bodyPr vertOverflow="clip" horzOverflow="clip" wrap="square" lIns="0" tIns="0" rIns="0" bIns="0" anchor="ctr" anchorCtr="0">
              <a:spAutoFit/>
            </a:bodyPr>
            <a:lstStyle/>
            <a:p>
              <a:pPr algn="ctr"/>
              <a:r>
                <a:rPr lang="pt-BR" sz="3300" b="1">
                  <a:solidFill>
                    <a:srgbClr val="000000"/>
                  </a:solidFill>
                </a:rPr>
                <a:t>a </a:t>
              </a:r>
              <a:r>
                <a:rPr lang="pt-BR" sz="3300" b="1" i="0">
                  <a:solidFill>
                    <a:srgbClr val="000000"/>
                  </a:solidFill>
                  <a:latin typeface="Cambria Math" panose="02040503050406030204" pitchFamily="18" charset="0"/>
                </a:rPr>
                <a:t>∗𝑿=𝒃</a:t>
              </a:r>
              <a:endParaRPr lang="LID4096" sz="3300" b="1"/>
            </a:p>
          </xdr:txBody>
        </xdr:sp>
      </mc:Fallback>
    </mc:AlternateContent>
    <xdr:clientData/>
  </xdr:oneCellAnchor>
  <xdr:twoCellAnchor>
    <xdr:from>
      <xdr:col>26</xdr:col>
      <xdr:colOff>163287</xdr:colOff>
      <xdr:row>35</xdr:row>
      <xdr:rowOff>108857</xdr:rowOff>
    </xdr:from>
    <xdr:to>
      <xdr:col>36</xdr:col>
      <xdr:colOff>19586</xdr:colOff>
      <xdr:row>38</xdr:row>
      <xdr:rowOff>174118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9" name="Object 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C6CA4F9-D411-4616-AED9-1A386470C848}"/>
                </a:ext>
              </a:extLst>
            </xdr:cNvPr>
            <xdr:cNvSpPr txBox="1"/>
          </xdr:nvSpPr>
          <xdr:spPr>
            <a:xfrm>
              <a:off x="12050487" y="12281807"/>
              <a:ext cx="6114224" cy="1198736"/>
            </a:xfrm>
            <a:prstGeom prst="rect">
              <a:avLst/>
            </a:prstGeom>
            <a:solidFill>
              <a:srgbClr val="8BE1FF"/>
            </a:solidFill>
            <a:ln>
              <a:solidFill>
                <a:srgbClr val="8BE1FF"/>
              </a:solidFill>
            </a:ln>
          </xdr:spPr>
          <xdr:txBody>
            <a:bodyPr vertOverflow="clip" horzOverflow="clip" wrap="non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US" sz="25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𝛾</m:t>
                    </m:r>
                    <m:d>
                      <m:dPr>
                        <m:ctrlPr>
                          <a:rPr lang="en-US" sz="25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25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h</m:t>
                        </m:r>
                      </m:e>
                    </m:d>
                    <m:r>
                      <a:rPr lang="en-US" sz="25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=0.72+9.35</m:t>
                    </m:r>
                    <m:d>
                      <m:dPr>
                        <m:begChr m:val="["/>
                        <m:endChr m:val="]"/>
                        <m:ctrlPr>
                          <a:rPr lang="en-US" sz="25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25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25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3</m:t>
                            </m:r>
                          </m:num>
                          <m:den>
                            <m:r>
                              <a:rPr lang="en-US" sz="25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r>
                          <a:rPr lang="en-US" sz="25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∗</m:t>
                        </m:r>
                        <m:d>
                          <m:dPr>
                            <m:ctrlPr>
                              <a:rPr lang="en-US" sz="25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US" sz="25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2500" b="1" i="1">
                                    <a:solidFill>
                                      <a:srgbClr val="FF0000"/>
                                    </a:solidFill>
                                    <a:latin typeface="Cambria Math" panose="02040503050406030204" pitchFamily="18" charset="0"/>
                                  </a:rPr>
                                  <m:t>𝒉</m:t>
                                </m:r>
                              </m:num>
                              <m:den>
                                <m:r>
                                  <a:rPr lang="en-US" sz="25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11</m:t>
                                </m:r>
                              </m:den>
                            </m:f>
                          </m:e>
                        </m:d>
                        <m:r>
                          <a:rPr lang="en-US" sz="25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n-US" sz="25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25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n-US" sz="25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r>
                          <a:rPr lang="en-US" sz="25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∗</m:t>
                        </m:r>
                        <m:sSup>
                          <m:sSupPr>
                            <m:ctrlPr>
                              <a:rPr lang="en-US" sz="25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25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US" sz="2500" i="1">
                                        <a:solidFill>
                                          <a:srgbClr val="000000"/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en-US" sz="2500" i="1">
                                        <a:solidFill>
                                          <a:srgbClr val="000000"/>
                                        </a:solidFill>
                                        <a:latin typeface="Cambria Math" panose="02040503050406030204" pitchFamily="18" charset="0"/>
                                      </a:rPr>
                                      <m:t>h</m:t>
                                    </m:r>
                                  </m:num>
                                  <m:den>
                                    <m:r>
                                      <a:rPr lang="en-US" sz="2500" i="1">
                                        <a:solidFill>
                                          <a:srgbClr val="000000"/>
                                        </a:solidFill>
                                        <a:latin typeface="Cambria Math" panose="02040503050406030204" pitchFamily="18" charset="0"/>
                                      </a:rPr>
                                      <m:t>11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n-US" sz="25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</m:e>
                    </m:d>
                  </m:oMath>
                </m:oMathPara>
              </a14:m>
              <a:endParaRPr lang="en-US" sz="2500"/>
            </a:p>
          </xdr:txBody>
        </xdr:sp>
      </mc:Choice>
      <mc:Fallback>
        <xdr:sp macro="" textlink="">
          <xdr:nvSpPr>
            <xdr:cNvPr id="19" name="Object 1">
              <a:extLst>
                <a:ext uri="{63B3BB69-23CF-44E3-9099-C40C66FF867C}">
                  <a14:compatExt xmlns:a14="http://schemas.microsoft.com/office/drawing/2010/main" spid="_x0000_s3073"/>
                </a:ext>
                <a:ext uri="{FF2B5EF4-FFF2-40B4-BE49-F238E27FC236}">
                  <a16:creationId xmlns:a16="http://schemas.microsoft.com/office/drawing/2014/main" id="{0C6CA4F9-D411-4616-AED9-1A386470C848}"/>
                </a:ext>
              </a:extLst>
            </xdr:cNvPr>
            <xdr:cNvSpPr txBox="1"/>
          </xdr:nvSpPr>
          <xdr:spPr>
            <a:xfrm>
              <a:off x="12050487" y="12281807"/>
              <a:ext cx="6114224" cy="1198736"/>
            </a:xfrm>
            <a:prstGeom prst="rect">
              <a:avLst/>
            </a:prstGeom>
            <a:solidFill>
              <a:srgbClr val="8BE1FF"/>
            </a:solidFill>
            <a:ln>
              <a:solidFill>
                <a:srgbClr val="8BE1FF"/>
              </a:solidFill>
            </a:ln>
          </xdr:spPr>
          <xdr:txBody>
            <a:bodyPr vertOverflow="clip" horzOverflow="clip" wrap="none">
              <a:spAutoFit/>
            </a:bodyPr>
            <a:lstStyle/>
            <a:p>
              <a:pPr/>
              <a:r>
                <a:rPr lang="en-US" sz="250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𝛾(ℎ)=0.72+9.35[3/2∗(</a:t>
              </a:r>
              <a:r>
                <a:rPr lang="en-US" sz="25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𝒉</a:t>
              </a:r>
              <a:r>
                <a:rPr lang="en-US" sz="2500" b="1" i="0">
                  <a:solidFill>
                    <a:srgbClr val="000000"/>
                  </a:solidFill>
                  <a:latin typeface="Cambria Math" panose="02040503050406030204" pitchFamily="18" charset="0"/>
                </a:rPr>
                <a:t>/</a:t>
              </a:r>
              <a:r>
                <a:rPr lang="en-US" sz="2500" i="0">
                  <a:solidFill>
                    <a:srgbClr val="000000"/>
                  </a:solidFill>
                  <a:latin typeface="Cambria Math" panose="02040503050406030204" pitchFamily="18" charset="0"/>
                </a:rPr>
                <a:t>11)−1/2∗(ℎ/11)^3 ]</a:t>
              </a:r>
              <a:endParaRPr lang="en-US" sz="2500"/>
            </a:p>
          </xdr:txBody>
        </xdr:sp>
      </mc:Fallback>
    </mc:AlternateContent>
    <xdr:clientData/>
  </xdr:twoCellAnchor>
  <xdr:twoCellAnchor>
    <xdr:from>
      <xdr:col>2</xdr:col>
      <xdr:colOff>81641</xdr:colOff>
      <xdr:row>32</xdr:row>
      <xdr:rowOff>163285</xdr:rowOff>
    </xdr:from>
    <xdr:to>
      <xdr:col>25</xdr:col>
      <xdr:colOff>0</xdr:colOff>
      <xdr:row>46</xdr:row>
      <xdr:rowOff>326571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1469AF8F-85B6-4B82-BC44-BF90CF735DBA}"/>
            </a:ext>
          </a:extLst>
        </xdr:cNvPr>
        <xdr:cNvGrpSpPr/>
      </xdr:nvGrpSpPr>
      <xdr:grpSpPr>
        <a:xfrm>
          <a:off x="462641" y="11198678"/>
          <a:ext cx="10940145" cy="5089072"/>
          <a:chOff x="9334500" y="9410700"/>
          <a:chExt cx="14199301" cy="6658294"/>
        </a:xfrm>
      </xdr:grpSpPr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90894B4E-4C51-874E-21ED-8017F5D33057}"/>
              </a:ext>
            </a:extLst>
          </xdr:cNvPr>
          <xdr:cNvGrpSpPr/>
        </xdr:nvGrpSpPr>
        <xdr:grpSpPr>
          <a:xfrm>
            <a:off x="9334500" y="9410700"/>
            <a:ext cx="14199301" cy="6658294"/>
            <a:chOff x="10456494" y="8286750"/>
            <a:chExt cx="10410307" cy="5115244"/>
          </a:xfrm>
        </xdr:grpSpPr>
        <xdr:pic>
          <xdr:nvPicPr>
            <xdr:cNvPr id="22" name="Picture 21">
              <a:extLst>
                <a:ext uri="{FF2B5EF4-FFF2-40B4-BE49-F238E27FC236}">
                  <a16:creationId xmlns:a16="http://schemas.microsoft.com/office/drawing/2014/main" id="{6D8B9A94-F3DA-0E8F-3DD2-D629679557A9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7849851" y="8656082"/>
              <a:ext cx="3016950" cy="965424"/>
            </a:xfrm>
            <a:prstGeom prst="rect">
              <a:avLst/>
            </a:prstGeom>
            <a:solidFill>
              <a:srgbClr val="66CCFF"/>
            </a:solidFill>
          </xdr:spPr>
        </xdr:pic>
        <xdr:sp macro="" textlink="">
          <xdr:nvSpPr>
            <xdr:cNvPr id="23" name="TextBox 15">
              <a:extLst>
                <a:ext uri="{FF2B5EF4-FFF2-40B4-BE49-F238E27FC236}">
                  <a16:creationId xmlns:a16="http://schemas.microsoft.com/office/drawing/2014/main" id="{F6C50DE7-23B1-CEBE-3594-0CAFC8EDEE53}"/>
                </a:ext>
              </a:extLst>
            </xdr:cNvPr>
            <xdr:cNvSpPr txBox="1"/>
          </xdr:nvSpPr>
          <xdr:spPr>
            <a:xfrm>
              <a:off x="17849850" y="8286750"/>
              <a:ext cx="3016949" cy="369332"/>
            </a:xfrm>
            <a:prstGeom prst="rect">
              <a:avLst/>
            </a:prstGeom>
            <a:solidFill>
              <a:srgbClr val="66CCFF"/>
            </a:solidFill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AU">
                  <a:latin typeface="Arial" panose="020B0604020202020204" pitchFamily="34" charset="0"/>
                  <a:cs typeface="Arial" panose="020B0604020202020204" pitchFamily="34" charset="0"/>
                </a:rPr>
                <a:t>Spherical</a:t>
              </a:r>
            </a:p>
          </xdr:txBody>
        </xdr:sp>
        <xdr:pic>
          <xdr:nvPicPr>
            <xdr:cNvPr id="24" name="Picture 23">
              <a:extLst>
                <a:ext uri="{FF2B5EF4-FFF2-40B4-BE49-F238E27FC236}">
                  <a16:creationId xmlns:a16="http://schemas.microsoft.com/office/drawing/2014/main" id="{6C673227-E597-1993-4AFE-5337F6424407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7849850" y="10180082"/>
              <a:ext cx="2633000" cy="826039"/>
            </a:xfrm>
            <a:prstGeom prst="rect">
              <a:avLst/>
            </a:prstGeom>
            <a:solidFill>
              <a:schemeClr val="accent2"/>
            </a:solidFill>
          </xdr:spPr>
        </xdr:pic>
        <xdr:sp macro="" textlink="">
          <xdr:nvSpPr>
            <xdr:cNvPr id="25" name="TextBox 25">
              <a:extLst>
                <a:ext uri="{FF2B5EF4-FFF2-40B4-BE49-F238E27FC236}">
                  <a16:creationId xmlns:a16="http://schemas.microsoft.com/office/drawing/2014/main" id="{AF569D7A-E9BC-FA2A-5168-B3EB83565195}"/>
                </a:ext>
              </a:extLst>
            </xdr:cNvPr>
            <xdr:cNvSpPr txBox="1"/>
          </xdr:nvSpPr>
          <xdr:spPr>
            <a:xfrm>
              <a:off x="17849850" y="9810750"/>
              <a:ext cx="2633000" cy="369332"/>
            </a:xfrm>
            <a:prstGeom prst="rect">
              <a:avLst/>
            </a:prstGeom>
            <a:solidFill>
              <a:schemeClr val="accent2"/>
            </a:solidFill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AU">
                  <a:latin typeface="Arial" panose="020B0604020202020204" pitchFamily="34" charset="0"/>
                  <a:cs typeface="Arial" panose="020B0604020202020204" pitchFamily="34" charset="0"/>
                </a:rPr>
                <a:t>exponential</a:t>
              </a:r>
            </a:p>
          </xdr:txBody>
        </xdr:sp>
        <xdr:pic>
          <xdr:nvPicPr>
            <xdr:cNvPr id="26" name="Picture 25">
              <a:extLst>
                <a:ext uri="{FF2B5EF4-FFF2-40B4-BE49-F238E27FC236}">
                  <a16:creationId xmlns:a16="http://schemas.microsoft.com/office/drawing/2014/main" id="{53A571DC-A111-67E2-D3B6-D81B991C9DA9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7849851" y="11555783"/>
              <a:ext cx="2534041" cy="839401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</xdr:spPr>
        </xdr:pic>
        <xdr:sp macro="" textlink="">
          <xdr:nvSpPr>
            <xdr:cNvPr id="27" name="TextBox 31">
              <a:extLst>
                <a:ext uri="{FF2B5EF4-FFF2-40B4-BE49-F238E27FC236}">
                  <a16:creationId xmlns:a16="http://schemas.microsoft.com/office/drawing/2014/main" id="{D9B30C6A-931C-2278-DB89-959B490902BD}"/>
                </a:ext>
              </a:extLst>
            </xdr:cNvPr>
            <xdr:cNvSpPr txBox="1"/>
          </xdr:nvSpPr>
          <xdr:spPr>
            <a:xfrm>
              <a:off x="17849850" y="11182350"/>
              <a:ext cx="2534041" cy="369332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AU">
                  <a:latin typeface="Arial" panose="020B0604020202020204" pitchFamily="34" charset="0"/>
                  <a:cs typeface="Arial" panose="020B0604020202020204" pitchFamily="34" charset="0"/>
                </a:rPr>
                <a:t>Gaussian</a:t>
              </a:r>
            </a:p>
          </xdr:txBody>
        </xdr:sp>
        <xdr:pic>
          <xdr:nvPicPr>
            <xdr:cNvPr id="28" name="Picture 27">
              <a:extLst>
                <a:ext uri="{FF2B5EF4-FFF2-40B4-BE49-F238E27FC236}">
                  <a16:creationId xmlns:a16="http://schemas.microsoft.com/office/drawing/2014/main" id="{856101BE-6D07-CC3C-938F-06A7A6613046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7849850" y="12875017"/>
              <a:ext cx="1602888" cy="526977"/>
            </a:xfrm>
            <a:prstGeom prst="rect">
              <a:avLst/>
            </a:prstGeom>
            <a:solidFill>
              <a:schemeClr val="accent4"/>
            </a:solidFill>
          </xdr:spPr>
        </xdr:pic>
        <xdr:sp macro="" textlink="">
          <xdr:nvSpPr>
            <xdr:cNvPr id="29" name="TextBox 20">
              <a:extLst>
                <a:ext uri="{FF2B5EF4-FFF2-40B4-BE49-F238E27FC236}">
                  <a16:creationId xmlns:a16="http://schemas.microsoft.com/office/drawing/2014/main" id="{FD9444CC-E76E-8CA6-C73F-4BC02904F42A}"/>
                </a:ext>
              </a:extLst>
            </xdr:cNvPr>
            <xdr:cNvSpPr txBox="1"/>
          </xdr:nvSpPr>
          <xdr:spPr>
            <a:xfrm>
              <a:off x="17856144" y="12515850"/>
              <a:ext cx="1596594" cy="369332"/>
            </a:xfrm>
            <a:prstGeom prst="rect">
              <a:avLst/>
            </a:prstGeom>
            <a:solidFill>
              <a:schemeClr val="accent4"/>
            </a:solidFill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AU">
                  <a:latin typeface="Arial" panose="020B0604020202020204" pitchFamily="34" charset="0"/>
                  <a:cs typeface="Arial" panose="020B0604020202020204" pitchFamily="34" charset="0"/>
                </a:rPr>
                <a:t>power</a:t>
              </a:r>
            </a:p>
          </xdr:txBody>
        </xdr:sp>
        <xdr:pic>
          <xdr:nvPicPr>
            <xdr:cNvPr id="30" name="Picture 29">
              <a:extLst>
                <a:ext uri="{FF2B5EF4-FFF2-40B4-BE49-F238E27FC236}">
                  <a16:creationId xmlns:a16="http://schemas.microsoft.com/office/drawing/2014/main" id="{19CB6BA4-086E-6FA9-20C3-DAF014D8B72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456494" y="8324849"/>
              <a:ext cx="7117938" cy="5076765"/>
            </a:xfrm>
            <a:prstGeom prst="rect">
              <a:avLst/>
            </a:prstGeom>
          </xdr:spPr>
        </xdr:pic>
      </xdr:grp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Object 1" hidden="1">
                <a:extLst>
                  <a:ext uri="{63B3BB69-23CF-44E3-9099-C40C66FF867C}">
                    <a14:compatExt spid="_x0000_s1025"/>
                  </a:ext>
                  <a:ext uri="{FF2B5EF4-FFF2-40B4-BE49-F238E27FC236}">
                    <a16:creationId xmlns:a16="http://schemas.microsoft.com/office/drawing/2014/main" id="{00000000-0008-0000-0000-000001280000}"/>
                  </a:ext>
                </a:extLst>
              </xdr:cNvPr>
              <xdr:cNvSpPr/>
            </xdr:nvSpPr>
            <xdr:spPr bwMode="auto">
              <a:xfrm>
                <a:off x="12649200" y="14049375"/>
                <a:ext cx="5695950" cy="1133474"/>
              </a:xfrm>
              <a:prstGeom prst="rect">
                <a:avLst/>
              </a:prstGeom>
              <a:solidFill>
                <a:srgbClr val="00FFFF"/>
              </a:solidFill>
              <a:ln w="9525">
                <a:solidFill>
                  <a:srgbClr val="000000" mc:Ignorable="a14" a14:legacySpreadsheetColorIndex="64"/>
                </a:solidFill>
                <a:miter lim="800000"/>
                <a:headEnd/>
                <a:tailEnd/>
              </a:ln>
            </xdr:spPr>
          </xdr:sp>
        </mc:Choice>
        <mc:Fallback/>
      </mc:AlternateContent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15_REPOS\02_Beta-Me\Beta_xls\01_Algebra.xlsx" TargetMode="External"/><Relationship Id="rId1" Type="http://schemas.openxmlformats.org/officeDocument/2006/relationships/externalLinkPath" Target="/15_REPOS/02_Beta-Me/Beta_xls/01_Algebr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est\S\B001.xlsx" TargetMode="External"/><Relationship Id="rId1" Type="http://schemas.openxmlformats.org/officeDocument/2006/relationships/externalLinkPath" Target="file:///C:\pest\S\B0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0_Docs\2021\probReview_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"/>
      <sheetName val="B"/>
      <sheetName val="C"/>
      <sheetName val="D"/>
      <sheetName val="E"/>
      <sheetName val="F"/>
      <sheetName val="H"/>
      <sheetName val="i"/>
      <sheetName val="J"/>
      <sheetName val="K"/>
      <sheetName val="b01"/>
      <sheetName val="b02"/>
    </sheetNames>
    <sheetDataSet>
      <sheetData sheetId="0">
        <row r="5">
          <cell r="AG5">
            <v>30</v>
          </cell>
        </row>
        <row r="6">
          <cell r="AG6">
            <v>-1</v>
          </cell>
        </row>
        <row r="7">
          <cell r="AG7">
            <v>-20</v>
          </cell>
        </row>
        <row r="8">
          <cell r="AG8">
            <v>400</v>
          </cell>
        </row>
        <row r="9">
          <cell r="AG9">
            <v>116.37419987935832</v>
          </cell>
        </row>
        <row r="14">
          <cell r="AH14">
            <v>13</v>
          </cell>
          <cell r="AI14">
            <v>23</v>
          </cell>
        </row>
        <row r="15">
          <cell r="AH15">
            <v>6</v>
          </cell>
          <cell r="AI15">
            <v>17</v>
          </cell>
        </row>
        <row r="16">
          <cell r="AH16">
            <v>11</v>
          </cell>
          <cell r="AI16">
            <v>13</v>
          </cell>
        </row>
        <row r="17">
          <cell r="AH17">
            <v>18</v>
          </cell>
          <cell r="AI17">
            <v>12</v>
          </cell>
        </row>
        <row r="18">
          <cell r="AH18">
            <v>2</v>
          </cell>
          <cell r="AI18">
            <v>11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"/>
      <sheetName val="C157"/>
      <sheetName val="C_"/>
      <sheetName val="A2G"/>
      <sheetName val="A22G"/>
      <sheetName val="A3R"/>
      <sheetName val=".."/>
      <sheetName val="Z"/>
      <sheetName val="N"/>
      <sheetName val="11"/>
      <sheetName val="71"/>
      <sheetName val="12"/>
      <sheetName val="13"/>
      <sheetName val="14"/>
      <sheetName val="74"/>
      <sheetName val="75"/>
      <sheetName val="Qa"/>
      <sheetName val="Qchd"/>
      <sheetName val="p55"/>
      <sheetName val="p56"/>
      <sheetName val="p57"/>
      <sheetName val="p59"/>
      <sheetName val="p60"/>
      <sheetName val="P2"/>
      <sheetName val="q50"/>
      <sheetName val="q51"/>
      <sheetName val="q52"/>
      <sheetName val="q53"/>
      <sheetName val="q54"/>
      <sheetName val="K"/>
      <sheetName val="P1"/>
      <sheetName val="....."/>
      <sheetName val="C"/>
      <sheetName val="PAR"/>
      <sheetName val="Ctrl"/>
      <sheetName val="OBS"/>
      <sheetName val="MB"/>
      <sheetName val="#REF"/>
      <sheetName val="B001"/>
      <sheetName val="c75"/>
      <sheetName val="40"/>
      <sheetName val="41"/>
      <sheetName val="42"/>
      <sheetName val="43"/>
      <sheetName val="44"/>
      <sheetName val="rec"/>
      <sheetName val="r46"/>
      <sheetName val="r49"/>
      <sheetName val="r71"/>
      <sheetName val="g74"/>
      <sheetName val="a1"/>
      <sheetName val="a2"/>
      <sheetName val="a3"/>
      <sheetName val="a5"/>
      <sheetName val="In"/>
      <sheetName val="H_F"/>
      <sheetName val="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>
        <row r="5">
          <cell r="B5">
            <v>0</v>
          </cell>
        </row>
      </sheetData>
      <sheetData sheetId="40">
        <row r="3">
          <cell r="K3" t="str">
            <v>MED.par.bpa.IN</v>
          </cell>
        </row>
      </sheetData>
      <sheetData sheetId="41"/>
      <sheetData sheetId="42"/>
      <sheetData sheetId="43"/>
      <sheetData sheetId="44">
        <row r="1014">
          <cell r="BF1014" t="str">
            <v>MED.par.bpa.IN</v>
          </cell>
        </row>
      </sheetData>
      <sheetData sheetId="45" refreshError="1"/>
      <sheetData sheetId="46" refreshError="1"/>
      <sheetData sheetId="47" refreshError="1"/>
      <sheetData sheetId="48">
        <row r="3">
          <cell r="K3" t="str">
            <v>MOD 3 Fixo</v>
          </cell>
        </row>
      </sheetData>
      <sheetData sheetId="49">
        <row r="5">
          <cell r="F5">
            <v>0</v>
          </cell>
        </row>
      </sheetData>
      <sheetData sheetId="50"/>
      <sheetData sheetId="51"/>
      <sheetData sheetId="52"/>
      <sheetData sheetId="53" refreshError="1"/>
      <sheetData sheetId="54">
        <row r="9">
          <cell r="AA9">
            <v>1.0009999999999999</v>
          </cell>
        </row>
      </sheetData>
      <sheetData sheetId="55"/>
      <sheetData sheetId="5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rete distribution"/>
      <sheetName val="VaR"/>
      <sheetName val="portfolio"/>
      <sheetName val="bivariate pdf"/>
      <sheetName val="log-Normal distribution"/>
      <sheetName val="Normal distribution"/>
    </sheetNames>
    <sheetDataSet>
      <sheetData sheetId="0">
        <row r="4">
          <cell r="C4">
            <v>0.05</v>
          </cell>
        </row>
        <row r="5">
          <cell r="C5">
            <v>0.2</v>
          </cell>
        </row>
        <row r="6">
          <cell r="C6">
            <v>0.4</v>
          </cell>
        </row>
        <row r="7">
          <cell r="C7">
            <v>0.3</v>
          </cell>
        </row>
        <row r="8">
          <cell r="C8">
            <v>0.05</v>
          </cell>
        </row>
        <row r="30">
          <cell r="B30">
            <v>0.11000000000000001</v>
          </cell>
        </row>
        <row r="31">
          <cell r="B31">
            <v>2.0900000000000002E-2</v>
          </cell>
        </row>
        <row r="32">
          <cell r="B32">
            <v>0.14456832294800961</v>
          </cell>
        </row>
      </sheetData>
      <sheetData sheetId="1"/>
      <sheetData sheetId="2">
        <row r="3">
          <cell r="C3">
            <v>0.05</v>
          </cell>
          <cell r="D3">
            <v>1.0000000000000002E-2</v>
          </cell>
          <cell r="F3">
            <v>0</v>
          </cell>
        </row>
        <row r="4">
          <cell r="C4">
            <v>0.1</v>
          </cell>
          <cell r="D4">
            <v>4.0000000000000008E-2</v>
          </cell>
        </row>
        <row r="9">
          <cell r="C9">
            <v>0.5</v>
          </cell>
        </row>
        <row r="10">
          <cell r="C10">
            <v>0.5</v>
          </cell>
        </row>
      </sheetData>
      <sheetData sheetId="3"/>
      <sheetData sheetId="4"/>
      <sheetData sheetId="5">
        <row r="8">
          <cell r="B8">
            <v>1</v>
          </cell>
          <cell r="C8">
            <v>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AF05E-77D6-4DA1-B872-E4DEB6E247E4}">
  <sheetPr>
    <tabColor theme="7" tint="0.59999389629810485"/>
  </sheetPr>
  <dimension ref="A1:AY102"/>
  <sheetViews>
    <sheetView tabSelected="1" zoomScale="70" zoomScaleNormal="70" workbookViewId="0">
      <selection activeCell="W8" sqref="W8"/>
    </sheetView>
  </sheetViews>
  <sheetFormatPr defaultRowHeight="18.75"/>
  <cols>
    <col min="1" max="1" width="2.42578125" customWidth="1"/>
    <col min="2" max="2" width="3.28515625" customWidth="1"/>
    <col min="3" max="3" width="6" style="122" customWidth="1"/>
    <col min="4" max="4" width="7.28515625" style="173" customWidth="1"/>
    <col min="5" max="24" width="7.28515625" customWidth="1"/>
    <col min="25" max="25" width="5.140625" customWidth="1"/>
    <col min="26" max="26" width="7.7109375" customWidth="1"/>
    <col min="27" max="27" width="10" style="122" customWidth="1"/>
    <col min="28" max="28" width="11" style="122" customWidth="1"/>
    <col min="29" max="29" width="10" style="122" customWidth="1"/>
    <col min="30" max="30" width="12.85546875" style="122" customWidth="1"/>
    <col min="31" max="31" width="8.28515625" style="122" customWidth="1"/>
    <col min="32" max="32" width="9.42578125" style="122" customWidth="1"/>
    <col min="33" max="33" width="11.28515625" style="174" customWidth="1"/>
    <col min="34" max="35" width="8" style="174" customWidth="1"/>
    <col min="36" max="36" width="5" style="174" customWidth="1"/>
    <col min="37" max="37" width="3" style="4" customWidth="1"/>
    <col min="38" max="38" width="6.5703125" style="174" customWidth="1"/>
    <col min="39" max="42" width="9.42578125" style="174" customWidth="1"/>
    <col min="43" max="43" width="12.5703125" style="174" bestFit="1" customWidth="1"/>
    <col min="44" max="44" width="3.42578125" style="174" customWidth="1"/>
    <col min="45" max="45" width="12.140625" style="174" customWidth="1"/>
    <col min="46" max="46" width="3.42578125" style="174" customWidth="1"/>
    <col min="47" max="47" width="13.5703125" style="174" customWidth="1"/>
    <col min="48" max="48" width="5.28515625" style="174" customWidth="1"/>
  </cols>
  <sheetData>
    <row r="1" spans="1:51" ht="12.75" customHeight="1">
      <c r="A1" s="1"/>
      <c r="B1" s="1"/>
      <c r="C1" s="2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2"/>
      <c r="AC1" s="2"/>
      <c r="AD1" s="2"/>
      <c r="AE1" s="2"/>
      <c r="AF1" s="2"/>
      <c r="AG1" s="4"/>
      <c r="AH1" s="4"/>
      <c r="AI1" s="4"/>
      <c r="AJ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1"/>
      <c r="AX1" s="1"/>
      <c r="AY1" s="1"/>
    </row>
    <row r="2" spans="1:51" ht="33" customHeight="1">
      <c r="A2" s="1"/>
      <c r="B2" s="1"/>
      <c r="C2" s="5">
        <f t="shared" ref="C2:C28" si="0">C3+1</f>
        <v>28</v>
      </c>
      <c r="D2" s="6" t="s">
        <v>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1"/>
      <c r="W2" s="1"/>
      <c r="X2" s="1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8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1"/>
      <c r="AX2" s="1"/>
      <c r="AY2" s="1"/>
    </row>
    <row r="3" spans="1:51" ht="33" customHeight="1">
      <c r="A3" s="1"/>
      <c r="B3" s="1"/>
      <c r="C3" s="5">
        <f t="shared" si="0"/>
        <v>27</v>
      </c>
      <c r="D3" s="3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1"/>
      <c r="W3" s="1"/>
      <c r="X3" s="1"/>
      <c r="Y3" s="7"/>
      <c r="Z3" s="7"/>
      <c r="AA3" s="7"/>
      <c r="AB3" s="7"/>
      <c r="AC3" s="7"/>
      <c r="AD3" s="7"/>
      <c r="AE3" s="7"/>
      <c r="AF3" s="7"/>
      <c r="AG3" s="9" t="s">
        <v>1</v>
      </c>
      <c r="AH3" s="7"/>
      <c r="AI3" s="7"/>
      <c r="AJ3" s="7"/>
      <c r="AK3" s="8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1"/>
      <c r="AX3" s="1"/>
      <c r="AY3" s="1"/>
    </row>
    <row r="4" spans="1:51" ht="33" customHeight="1" thickBot="1">
      <c r="A4" s="1"/>
      <c r="B4" s="1"/>
      <c r="C4" s="5">
        <f t="shared" si="0"/>
        <v>26</v>
      </c>
      <c r="D4" s="3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1"/>
      <c r="W4" s="1"/>
      <c r="X4" s="1"/>
      <c r="Y4" s="7"/>
      <c r="Z4" s="7"/>
      <c r="AA4" s="10"/>
      <c r="AB4" s="11"/>
      <c r="AC4" s="12"/>
      <c r="AD4" s="11"/>
      <c r="AE4" s="7"/>
      <c r="AF4" s="13"/>
      <c r="AG4" s="9"/>
      <c r="AH4" s="14"/>
      <c r="AI4" s="7"/>
      <c r="AJ4" s="7"/>
      <c r="AK4" s="8"/>
      <c r="AL4" s="7"/>
      <c r="AM4" s="11"/>
      <c r="AN4" s="7"/>
      <c r="AO4" s="7"/>
      <c r="AP4" s="7"/>
      <c r="AQ4" s="7"/>
      <c r="AR4" s="15"/>
      <c r="AS4" s="16" t="str">
        <f>AQ19</f>
        <v xml:space="preserve">Weighs </v>
      </c>
      <c r="AT4" s="15"/>
      <c r="AU4" s="7" t="s">
        <v>2</v>
      </c>
      <c r="AV4" s="7"/>
      <c r="AW4" s="17"/>
      <c r="AX4" s="17"/>
      <c r="AY4" s="1"/>
    </row>
    <row r="5" spans="1:51" ht="33" customHeight="1" thickBot="1">
      <c r="A5" s="1"/>
      <c r="B5" s="1"/>
      <c r="C5" s="5">
        <f t="shared" si="0"/>
        <v>25</v>
      </c>
      <c r="D5" s="3"/>
      <c r="E5" s="3"/>
      <c r="F5" s="3"/>
      <c r="G5" s="2"/>
      <c r="H5" s="2"/>
      <c r="I5" s="2"/>
      <c r="J5" s="3"/>
      <c r="K5" s="3"/>
      <c r="L5" s="3"/>
      <c r="M5" s="3"/>
      <c r="N5" s="2"/>
      <c r="O5" s="2"/>
      <c r="P5" s="2"/>
      <c r="Q5" s="2"/>
      <c r="R5" s="2"/>
      <c r="S5" s="3"/>
      <c r="T5" s="2"/>
      <c r="U5" s="2"/>
      <c r="V5" s="1"/>
      <c r="W5" s="1"/>
      <c r="X5" s="1"/>
      <c r="Y5" s="7"/>
      <c r="Z5" s="7"/>
      <c r="AA5" s="18">
        <v>11</v>
      </c>
      <c r="AB5" s="19">
        <v>12</v>
      </c>
      <c r="AC5" s="19">
        <v>13</v>
      </c>
      <c r="AD5" s="20">
        <v>14</v>
      </c>
      <c r="AE5" s="21"/>
      <c r="AF5" s="22"/>
      <c r="AG5" s="23">
        <v>40</v>
      </c>
      <c r="AH5" s="14"/>
      <c r="AI5" s="24">
        <v>1</v>
      </c>
      <c r="AJ5" s="25"/>
      <c r="AK5" s="8"/>
      <c r="AL5" s="7"/>
      <c r="AM5" s="26">
        <f t="shared" ref="AM5:AP8" si="1">$AF$27*AA14+$AF$28</f>
        <v>13.77142857142857</v>
      </c>
      <c r="AN5" s="27">
        <f t="shared" si="1"/>
        <v>15.08850635104184</v>
      </c>
      <c r="AO5" s="27">
        <f t="shared" si="1"/>
        <v>15.228291289597937</v>
      </c>
      <c r="AP5" s="28">
        <f t="shared" si="1"/>
        <v>16.578126100626928</v>
      </c>
      <c r="AQ5" s="29">
        <v>1</v>
      </c>
      <c r="AR5" s="15"/>
      <c r="AS5" s="30" t="s">
        <v>3</v>
      </c>
      <c r="AT5" s="15"/>
      <c r="AU5" s="31">
        <f>$AF$27*AG14+$AF$28</f>
        <v>16.096974370871386</v>
      </c>
      <c r="AV5" s="7"/>
      <c r="AW5" s="17"/>
      <c r="AX5" s="17"/>
      <c r="AY5" s="1"/>
    </row>
    <row r="6" spans="1:51" ht="27" customHeight="1" thickBot="1">
      <c r="A6" s="1"/>
      <c r="B6" s="1"/>
      <c r="C6" s="5">
        <f t="shared" si="0"/>
        <v>24</v>
      </c>
      <c r="D6" s="3"/>
      <c r="E6" s="3"/>
      <c r="F6" s="3"/>
      <c r="G6" s="2"/>
      <c r="H6" s="2"/>
      <c r="I6" s="2"/>
      <c r="J6" s="2"/>
      <c r="K6" s="2"/>
      <c r="L6" s="3"/>
      <c r="M6" s="2"/>
      <c r="N6" s="2"/>
      <c r="O6" s="2"/>
      <c r="P6" s="32">
        <v>1</v>
      </c>
      <c r="Q6" s="175">
        <f>$AG$5</f>
        <v>40</v>
      </c>
      <c r="R6" s="2"/>
      <c r="S6" s="2"/>
      <c r="T6" s="2"/>
      <c r="U6" s="2"/>
      <c r="V6" s="1"/>
      <c r="W6" s="1"/>
      <c r="X6" s="1"/>
      <c r="Y6" s="7"/>
      <c r="Z6" s="7"/>
      <c r="AA6" s="34">
        <v>21</v>
      </c>
      <c r="AB6" s="18">
        <v>22</v>
      </c>
      <c r="AC6" s="35">
        <v>23</v>
      </c>
      <c r="AD6" s="36">
        <v>24</v>
      </c>
      <c r="AE6" s="37"/>
      <c r="AF6" s="22"/>
      <c r="AG6" s="23">
        <v>-1</v>
      </c>
      <c r="AH6" s="14"/>
      <c r="AI6" s="24">
        <v>2</v>
      </c>
      <c r="AJ6" s="25"/>
      <c r="AK6" s="8"/>
      <c r="AL6" s="7"/>
      <c r="AM6" s="38">
        <f t="shared" si="1"/>
        <v>15.08850635104184</v>
      </c>
      <c r="AN6" s="39">
        <f t="shared" si="1"/>
        <v>13.77142857142857</v>
      </c>
      <c r="AO6" s="40">
        <f t="shared" si="1"/>
        <v>14.686160605347549</v>
      </c>
      <c r="AP6" s="41">
        <f t="shared" si="1"/>
        <v>15.650420919709415</v>
      </c>
      <c r="AQ6" s="42">
        <v>1</v>
      </c>
      <c r="AR6" s="15"/>
      <c r="AS6" s="30" t="s">
        <v>4</v>
      </c>
      <c r="AT6" s="15"/>
      <c r="AU6" s="43">
        <f>$AF$27*AG15+$AF$28</f>
        <v>14.801586078703997</v>
      </c>
      <c r="AV6" s="7"/>
      <c r="AW6" s="17"/>
      <c r="AX6" s="17"/>
      <c r="AY6" s="1"/>
    </row>
    <row r="7" spans="1:51" ht="27" customHeight="1" thickBot="1">
      <c r="A7" s="1"/>
      <c r="B7" s="1"/>
      <c r="C7" s="5">
        <f t="shared" si="0"/>
        <v>23</v>
      </c>
      <c r="D7" s="3"/>
      <c r="E7" s="3"/>
      <c r="F7" s="3"/>
      <c r="G7" s="2"/>
      <c r="H7" s="2"/>
      <c r="I7" s="2"/>
      <c r="J7" s="2"/>
      <c r="K7" s="2"/>
      <c r="L7" s="3"/>
      <c r="M7" s="3"/>
      <c r="N7" s="2"/>
      <c r="O7" s="2"/>
      <c r="P7" s="44">
        <f>P$30</f>
        <v>13</v>
      </c>
      <c r="Q7" s="45">
        <f>$C7</f>
        <v>23</v>
      </c>
      <c r="R7" s="2"/>
      <c r="S7" s="2"/>
      <c r="T7" s="2"/>
      <c r="U7" s="2"/>
      <c r="V7" s="1"/>
      <c r="W7" s="4"/>
      <c r="X7" s="4"/>
      <c r="Y7" s="7"/>
      <c r="Z7" s="7"/>
      <c r="AA7" s="34">
        <v>31</v>
      </c>
      <c r="AB7" s="46">
        <v>32</v>
      </c>
      <c r="AC7" s="18">
        <v>33</v>
      </c>
      <c r="AD7" s="47">
        <v>34</v>
      </c>
      <c r="AE7" s="37"/>
      <c r="AF7" s="22"/>
      <c r="AG7" s="23">
        <v>-20</v>
      </c>
      <c r="AH7" s="14"/>
      <c r="AI7" s="24">
        <v>3</v>
      </c>
      <c r="AJ7" s="25"/>
      <c r="AK7" s="8"/>
      <c r="AL7" s="7"/>
      <c r="AM7" s="38">
        <f t="shared" si="1"/>
        <v>15.228291289597937</v>
      </c>
      <c r="AN7" s="40">
        <f t="shared" si="1"/>
        <v>14.686160605347549</v>
      </c>
      <c r="AO7" s="39">
        <f t="shared" si="1"/>
        <v>13.77142857142857</v>
      </c>
      <c r="AP7" s="41">
        <f t="shared" si="1"/>
        <v>15.126690425786448</v>
      </c>
      <c r="AQ7" s="42">
        <v>1</v>
      </c>
      <c r="AR7" s="15"/>
      <c r="AS7" s="30" t="s">
        <v>5</v>
      </c>
      <c r="AT7" s="15"/>
      <c r="AU7" s="43">
        <f>$AF$27*AG16+$AF$28</f>
        <v>15.08850635104184</v>
      </c>
      <c r="AV7" s="7"/>
      <c r="AW7" s="17"/>
      <c r="AX7" s="17"/>
      <c r="AY7" s="1"/>
    </row>
    <row r="8" spans="1:51" ht="27" customHeight="1" thickBot="1">
      <c r="A8" s="1"/>
      <c r="B8" s="1"/>
      <c r="C8" s="5">
        <f t="shared" si="0"/>
        <v>22</v>
      </c>
      <c r="D8" s="3"/>
      <c r="E8" s="3"/>
      <c r="F8" s="3"/>
      <c r="G8" s="2"/>
      <c r="H8" s="2"/>
      <c r="I8" s="2"/>
      <c r="J8" s="2"/>
      <c r="K8" s="2"/>
      <c r="L8" s="3"/>
      <c r="M8" s="2"/>
      <c r="N8" s="2"/>
      <c r="O8" s="2"/>
      <c r="P8" s="2"/>
      <c r="Q8" s="2"/>
      <c r="R8" s="2"/>
      <c r="S8" s="2"/>
      <c r="T8" s="2"/>
      <c r="U8" s="2"/>
      <c r="V8" s="1"/>
      <c r="W8" s="1"/>
      <c r="X8" s="4"/>
      <c r="Y8" s="7"/>
      <c r="Z8" s="7"/>
      <c r="AA8" s="48">
        <v>41</v>
      </c>
      <c r="AB8" s="49">
        <v>42</v>
      </c>
      <c r="AC8" s="49">
        <v>43</v>
      </c>
      <c r="AD8" s="18">
        <v>44</v>
      </c>
      <c r="AE8" s="37"/>
      <c r="AF8" s="22"/>
      <c r="AG8" s="23">
        <v>400</v>
      </c>
      <c r="AH8" s="14"/>
      <c r="AI8" s="24">
        <v>4</v>
      </c>
      <c r="AJ8" s="25"/>
      <c r="AK8" s="8"/>
      <c r="AL8" s="7"/>
      <c r="AM8" s="50">
        <f t="shared" si="1"/>
        <v>16.578126100626928</v>
      </c>
      <c r="AN8" s="51">
        <f t="shared" si="1"/>
        <v>15.650420919709415</v>
      </c>
      <c r="AO8" s="51">
        <f t="shared" si="1"/>
        <v>15.126690425786448</v>
      </c>
      <c r="AP8" s="52">
        <f t="shared" si="1"/>
        <v>13.77142857142857</v>
      </c>
      <c r="AQ8" s="42">
        <v>1</v>
      </c>
      <c r="AR8" s="15"/>
      <c r="AS8" s="30" t="s">
        <v>6</v>
      </c>
      <c r="AT8" s="15"/>
      <c r="AU8" s="53">
        <f>$AF$27*AG17+$AF$28</f>
        <v>15.36861998392842</v>
      </c>
      <c r="AV8" s="7"/>
      <c r="AW8" s="1"/>
      <c r="AX8" s="17"/>
      <c r="AY8" s="1"/>
    </row>
    <row r="9" spans="1:51" ht="27" customHeight="1" thickBot="1">
      <c r="A9" s="1"/>
      <c r="B9" s="1"/>
      <c r="C9" s="5">
        <f t="shared" si="0"/>
        <v>21</v>
      </c>
      <c r="D9" s="3"/>
      <c r="E9" s="3"/>
      <c r="F9" s="2"/>
      <c r="G9" s="2"/>
      <c r="H9" s="2"/>
      <c r="I9" s="2"/>
      <c r="J9" s="2"/>
      <c r="K9" s="2"/>
      <c r="L9" s="3"/>
      <c r="M9" s="2"/>
      <c r="N9" s="2"/>
      <c r="O9" s="2"/>
      <c r="P9" s="2"/>
      <c r="Q9" s="2"/>
      <c r="R9" s="2"/>
      <c r="S9" s="2"/>
      <c r="T9" s="2"/>
      <c r="U9" s="2"/>
      <c r="V9" s="1"/>
      <c r="W9" s="4"/>
      <c r="X9" s="4"/>
      <c r="Y9" s="7"/>
      <c r="Z9" s="7"/>
      <c r="AA9" s="54"/>
      <c r="AB9" s="55"/>
      <c r="AC9" s="55"/>
      <c r="AD9" s="55"/>
      <c r="AE9" s="56"/>
      <c r="AF9" s="22"/>
      <c r="AG9" s="57">
        <f>SUM(AS24:AS27)</f>
        <v>115.605972805026</v>
      </c>
      <c r="AH9" s="14"/>
      <c r="AI9" s="58">
        <f>$E$18</f>
        <v>5</v>
      </c>
      <c r="AJ9" s="7"/>
      <c r="AK9" s="8"/>
      <c r="AL9" s="7"/>
      <c r="AM9" s="59">
        <v>1</v>
      </c>
      <c r="AN9" s="60">
        <v>1</v>
      </c>
      <c r="AO9" s="60">
        <v>1</v>
      </c>
      <c r="AP9" s="60">
        <v>1</v>
      </c>
      <c r="AQ9" s="61">
        <v>0</v>
      </c>
      <c r="AR9" s="15"/>
      <c r="AS9" s="62" t="s">
        <v>7</v>
      </c>
      <c r="AT9" s="15"/>
      <c r="AU9" s="63">
        <v>1</v>
      </c>
      <c r="AV9" s="7"/>
      <c r="AW9" s="1"/>
      <c r="AX9" s="17"/>
      <c r="AY9" s="1"/>
    </row>
    <row r="10" spans="1:51" ht="27" customHeight="1">
      <c r="A10" s="1"/>
      <c r="B10" s="1"/>
      <c r="C10" s="5">
        <f t="shared" si="0"/>
        <v>20</v>
      </c>
      <c r="D10" s="3"/>
      <c r="E10" s="3"/>
      <c r="F10" s="2"/>
      <c r="G10" s="2"/>
      <c r="H10" s="2"/>
      <c r="I10" s="2"/>
      <c r="J10" s="2"/>
      <c r="K10" s="2"/>
      <c r="L10" s="3"/>
      <c r="M10" s="2"/>
      <c r="N10" s="2"/>
      <c r="O10" s="2"/>
      <c r="P10" s="3"/>
      <c r="Q10" s="2"/>
      <c r="R10" s="2"/>
      <c r="S10" s="2"/>
      <c r="T10" s="2"/>
      <c r="U10" s="2"/>
      <c r="V10" s="1"/>
      <c r="W10" s="4"/>
      <c r="X10" s="4"/>
      <c r="Y10" s="7"/>
      <c r="Z10" s="7"/>
      <c r="AA10" s="64"/>
      <c r="AB10" s="25"/>
      <c r="AC10" s="25"/>
      <c r="AD10" s="25"/>
      <c r="AE10" s="25"/>
      <c r="AF10" s="25"/>
      <c r="AG10" s="11"/>
      <c r="AH10" s="14"/>
      <c r="AI10" s="7"/>
      <c r="AJ10" s="7"/>
      <c r="AK10" s="8"/>
      <c r="AL10" s="7"/>
      <c r="AM10" s="7"/>
      <c r="AN10" s="7"/>
      <c r="AO10" s="65"/>
      <c r="AP10" s="7"/>
      <c r="AQ10" s="7"/>
      <c r="AR10" s="15"/>
      <c r="AS10" s="66" t="s">
        <v>8</v>
      </c>
      <c r="AT10" s="15"/>
      <c r="AU10" s="65"/>
      <c r="AV10" s="7"/>
      <c r="AW10" s="1"/>
      <c r="AX10" s="17"/>
      <c r="AY10" s="1"/>
    </row>
    <row r="11" spans="1:51" ht="27" customHeight="1">
      <c r="A11" s="1"/>
      <c r="B11" s="1"/>
      <c r="C11" s="5">
        <f t="shared" si="0"/>
        <v>19</v>
      </c>
      <c r="D11" s="3"/>
      <c r="E11" s="3"/>
      <c r="F11" s="2"/>
      <c r="G11" s="2"/>
      <c r="H11" s="2"/>
      <c r="I11" s="2"/>
      <c r="J11" s="2"/>
      <c r="K11" s="2"/>
      <c r="L11" s="3"/>
      <c r="M11" s="2"/>
      <c r="N11" s="2"/>
      <c r="O11" s="2"/>
      <c r="P11" s="3"/>
      <c r="Q11" s="2"/>
      <c r="R11" s="2"/>
      <c r="S11" s="2"/>
      <c r="T11" s="2"/>
      <c r="U11" s="2"/>
      <c r="V11" s="2"/>
      <c r="W11" s="4"/>
      <c r="X11" s="4"/>
      <c r="Y11" s="7"/>
      <c r="Z11" s="7"/>
      <c r="AA11" s="64"/>
      <c r="AB11" s="25"/>
      <c r="AC11" s="25"/>
      <c r="AD11" s="25"/>
      <c r="AE11" s="25"/>
      <c r="AF11" s="25"/>
      <c r="AG11" s="67"/>
      <c r="AH11" s="25"/>
      <c r="AI11" s="68"/>
      <c r="AJ11" s="7"/>
      <c r="AK11" s="8"/>
      <c r="AL11" s="7"/>
      <c r="AM11" s="7"/>
      <c r="AN11" s="7"/>
      <c r="AO11" s="65"/>
      <c r="AP11" s="7"/>
      <c r="AQ11" s="7"/>
      <c r="AR11" s="15"/>
      <c r="AS11" s="66"/>
      <c r="AT11" s="15"/>
      <c r="AU11" s="69"/>
      <c r="AV11" s="7"/>
      <c r="AW11" s="1"/>
      <c r="AX11" s="17"/>
      <c r="AY11" s="1"/>
    </row>
    <row r="12" spans="1:51" ht="27" customHeight="1">
      <c r="A12" s="1"/>
      <c r="B12" s="1"/>
      <c r="C12" s="5">
        <f t="shared" si="0"/>
        <v>18</v>
      </c>
      <c r="D12" s="3"/>
      <c r="E12" s="3"/>
      <c r="F12" s="2"/>
      <c r="G12" s="2"/>
      <c r="H12" s="2"/>
      <c r="I12" s="70">
        <v>2</v>
      </c>
      <c r="J12" s="175">
        <f>$AG$6</f>
        <v>-1</v>
      </c>
      <c r="K12" s="2"/>
      <c r="L12" s="3"/>
      <c r="M12" s="2"/>
      <c r="N12" s="2"/>
      <c r="O12" s="2"/>
      <c r="P12" s="3"/>
      <c r="Q12" s="2"/>
      <c r="R12" s="2"/>
      <c r="S12" s="2"/>
      <c r="T12" s="2"/>
      <c r="U12" s="2"/>
      <c r="V12" s="2"/>
      <c r="W12" s="2"/>
      <c r="X12" s="4"/>
      <c r="Y12" s="7"/>
      <c r="Z12" s="7"/>
      <c r="AA12" s="64"/>
      <c r="AB12" s="25"/>
      <c r="AC12" s="25"/>
      <c r="AD12" s="25"/>
      <c r="AE12" s="25"/>
      <c r="AF12" s="25"/>
      <c r="AG12" s="71"/>
      <c r="AH12" s="72"/>
      <c r="AI12" s="73" t="s">
        <v>9</v>
      </c>
      <c r="AJ12" s="7"/>
      <c r="AK12" s="8"/>
      <c r="AL12" s="7"/>
      <c r="AM12" s="7"/>
      <c r="AN12" s="7"/>
      <c r="AO12" s="65"/>
      <c r="AP12" s="7"/>
      <c r="AQ12" s="7"/>
      <c r="AR12" s="15"/>
      <c r="AS12" s="66"/>
      <c r="AT12" s="15"/>
      <c r="AU12" s="69"/>
      <c r="AV12" s="7"/>
      <c r="AW12" s="1"/>
      <c r="AX12" s="17"/>
      <c r="AY12" s="1"/>
    </row>
    <row r="13" spans="1:51" ht="27" customHeight="1" thickBot="1">
      <c r="A13" s="1"/>
      <c r="B13" s="1"/>
      <c r="C13" s="5">
        <f t="shared" si="0"/>
        <v>17</v>
      </c>
      <c r="D13" s="3"/>
      <c r="E13" s="3"/>
      <c r="F13" s="2"/>
      <c r="G13" s="2"/>
      <c r="H13" s="2"/>
      <c r="I13" s="44">
        <f>I$30</f>
        <v>6</v>
      </c>
      <c r="J13" s="45">
        <f>$C13</f>
        <v>17</v>
      </c>
      <c r="K13" s="2"/>
      <c r="L13" s="3"/>
      <c r="M13" s="2"/>
      <c r="N13" s="2"/>
      <c r="O13" s="2"/>
      <c r="P13" s="3"/>
      <c r="Q13" s="2"/>
      <c r="R13" s="2"/>
      <c r="S13" s="2"/>
      <c r="T13" s="2"/>
      <c r="U13" s="2"/>
      <c r="V13" s="2"/>
      <c r="W13" s="4"/>
      <c r="X13" s="4"/>
      <c r="Y13" s="7"/>
      <c r="Z13" s="7"/>
      <c r="AA13" s="64"/>
      <c r="AB13" s="25"/>
      <c r="AC13" s="25"/>
      <c r="AD13" s="25"/>
      <c r="AE13" s="25"/>
      <c r="AF13" s="25"/>
      <c r="AG13" s="74" t="s">
        <v>10</v>
      </c>
      <c r="AH13" s="14" t="s">
        <v>11</v>
      </c>
      <c r="AI13" s="14" t="s">
        <v>0</v>
      </c>
      <c r="AJ13" s="7"/>
      <c r="AK13" s="8"/>
      <c r="AL13" s="7"/>
      <c r="AM13" s="7"/>
      <c r="AN13" s="7"/>
      <c r="AO13" s="65"/>
      <c r="AP13" s="7"/>
      <c r="AQ13" s="7"/>
      <c r="AR13" s="15"/>
      <c r="AS13" s="66"/>
      <c r="AT13" s="15"/>
      <c r="AU13" s="69"/>
      <c r="AV13" s="7"/>
      <c r="AW13" s="1"/>
      <c r="AX13" s="17"/>
      <c r="AY13" s="1"/>
    </row>
    <row r="14" spans="1:51" ht="27" customHeight="1" thickBot="1">
      <c r="A14" s="1"/>
      <c r="B14" s="1"/>
      <c r="C14" s="5">
        <f t="shared" si="0"/>
        <v>16</v>
      </c>
      <c r="D14" s="3"/>
      <c r="E14" s="3"/>
      <c r="F14" s="2"/>
      <c r="G14" s="2"/>
      <c r="H14" s="2"/>
      <c r="I14" s="2"/>
      <c r="J14" s="2"/>
      <c r="K14" s="2"/>
      <c r="L14" s="3"/>
      <c r="M14" s="2"/>
      <c r="N14" s="2"/>
      <c r="O14" s="2"/>
      <c r="P14" s="2"/>
      <c r="Q14" s="2"/>
      <c r="R14" s="2"/>
      <c r="S14" s="2"/>
      <c r="T14" s="2"/>
      <c r="U14" s="2"/>
      <c r="V14" s="2"/>
      <c r="W14" s="3"/>
      <c r="X14" s="4"/>
      <c r="Y14" s="7"/>
      <c r="Z14" s="7"/>
      <c r="AA14" s="75">
        <v>0</v>
      </c>
      <c r="AB14" s="76">
        <f>SQRT(($P$7-$I$13)^2+($Q$7-$J$13)^2)</f>
        <v>9.2195444572928871</v>
      </c>
      <c r="AC14" s="76">
        <f>SQRT(($P$7-$N$17)^2+($Q$7-$O$17)^2)</f>
        <v>10.198039027185569</v>
      </c>
      <c r="AD14" s="77">
        <f>SQRT(($P$7-$D$29)^2+($Q$7-$E$29)^2)</f>
        <v>19.646882704388499</v>
      </c>
      <c r="AE14" s="78"/>
      <c r="AF14" s="79"/>
      <c r="AG14" s="80">
        <f>SQRT(($P$7-$E$19)^2+($Q$7-$F$19)^2)</f>
        <v>16.278820596099706</v>
      </c>
      <c r="AH14" s="81">
        <f>$P$7</f>
        <v>13</v>
      </c>
      <c r="AI14" s="81">
        <f>$Q$7</f>
        <v>23</v>
      </c>
      <c r="AJ14" s="7"/>
      <c r="AK14" s="8"/>
      <c r="AL14" s="7"/>
      <c r="AM14" s="26">
        <f t="array" ref="AM14:AQ18">MINVERSE(AM5:AQ9)</f>
        <v>-0.43716267485620885</v>
      </c>
      <c r="AN14" s="27">
        <v>0.25980677111651668</v>
      </c>
      <c r="AO14" s="27">
        <v>0.21395855233882177</v>
      </c>
      <c r="AP14" s="28">
        <v>-3.6602648599129782E-2</v>
      </c>
      <c r="AQ14" s="29">
        <v>0.44883860001873954</v>
      </c>
      <c r="AR14" s="25"/>
      <c r="AS14" s="31">
        <f>$AF$27*AG14+$AF$28</f>
        <v>16.096974370871386</v>
      </c>
      <c r="AT14" s="25"/>
      <c r="AU14" s="82">
        <f t="array" ref="AU14:AU18">MMULT(AM14:AQ18,AS14:AS18)</f>
        <v>-7.6822707433232162E-2</v>
      </c>
      <c r="AV14" s="7"/>
      <c r="AW14" s="1"/>
      <c r="AX14" s="17"/>
      <c r="AY14" s="1"/>
    </row>
    <row r="15" spans="1:51" ht="27" customHeight="1" thickBot="1">
      <c r="A15" s="1"/>
      <c r="B15" s="1"/>
      <c r="C15" s="5">
        <f t="shared" si="0"/>
        <v>15</v>
      </c>
      <c r="D15" s="3"/>
      <c r="E15" s="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1"/>
      <c r="W15" s="3"/>
      <c r="X15" s="3"/>
      <c r="Y15" s="7"/>
      <c r="Z15" s="7"/>
      <c r="AA15" s="84">
        <f>AB14</f>
        <v>9.2195444572928871</v>
      </c>
      <c r="AB15" s="75">
        <v>0</v>
      </c>
      <c r="AC15" s="85">
        <f>SQRT(($N$17-$I$13)^2+($J$13-$O$17)^2)</f>
        <v>6.4031242374328485</v>
      </c>
      <c r="AD15" s="86">
        <f>SQRT(($D$29-$I$13)^2+($J$13-$E$29)^2)</f>
        <v>13.152946437965905</v>
      </c>
      <c r="AE15" s="87"/>
      <c r="AF15" s="79"/>
      <c r="AG15" s="88">
        <f>SQRT(($I$13-$E$19)^2+($J$13-$F$19)^2)</f>
        <v>7.2111025509279782</v>
      </c>
      <c r="AH15" s="81">
        <f>$I$13</f>
        <v>6</v>
      </c>
      <c r="AI15" s="81">
        <f>$J$13</f>
        <v>17</v>
      </c>
      <c r="AJ15" s="7"/>
      <c r="AK15" s="8"/>
      <c r="AL15" s="7"/>
      <c r="AM15" s="38">
        <v>0.25980677111651712</v>
      </c>
      <c r="AN15" s="39">
        <v>-0.71840018391983129</v>
      </c>
      <c r="AO15" s="40">
        <v>0.35548212300223592</v>
      </c>
      <c r="AP15" s="41">
        <v>0.10311128980107843</v>
      </c>
      <c r="AQ15" s="42">
        <v>0.13889806481609812</v>
      </c>
      <c r="AR15" s="25"/>
      <c r="AS15" s="43">
        <f>$AF$27*AG15+$AF$28</f>
        <v>14.801586078703997</v>
      </c>
      <c r="AT15" s="25"/>
      <c r="AU15" s="82">
        <v>0.63591133921791776</v>
      </c>
      <c r="AV15" s="25"/>
      <c r="AW15" s="1"/>
      <c r="AX15" s="1"/>
      <c r="AY15" s="1"/>
    </row>
    <row r="16" spans="1:51" ht="27" customHeight="1" thickBot="1">
      <c r="A16" s="1"/>
      <c r="B16" s="1"/>
      <c r="C16" s="5">
        <f t="shared" si="0"/>
        <v>14</v>
      </c>
      <c r="D16" s="3"/>
      <c r="E16" s="3"/>
      <c r="F16" s="2"/>
      <c r="G16" s="2"/>
      <c r="H16" s="2"/>
      <c r="I16" s="2"/>
      <c r="J16" s="2"/>
      <c r="K16" s="2"/>
      <c r="L16" s="2"/>
      <c r="M16" s="2"/>
      <c r="N16" s="32">
        <v>3</v>
      </c>
      <c r="O16" s="175">
        <f>$AG$7</f>
        <v>-20</v>
      </c>
      <c r="P16" s="2"/>
      <c r="Q16" s="2"/>
      <c r="R16" s="2"/>
      <c r="S16" s="2"/>
      <c r="T16" s="2"/>
      <c r="U16" s="2"/>
      <c r="V16" s="1"/>
      <c r="W16" s="4"/>
      <c r="X16" s="1"/>
      <c r="Y16" s="7"/>
      <c r="Z16" s="25"/>
      <c r="AA16" s="84">
        <f>AC14</f>
        <v>10.198039027185569</v>
      </c>
      <c r="AB16" s="89">
        <f>AC15</f>
        <v>6.4031242374328485</v>
      </c>
      <c r="AC16" s="75">
        <v>0</v>
      </c>
      <c r="AD16" s="90">
        <f>SQRT(($N$17-$D$29)^2+($O$17-$E$29)^2)</f>
        <v>9.4868329805051381</v>
      </c>
      <c r="AE16" s="87"/>
      <c r="AF16" s="79"/>
      <c r="AG16" s="88">
        <f>SQRT(($N$17-$E$19)^2+($O$17-$F$19)^2)</f>
        <v>9.2195444572928871</v>
      </c>
      <c r="AH16" s="81">
        <f>$N$17</f>
        <v>11</v>
      </c>
      <c r="AI16" s="81">
        <f>$O$17</f>
        <v>13</v>
      </c>
      <c r="AJ16" s="7"/>
      <c r="AK16" s="8"/>
      <c r="AL16" s="7"/>
      <c r="AM16" s="38">
        <v>0.21395855233882152</v>
      </c>
      <c r="AN16" s="40">
        <v>0.35548212300223603</v>
      </c>
      <c r="AO16" s="39">
        <v>-0.88666526827344716</v>
      </c>
      <c r="AP16" s="41">
        <v>0.31722459293238947</v>
      </c>
      <c r="AQ16" s="42">
        <v>-6.6801513597062864E-2</v>
      </c>
      <c r="AR16" s="25"/>
      <c r="AS16" s="43">
        <f>$AF$27*AG16+$AF$28</f>
        <v>15.08850635104184</v>
      </c>
      <c r="AT16" s="25"/>
      <c r="AU16" s="82">
        <v>0.13583274962988379</v>
      </c>
      <c r="AV16" s="25"/>
      <c r="AW16" s="1"/>
      <c r="AX16" s="1"/>
      <c r="AY16" s="1"/>
    </row>
    <row r="17" spans="1:51" ht="27" customHeight="1" thickBot="1">
      <c r="A17" s="1"/>
      <c r="B17" s="1"/>
      <c r="C17" s="5">
        <f t="shared" si="0"/>
        <v>13</v>
      </c>
      <c r="D17" s="3"/>
      <c r="E17" s="2"/>
      <c r="F17" s="2"/>
      <c r="G17" s="2"/>
      <c r="H17" s="2"/>
      <c r="I17" s="2"/>
      <c r="J17" s="2"/>
      <c r="K17" s="2"/>
      <c r="L17" s="2"/>
      <c r="M17" s="2"/>
      <c r="N17" s="44">
        <f>N$30</f>
        <v>11</v>
      </c>
      <c r="O17" s="45">
        <f>$C17</f>
        <v>13</v>
      </c>
      <c r="P17" s="2"/>
      <c r="Q17" s="2"/>
      <c r="R17" s="2"/>
      <c r="S17" s="2"/>
      <c r="T17" s="2"/>
      <c r="U17" s="32">
        <v>4</v>
      </c>
      <c r="V17" s="175">
        <f>$AG$8</f>
        <v>400</v>
      </c>
      <c r="W17" s="1"/>
      <c r="X17" s="1"/>
      <c r="Y17" s="7"/>
      <c r="Z17" s="25"/>
      <c r="AA17" s="91">
        <f>AD14</f>
        <v>19.646882704388499</v>
      </c>
      <c r="AB17" s="92">
        <f>AD15</f>
        <v>13.152946437965905</v>
      </c>
      <c r="AC17" s="92">
        <f>AD16</f>
        <v>9.4868329805051381</v>
      </c>
      <c r="AD17" s="75">
        <v>0</v>
      </c>
      <c r="AE17" s="87"/>
      <c r="AF17" s="79"/>
      <c r="AG17" s="93">
        <f>SQRT(($E$13-$E$19)^2+($F$13-$F$19)^2)</f>
        <v>11.180339887498949</v>
      </c>
      <c r="AH17" s="81">
        <f>$U$18</f>
        <v>18</v>
      </c>
      <c r="AI17" s="81">
        <f>$V$18</f>
        <v>12</v>
      </c>
      <c r="AJ17" s="7"/>
      <c r="AK17" s="8"/>
      <c r="AL17" s="7"/>
      <c r="AM17" s="50">
        <v>-3.660264859912981E-2</v>
      </c>
      <c r="AN17" s="51">
        <v>0.10311128980107857</v>
      </c>
      <c r="AO17" s="51">
        <v>0.31722459293238947</v>
      </c>
      <c r="AP17" s="52">
        <v>-0.38373323413433819</v>
      </c>
      <c r="AQ17" s="42">
        <v>0.47906484876222499</v>
      </c>
      <c r="AR17" s="25"/>
      <c r="AS17" s="53">
        <f>$AF$27*AG17+$AF$28</f>
        <v>15.36861998392842</v>
      </c>
      <c r="AT17" s="25"/>
      <c r="AU17" s="82">
        <v>0.30507861858542717</v>
      </c>
      <c r="AV17" s="25"/>
      <c r="AW17" s="1"/>
      <c r="AX17" s="1"/>
      <c r="AY17" s="1"/>
    </row>
    <row r="18" spans="1:51" ht="27" customHeight="1" thickBot="1">
      <c r="A18" s="1"/>
      <c r="B18" s="1"/>
      <c r="C18" s="5">
        <f t="shared" si="0"/>
        <v>12</v>
      </c>
      <c r="D18" s="3"/>
      <c r="E18" s="70">
        <v>5</v>
      </c>
      <c r="F18" s="94">
        <f>SUM(AS24:AS27)</f>
        <v>115.605972805026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44">
        <f>U$30</f>
        <v>18</v>
      </c>
      <c r="V18" s="45">
        <f>$C18</f>
        <v>12</v>
      </c>
      <c r="W18" s="1"/>
      <c r="X18" s="1"/>
      <c r="Y18" s="7"/>
      <c r="Z18" s="25"/>
      <c r="AA18" s="95"/>
      <c r="AB18" s="96"/>
      <c r="AC18" s="96"/>
      <c r="AD18" s="96"/>
      <c r="AE18" s="97"/>
      <c r="AF18" s="98"/>
      <c r="AG18" s="99"/>
      <c r="AH18" s="100">
        <f>E19</f>
        <v>2</v>
      </c>
      <c r="AI18" s="100">
        <f>F19</f>
        <v>11</v>
      </c>
      <c r="AJ18" s="7"/>
      <c r="AL18" s="7"/>
      <c r="AM18" s="59">
        <v>0.44883860001873954</v>
      </c>
      <c r="AN18" s="60">
        <v>0.13889806481609815</v>
      </c>
      <c r="AO18" s="60">
        <v>-6.680151359706317E-2</v>
      </c>
      <c r="AP18" s="60">
        <v>0.47906484876222527</v>
      </c>
      <c r="AQ18" s="61">
        <v>-15.20163761889901</v>
      </c>
      <c r="AR18" s="25"/>
      <c r="AS18" s="63">
        <v>1</v>
      </c>
      <c r="AT18" s="25"/>
      <c r="AU18" s="83">
        <v>0.43384803091760205</v>
      </c>
      <c r="AV18" s="25"/>
      <c r="AW18" s="1"/>
      <c r="AX18" s="1"/>
      <c r="AY18" s="1"/>
    </row>
    <row r="19" spans="1:51" ht="27" customHeight="1">
      <c r="A19" s="1"/>
      <c r="B19" s="1"/>
      <c r="C19" s="5">
        <f t="shared" si="0"/>
        <v>11</v>
      </c>
      <c r="D19" s="3"/>
      <c r="E19" s="101">
        <f>E$30</f>
        <v>2</v>
      </c>
      <c r="F19" s="101">
        <f>$C19</f>
        <v>11</v>
      </c>
      <c r="G19" s="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1"/>
      <c r="W19" s="1"/>
      <c r="X19" s="1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8"/>
      <c r="AL19" s="7"/>
      <c r="AM19" s="7"/>
      <c r="AN19" s="7"/>
      <c r="AO19" s="7"/>
      <c r="AP19" s="25"/>
      <c r="AQ19" s="102" t="s">
        <v>12</v>
      </c>
      <c r="AR19" s="103"/>
      <c r="AS19" s="25"/>
      <c r="AT19" s="103"/>
      <c r="AU19" s="104">
        <f>SUM(AU14:AU17)</f>
        <v>0.99999999999999656</v>
      </c>
      <c r="AV19" s="103"/>
      <c r="AW19" s="1"/>
      <c r="AX19" s="1"/>
      <c r="AY19" s="1"/>
    </row>
    <row r="20" spans="1:51" ht="27" customHeight="1">
      <c r="A20" s="1"/>
      <c r="B20" s="1"/>
      <c r="C20" s="5">
        <f t="shared" si="0"/>
        <v>10</v>
      </c>
      <c r="D20" s="3"/>
      <c r="E20" s="3"/>
      <c r="F20" s="3"/>
      <c r="G20" s="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1"/>
      <c r="W20" s="1"/>
      <c r="X20" s="1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8"/>
      <c r="AL20" s="7"/>
      <c r="AM20" s="7"/>
      <c r="AN20" s="7"/>
      <c r="AO20" s="7"/>
      <c r="AP20" s="7"/>
      <c r="AQ20" s="102"/>
      <c r="AR20" s="103"/>
      <c r="AS20" s="25"/>
      <c r="AT20" s="103"/>
      <c r="AU20" s="105" t="s">
        <v>13</v>
      </c>
      <c r="AV20" s="103"/>
      <c r="AW20" s="1"/>
      <c r="AX20" s="1"/>
      <c r="AY20" s="1"/>
    </row>
    <row r="21" spans="1:51" ht="27" customHeight="1">
      <c r="A21" s="1"/>
      <c r="B21" s="1"/>
      <c r="C21" s="5">
        <f t="shared" si="0"/>
        <v>9</v>
      </c>
      <c r="D21" s="3"/>
      <c r="E21" s="3"/>
      <c r="F21" s="3"/>
      <c r="G21" s="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1"/>
      <c r="W21" s="1"/>
      <c r="X21" s="1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8"/>
      <c r="AL21" s="7"/>
      <c r="AM21" s="7"/>
      <c r="AN21" s="106"/>
      <c r="AO21" s="106"/>
      <c r="AP21" s="107"/>
      <c r="AQ21" s="107"/>
      <c r="AR21" s="103"/>
      <c r="AS21" s="25"/>
      <c r="AT21" s="103"/>
      <c r="AU21" s="103"/>
      <c r="AV21" s="103"/>
      <c r="AW21" s="1"/>
      <c r="AX21" s="1"/>
      <c r="AY21" s="1"/>
    </row>
    <row r="22" spans="1:51" ht="27" customHeight="1">
      <c r="A22" s="1"/>
      <c r="B22" s="1"/>
      <c r="C22" s="5">
        <f t="shared" si="0"/>
        <v>8</v>
      </c>
      <c r="D22" s="3"/>
      <c r="E22" s="2"/>
      <c r="F22" s="2"/>
      <c r="G22" s="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1"/>
      <c r="W22" s="1"/>
      <c r="X22" s="1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8"/>
      <c r="AL22" s="7"/>
      <c r="AM22" s="7"/>
      <c r="AN22" s="7"/>
      <c r="AO22" s="106"/>
      <c r="AP22" s="106"/>
      <c r="AQ22" s="107"/>
      <c r="AR22" s="103"/>
      <c r="AS22" s="25"/>
      <c r="AT22" s="103"/>
      <c r="AU22" s="103"/>
      <c r="AV22" s="103"/>
      <c r="AW22" s="1"/>
      <c r="AX22" s="1"/>
      <c r="AY22" s="1"/>
    </row>
    <row r="23" spans="1:51" ht="27" customHeight="1" thickBot="1">
      <c r="A23" s="1"/>
      <c r="B23" s="1"/>
      <c r="C23" s="5">
        <f t="shared" si="0"/>
        <v>7</v>
      </c>
      <c r="D23" s="3"/>
      <c r="E23" s="2"/>
      <c r="F23" s="2"/>
      <c r="G23" s="3"/>
      <c r="H23" s="2"/>
      <c r="I23" s="2"/>
      <c r="J23" s="2"/>
      <c r="K23" s="2"/>
      <c r="L23" s="2"/>
      <c r="M23" s="2"/>
      <c r="N23" s="2"/>
      <c r="O23" s="2"/>
      <c r="P23" s="3"/>
      <c r="Q23" s="2"/>
      <c r="R23" s="2"/>
      <c r="S23" s="2"/>
      <c r="T23" s="2"/>
      <c r="U23" s="2"/>
      <c r="V23" s="1"/>
      <c r="W23" s="1"/>
      <c r="X23" s="1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8"/>
      <c r="AL23" s="7"/>
      <c r="AM23" s="7"/>
      <c r="AN23" s="7"/>
      <c r="AO23" s="106"/>
      <c r="AP23" s="106"/>
      <c r="AQ23" s="106"/>
      <c r="AR23" s="103"/>
      <c r="AS23" s="25"/>
      <c r="AT23" s="103"/>
      <c r="AU23" s="103"/>
      <c r="AV23" s="103"/>
      <c r="AW23" s="1"/>
      <c r="AX23" s="1"/>
      <c r="AY23" s="1"/>
    </row>
    <row r="24" spans="1:51" ht="27" customHeight="1" thickBot="1">
      <c r="A24" s="1"/>
      <c r="B24" s="1"/>
      <c r="C24" s="5">
        <f t="shared" si="0"/>
        <v>6</v>
      </c>
      <c r="D24" s="3"/>
      <c r="E24" s="3"/>
      <c r="F24" s="3"/>
      <c r="G24" s="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1"/>
      <c r="W24" s="1"/>
      <c r="X24" s="1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8"/>
      <c r="AL24" s="7"/>
      <c r="AM24" s="7"/>
      <c r="AN24" s="106"/>
      <c r="AO24" s="106"/>
      <c r="AP24" s="106"/>
      <c r="AQ24" s="82">
        <f t="array" ref="AQ24:AQ27">MMULT(AM14:AQ18,AS14:AS18)</f>
        <v>-7.6822707433232162E-2</v>
      </c>
      <c r="AR24" s="103"/>
      <c r="AS24" s="108">
        <f>AG5*AQ24</f>
        <v>-3.0729082973292865</v>
      </c>
      <c r="AT24" s="103"/>
      <c r="AU24" s="103"/>
      <c r="AV24" s="103"/>
      <c r="AW24" s="17"/>
      <c r="AX24" s="1"/>
      <c r="AY24" s="1"/>
    </row>
    <row r="25" spans="1:51" ht="27" customHeight="1" thickBot="1">
      <c r="A25" s="1"/>
      <c r="B25" s="1"/>
      <c r="C25" s="5">
        <f t="shared" si="0"/>
        <v>5</v>
      </c>
      <c r="D25" s="3"/>
      <c r="E25" s="3"/>
      <c r="F25" s="3"/>
      <c r="G25" s="3"/>
      <c r="H25" s="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1"/>
      <c r="W25" s="1"/>
      <c r="X25" s="1"/>
      <c r="Y25" s="7"/>
      <c r="Z25" s="7"/>
      <c r="AA25" s="7"/>
      <c r="AB25" s="7"/>
      <c r="AC25" s="7"/>
      <c r="AD25" s="7"/>
      <c r="AE25" s="109"/>
      <c r="AF25" s="109"/>
      <c r="AG25" s="109"/>
      <c r="AH25" s="110"/>
      <c r="AI25" s="110"/>
      <c r="AJ25" s="110"/>
      <c r="AK25" s="8"/>
      <c r="AL25" s="7"/>
      <c r="AM25" s="7"/>
      <c r="AN25" s="106"/>
      <c r="AO25" s="106"/>
      <c r="AP25" s="106"/>
      <c r="AQ25" s="82">
        <v>0.63591133921791776</v>
      </c>
      <c r="AR25" s="103"/>
      <c r="AS25" s="108">
        <f>AG6*AQ25</f>
        <v>-0.63591133921791776</v>
      </c>
      <c r="AT25" s="103"/>
      <c r="AU25" s="103"/>
      <c r="AV25" s="103"/>
      <c r="AW25" s="17"/>
      <c r="AX25" s="1"/>
      <c r="AY25" s="1"/>
    </row>
    <row r="26" spans="1:51" ht="27" customHeight="1" thickBot="1">
      <c r="A26" s="1"/>
      <c r="B26" s="1"/>
      <c r="C26" s="5">
        <f t="shared" si="0"/>
        <v>4</v>
      </c>
      <c r="D26" s="3"/>
      <c r="E26" s="2"/>
      <c r="F26" s="2"/>
      <c r="G26" s="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1"/>
      <c r="W26" s="1"/>
      <c r="X26" s="1"/>
      <c r="Y26" s="7"/>
      <c r="Z26" s="7"/>
      <c r="AA26" s="7"/>
      <c r="AB26" s="7"/>
      <c r="AC26" s="7"/>
      <c r="AD26" s="7"/>
      <c r="AE26" s="109"/>
      <c r="AF26" s="109"/>
      <c r="AG26" s="109"/>
      <c r="AH26" s="110"/>
      <c r="AI26" s="110"/>
      <c r="AJ26" s="110"/>
      <c r="AK26" s="8"/>
      <c r="AL26" s="7"/>
      <c r="AM26" s="7"/>
      <c r="AN26" s="106"/>
      <c r="AO26" s="106"/>
      <c r="AP26" s="106"/>
      <c r="AQ26" s="82">
        <v>0.13583274962988379</v>
      </c>
      <c r="AR26" s="103"/>
      <c r="AS26" s="108">
        <f>AG7*AQ26</f>
        <v>-2.7166549925976757</v>
      </c>
      <c r="AT26" s="103"/>
      <c r="AU26" s="103"/>
      <c r="AV26" s="103"/>
      <c r="AW26" s="17"/>
      <c r="AX26" s="1"/>
      <c r="AY26" s="1"/>
    </row>
    <row r="27" spans="1:51" ht="27" customHeight="1" thickBot="1">
      <c r="A27" s="1"/>
      <c r="B27" s="1"/>
      <c r="C27" s="5">
        <f t="shared" si="0"/>
        <v>3</v>
      </c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1"/>
      <c r="W27" s="1"/>
      <c r="X27" s="1"/>
      <c r="Y27" s="7"/>
      <c r="Z27" s="7"/>
      <c r="AA27" s="7"/>
      <c r="AB27" s="7"/>
      <c r="AC27" s="7"/>
      <c r="AD27" s="7"/>
      <c r="AE27" s="109" t="s">
        <v>14</v>
      </c>
      <c r="AF27" s="111">
        <f>SLOPE($AI$14:$AI$18,$AH$14:$AH$18)</f>
        <v>0.14285714285714285</v>
      </c>
      <c r="AG27" s="112" t="s">
        <v>15</v>
      </c>
      <c r="AH27" s="110"/>
      <c r="AI27" s="110"/>
      <c r="AJ27" s="110"/>
      <c r="AK27" s="8"/>
      <c r="AL27" s="7"/>
      <c r="AM27" s="7"/>
      <c r="AN27" s="106"/>
      <c r="AO27" s="106"/>
      <c r="AP27" s="106"/>
      <c r="AQ27" s="82">
        <v>0.30507861858542717</v>
      </c>
      <c r="AR27" s="103"/>
      <c r="AS27" s="108">
        <f>AG8*AQ27</f>
        <v>122.03144743417087</v>
      </c>
      <c r="AT27" s="103"/>
      <c r="AU27" s="103"/>
      <c r="AV27" s="103"/>
      <c r="AW27" s="17"/>
      <c r="AX27" s="1"/>
      <c r="AY27" s="1"/>
    </row>
    <row r="28" spans="1:51" ht="27" customHeight="1" thickBot="1">
      <c r="A28" s="1"/>
      <c r="B28" s="1"/>
      <c r="C28" s="5">
        <f t="shared" si="0"/>
        <v>2</v>
      </c>
      <c r="D28" s="32" t="s">
        <v>16</v>
      </c>
      <c r="E28" s="33">
        <v>1</v>
      </c>
      <c r="F28" s="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7"/>
      <c r="Z28" s="7"/>
      <c r="AA28" s="7"/>
      <c r="AB28" s="7"/>
      <c r="AC28" s="7"/>
      <c r="AD28" s="7"/>
      <c r="AE28" s="109" t="s">
        <v>17</v>
      </c>
      <c r="AF28" s="111">
        <f>INTERCEPT($AI$14:$AI$18,$AH$14:$AH$18)</f>
        <v>13.77142857142857</v>
      </c>
      <c r="AG28" s="112" t="s">
        <v>18</v>
      </c>
      <c r="AH28" s="110"/>
      <c r="AI28" s="110"/>
      <c r="AJ28" s="110"/>
      <c r="AK28" s="8"/>
      <c r="AL28" s="7"/>
      <c r="AM28" s="7"/>
      <c r="AN28" s="106"/>
      <c r="AO28" s="106"/>
      <c r="AP28" s="113">
        <v>5</v>
      </c>
      <c r="AQ28" s="114"/>
      <c r="AR28" s="103"/>
      <c r="AS28" s="115"/>
      <c r="AT28" s="7"/>
      <c r="AU28" s="116" t="s">
        <v>19</v>
      </c>
      <c r="AV28" s="103"/>
      <c r="AW28" s="17"/>
      <c r="AX28" s="1"/>
      <c r="AY28" s="1"/>
    </row>
    <row r="29" spans="1:51" ht="27" customHeight="1" thickBot="1">
      <c r="A29" s="1"/>
      <c r="B29" s="1"/>
      <c r="C29" s="5">
        <f>C30+1</f>
        <v>1</v>
      </c>
      <c r="D29" s="117">
        <f>K$30</f>
        <v>8</v>
      </c>
      <c r="E29" s="118">
        <f>$C26</f>
        <v>4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7"/>
      <c r="Q29" s="17"/>
      <c r="R29" s="1"/>
      <c r="S29" s="1"/>
      <c r="T29" s="1"/>
      <c r="U29" s="1"/>
      <c r="V29" s="1"/>
      <c r="W29" s="17"/>
      <c r="X29" s="6" t="s">
        <v>11</v>
      </c>
      <c r="Y29" s="7"/>
      <c r="Z29" s="7"/>
      <c r="AA29" s="7"/>
      <c r="AB29" s="7"/>
      <c r="AC29" s="7"/>
      <c r="AD29" s="7"/>
      <c r="AE29" s="111"/>
      <c r="AF29" s="111"/>
      <c r="AG29" s="111"/>
      <c r="AH29" s="110"/>
      <c r="AI29" s="110"/>
      <c r="AJ29" s="110"/>
      <c r="AK29" s="8"/>
      <c r="AL29" s="7"/>
      <c r="AM29" s="106"/>
      <c r="AN29" s="106"/>
      <c r="AO29" s="106"/>
      <c r="AP29" s="119"/>
      <c r="AQ29" s="120" t="s">
        <v>20</v>
      </c>
      <c r="AR29" s="7"/>
      <c r="AS29" s="121">
        <f>SUM(AS24:AS27)</f>
        <v>115.605972805026</v>
      </c>
      <c r="AT29" s="7"/>
      <c r="AU29" s="116" t="s">
        <v>21</v>
      </c>
      <c r="AV29" s="103"/>
      <c r="AW29" s="17"/>
      <c r="AX29" s="17"/>
      <c r="AY29" s="1"/>
    </row>
    <row r="30" spans="1:51" s="122" customFormat="1" ht="27" customHeight="1">
      <c r="A30" s="2"/>
      <c r="B30" s="5">
        <v>-1</v>
      </c>
      <c r="C30" s="5">
        <v>0</v>
      </c>
      <c r="D30" s="5">
        <f>C30+1</f>
        <v>1</v>
      </c>
      <c r="E30" s="5">
        <f t="shared" ref="E30:X30" si="2">D30+1</f>
        <v>2</v>
      </c>
      <c r="F30" s="5">
        <f t="shared" si="2"/>
        <v>3</v>
      </c>
      <c r="G30" s="5">
        <f t="shared" si="2"/>
        <v>4</v>
      </c>
      <c r="H30" s="5">
        <f t="shared" si="2"/>
        <v>5</v>
      </c>
      <c r="I30" s="5">
        <f t="shared" si="2"/>
        <v>6</v>
      </c>
      <c r="J30" s="5">
        <f t="shared" si="2"/>
        <v>7</v>
      </c>
      <c r="K30" s="5">
        <f t="shared" si="2"/>
        <v>8</v>
      </c>
      <c r="L30" s="5">
        <f t="shared" si="2"/>
        <v>9</v>
      </c>
      <c r="M30" s="5">
        <f t="shared" si="2"/>
        <v>10</v>
      </c>
      <c r="N30" s="5">
        <f t="shared" si="2"/>
        <v>11</v>
      </c>
      <c r="O30" s="5">
        <f t="shared" si="2"/>
        <v>12</v>
      </c>
      <c r="P30" s="5">
        <f t="shared" si="2"/>
        <v>13</v>
      </c>
      <c r="Q30" s="5">
        <f t="shared" si="2"/>
        <v>14</v>
      </c>
      <c r="R30" s="5">
        <f t="shared" si="2"/>
        <v>15</v>
      </c>
      <c r="S30" s="5">
        <f t="shared" si="2"/>
        <v>16</v>
      </c>
      <c r="T30" s="5">
        <f t="shared" si="2"/>
        <v>17</v>
      </c>
      <c r="U30" s="5">
        <f t="shared" si="2"/>
        <v>18</v>
      </c>
      <c r="V30" s="5">
        <f t="shared" si="2"/>
        <v>19</v>
      </c>
      <c r="W30" s="5">
        <f t="shared" si="2"/>
        <v>20</v>
      </c>
      <c r="X30" s="5">
        <f t="shared" si="2"/>
        <v>21</v>
      </c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8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17"/>
      <c r="AX30" s="17"/>
      <c r="AY30" s="1"/>
    </row>
    <row r="31" spans="1:51" ht="27" customHeight="1">
      <c r="A31" s="1"/>
      <c r="B31" s="1"/>
      <c r="C31" s="5">
        <v>-1</v>
      </c>
      <c r="D31" s="123"/>
      <c r="E31" s="17"/>
      <c r="F31" s="1"/>
      <c r="G31" s="1"/>
      <c r="H31" s="1"/>
      <c r="I31" s="1"/>
      <c r="J31" s="1"/>
      <c r="K31" s="1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"/>
      <c r="Y31" s="17"/>
      <c r="Z31" s="1"/>
      <c r="AA31" s="2"/>
      <c r="AB31" s="2"/>
      <c r="AC31" s="2"/>
      <c r="AD31" s="2"/>
      <c r="AE31" s="2"/>
      <c r="AF31" s="2"/>
      <c r="AG31" s="4"/>
      <c r="AH31" s="4"/>
      <c r="AI31" s="4"/>
      <c r="AJ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17"/>
      <c r="AX31" s="17"/>
      <c r="AY31" s="1"/>
    </row>
    <row r="32" spans="1:51" ht="27" customHeight="1">
      <c r="A32" s="1"/>
      <c r="B32" s="1"/>
      <c r="C32" s="3"/>
      <c r="D32" s="123"/>
      <c r="E32" s="17"/>
      <c r="F32" s="1"/>
      <c r="G32" s="1"/>
      <c r="H32" s="1"/>
      <c r="I32" s="1"/>
      <c r="J32" s="1"/>
      <c r="K32" s="1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"/>
      <c r="Y32" s="17"/>
      <c r="Z32" s="1"/>
      <c r="AA32" s="2"/>
      <c r="AB32" s="2"/>
      <c r="AC32" s="2"/>
      <c r="AD32" s="2"/>
      <c r="AE32" s="2"/>
      <c r="AF32" s="2"/>
      <c r="AG32" s="4"/>
      <c r="AH32" s="4"/>
      <c r="AI32" s="4"/>
      <c r="AJ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17"/>
      <c r="AX32" s="17"/>
      <c r="AY32" s="1"/>
    </row>
    <row r="33" spans="1:51" ht="27" customHeight="1" thickBot="1">
      <c r="A33" s="103"/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7"/>
      <c r="AM33" s="124" t="s">
        <v>2</v>
      </c>
      <c r="AN33" s="124"/>
      <c r="AO33" s="125"/>
      <c r="AP33" s="124"/>
      <c r="AQ33" s="22"/>
      <c r="AR33" s="126"/>
      <c r="AS33" s="126"/>
      <c r="AT33" s="126"/>
      <c r="AU33" s="126"/>
      <c r="AV33" s="103"/>
      <c r="AW33" s="17"/>
      <c r="AX33" s="17"/>
      <c r="AY33" s="1"/>
    </row>
    <row r="34" spans="1:51" ht="27" customHeight="1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27" t="s">
        <v>22</v>
      </c>
      <c r="AK34" s="103"/>
      <c r="AL34" s="7"/>
      <c r="AM34" s="128">
        <f t="shared" ref="AM34:AP37" si="3">$AA$41+$AB$41*(($AA$40*AA14/$AD$41)-$AB$40*(AA14/$AD$41)^3)</f>
        <v>0.72</v>
      </c>
      <c r="AN34" s="129">
        <f t="shared" si="3"/>
        <v>9.7223898977616088</v>
      </c>
      <c r="AO34" s="129">
        <f t="shared" si="3"/>
        <v>9.9972656687392689</v>
      </c>
      <c r="AP34" s="130">
        <f t="shared" si="3"/>
        <v>-0.86717585483799531</v>
      </c>
      <c r="AQ34" s="131">
        <v>1</v>
      </c>
      <c r="AR34" s="132"/>
      <c r="AS34" s="30" t="s">
        <v>3</v>
      </c>
      <c r="AT34" s="132"/>
      <c r="AU34" s="133">
        <f>$AA$41+$AB$41*(($AA$40*AG14/$AD$41)-$AB$40*(AG14/$AD$41)^3)</f>
        <v>6.3234122134508501</v>
      </c>
      <c r="AV34" s="103"/>
      <c r="AW34" s="17"/>
      <c r="AX34" s="17"/>
      <c r="AY34" s="1"/>
    </row>
    <row r="35" spans="1:51" ht="30.75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34" t="s">
        <v>23</v>
      </c>
      <c r="AK35" s="103"/>
      <c r="AL35" s="7"/>
      <c r="AM35" s="135">
        <f t="shared" si="3"/>
        <v>9.7223898977616088</v>
      </c>
      <c r="AN35" s="136">
        <f t="shared" si="3"/>
        <v>0.72</v>
      </c>
      <c r="AO35" s="137">
        <f t="shared" si="3"/>
        <v>7.9618805941544233</v>
      </c>
      <c r="AP35" s="138">
        <f t="shared" si="3"/>
        <v>9.497689461700384</v>
      </c>
      <c r="AQ35" s="139">
        <v>1</v>
      </c>
      <c r="AR35" s="132"/>
      <c r="AS35" s="30" t="s">
        <v>4</v>
      </c>
      <c r="AT35" s="132"/>
      <c r="AU35" s="140">
        <f>$AA$41+$AB$41*(($AA$40*AG15/$AD$41)-$AB$40*(AG15/$AD$41)^3)</f>
        <v>8.5970866088339299</v>
      </c>
      <c r="AV35" s="103"/>
      <c r="AW35" s="1"/>
      <c r="AX35" s="17"/>
      <c r="AY35" s="1"/>
    </row>
    <row r="36" spans="1:51" ht="30.75">
      <c r="A36" s="103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7"/>
      <c r="AM36" s="135">
        <f t="shared" si="3"/>
        <v>9.9972656687392689</v>
      </c>
      <c r="AN36" s="137">
        <f t="shared" si="3"/>
        <v>7.9618805941544233</v>
      </c>
      <c r="AO36" s="136">
        <f t="shared" si="3"/>
        <v>0.72</v>
      </c>
      <c r="AP36" s="138">
        <f t="shared" si="3"/>
        <v>9.816775178207509</v>
      </c>
      <c r="AQ36" s="139">
        <v>1</v>
      </c>
      <c r="AR36" s="132"/>
      <c r="AS36" s="30" t="s">
        <v>5</v>
      </c>
      <c r="AT36" s="132"/>
      <c r="AU36" s="140">
        <f>$AA$41+$AB$41*(($AA$40*AG16/$AD$41)-$AB$40*(AG16/$AD$41)^3)</f>
        <v>9.7223898977616088</v>
      </c>
      <c r="AV36" s="103"/>
      <c r="AW36" s="1"/>
      <c r="AX36" s="1"/>
      <c r="AY36" s="1"/>
    </row>
    <row r="37" spans="1:51" ht="31.5" thickBot="1">
      <c r="A37" s="103"/>
      <c r="B37" s="103"/>
      <c r="C37" s="103"/>
      <c r="D37" s="103"/>
      <c r="E37" s="103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7"/>
      <c r="AM37" s="142">
        <f t="shared" si="3"/>
        <v>-0.86717585483799531</v>
      </c>
      <c r="AN37" s="143">
        <f t="shared" si="3"/>
        <v>9.497689461700384</v>
      </c>
      <c r="AO37" s="143">
        <f t="shared" si="3"/>
        <v>9.816775178207509</v>
      </c>
      <c r="AP37" s="144">
        <f t="shared" si="3"/>
        <v>0.72</v>
      </c>
      <c r="AQ37" s="139">
        <v>1</v>
      </c>
      <c r="AR37" s="132"/>
      <c r="AS37" s="30" t="s">
        <v>6</v>
      </c>
      <c r="AT37" s="132"/>
      <c r="AU37" s="145">
        <f>$AA$41+$AB$41*(($AA$40*AG17/$AD$41)-$AB$40*(AG17/$AD$41)^3)</f>
        <v>10.066209748929905</v>
      </c>
      <c r="AV37" s="103"/>
      <c r="AW37" s="1"/>
      <c r="AX37" s="1"/>
      <c r="AY37" s="1"/>
    </row>
    <row r="38" spans="1:51" ht="27" thickBot="1">
      <c r="A38" s="103"/>
      <c r="B38" s="103"/>
      <c r="C38" s="103"/>
      <c r="D38" s="103"/>
      <c r="E38" s="103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7"/>
      <c r="AM38" s="146">
        <v>1</v>
      </c>
      <c r="AN38" s="147">
        <v>1</v>
      </c>
      <c r="AO38" s="147">
        <v>1</v>
      </c>
      <c r="AP38" s="147">
        <v>1</v>
      </c>
      <c r="AQ38" s="148">
        <v>0</v>
      </c>
      <c r="AR38" s="132"/>
      <c r="AS38" s="62" t="s">
        <v>7</v>
      </c>
      <c r="AT38" s="132"/>
      <c r="AU38" s="63">
        <v>1</v>
      </c>
      <c r="AV38" s="103"/>
      <c r="AW38" s="1"/>
      <c r="AX38" s="1"/>
      <c r="AY38" s="1"/>
    </row>
    <row r="39" spans="1:51" ht="27" thickBot="1">
      <c r="A39" s="7"/>
      <c r="B39" s="7"/>
      <c r="C39" s="7"/>
      <c r="D39" s="7"/>
      <c r="E39" s="7"/>
      <c r="F39" s="149"/>
      <c r="G39" s="149"/>
      <c r="H39" s="149"/>
      <c r="I39" s="149"/>
      <c r="J39" s="149"/>
      <c r="K39" s="149"/>
      <c r="L39" s="149"/>
      <c r="M39" s="149"/>
      <c r="N39" s="149"/>
      <c r="O39" s="149"/>
      <c r="P39" s="149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150"/>
      <c r="AN39" s="150"/>
      <c r="AO39" s="150"/>
      <c r="AP39" s="150"/>
      <c r="AQ39" s="150"/>
      <c r="AR39" s="126"/>
      <c r="AS39" s="126"/>
      <c r="AT39" s="126"/>
      <c r="AU39" s="126"/>
      <c r="AV39" s="103"/>
      <c r="AW39" s="1"/>
      <c r="AX39" s="1"/>
      <c r="AY39" s="1"/>
    </row>
    <row r="40" spans="1:51" ht="26.25">
      <c r="A40" s="7"/>
      <c r="B40" s="7"/>
      <c r="C40" s="7"/>
      <c r="D40" s="7"/>
      <c r="E40" s="7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7"/>
      <c r="R40" s="7"/>
      <c r="S40" s="7"/>
      <c r="T40" s="7"/>
      <c r="U40" s="7"/>
      <c r="V40" s="7"/>
      <c r="W40" s="7"/>
      <c r="X40" s="7"/>
      <c r="Y40" s="7"/>
      <c r="Z40" s="7"/>
      <c r="AA40" s="151">
        <f>3/2</f>
        <v>1.5</v>
      </c>
      <c r="AB40" s="151">
        <f>1/2</f>
        <v>0.5</v>
      </c>
      <c r="AC40" s="152" t="s">
        <v>24</v>
      </c>
      <c r="AD40" s="153" t="s">
        <v>25</v>
      </c>
      <c r="AE40" s="7"/>
      <c r="AF40" s="7"/>
      <c r="AG40" s="7"/>
      <c r="AH40" s="7"/>
      <c r="AI40" s="7"/>
      <c r="AJ40" s="7"/>
      <c r="AK40" s="7"/>
      <c r="AL40" s="7"/>
      <c r="AM40" s="128">
        <f t="array" ref="AM40:AQ44">MINVERSE(AM34:AQ38)</f>
        <v>0.29415412009348202</v>
      </c>
      <c r="AN40" s="129">
        <v>2.0199619918119721E-2</v>
      </c>
      <c r="AO40" s="129">
        <v>1.6774745774774356E-2</v>
      </c>
      <c r="AP40" s="130">
        <v>-0.33112848578637605</v>
      </c>
      <c r="AQ40" s="154">
        <v>0.13697223514314918</v>
      </c>
      <c r="AR40" s="159"/>
      <c r="AS40" s="133">
        <f>AU34</f>
        <v>6.3234122134508501</v>
      </c>
      <c r="AT40" s="159"/>
      <c r="AU40" s="160">
        <f t="array" ref="AU40:AU44">MMULT(AM40:AQ44,AS40:AS44)</f>
        <v>-0.99943030023226676</v>
      </c>
      <c r="AV40" s="103"/>
      <c r="AW40" s="1"/>
      <c r="AX40" s="1"/>
      <c r="AY40" s="1"/>
    </row>
    <row r="41" spans="1:51" ht="26.25">
      <c r="A41" s="7"/>
      <c r="B41" s="7"/>
      <c r="C41" s="7"/>
      <c r="D41" s="7"/>
      <c r="E41" s="7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  <c r="Q41" s="7"/>
      <c r="R41" s="7"/>
      <c r="S41" s="7"/>
      <c r="T41" s="7"/>
      <c r="U41" s="7"/>
      <c r="V41" s="7"/>
      <c r="W41" s="7"/>
      <c r="X41" s="7"/>
      <c r="Y41" s="7"/>
      <c r="Z41" s="7"/>
      <c r="AA41" s="162">
        <v>0.72</v>
      </c>
      <c r="AB41" s="162">
        <v>9.35</v>
      </c>
      <c r="AC41" s="152" t="s">
        <v>24</v>
      </c>
      <c r="AD41" s="163">
        <v>11</v>
      </c>
      <c r="AE41" s="7"/>
      <c r="AF41" s="7"/>
      <c r="AG41" s="7"/>
      <c r="AH41" s="7"/>
      <c r="AI41" s="7"/>
      <c r="AJ41" s="7"/>
      <c r="AK41" s="7"/>
      <c r="AL41" s="7"/>
      <c r="AM41" s="135">
        <v>2.0199619918119711E-2</v>
      </c>
      <c r="AN41" s="136">
        <v>-8.6784358113056834E-2</v>
      </c>
      <c r="AO41" s="137">
        <v>5.2680656113632984E-2</v>
      </c>
      <c r="AP41" s="138">
        <v>1.390408208130412E-2</v>
      </c>
      <c r="AQ41" s="155">
        <v>0.31460240975417331</v>
      </c>
      <c r="AR41" s="159"/>
      <c r="AS41" s="140">
        <f t="shared" ref="AS41:AS43" si="4">AU35</f>
        <v>8.5970866088339299</v>
      </c>
      <c r="AT41" s="159"/>
      <c r="AU41" s="160">
        <v>0.34838357546485132</v>
      </c>
      <c r="AV41" s="103"/>
      <c r="AW41" s="1"/>
      <c r="AX41" s="1"/>
      <c r="AY41" s="1"/>
    </row>
    <row r="42" spans="1:51" ht="26.25">
      <c r="A42" s="7"/>
      <c r="B42" s="7"/>
      <c r="C42" s="7"/>
      <c r="D42" s="7"/>
      <c r="E42" s="7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135">
        <v>1.6774745774774381E-2</v>
      </c>
      <c r="AN42" s="137">
        <v>5.2680656113632991E-2</v>
      </c>
      <c r="AO42" s="136">
        <v>-8.4122082835568837E-2</v>
      </c>
      <c r="AP42" s="138">
        <v>1.4666680947161457E-2</v>
      </c>
      <c r="AQ42" s="155">
        <v>0.32944970653838779</v>
      </c>
      <c r="AR42" s="159"/>
      <c r="AS42" s="140">
        <f t="shared" si="4"/>
        <v>9.7223898977616088</v>
      </c>
      <c r="AT42" s="159"/>
      <c r="AU42" s="160">
        <v>0.21819370046279016</v>
      </c>
      <c r="AV42" s="103"/>
      <c r="AW42" s="1"/>
      <c r="AX42" s="1"/>
      <c r="AY42" s="1"/>
    </row>
    <row r="43" spans="1:51" ht="27" thickBot="1">
      <c r="A43" s="7"/>
      <c r="B43" s="7"/>
      <c r="C43" s="7"/>
      <c r="D43" s="7"/>
      <c r="E43" s="7"/>
      <c r="F43" s="149"/>
      <c r="G43" s="149"/>
      <c r="H43" s="149"/>
      <c r="I43" s="149"/>
      <c r="J43" s="149"/>
      <c r="K43" s="149"/>
      <c r="L43" s="149"/>
      <c r="M43" s="149"/>
      <c r="N43" s="149"/>
      <c r="O43" s="149"/>
      <c r="P43" s="149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142">
        <v>-0.3311284857863761</v>
      </c>
      <c r="AN43" s="143">
        <v>1.3904082081304111E-2</v>
      </c>
      <c r="AO43" s="143">
        <v>1.466668094716149E-2</v>
      </c>
      <c r="AP43" s="144">
        <v>0.30255772275791049</v>
      </c>
      <c r="AQ43" s="155">
        <v>0.21897564856428983</v>
      </c>
      <c r="AR43" s="159"/>
      <c r="AS43" s="145">
        <f t="shared" si="4"/>
        <v>10.066209748929905</v>
      </c>
      <c r="AT43" s="159"/>
      <c r="AU43" s="160">
        <v>1.432853024304626</v>
      </c>
      <c r="AV43" s="103"/>
      <c r="AW43" s="1"/>
      <c r="AX43" s="1"/>
      <c r="AY43" s="1"/>
    </row>
    <row r="44" spans="1:51" ht="27" thickBot="1">
      <c r="A44" s="7"/>
      <c r="B44" s="7"/>
      <c r="C44" s="7"/>
      <c r="D44" s="7"/>
      <c r="E44" s="7"/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156">
        <v>0.13697223514314918</v>
      </c>
      <c r="AN44" s="157">
        <v>0.3146024097541732</v>
      </c>
      <c r="AO44" s="157">
        <v>0.32944970653838784</v>
      </c>
      <c r="AP44" s="157">
        <v>0.21897564856428989</v>
      </c>
      <c r="AQ44" s="158">
        <v>-6.2610131452285085</v>
      </c>
      <c r="AR44" s="159"/>
      <c r="AS44" s="63">
        <v>1</v>
      </c>
      <c r="AT44" s="159"/>
      <c r="AU44" s="161">
        <v>2.7170762304092815</v>
      </c>
      <c r="AV44" s="103"/>
      <c r="AW44" s="1"/>
      <c r="AX44" s="1"/>
      <c r="AY44" s="1"/>
    </row>
    <row r="45" spans="1:51" ht="26.25">
      <c r="A45" s="7"/>
      <c r="B45" s="7"/>
      <c r="C45" s="7"/>
      <c r="D45" s="7"/>
      <c r="E45" s="7"/>
      <c r="F45" s="149"/>
      <c r="G45" s="149"/>
      <c r="H45" s="149"/>
      <c r="I45" s="149"/>
      <c r="J45" s="149"/>
      <c r="K45" s="149"/>
      <c r="L45" s="149"/>
      <c r="M45" s="149"/>
      <c r="N45" s="149"/>
      <c r="O45" s="149"/>
      <c r="P45" s="149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124"/>
      <c r="AN45" s="124"/>
      <c r="AO45" s="124"/>
      <c r="AP45" s="159"/>
      <c r="AQ45" s="164" t="s">
        <v>12</v>
      </c>
      <c r="AR45" s="126"/>
      <c r="AS45" s="159"/>
      <c r="AT45" s="126"/>
      <c r="AU45" s="165">
        <f>SUM(AU40:AU43)</f>
        <v>1.0000000000000009</v>
      </c>
      <c r="AV45" s="7"/>
      <c r="AW45" s="1"/>
      <c r="AX45" s="1"/>
      <c r="AY45" s="1"/>
    </row>
    <row r="46" spans="1:51" ht="26.25">
      <c r="A46" s="7"/>
      <c r="B46" s="7"/>
      <c r="C46" s="7"/>
      <c r="D46" s="7"/>
      <c r="E46" s="7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124"/>
      <c r="AN46" s="124"/>
      <c r="AO46" s="124"/>
      <c r="AP46" s="124"/>
      <c r="AQ46" s="164"/>
      <c r="AR46" s="126"/>
      <c r="AS46" s="159"/>
      <c r="AT46" s="126"/>
      <c r="AU46" s="73" t="s">
        <v>13</v>
      </c>
      <c r="AV46" s="7"/>
      <c r="AW46" s="1"/>
      <c r="AX46" s="1"/>
      <c r="AY46" s="1"/>
    </row>
    <row r="47" spans="1:51" ht="26.25">
      <c r="A47" s="7"/>
      <c r="B47" s="7"/>
      <c r="C47" s="7"/>
      <c r="D47" s="7"/>
      <c r="E47" s="7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124"/>
      <c r="AN47" s="74"/>
      <c r="AO47" s="74"/>
      <c r="AP47" s="132"/>
      <c r="AQ47" s="132"/>
      <c r="AR47" s="126"/>
      <c r="AS47" s="159"/>
      <c r="AT47" s="126"/>
      <c r="AU47" s="126"/>
      <c r="AV47" s="7"/>
      <c r="AW47" s="1"/>
      <c r="AX47" s="1"/>
      <c r="AY47" s="1"/>
    </row>
    <row r="48" spans="1:51" ht="26.25">
      <c r="A48" s="7"/>
      <c r="B48" s="7"/>
      <c r="C48" s="7"/>
      <c r="D48" s="7"/>
      <c r="E48" s="7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124"/>
      <c r="AN48" s="124"/>
      <c r="AO48" s="74"/>
      <c r="AP48" s="74"/>
      <c r="AQ48" s="132"/>
      <c r="AR48" s="126"/>
      <c r="AS48" s="159"/>
      <c r="AT48" s="126"/>
      <c r="AU48" s="126"/>
      <c r="AV48" s="7"/>
      <c r="AW48" s="1"/>
      <c r="AX48" s="1"/>
      <c r="AY48" s="1"/>
    </row>
    <row r="49" spans="1:51" ht="27" thickBot="1">
      <c r="A49" s="7"/>
      <c r="B49" s="7"/>
      <c r="C49" s="7"/>
      <c r="D49" s="7"/>
      <c r="E49" s="7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124"/>
      <c r="AN49" s="124"/>
      <c r="AO49" s="74"/>
      <c r="AP49" s="74"/>
      <c r="AQ49" s="74"/>
      <c r="AR49" s="126"/>
      <c r="AS49" s="159"/>
      <c r="AT49" s="126"/>
      <c r="AU49" s="126"/>
      <c r="AV49" s="7"/>
      <c r="AW49" s="1"/>
      <c r="AX49" s="1"/>
      <c r="AY49" s="1"/>
    </row>
    <row r="50" spans="1:51" ht="27" thickBot="1">
      <c r="A50" s="7"/>
      <c r="B50" s="7"/>
      <c r="C50" s="7"/>
      <c r="D50" s="7"/>
      <c r="E50" s="7"/>
      <c r="F50" s="149"/>
      <c r="G50" s="149"/>
      <c r="H50" s="149"/>
      <c r="I50" s="149"/>
      <c r="J50" s="149"/>
      <c r="K50" s="149"/>
      <c r="L50" s="149"/>
      <c r="M50" s="149"/>
      <c r="N50" s="149"/>
      <c r="O50" s="149"/>
      <c r="P50" s="149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124"/>
      <c r="AN50" s="74"/>
      <c r="AO50" s="74"/>
      <c r="AP50" s="74"/>
      <c r="AQ50" s="160">
        <f>AU40</f>
        <v>-0.99943030023226676</v>
      </c>
      <c r="AR50" s="126"/>
      <c r="AS50" s="108">
        <f>AG5*AQ50</f>
        <v>-39.977212009290668</v>
      </c>
      <c r="AT50" s="126"/>
      <c r="AU50" s="126"/>
      <c r="AV50" s="7"/>
      <c r="AW50" s="1"/>
      <c r="AX50" s="1"/>
      <c r="AY50" s="1"/>
    </row>
    <row r="51" spans="1:51" ht="27" thickBot="1">
      <c r="A51" s="7"/>
      <c r="B51" s="7"/>
      <c r="C51" s="7"/>
      <c r="D51" s="7"/>
      <c r="E51" s="7"/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124"/>
      <c r="AN51" s="74"/>
      <c r="AO51" s="74"/>
      <c r="AP51" s="74"/>
      <c r="AQ51" s="160">
        <f>AU41</f>
        <v>0.34838357546485132</v>
      </c>
      <c r="AR51" s="126"/>
      <c r="AS51" s="108">
        <f>AG6*AQ51</f>
        <v>-0.34838357546485132</v>
      </c>
      <c r="AT51" s="126"/>
      <c r="AU51" s="126"/>
      <c r="AV51" s="7"/>
      <c r="AW51" s="1"/>
      <c r="AX51" s="1"/>
      <c r="AY51" s="1"/>
    </row>
    <row r="52" spans="1:51" ht="27" thickBot="1">
      <c r="A52" s="7"/>
      <c r="B52" s="7"/>
      <c r="C52" s="7"/>
      <c r="D52" s="7"/>
      <c r="E52" s="7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124"/>
      <c r="AN52" s="74"/>
      <c r="AO52" s="74"/>
      <c r="AP52" s="74"/>
      <c r="AQ52" s="160">
        <f>AU42</f>
        <v>0.21819370046279016</v>
      </c>
      <c r="AR52" s="126"/>
      <c r="AS52" s="108">
        <f>AG7*AQ52</f>
        <v>-4.3638740092558033</v>
      </c>
      <c r="AT52" s="126"/>
      <c r="AU52" s="126"/>
      <c r="AV52" s="7"/>
      <c r="AW52" s="1"/>
      <c r="AX52" s="1"/>
      <c r="AY52" s="1"/>
    </row>
    <row r="53" spans="1:51" ht="27" thickBot="1">
      <c r="A53" s="7"/>
      <c r="B53" s="7"/>
      <c r="C53" s="7"/>
      <c r="D53" s="7"/>
      <c r="E53" s="7"/>
      <c r="F53" s="149"/>
      <c r="G53" s="149"/>
      <c r="H53" s="149"/>
      <c r="I53" s="149"/>
      <c r="J53" s="149"/>
      <c r="K53" s="149"/>
      <c r="L53" s="149"/>
      <c r="M53" s="149"/>
      <c r="N53" s="149"/>
      <c r="O53" s="149"/>
      <c r="P53" s="149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124"/>
      <c r="AN53" s="74"/>
      <c r="AO53" s="74"/>
      <c r="AP53" s="74"/>
      <c r="AQ53" s="160">
        <f>AU43</f>
        <v>1.432853024304626</v>
      </c>
      <c r="AR53" s="126"/>
      <c r="AS53" s="108">
        <f>AG8*AQ53</f>
        <v>573.14120972185037</v>
      </c>
      <c r="AT53" s="126"/>
      <c r="AU53" s="126"/>
      <c r="AV53" s="7"/>
      <c r="AW53" s="1"/>
      <c r="AX53" s="1"/>
      <c r="AY53" s="1"/>
    </row>
    <row r="54" spans="1:51" ht="27" thickBot="1">
      <c r="A54" s="7"/>
      <c r="B54" s="7"/>
      <c r="C54" s="7"/>
      <c r="D54" s="7"/>
      <c r="E54" s="7"/>
      <c r="F54" s="149"/>
      <c r="G54" s="149"/>
      <c r="H54" s="149"/>
      <c r="I54" s="149"/>
      <c r="J54" s="149"/>
      <c r="K54" s="149"/>
      <c r="L54" s="149"/>
      <c r="M54" s="149"/>
      <c r="N54" s="149"/>
      <c r="O54" s="149"/>
      <c r="P54" s="149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124"/>
      <c r="AN54" s="74"/>
      <c r="AO54" s="74"/>
      <c r="AP54" s="166">
        <v>5</v>
      </c>
      <c r="AQ54" s="167"/>
      <c r="AR54" s="126"/>
      <c r="AS54" s="168"/>
      <c r="AT54" s="124"/>
      <c r="AU54" s="169" t="s">
        <v>19</v>
      </c>
      <c r="AV54" s="7"/>
      <c r="AW54" s="1"/>
      <c r="AX54" s="1"/>
      <c r="AY54" s="1"/>
    </row>
    <row r="55" spans="1:51" ht="27" thickBo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4"/>
      <c r="AN55" s="74"/>
      <c r="AO55" s="74"/>
      <c r="AP55" s="170"/>
      <c r="AQ55" s="171" t="s">
        <v>20</v>
      </c>
      <c r="AR55" s="124"/>
      <c r="AS55" s="172">
        <f>SUM(AS50:AS53)</f>
        <v>528.451740127839</v>
      </c>
      <c r="AT55" s="124"/>
      <c r="AU55" s="169" t="s">
        <v>21</v>
      </c>
      <c r="AV55" s="7"/>
      <c r="AW55" s="1"/>
      <c r="AX55" s="1"/>
      <c r="AY55" s="1"/>
    </row>
    <row r="56" spans="1:5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1"/>
      <c r="AX56" s="1"/>
      <c r="AY56" s="1"/>
    </row>
    <row r="57" spans="1:51">
      <c r="AK57" s="174"/>
    </row>
    <row r="58" spans="1:51">
      <c r="AK58" s="174"/>
    </row>
    <row r="59" spans="1:51">
      <c r="AK59" s="174"/>
    </row>
    <row r="60" spans="1:51">
      <c r="AK60" s="174"/>
    </row>
    <row r="61" spans="1:51">
      <c r="AK61" s="174"/>
    </row>
    <row r="62" spans="1:51">
      <c r="AK62" s="174"/>
    </row>
    <row r="63" spans="1:51">
      <c r="AK63" s="174"/>
    </row>
    <row r="64" spans="1:51">
      <c r="AK64" s="174"/>
    </row>
    <row r="65" spans="37:37">
      <c r="AK65" s="174"/>
    </row>
    <row r="66" spans="37:37">
      <c r="AK66" s="174"/>
    </row>
    <row r="67" spans="37:37">
      <c r="AK67" s="174"/>
    </row>
    <row r="68" spans="37:37">
      <c r="AK68" s="174"/>
    </row>
    <row r="69" spans="37:37">
      <c r="AK69" s="174"/>
    </row>
    <row r="70" spans="37:37">
      <c r="AK70" s="174"/>
    </row>
    <row r="71" spans="37:37">
      <c r="AK71" s="174"/>
    </row>
    <row r="72" spans="37:37">
      <c r="AK72" s="174"/>
    </row>
    <row r="73" spans="37:37">
      <c r="AK73" s="174"/>
    </row>
    <row r="74" spans="37:37">
      <c r="AK74" s="174"/>
    </row>
    <row r="75" spans="37:37">
      <c r="AK75" s="174"/>
    </row>
    <row r="76" spans="37:37">
      <c r="AK76" s="174"/>
    </row>
    <row r="77" spans="37:37">
      <c r="AK77" s="174"/>
    </row>
    <row r="78" spans="37:37">
      <c r="AK78" s="174"/>
    </row>
    <row r="79" spans="37:37">
      <c r="AK79" s="174"/>
    </row>
    <row r="80" spans="37:37">
      <c r="AK80" s="174"/>
    </row>
    <row r="81" spans="37:37">
      <c r="AK81" s="174"/>
    </row>
    <row r="82" spans="37:37">
      <c r="AK82" s="174"/>
    </row>
    <row r="83" spans="37:37">
      <c r="AK83" s="174"/>
    </row>
    <row r="84" spans="37:37">
      <c r="AK84" s="174"/>
    </row>
    <row r="85" spans="37:37">
      <c r="AK85" s="174"/>
    </row>
    <row r="86" spans="37:37">
      <c r="AK86" s="174"/>
    </row>
    <row r="87" spans="37:37">
      <c r="AK87" s="174"/>
    </row>
    <row r="88" spans="37:37">
      <c r="AK88" s="174"/>
    </row>
    <row r="89" spans="37:37">
      <c r="AK89" s="174"/>
    </row>
    <row r="90" spans="37:37">
      <c r="AK90" s="174"/>
    </row>
    <row r="91" spans="37:37">
      <c r="AK91" s="174"/>
    </row>
    <row r="92" spans="37:37">
      <c r="AK92" s="174"/>
    </row>
    <row r="93" spans="37:37">
      <c r="AK93" s="174"/>
    </row>
    <row r="94" spans="37:37">
      <c r="AK94" s="174"/>
    </row>
    <row r="95" spans="37:37">
      <c r="AK95" s="174"/>
    </row>
    <row r="96" spans="37:37">
      <c r="AK96" s="174"/>
    </row>
    <row r="97" spans="37:37">
      <c r="AK97" s="174"/>
    </row>
    <row r="98" spans="37:37">
      <c r="AK98" s="174"/>
    </row>
    <row r="99" spans="37:37">
      <c r="AK99" s="174"/>
    </row>
    <row r="100" spans="37:37">
      <c r="AK100" s="174"/>
    </row>
    <row r="101" spans="37:37">
      <c r="AK101" s="174"/>
    </row>
    <row r="102" spans="37:37">
      <c r="AK102" s="174"/>
    </row>
  </sheetData>
  <conditionalFormatting sqref="B3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0:X30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2:C3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3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0:X30"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G5:AG8">
    <cfRule type="dataBar" priority="7">
      <dataBar>
        <cfvo type="min"/>
        <cfvo type="max"/>
        <color theme="0"/>
      </dataBar>
      <extLst>
        <ext xmlns:x14="http://schemas.microsoft.com/office/spreadsheetml/2009/9/main" uri="{B025F937-C7B1-47D3-B67F-A62EFF666E3E}">
          <x14:id>{41DD5D7F-A2E9-44AD-81FB-ACA234D4B3C6}</x14:id>
        </ext>
      </extLst>
    </cfRule>
  </conditionalFormatting>
  <dataValidations count="1">
    <dataValidation type="textLength" operator="equal" allowBlank="1" showInputMessage="1" showErrorMessage="1" sqref="AG9 AS29 F18 Q6 J12 O16 V17" xr:uid="{B0CF815C-61A3-45AB-81BF-C6C436C2EA35}">
      <formula1>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5" r:id="rId4">
          <objectPr defaultSize="0" autoPict="0" r:id="rId5">
            <anchor moveWithCells="1">
              <from>
                <xdr:col>7</xdr:col>
                <xdr:colOff>285750</xdr:colOff>
                <xdr:row>42</xdr:row>
                <xdr:rowOff>142875</xdr:rowOff>
              </from>
              <to>
                <xdr:col>16</xdr:col>
                <xdr:colOff>257175</xdr:colOff>
                <xdr:row>44</xdr:row>
                <xdr:rowOff>333375</xdr:rowOff>
              </to>
            </anchor>
          </objectPr>
        </oleObject>
      </mc:Choice>
      <mc:Fallback>
        <oleObject progId="Equation.3" shapeId="1025" r:id="rId4"/>
      </mc:Fallback>
    </mc:AlternateContent>
  </oleObjec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1DD5D7F-A2E9-44AD-81FB-ACA234D4B3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AG5:AG8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grossi</dc:creator>
  <cp:lastModifiedBy>grossi</cp:lastModifiedBy>
  <dcterms:created xsi:type="dcterms:W3CDTF">2026-01-24T16:38:11Z</dcterms:created>
  <dcterms:modified xsi:type="dcterms:W3CDTF">2026-01-24T18:04:54Z</dcterms:modified>
</cp:coreProperties>
</file>
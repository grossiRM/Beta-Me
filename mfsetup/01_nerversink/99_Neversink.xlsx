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5_Working\01_nerversink\"/>
    </mc:Choice>
  </mc:AlternateContent>
  <xr:revisionPtr revIDLastSave="0" documentId="13_ncr:1_{E7A454CF-CF46-4581-A831-032F46579E4E}" xr6:coauthVersionLast="47" xr6:coauthVersionMax="47" xr10:uidLastSave="{00000000-0000-0000-0000-000000000000}"/>
  <bookViews>
    <workbookView xWindow="-120" yWindow="-120" windowWidth="29040" windowHeight="16440" xr2:uid="{CD0A8E57-CB12-4FC2-88CE-CB013DDD7601}"/>
  </bookViews>
  <sheets>
    <sheet name="gdf" sheetId="1" r:id="rId1"/>
  </sheets>
  <calcPr calcId="191029"/>
</workbook>
</file>

<file path=xl/calcChain.xml><?xml version="1.0" encoding="utf-8"?>
<calcChain xmlns="http://schemas.openxmlformats.org/spreadsheetml/2006/main">
  <c r="AX8" i="1" l="1"/>
  <c r="BQ2" i="1"/>
  <c r="BL35" i="1" a="1"/>
  <c r="BL35" i="1"/>
  <c r="BL36" i="1"/>
  <c r="BL37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BH39" i="1"/>
  <c r="BG39" i="1"/>
  <c r="BH38" i="1"/>
  <c r="BG38" i="1"/>
  <c r="BH37" i="1"/>
  <c r="BG37" i="1"/>
  <c r="BH36" i="1"/>
  <c r="BG36" i="1"/>
  <c r="BB11" i="1"/>
  <c r="AY5" i="1"/>
  <c r="AX5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6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7" i="1"/>
  <c r="AX6" i="1"/>
  <c r="AV39" i="1"/>
  <c r="AV38" i="1"/>
  <c r="AV36" i="1"/>
  <c r="AV35" i="1"/>
  <c r="AV33" i="1"/>
  <c r="AV32" i="1"/>
  <c r="AV31" i="1"/>
  <c r="AV30" i="1"/>
  <c r="AV29" i="1"/>
  <c r="AV28" i="1"/>
  <c r="AV25" i="1"/>
  <c r="AV23" i="1"/>
  <c r="AV22" i="1"/>
  <c r="AV21" i="1"/>
  <c r="AV20" i="1"/>
  <c r="AV19" i="1"/>
  <c r="AV18" i="1"/>
  <c r="AV17" i="1"/>
  <c r="AV15" i="1"/>
  <c r="AV14" i="1"/>
  <c r="AV13" i="1"/>
  <c r="AV11" i="1"/>
  <c r="AV9" i="1"/>
  <c r="AV8" i="1"/>
  <c r="AV7" i="1"/>
  <c r="AV6" i="1"/>
  <c r="AW6" i="1" s="1"/>
  <c r="A5" i="1"/>
  <c r="BA5" i="1" s="1"/>
  <c r="A6" i="1"/>
  <c r="BA6" i="1" s="1"/>
  <c r="A7" i="1"/>
  <c r="BE7" i="1" s="1"/>
  <c r="A8" i="1"/>
  <c r="BA8" i="1" s="1"/>
  <c r="A9" i="1"/>
  <c r="A10" i="1"/>
  <c r="BE10" i="1" s="1"/>
  <c r="A11" i="1"/>
  <c r="BA11" i="1" s="1"/>
  <c r="A12" i="1"/>
  <c r="BE12" i="1" s="1"/>
  <c r="A13" i="1"/>
  <c r="BE13" i="1" s="1"/>
  <c r="A14" i="1"/>
  <c r="BC14" i="1" s="1"/>
  <c r="A15" i="1"/>
  <c r="BE15" i="1" s="1"/>
  <c r="A16" i="1"/>
  <c r="BA16" i="1" s="1"/>
  <c r="A17" i="1"/>
  <c r="BA17" i="1" s="1"/>
  <c r="A18" i="1"/>
  <c r="BE18" i="1" s="1"/>
  <c r="A19" i="1"/>
  <c r="BE19" i="1" s="1"/>
  <c r="A20" i="1"/>
  <c r="BA20" i="1" s="1"/>
  <c r="A21" i="1"/>
  <c r="A22" i="1"/>
  <c r="A23" i="1"/>
  <c r="BA23" i="1" s="1"/>
  <c r="A24" i="1"/>
  <c r="BE24" i="1" s="1"/>
  <c r="A25" i="1"/>
  <c r="BE25" i="1" s="1"/>
  <c r="A26" i="1"/>
  <c r="BC26" i="1" s="1"/>
  <c r="A27" i="1"/>
  <c r="BE27" i="1" s="1"/>
  <c r="A28" i="1"/>
  <c r="BC28" i="1" s="1"/>
  <c r="A29" i="1"/>
  <c r="A30" i="1"/>
  <c r="BE30" i="1" s="1"/>
  <c r="A31" i="1"/>
  <c r="BC31" i="1" s="1"/>
  <c r="A32" i="1"/>
  <c r="BC32" i="1" s="1"/>
  <c r="A33" i="1"/>
  <c r="BE33" i="1" s="1"/>
  <c r="A34" i="1"/>
  <c r="BA34" i="1" s="1"/>
  <c r="A35" i="1"/>
  <c r="BE35" i="1" s="1"/>
  <c r="A36" i="1"/>
  <c r="BE36" i="1" s="1"/>
  <c r="A37" i="1"/>
  <c r="BE37" i="1" s="1"/>
  <c r="A38" i="1"/>
  <c r="BC38" i="1" s="1"/>
  <c r="A39" i="1"/>
  <c r="BE39" i="1" s="1"/>
  <c r="X4" i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S3" i="1"/>
  <c r="AT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BE21" i="1" l="1"/>
  <c r="BE22" i="1"/>
  <c r="BE20" i="1"/>
  <c r="BE31" i="1"/>
  <c r="BE6" i="1"/>
  <c r="BE32" i="1"/>
  <c r="BE8" i="1"/>
  <c r="BE34" i="1"/>
  <c r="BE9" i="1"/>
  <c r="BB12" i="1"/>
  <c r="BB13" i="1" s="1"/>
  <c r="BB14" i="1" s="1"/>
  <c r="BE16" i="1"/>
  <c r="BE28" i="1"/>
  <c r="BE5" i="1"/>
  <c r="BE17" i="1"/>
  <c r="BE29" i="1"/>
  <c r="BE11" i="1"/>
  <c r="BE23" i="1"/>
  <c r="BE14" i="1"/>
  <c r="BE26" i="1"/>
  <c r="BE38" i="1"/>
  <c r="BD6" i="1"/>
  <c r="BD7" i="1"/>
  <c r="BD16" i="1"/>
  <c r="BD18" i="1"/>
  <c r="BD19" i="1"/>
  <c r="BD28" i="1"/>
  <c r="BD30" i="1"/>
  <c r="BD31" i="1"/>
  <c r="BH4" i="1" a="1"/>
  <c r="BH4" i="1" s="1"/>
  <c r="BD5" i="1"/>
  <c r="BD8" i="1"/>
  <c r="BD20" i="1"/>
  <c r="BD32" i="1"/>
  <c r="BD17" i="1"/>
  <c r="BD9" i="1"/>
  <c r="BD21" i="1"/>
  <c r="BD33" i="1"/>
  <c r="BD10" i="1"/>
  <c r="BD22" i="1"/>
  <c r="BD34" i="1"/>
  <c r="BD11" i="1"/>
  <c r="BD23" i="1"/>
  <c r="BD35" i="1"/>
  <c r="BD12" i="1"/>
  <c r="BD24" i="1"/>
  <c r="BD36" i="1"/>
  <c r="BD29" i="1"/>
  <c r="BD13" i="1"/>
  <c r="BD25" i="1"/>
  <c r="BD37" i="1"/>
  <c r="BD14" i="1"/>
  <c r="BD26" i="1"/>
  <c r="BD38" i="1"/>
  <c r="BD15" i="1"/>
  <c r="BD27" i="1"/>
  <c r="BD39" i="1"/>
  <c r="AW7" i="1"/>
  <c r="AW8" i="1" s="1"/>
  <c r="AW9" i="1" s="1"/>
  <c r="BC39" i="1"/>
  <c r="BC15" i="1"/>
  <c r="BC16" i="1"/>
  <c r="BA28" i="1"/>
  <c r="AV10" i="1"/>
  <c r="AW10" i="1" s="1"/>
  <c r="AW11" i="1" s="1"/>
  <c r="BA37" i="1"/>
  <c r="BC29" i="1"/>
  <c r="BC37" i="1"/>
  <c r="BC30" i="1"/>
  <c r="BC5" i="1"/>
  <c r="BA31" i="1"/>
  <c r="BC11" i="1"/>
  <c r="BC33" i="1"/>
  <c r="BC17" i="1"/>
  <c r="BC23" i="1"/>
  <c r="BC35" i="1"/>
  <c r="BC27" i="1"/>
  <c r="BC36" i="1"/>
  <c r="BA19" i="1"/>
  <c r="BA7" i="1"/>
  <c r="BC6" i="1"/>
  <c r="BC18" i="1"/>
  <c r="BA21" i="1"/>
  <c r="BC7" i="1"/>
  <c r="BC19" i="1"/>
  <c r="BC34" i="1"/>
  <c r="BA18" i="1"/>
  <c r="BC8" i="1"/>
  <c r="BC20" i="1"/>
  <c r="BA29" i="1"/>
  <c r="BA32" i="1"/>
  <c r="BA35" i="1"/>
  <c r="BA38" i="1"/>
  <c r="BA9" i="1"/>
  <c r="BC9" i="1"/>
  <c r="BC21" i="1"/>
  <c r="BA15" i="1"/>
  <c r="BC10" i="1"/>
  <c r="BC22" i="1"/>
  <c r="BA22" i="1"/>
  <c r="BA26" i="1"/>
  <c r="BA25" i="1"/>
  <c r="BA13" i="1"/>
  <c r="BC12" i="1"/>
  <c r="BC24" i="1"/>
  <c r="BA30" i="1"/>
  <c r="BA33" i="1"/>
  <c r="BA36" i="1"/>
  <c r="BA39" i="1"/>
  <c r="BA24" i="1"/>
  <c r="BA12" i="1"/>
  <c r="BC13" i="1"/>
  <c r="BC25" i="1"/>
  <c r="BA10" i="1"/>
  <c r="BA27" i="1"/>
  <c r="BA14" i="1"/>
  <c r="BB15" i="1" l="1"/>
  <c r="BH17" i="1"/>
  <c r="BG17" i="1" s="1"/>
  <c r="BI16" i="1"/>
  <c r="BH24" i="1"/>
  <c r="BH8" i="1"/>
  <c r="BI9" i="1"/>
  <c r="BH18" i="1"/>
  <c r="BG18" i="1" s="1"/>
  <c r="BH23" i="1"/>
  <c r="BI22" i="1"/>
  <c r="BH30" i="1"/>
  <c r="BH14" i="1"/>
  <c r="BI27" i="1"/>
  <c r="BI31" i="1"/>
  <c r="BI17" i="1"/>
  <c r="BH29" i="1"/>
  <c r="BH13" i="1"/>
  <c r="BG13" i="1" s="1"/>
  <c r="BH26" i="1"/>
  <c r="BH27" i="1"/>
  <c r="BI28" i="1"/>
  <c r="BI23" i="1"/>
  <c r="BI11" i="1"/>
  <c r="BH19" i="1"/>
  <c r="BI8" i="1"/>
  <c r="BH11" i="1"/>
  <c r="BG11" i="1" s="1"/>
  <c r="BH20" i="1"/>
  <c r="BI6" i="1"/>
  <c r="BI29" i="1"/>
  <c r="BH25" i="1"/>
  <c r="BI14" i="1"/>
  <c r="BI10" i="1"/>
  <c r="BI18" i="1"/>
  <c r="BI12" i="1"/>
  <c r="BH31" i="1"/>
  <c r="BI20" i="1"/>
  <c r="BH10" i="1"/>
  <c r="BI24" i="1"/>
  <c r="BI21" i="1"/>
  <c r="BI7" i="1"/>
  <c r="BI26" i="1"/>
  <c r="BI5" i="1"/>
  <c r="BH16" i="1"/>
  <c r="BG16" i="1" s="1"/>
  <c r="BI30" i="1"/>
  <c r="BH5" i="1"/>
  <c r="BI13" i="1"/>
  <c r="BH9" i="1"/>
  <c r="BH22" i="1"/>
  <c r="BG22" i="1" s="1"/>
  <c r="BI15" i="1"/>
  <c r="BH6" i="1"/>
  <c r="BI19" i="1"/>
  <c r="BH15" i="1"/>
  <c r="BH7" i="1"/>
  <c r="BH28" i="1"/>
  <c r="BI4" i="1"/>
  <c r="BH12" i="1"/>
  <c r="BI25" i="1"/>
  <c r="BH21" i="1"/>
  <c r="AV12" i="1"/>
  <c r="BB25" i="1" l="1"/>
  <c r="BB37" i="1" s="1"/>
  <c r="AV16" i="1"/>
  <c r="AW16" i="1" s="1"/>
  <c r="AW17" i="1" s="1"/>
  <c r="AW18" i="1" s="1"/>
  <c r="AW19" i="1" s="1"/>
  <c r="AW20" i="1" s="1"/>
  <c r="AW21" i="1" s="1"/>
  <c r="AW22" i="1" s="1"/>
  <c r="AW23" i="1" s="1"/>
  <c r="AW12" i="1"/>
  <c r="AW13" i="1" s="1"/>
  <c r="AW14" i="1" s="1"/>
  <c r="AW15" i="1" s="1"/>
  <c r="AV24" i="1"/>
  <c r="AW24" i="1" s="1"/>
  <c r="AW25" i="1" s="1"/>
  <c r="AV26" i="1" l="1"/>
  <c r="AW26" i="1" s="1"/>
  <c r="AV27" i="1" l="1"/>
  <c r="AV34" i="1"/>
  <c r="AW34" i="1" s="1"/>
  <c r="AW35" i="1" s="1"/>
  <c r="AW36" i="1" s="1"/>
  <c r="AW27" i="1"/>
  <c r="AW28" i="1" s="1"/>
  <c r="AW29" i="1" s="1"/>
  <c r="AW30" i="1" s="1"/>
  <c r="AW31" i="1" s="1"/>
  <c r="AW32" i="1" s="1"/>
  <c r="AW33" i="1" s="1"/>
  <c r="AV37" i="1" l="1"/>
  <c r="AW37" i="1" s="1"/>
  <c r="AW38" i="1" s="1"/>
  <c r="AW39" i="1" s="1"/>
</calcChain>
</file>

<file path=xl/sharedStrings.xml><?xml version="1.0" encoding="utf-8"?>
<sst xmlns="http://schemas.openxmlformats.org/spreadsheetml/2006/main" count="859" uniqueCount="172">
  <si>
    <t>OBJECTID</t>
  </si>
  <si>
    <t>Type</t>
  </si>
  <si>
    <t>DEC_ID</t>
  </si>
  <si>
    <t>X</t>
  </si>
  <si>
    <t>Y</t>
  </si>
  <si>
    <t>Avg_Mgd</t>
  </si>
  <si>
    <t>Well_Depth</t>
  </si>
  <si>
    <t>NWIS_ID</t>
  </si>
  <si>
    <t>WellDMeter</t>
  </si>
  <si>
    <t>Stop_Meter</t>
  </si>
  <si>
    <t>Sbot_Meter</t>
  </si>
  <si>
    <t>Comments</t>
  </si>
  <si>
    <t>RASTERVALU</t>
  </si>
  <si>
    <t>WellType</t>
  </si>
  <si>
    <t>Max_Rate</t>
  </si>
  <si>
    <t>MaxR_Units</t>
  </si>
  <si>
    <t>M_Rate_MGD</t>
  </si>
  <si>
    <t>ID_Well</t>
  </si>
  <si>
    <t>geometry</t>
  </si>
  <si>
    <t>GROUND</t>
  </si>
  <si>
    <t>WWR0000209</t>
  </si>
  <si>
    <t>Bedrock well according to SWUDS</t>
  </si>
  <si>
    <t>Other</t>
  </si>
  <si>
    <t>GPD</t>
  </si>
  <si>
    <t>well_0</t>
  </si>
  <si>
    <t>POINT (1753754.2999377474 2285095.106078472)</t>
  </si>
  <si>
    <t>well_1</t>
  </si>
  <si>
    <t>well_2</t>
  </si>
  <si>
    <t>POINT (1753756.238221169 2285095.5404543523)</t>
  </si>
  <si>
    <t>well_3</t>
  </si>
  <si>
    <t>WWR0000401</t>
  </si>
  <si>
    <t>Screen in L3 - Kame</t>
  </si>
  <si>
    <t>Priority</t>
  </si>
  <si>
    <t>SV_193</t>
  </si>
  <si>
    <t>POINT (1753861.708767031 2276081.9775081817)</t>
  </si>
  <si>
    <t>Screen in L1</t>
  </si>
  <si>
    <t>SV_227</t>
  </si>
  <si>
    <t>POINT (1753360.6525610052 2274957.2117171017)</t>
  </si>
  <si>
    <t>WWR0000479</t>
  </si>
  <si>
    <t>Screen in L2 - Lacustrine sand</t>
  </si>
  <si>
    <t>U__55</t>
  </si>
  <si>
    <t>POINT (1769759.8593362495 2280869.9901096057)</t>
  </si>
  <si>
    <t>Screen in L1 and L2 - Alluvium/Kame</t>
  </si>
  <si>
    <t>U_917</t>
  </si>
  <si>
    <t>POINT (1769857.7361402474 2279916.0205853656)</t>
  </si>
  <si>
    <t>Screen in L2 - Kame</t>
  </si>
  <si>
    <t>U___7</t>
  </si>
  <si>
    <t>POINT (1769791.1801174097 2279832.0520528983)</t>
  </si>
  <si>
    <t>U___8</t>
  </si>
  <si>
    <t>POINT (1769796.0768692642 2279838.008968964)</t>
  </si>
  <si>
    <t>WWR0000506</t>
  </si>
  <si>
    <t>Well screen in L3; boosted screen up to be at the bottom of L3.</t>
  </si>
  <si>
    <t>Not priority</t>
  </si>
  <si>
    <t>SV__61</t>
  </si>
  <si>
    <t>POINT (1751694.144503504 2277186.8130009733)</t>
  </si>
  <si>
    <t>We aren't sure about the screen of this well - could be bedrock well</t>
  </si>
  <si>
    <t>SV__62</t>
  </si>
  <si>
    <t>POINT (1751972.464519214 2279244.66994136)</t>
  </si>
  <si>
    <t>well_4</t>
  </si>
  <si>
    <t>POINT (1752091.587076366 2280029.469601212)</t>
  </si>
  <si>
    <t>Well screen in L3 - Kame</t>
  </si>
  <si>
    <t>SV__63</t>
  </si>
  <si>
    <t>POINT (1752052.2300400771 2279819.2462082505)</t>
  </si>
  <si>
    <t>Well screen in L1</t>
  </si>
  <si>
    <t>SV_266</t>
  </si>
  <si>
    <t>POINT (1752003.3739474863 2279846.5125363152)</t>
  </si>
  <si>
    <t>Unknown well depth</t>
  </si>
  <si>
    <t>well_5</t>
  </si>
  <si>
    <t>POINT (1750794.5294165649 2283998.0908235386)</t>
  </si>
  <si>
    <t>SV_256</t>
  </si>
  <si>
    <t>POINT (1752198.0138532147 2280575.933176499)</t>
  </si>
  <si>
    <t>well_6</t>
  </si>
  <si>
    <t>POINT (1751883.4080818892 2281384.3593443856)</t>
  </si>
  <si>
    <t>WWR0001055</t>
  </si>
  <si>
    <t>SV_406</t>
  </si>
  <si>
    <t>POINT (1758820.7703003846 2275878.256793972)</t>
  </si>
  <si>
    <t>Screen in L3 - Kame / fractured rock / ice contract (Geology here low confidence) Bedrock well according to SWUDS</t>
  </si>
  <si>
    <t>SV_407</t>
  </si>
  <si>
    <t>POINT (1757553.5065056384 2276167.8004376516)</t>
  </si>
  <si>
    <t>WWR0001462</t>
  </si>
  <si>
    <t>Unknown well depth - Bedrock well according to SWUDS</t>
  </si>
  <si>
    <t>SV_422</t>
  </si>
  <si>
    <t>POINT (1767062.6876467168 2273459.4090620223)</t>
  </si>
  <si>
    <t>WWR0001734</t>
  </si>
  <si>
    <t>Well screen in L1 // Bedrock well according to SWUDS</t>
  </si>
  <si>
    <t>SV_510</t>
  </si>
  <si>
    <t>POINT (1752206.779229205 2281017.8799334187)</t>
  </si>
  <si>
    <t>Can't corroborate screen with water bearing layer Bedrock well according to SWUDS</t>
  </si>
  <si>
    <t>SV_511</t>
  </si>
  <si>
    <t>POINT (1752231.3313572668 2280958.3150756974)</t>
  </si>
  <si>
    <t>SV_512</t>
  </si>
  <si>
    <t>POINT (1753057.9233981557 2281088.8122590706)</t>
  </si>
  <si>
    <t>SV_513</t>
  </si>
  <si>
    <t>POINT (1752302.3285975084 2280537.340435032)</t>
  </si>
  <si>
    <t>SV_514</t>
  </si>
  <si>
    <t>POINT (1752868.8729778752 2280428.180579677)</t>
  </si>
  <si>
    <t>SV_515</t>
  </si>
  <si>
    <t>POINT (1752286.0971879251 2280464.5044147894)</t>
  </si>
  <si>
    <t>SV_516</t>
  </si>
  <si>
    <t>WWR0001738</t>
  </si>
  <si>
    <t>Well screen in L1 (alluvium lacustrine)... but maybe it's Kame?</t>
  </si>
  <si>
    <t>SV_463</t>
  </si>
  <si>
    <t>POINT (1755661.256940838 2277330.106043184)</t>
  </si>
  <si>
    <t>SV_465</t>
  </si>
  <si>
    <t>POINT (1755676.2382233106 2277308.6740891226)</t>
  </si>
  <si>
    <t>Well location may be bad? Maybe bedrock well? Bedrock well according to SWUDS</t>
  </si>
  <si>
    <t>SV_470</t>
  </si>
  <si>
    <t>POINT (1760558.354930997 2277995.4588199276)</t>
  </si>
  <si>
    <t>WWR0001748</t>
  </si>
  <si>
    <t>SV_487</t>
  </si>
  <si>
    <t>POINT (1765967.5462333336 2264454.045497913)</t>
  </si>
  <si>
    <t>SV_490</t>
  </si>
  <si>
    <t>POINT (1765950.7687610723 2264398.2777609397)</t>
  </si>
  <si>
    <t>SV_551</t>
  </si>
  <si>
    <t>POINT (1765867.5471455976 2263294.0410958827)</t>
  </si>
  <si>
    <t xml:space="preserve"> </t>
  </si>
  <si>
    <t>x</t>
  </si>
  <si>
    <t>y</t>
  </si>
  <si>
    <t>flux_m3</t>
  </si>
  <si>
    <t>max_flux_m3</t>
  </si>
  <si>
    <t>n</t>
  </si>
  <si>
    <t>well_df</t>
  </si>
  <si>
    <t>gdf</t>
  </si>
  <si>
    <t>minx</t>
  </si>
  <si>
    <t>miny</t>
  </si>
  <si>
    <t>maxx</t>
  </si>
  <si>
    <t>maxy</t>
  </si>
  <si>
    <t>Bounds</t>
  </si>
  <si>
    <t>start_datetime</t>
  </si>
  <si>
    <t>end_datetime</t>
  </si>
  <si>
    <t>2009-2016_ave_pumping</t>
  </si>
  <si>
    <t>Lookup_Code</t>
  </si>
  <si>
    <t>Geology_Type</t>
  </si>
  <si>
    <t>Kh_ft_d_lower</t>
  </si>
  <si>
    <t>Kh_ft_d_upper</t>
  </si>
  <si>
    <t>Kh_ft_d_mean</t>
  </si>
  <si>
    <t>Kh_m_d</t>
  </si>
  <si>
    <t>Outwash</t>
  </si>
  <si>
    <t>Peat &amp; outwash</t>
  </si>
  <si>
    <t>Water &amp; outwash</t>
  </si>
  <si>
    <t>Basal Coarse</t>
  </si>
  <si>
    <t>Kame</t>
  </si>
  <si>
    <t>Alluvial fan</t>
  </si>
  <si>
    <t>Alluvium &amp; outwash</t>
  </si>
  <si>
    <t>Kame moraine</t>
  </si>
  <si>
    <t>Till moraine</t>
  </si>
  <si>
    <t>Till &amp; Bedrock</t>
  </si>
  <si>
    <t>Till</t>
  </si>
  <si>
    <t>Bedrock</t>
  </si>
  <si>
    <t>Lacustrine silt &amp; clay</t>
  </si>
  <si>
    <t>Outwash &amp; alluvial fan combination</t>
  </si>
  <si>
    <t>Kame &amp; alluvial fan combination</t>
  </si>
  <si>
    <t>Peat outwash &amp; alluvium combination</t>
  </si>
  <si>
    <t>Peat &amp; kame combination</t>
  </si>
  <si>
    <t>Alluvium &amp; Kame combination</t>
  </si>
  <si>
    <t>Artificial fill</t>
  </si>
  <si>
    <t>Lacustrine Sand</t>
  </si>
  <si>
    <t>Lacustrine sand &amp; alluvium combination</t>
  </si>
  <si>
    <t>Till/alluvium combination</t>
  </si>
  <si>
    <t>lacustrine sand &amp; alluvium fan combination</t>
  </si>
  <si>
    <t>lacustrine silt &amp; alluvium fan combination</t>
  </si>
  <si>
    <t>Alluvium &amp; lacustrine silt and clay combination</t>
  </si>
  <si>
    <t>Till &amp; Kame combination</t>
  </si>
  <si>
    <t>Till &amp; Outwash combination</t>
  </si>
  <si>
    <t>Kame &amp; Water</t>
  </si>
  <si>
    <t>Peat &amp; Till combination</t>
  </si>
  <si>
    <t>Kh_m_d_original</t>
  </si>
  <si>
    <t>diff</t>
  </si>
  <si>
    <t>o</t>
  </si>
  <si>
    <t>&lt;</t>
  </si>
  <si>
    <t>&gt;</t>
  </si>
  <si>
    <t>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</si>
</sst>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rgb="FF0000FF"/>
      <name val="Calibri"/>
      <family val="2"/>
      <scheme val="minor"/>
    </font>
    <font>
      <sz val="5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7"/>
      <color rgb="FF0000FF"/>
      <name val="Calibri"/>
      <family val="2"/>
      <scheme val="minor"/>
    </font>
    <font>
      <sz val="6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/>
    <xf numFmtId="0" fontId="18" fillId="34" borderId="0" xfId="0" applyFont="1" applyFill="1" applyAlignment="1">
      <alignment horizontal="center"/>
    </xf>
    <xf numFmtId="0" fontId="18" fillId="34" borderId="0" xfId="0" applyFont="1" applyFill="1" applyAlignment="1">
      <alignment horizontal="left"/>
    </xf>
    <xf numFmtId="0" fontId="18" fillId="33" borderId="0" xfId="0" applyFont="1" applyFill="1" applyAlignment="1">
      <alignment horizontal="left"/>
    </xf>
    <xf numFmtId="0" fontId="18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  <xf numFmtId="0" fontId="0" fillId="33" borderId="0" xfId="0" applyFill="1" applyAlignment="1">
      <alignment horizontal="left"/>
    </xf>
    <xf numFmtId="0" fontId="0" fillId="34" borderId="0" xfId="0" applyFill="1" applyAlignment="1">
      <alignment horizontal="left"/>
    </xf>
    <xf numFmtId="0" fontId="0" fillId="0" borderId="0" xfId="0" applyAlignment="1">
      <alignment horizontal="left"/>
    </xf>
    <xf numFmtId="164" fontId="18" fillId="33" borderId="0" xfId="0" applyNumberFormat="1" applyFont="1" applyFill="1" applyAlignment="1">
      <alignment horizontal="center"/>
    </xf>
    <xf numFmtId="1" fontId="18" fillId="33" borderId="0" xfId="0" applyNumberFormat="1" applyFont="1" applyFill="1" applyAlignment="1">
      <alignment horizontal="center"/>
    </xf>
    <xf numFmtId="1" fontId="21" fillId="33" borderId="0" xfId="0" applyNumberFormat="1" applyFont="1" applyFill="1" applyAlignment="1">
      <alignment horizontal="center"/>
    </xf>
    <xf numFmtId="0" fontId="23" fillId="33" borderId="0" xfId="0" applyFont="1" applyFill="1"/>
    <xf numFmtId="0" fontId="24" fillId="33" borderId="0" xfId="0" applyFont="1" applyFill="1" applyAlignment="1">
      <alignment horizontal="center"/>
    </xf>
    <xf numFmtId="1" fontId="24" fillId="33" borderId="0" xfId="0" applyNumberFormat="1" applyFont="1" applyFill="1" applyAlignment="1">
      <alignment horizontal="center"/>
    </xf>
    <xf numFmtId="0" fontId="0" fillId="35" borderId="0" xfId="0" applyFill="1"/>
    <xf numFmtId="0" fontId="25" fillId="35" borderId="0" xfId="0" applyFont="1" applyFill="1" applyAlignment="1">
      <alignment horizontal="center"/>
    </xf>
    <xf numFmtId="0" fontId="26" fillId="35" borderId="0" xfId="0" applyFont="1" applyFill="1"/>
    <xf numFmtId="0" fontId="25" fillId="35" borderId="0" xfId="0" applyFont="1" applyFill="1"/>
    <xf numFmtId="0" fontId="22" fillId="33" borderId="0" xfId="0" applyFont="1" applyFill="1" applyAlignment="1">
      <alignment horizontal="center"/>
    </xf>
    <xf numFmtId="0" fontId="20" fillId="34" borderId="0" xfId="0" applyFont="1" applyFill="1" applyAlignment="1">
      <alignment horizontal="center"/>
    </xf>
    <xf numFmtId="0" fontId="22" fillId="34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17" fillId="36" borderId="0" xfId="0" applyFont="1" applyFill="1" applyAlignment="1">
      <alignment horizontal="left"/>
    </xf>
    <xf numFmtId="0" fontId="17" fillId="36" borderId="0" xfId="0" applyFont="1" applyFill="1"/>
    <xf numFmtId="1" fontId="0" fillId="0" borderId="0" xfId="0" applyNumberFormat="1"/>
    <xf numFmtId="0" fontId="0" fillId="33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gdf!$AA$5</c:f>
              <c:strCache>
                <c:ptCount val="1"/>
                <c:pt idx="0">
                  <c:v>X</c:v>
                </c:pt>
              </c:strCache>
            </c:strRef>
          </c:tx>
          <c:spPr>
            <a:ln>
              <a:noFill/>
            </a:ln>
          </c:spPr>
          <c:xVal>
            <c:numRef>
              <c:f>gdf!$AQ$6:$AQ$39</c:f>
              <c:numCache>
                <c:formatCode>0</c:formatCode>
                <c:ptCount val="34"/>
                <c:pt idx="0">
                  <c:v>1753754.29993774</c:v>
                </c:pt>
                <c:pt idx="1">
                  <c:v>1753754.29993774</c:v>
                </c:pt>
                <c:pt idx="2">
                  <c:v>1753756.2382211599</c:v>
                </c:pt>
                <c:pt idx="3">
                  <c:v>1753756.2382211599</c:v>
                </c:pt>
                <c:pt idx="4">
                  <c:v>1753861.7087670299</c:v>
                </c:pt>
                <c:pt idx="5">
                  <c:v>1753360.6525610001</c:v>
                </c:pt>
                <c:pt idx="6">
                  <c:v>1769759.85933624</c:v>
                </c:pt>
                <c:pt idx="7">
                  <c:v>1769857.73614024</c:v>
                </c:pt>
                <c:pt idx="8">
                  <c:v>1769791.1801173999</c:v>
                </c:pt>
                <c:pt idx="9">
                  <c:v>1769796.0768692601</c:v>
                </c:pt>
                <c:pt idx="10">
                  <c:v>1751694.1445035001</c:v>
                </c:pt>
                <c:pt idx="11">
                  <c:v>1751972.4645192099</c:v>
                </c:pt>
                <c:pt idx="12">
                  <c:v>1752091.5870763599</c:v>
                </c:pt>
                <c:pt idx="13">
                  <c:v>1752052.2300400699</c:v>
                </c:pt>
                <c:pt idx="14">
                  <c:v>1752003.37394748</c:v>
                </c:pt>
                <c:pt idx="15">
                  <c:v>1750794.52941656</c:v>
                </c:pt>
                <c:pt idx="16">
                  <c:v>1752198.01385321</c:v>
                </c:pt>
                <c:pt idx="17">
                  <c:v>1751883.4080818801</c:v>
                </c:pt>
                <c:pt idx="18">
                  <c:v>1758820.77030038</c:v>
                </c:pt>
                <c:pt idx="19">
                  <c:v>1757553.50650563</c:v>
                </c:pt>
                <c:pt idx="20">
                  <c:v>1767062.6876467101</c:v>
                </c:pt>
                <c:pt idx="21">
                  <c:v>1752206.7792292</c:v>
                </c:pt>
                <c:pt idx="22">
                  <c:v>1752231.33135726</c:v>
                </c:pt>
                <c:pt idx="23">
                  <c:v>1753057.9233981499</c:v>
                </c:pt>
                <c:pt idx="24">
                  <c:v>1752302.3285975</c:v>
                </c:pt>
                <c:pt idx="25">
                  <c:v>1752868.8729778701</c:v>
                </c:pt>
                <c:pt idx="26">
                  <c:v>1752286.09718792</c:v>
                </c:pt>
                <c:pt idx="27">
                  <c:v>1752868.8729778701</c:v>
                </c:pt>
                <c:pt idx="28">
                  <c:v>1755661.25694083</c:v>
                </c:pt>
                <c:pt idx="29">
                  <c:v>1755676.2382233101</c:v>
                </c:pt>
                <c:pt idx="30">
                  <c:v>1760558.3549309899</c:v>
                </c:pt>
                <c:pt idx="31">
                  <c:v>1765967.5462333299</c:v>
                </c:pt>
                <c:pt idx="32">
                  <c:v>1765950.76876107</c:v>
                </c:pt>
                <c:pt idx="33">
                  <c:v>1765867.54714559</c:v>
                </c:pt>
              </c:numCache>
            </c:numRef>
          </c:xVal>
          <c:yVal>
            <c:numRef>
              <c:f>gdf!$AR$6:$AR$39</c:f>
              <c:numCache>
                <c:formatCode>0</c:formatCode>
                <c:ptCount val="34"/>
                <c:pt idx="0">
                  <c:v>2285095.1060784701</c:v>
                </c:pt>
                <c:pt idx="1">
                  <c:v>2285095.1060784701</c:v>
                </c:pt>
                <c:pt idx="2">
                  <c:v>2285095.5404543499</c:v>
                </c:pt>
                <c:pt idx="3">
                  <c:v>2285095.5404543499</c:v>
                </c:pt>
                <c:pt idx="4">
                  <c:v>2276081.9775081798</c:v>
                </c:pt>
                <c:pt idx="5">
                  <c:v>2274957.2117170999</c:v>
                </c:pt>
                <c:pt idx="6">
                  <c:v>2280869.9901096001</c:v>
                </c:pt>
                <c:pt idx="7">
                  <c:v>2279916.02058536</c:v>
                </c:pt>
                <c:pt idx="8">
                  <c:v>2279832.05205289</c:v>
                </c:pt>
                <c:pt idx="9">
                  <c:v>2279838.00896896</c:v>
                </c:pt>
                <c:pt idx="10">
                  <c:v>2277186.8130009701</c:v>
                </c:pt>
                <c:pt idx="11">
                  <c:v>2279244.6699413601</c:v>
                </c:pt>
                <c:pt idx="12">
                  <c:v>2280029.4696012102</c:v>
                </c:pt>
                <c:pt idx="13">
                  <c:v>2279819.2462082501</c:v>
                </c:pt>
                <c:pt idx="14">
                  <c:v>2279846.5125363101</c:v>
                </c:pt>
                <c:pt idx="15">
                  <c:v>2283998.0908235302</c:v>
                </c:pt>
                <c:pt idx="16">
                  <c:v>2280575.93317649</c:v>
                </c:pt>
                <c:pt idx="17">
                  <c:v>2281384.35934438</c:v>
                </c:pt>
                <c:pt idx="18">
                  <c:v>2275878.2567939698</c:v>
                </c:pt>
                <c:pt idx="19">
                  <c:v>2276167.8004376502</c:v>
                </c:pt>
                <c:pt idx="20">
                  <c:v>2273459.40906202</c:v>
                </c:pt>
                <c:pt idx="21">
                  <c:v>2281017.8799334099</c:v>
                </c:pt>
                <c:pt idx="22">
                  <c:v>2280958.3150756899</c:v>
                </c:pt>
                <c:pt idx="23">
                  <c:v>2281088.8122590701</c:v>
                </c:pt>
                <c:pt idx="24">
                  <c:v>2280537.3404350299</c:v>
                </c:pt>
                <c:pt idx="25">
                  <c:v>2280428.1805796698</c:v>
                </c:pt>
                <c:pt idx="26">
                  <c:v>2280464.5044147801</c:v>
                </c:pt>
                <c:pt idx="27">
                  <c:v>2280428.1805796698</c:v>
                </c:pt>
                <c:pt idx="28">
                  <c:v>2277330.10604318</c:v>
                </c:pt>
                <c:pt idx="29">
                  <c:v>2277308.6740891198</c:v>
                </c:pt>
                <c:pt idx="30">
                  <c:v>2277995.4588199202</c:v>
                </c:pt>
                <c:pt idx="31">
                  <c:v>2264454.0454979101</c:v>
                </c:pt>
                <c:pt idx="32">
                  <c:v>2264398.2777609299</c:v>
                </c:pt>
                <c:pt idx="33">
                  <c:v>2263294.0410958799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1D-458A-AE58-1B460CCD1B68}"/>
            </c:ext>
          </c:extLst>
        </c:ser>
        <c:ser>
          <c:idx val="0"/>
          <c:order val="1"/>
          <c:tx>
            <c:strRef>
              <c:f>gdf!$AA$5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gdf!$BG$38:$BG$39</c:f>
              <c:numCache>
                <c:formatCode>General</c:formatCode>
                <c:ptCount val="2"/>
                <c:pt idx="0">
                  <c:v>1743735.4876964299</c:v>
                </c:pt>
                <c:pt idx="1">
                  <c:v>1773643.984189</c:v>
                </c:pt>
              </c:numCache>
            </c:numRef>
          </c:xVal>
          <c:yVal>
            <c:numRef>
              <c:f>gdf!$BH$38:$BH$39</c:f>
              <c:numCache>
                <c:formatCode>General</c:formatCode>
                <c:ptCount val="2"/>
                <c:pt idx="0">
                  <c:v>2258813.8672688399</c:v>
                </c:pt>
                <c:pt idx="1">
                  <c:v>2291791.2831732901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1D-458A-AE58-1B460CCD1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22112"/>
        <c:axId val="480033152"/>
      </c:scatterChart>
      <c:valAx>
        <c:axId val="48002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80033152"/>
        <c:crosses val="autoZero"/>
        <c:crossBetween val="midCat"/>
      </c:valAx>
      <c:valAx>
        <c:axId val="48003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80022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485299660545486E-2"/>
          <c:y val="0.21746070468254902"/>
          <c:w val="0.89278576101165008"/>
          <c:h val="0.70486941879420739"/>
        </c:manualLayout>
      </c:layout>
      <c:scatterChart>
        <c:scatterStyle val="lineMarker"/>
        <c:varyColors val="0"/>
        <c:ser>
          <c:idx val="0"/>
          <c:order val="0"/>
          <c:tx>
            <c:strRef>
              <c:f>gdf!$AX$4</c:f>
              <c:strCache>
                <c:ptCount val="1"/>
                <c:pt idx="0">
                  <c:v>7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gdf!$W$6:$W$39</c:f>
              <c:numCache>
                <c:formatCode>General</c:formatCode>
                <c:ptCount val="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</c:numCache>
            </c:numRef>
          </c:xVal>
          <c:yVal>
            <c:numRef>
              <c:f>gdf!$AX$6:$AX$39</c:f>
              <c:numCache>
                <c:formatCode>General</c:formatCode>
                <c:ptCount val="34"/>
                <c:pt idx="0">
                  <c:v>-500</c:v>
                </c:pt>
                <c:pt idx="1">
                  <c:v>-620</c:v>
                </c:pt>
                <c:pt idx="2">
                  <c:v>-450</c:v>
                </c:pt>
                <c:pt idx="3">
                  <c:v>-425</c:v>
                </c:pt>
                <c:pt idx="4">
                  <c:v>-52</c:v>
                </c:pt>
                <c:pt idx="5">
                  <c:v>-92</c:v>
                </c:pt>
                <c:pt idx="6">
                  <c:v>-60</c:v>
                </c:pt>
                <c:pt idx="7">
                  <c:v>-35</c:v>
                </c:pt>
                <c:pt idx="8">
                  <c:v>-58</c:v>
                </c:pt>
                <c:pt idx="9">
                  <c:v>-75</c:v>
                </c:pt>
                <c:pt idx="10">
                  <c:v>-180</c:v>
                </c:pt>
                <c:pt idx="11">
                  <c:v>-164</c:v>
                </c:pt>
                <c:pt idx="12">
                  <c:v>-200</c:v>
                </c:pt>
                <c:pt idx="13">
                  <c:v>-128</c:v>
                </c:pt>
                <c:pt idx="14">
                  <c:v>-60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-370</c:v>
                </c:pt>
                <c:pt idx="19">
                  <c:v>-54</c:v>
                </c:pt>
                <c:pt idx="20">
                  <c:v>0</c:v>
                </c:pt>
                <c:pt idx="21">
                  <c:v>-46</c:v>
                </c:pt>
                <c:pt idx="22">
                  <c:v>-47</c:v>
                </c:pt>
                <c:pt idx="23">
                  <c:v>-52</c:v>
                </c:pt>
                <c:pt idx="24">
                  <c:v>-50</c:v>
                </c:pt>
                <c:pt idx="25">
                  <c:v>-48</c:v>
                </c:pt>
                <c:pt idx="26">
                  <c:v>-48</c:v>
                </c:pt>
                <c:pt idx="27">
                  <c:v>0</c:v>
                </c:pt>
                <c:pt idx="28">
                  <c:v>-30</c:v>
                </c:pt>
                <c:pt idx="29">
                  <c:v>-400</c:v>
                </c:pt>
                <c:pt idx="30">
                  <c:v>-410</c:v>
                </c:pt>
                <c:pt idx="31">
                  <c:v>-38</c:v>
                </c:pt>
                <c:pt idx="32">
                  <c:v>-500</c:v>
                </c:pt>
                <c:pt idx="33">
                  <c:v>-500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F8F-46E4-B3BE-D6D007553238}"/>
            </c:ext>
          </c:extLst>
        </c:ser>
        <c:ser>
          <c:idx val="1"/>
          <c:order val="1"/>
          <c:tx>
            <c:strRef>
              <c:f>gdf!$AY$4</c:f>
              <c:strCache>
                <c:ptCount val="1"/>
                <c:pt idx="0">
                  <c:v>13</c:v>
                </c:pt>
              </c:strCache>
            </c:strRef>
          </c:tx>
          <c:spPr>
            <a:ln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gdf!$W$6:$W$39</c:f>
              <c:numCache>
                <c:formatCode>General</c:formatCode>
                <c:ptCount val="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</c:numCache>
            </c:numRef>
          </c:xVal>
          <c:yVal>
            <c:numRef>
              <c:f>gdf!$AY$6:$AY$39</c:f>
              <c:numCache>
                <c:formatCode>0</c:formatCode>
                <c:ptCount val="34"/>
                <c:pt idx="0">
                  <c:v>-448.74700000000001</c:v>
                </c:pt>
                <c:pt idx="1">
                  <c:v>-448.74700000000001</c:v>
                </c:pt>
                <c:pt idx="2">
                  <c:v>-448.73599999999999</c:v>
                </c:pt>
                <c:pt idx="3">
                  <c:v>-448.73599999999999</c:v>
                </c:pt>
                <c:pt idx="4">
                  <c:v>-339.05799999999999</c:v>
                </c:pt>
                <c:pt idx="5">
                  <c:v>-337.79300000000001</c:v>
                </c:pt>
                <c:pt idx="6">
                  <c:v>-96.668499999999995</c:v>
                </c:pt>
                <c:pt idx="7">
                  <c:v>-99.888599999999997</c:v>
                </c:pt>
                <c:pt idx="8">
                  <c:v>-99.908100000000005</c:v>
                </c:pt>
                <c:pt idx="9">
                  <c:v>-100.241</c:v>
                </c:pt>
                <c:pt idx="10">
                  <c:v>-346.47300000000001</c:v>
                </c:pt>
                <c:pt idx="11">
                  <c:v>-354.12099999999998</c:v>
                </c:pt>
                <c:pt idx="12">
                  <c:v>-355.37599999999998</c:v>
                </c:pt>
                <c:pt idx="13">
                  <c:v>-353.63400000000001</c:v>
                </c:pt>
                <c:pt idx="14">
                  <c:v>-354.54899999999998</c:v>
                </c:pt>
                <c:pt idx="15">
                  <c:v>-367.31099999999998</c:v>
                </c:pt>
                <c:pt idx="16">
                  <c:v>-356.02</c:v>
                </c:pt>
                <c:pt idx="17">
                  <c:v>-358.23700000000002</c:v>
                </c:pt>
                <c:pt idx="18">
                  <c:v>-311.69299999999998</c:v>
                </c:pt>
                <c:pt idx="19">
                  <c:v>-321.822</c:v>
                </c:pt>
                <c:pt idx="20">
                  <c:v>-157.31100000000001</c:v>
                </c:pt>
                <c:pt idx="21">
                  <c:v>-356.25700000000001</c:v>
                </c:pt>
                <c:pt idx="22">
                  <c:v>-354.20800000000003</c:v>
                </c:pt>
                <c:pt idx="23">
                  <c:v>-447.77600000000001</c:v>
                </c:pt>
                <c:pt idx="24">
                  <c:v>-353.053</c:v>
                </c:pt>
                <c:pt idx="25">
                  <c:v>-424.63600000000002</c:v>
                </c:pt>
                <c:pt idx="26">
                  <c:v>-353.642</c:v>
                </c:pt>
                <c:pt idx="27">
                  <c:v>-424.63600000000002</c:v>
                </c:pt>
                <c:pt idx="28">
                  <c:v>-327.74200000000002</c:v>
                </c:pt>
                <c:pt idx="29">
                  <c:v>-328.08600000000001</c:v>
                </c:pt>
                <c:pt idx="30">
                  <c:v>-372.71100000000001</c:v>
                </c:pt>
                <c:pt idx="31">
                  <c:v>-160.828</c:v>
                </c:pt>
                <c:pt idx="32">
                  <c:v>-160.88999999999999</c:v>
                </c:pt>
                <c:pt idx="33">
                  <c:v>-155.45599999999999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F8F-46E4-B3BE-D6D007553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536016"/>
        <c:axId val="2098512016"/>
      </c:scatterChart>
      <c:valAx>
        <c:axId val="2098536016"/>
        <c:scaling>
          <c:orientation val="minMax"/>
          <c:max val="3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98512016"/>
        <c:crosses val="autoZero"/>
        <c:crossBetween val="midCat"/>
        <c:majorUnit val="3"/>
      </c:valAx>
      <c:valAx>
        <c:axId val="209851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985360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9986905281536449"/>
          <c:y val="0.77544367982614992"/>
          <c:w val="0.25648188563945873"/>
          <c:h val="0.13088087696969242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15</xdr:row>
      <xdr:rowOff>104775</xdr:rowOff>
    </xdr:from>
    <xdr:to>
      <xdr:col>50</xdr:col>
      <xdr:colOff>238125</xdr:colOff>
      <xdr:row>37</xdr:row>
      <xdr:rowOff>47625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E2017B3-B1C6-2B28-4FFA-870436F5C09D}"/>
            </a:ext>
          </a:extLst>
        </xdr:cNvPr>
        <xdr:cNvGrpSpPr>
          <a:grpSpLocks noChangeAspect="1"/>
        </xdr:cNvGrpSpPr>
      </xdr:nvGrpSpPr>
      <xdr:grpSpPr>
        <a:xfrm>
          <a:off x="438150" y="2581275"/>
          <a:ext cx="6934200" cy="3505200"/>
          <a:chOff x="-5068194" y="2324100"/>
          <a:chExt cx="9851651" cy="371475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82F0E2D7-76B1-C441-3714-EA0C81DDFE6F}"/>
              </a:ext>
            </a:extLst>
          </xdr:cNvPr>
          <xdr:cNvGraphicFramePr/>
        </xdr:nvGraphicFramePr>
        <xdr:xfrm>
          <a:off x="702572" y="2324100"/>
          <a:ext cx="4052308" cy="21383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2C2D969C-4D86-8A17-7F0E-617E39CC7EB3}"/>
              </a:ext>
            </a:extLst>
          </xdr:cNvPr>
          <xdr:cNvGraphicFramePr/>
        </xdr:nvGraphicFramePr>
        <xdr:xfrm>
          <a:off x="-5068194" y="4567237"/>
          <a:ext cx="9851651" cy="14716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F371-A5EF-4D56-9759-03510C4DEB56}">
  <dimension ref="A1:CE157"/>
  <sheetViews>
    <sheetView tabSelected="1" workbookViewId="0">
      <selection activeCell="W42" sqref="W42"/>
    </sheetView>
  </sheetViews>
  <sheetFormatPr defaultRowHeight="13.5" customHeight="1" x14ac:dyDescent="0.25"/>
  <cols>
    <col min="1" max="1" width="1.85546875" customWidth="1"/>
    <col min="2" max="2" width="3" bestFit="1" customWidth="1"/>
    <col min="3" max="21" width="0.85546875" customWidth="1"/>
    <col min="22" max="22" width="1" customWidth="1"/>
    <col min="23" max="23" width="3.42578125" style="3" customWidth="1"/>
    <col min="24" max="25" width="3.140625" customWidth="1"/>
    <col min="26" max="26" width="2" customWidth="1"/>
    <col min="27" max="28" width="2.140625" customWidth="1"/>
    <col min="29" max="30" width="5" customWidth="1"/>
    <col min="31" max="31" width="2.7109375" customWidth="1"/>
    <col min="32" max="32" width="0.85546875" customWidth="1"/>
    <col min="33" max="34" width="5" customWidth="1"/>
    <col min="35" max="35" width="0.85546875" style="13" customWidth="1"/>
    <col min="36" max="40" width="0.42578125" customWidth="1"/>
    <col min="41" max="41" width="0.85546875" customWidth="1"/>
    <col min="42" max="42" width="9.42578125" customWidth="1"/>
    <col min="43" max="44" width="2.5703125" customWidth="1"/>
    <col min="45" max="47" width="5.42578125" customWidth="1"/>
    <col min="48" max="48" width="2.28515625" customWidth="1"/>
    <col min="49" max="49" width="2.85546875" customWidth="1"/>
    <col min="50" max="51" width="5.42578125" customWidth="1"/>
    <col min="52" max="52" width="1" customWidth="1"/>
    <col min="53" max="53" width="9.28515625" customWidth="1"/>
    <col min="54" max="54" width="2.7109375" style="27" customWidth="1"/>
    <col min="57" max="57" width="3.28515625" customWidth="1"/>
    <col min="58" max="58" width="1" customWidth="1"/>
    <col min="59" max="60" width="3.42578125" customWidth="1"/>
    <col min="61" max="61" width="13.140625" bestFit="1" customWidth="1"/>
    <col min="62" max="62" width="2" customWidth="1"/>
    <col min="63" max="63" width="4.28515625" customWidth="1"/>
    <col min="65" max="69" width="4.28515625" customWidth="1"/>
    <col min="70" max="70" width="2" customWidth="1"/>
    <col min="71" max="71" width="4.28515625" hidden="1" customWidth="1"/>
    <col min="72" max="73" width="0" hidden="1" customWidth="1"/>
    <col min="74" max="75" width="5.42578125" customWidth="1"/>
  </cols>
  <sheetData>
    <row r="1" spans="1:83" ht="13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 t="s">
        <v>115</v>
      </c>
      <c r="W1" s="2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4"/>
      <c r="BC1" s="1"/>
      <c r="BD1" s="1"/>
      <c r="BE1" s="1"/>
      <c r="BF1" s="1"/>
      <c r="BG1" s="1"/>
      <c r="BH1" s="1"/>
      <c r="BI1" s="1" t="s">
        <v>115</v>
      </c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ht="13.5" customHeight="1" x14ac:dyDescent="0.25">
      <c r="A2" s="1"/>
      <c r="B2" s="28" t="s">
        <v>122</v>
      </c>
      <c r="C2" s="28"/>
      <c r="D2" s="28"/>
      <c r="E2" s="28"/>
      <c r="F2" s="28"/>
      <c r="G2" s="28"/>
      <c r="H2" s="2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8" t="s">
        <v>121</v>
      </c>
      <c r="X2" s="28"/>
      <c r="Y2" s="28"/>
      <c r="Z2" s="28"/>
      <c r="AA2" s="28"/>
      <c r="AB2" s="28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4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31" t="str">
        <f>BQ4</f>
        <v>Kh_m_d</v>
      </c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spans="1:83" ht="13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115</v>
      </c>
      <c r="W3" s="2"/>
      <c r="X3" s="1">
        <f t="shared" ref="X3:AT3" si="0">IF(X6=C6,1,0)</f>
        <v>1</v>
      </c>
      <c r="Y3" s="1">
        <f t="shared" si="0"/>
        <v>1</v>
      </c>
      <c r="Z3" s="1">
        <f t="shared" si="0"/>
        <v>1</v>
      </c>
      <c r="AA3" s="1">
        <f t="shared" si="0"/>
        <v>1</v>
      </c>
      <c r="AB3" s="1">
        <f t="shared" si="0"/>
        <v>1</v>
      </c>
      <c r="AC3" s="1">
        <f t="shared" si="0"/>
        <v>1</v>
      </c>
      <c r="AD3" s="1">
        <f t="shared" si="0"/>
        <v>1</v>
      </c>
      <c r="AE3" s="1">
        <f t="shared" si="0"/>
        <v>1</v>
      </c>
      <c r="AF3" s="1">
        <f t="shared" si="0"/>
        <v>1</v>
      </c>
      <c r="AG3" s="1">
        <f t="shared" si="0"/>
        <v>0</v>
      </c>
      <c r="AH3" s="1">
        <f t="shared" si="0"/>
        <v>0</v>
      </c>
      <c r="AI3" s="11">
        <f t="shared" si="0"/>
        <v>1</v>
      </c>
      <c r="AJ3" s="1">
        <f t="shared" si="0"/>
        <v>1</v>
      </c>
      <c r="AK3" s="1">
        <f t="shared" si="0"/>
        <v>1</v>
      </c>
      <c r="AL3" s="1">
        <f t="shared" si="0"/>
        <v>1</v>
      </c>
      <c r="AM3" s="1">
        <f t="shared" si="0"/>
        <v>1</v>
      </c>
      <c r="AN3" s="1">
        <f t="shared" si="0"/>
        <v>1</v>
      </c>
      <c r="AO3" s="1">
        <f t="shared" si="0"/>
        <v>1</v>
      </c>
      <c r="AP3" s="1">
        <f t="shared" si="0"/>
        <v>1</v>
      </c>
      <c r="AQ3" s="1">
        <f t="shared" si="0"/>
        <v>0</v>
      </c>
      <c r="AR3" s="1">
        <f t="shared" si="0"/>
        <v>0</v>
      </c>
      <c r="AS3" s="1">
        <f t="shared" si="0"/>
        <v>0</v>
      </c>
      <c r="AT3" s="1">
        <f t="shared" si="0"/>
        <v>0</v>
      </c>
      <c r="AU3" s="1"/>
      <c r="AV3" s="1"/>
      <c r="AW3" s="1"/>
      <c r="AX3" s="1"/>
      <c r="AY3" s="1"/>
      <c r="AZ3" s="1"/>
      <c r="BA3" s="1"/>
      <c r="BB3" s="24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 t="s">
        <v>169</v>
      </c>
      <c r="BO3" s="1" t="s">
        <v>170</v>
      </c>
      <c r="BP3" s="1" t="s">
        <v>171</v>
      </c>
      <c r="BQ3" s="1"/>
      <c r="BR3" s="1" t="s">
        <v>115</v>
      </c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spans="1:83" ht="13.5" customHeight="1" x14ac:dyDescent="0.25">
      <c r="A4" s="1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115</v>
      </c>
      <c r="W4" s="6">
        <v>0</v>
      </c>
      <c r="X4" s="6">
        <f>W4+1</f>
        <v>1</v>
      </c>
      <c r="Y4" s="6">
        <f t="shared" ref="Y4:AT4" si="1">X4+1</f>
        <v>2</v>
      </c>
      <c r="Z4" s="6">
        <f t="shared" si="1"/>
        <v>3</v>
      </c>
      <c r="AA4" s="6">
        <f t="shared" si="1"/>
        <v>4</v>
      </c>
      <c r="AB4" s="6">
        <f t="shared" si="1"/>
        <v>5</v>
      </c>
      <c r="AC4" s="6">
        <f t="shared" si="1"/>
        <v>6</v>
      </c>
      <c r="AD4" s="6">
        <f t="shared" si="1"/>
        <v>7</v>
      </c>
      <c r="AE4" s="6">
        <f t="shared" si="1"/>
        <v>8</v>
      </c>
      <c r="AF4" s="6">
        <f t="shared" si="1"/>
        <v>9</v>
      </c>
      <c r="AG4" s="6">
        <f t="shared" si="1"/>
        <v>10</v>
      </c>
      <c r="AH4" s="6">
        <f t="shared" si="1"/>
        <v>11</v>
      </c>
      <c r="AI4" s="7">
        <f t="shared" si="1"/>
        <v>12</v>
      </c>
      <c r="AJ4" s="6">
        <f t="shared" si="1"/>
        <v>13</v>
      </c>
      <c r="AK4" s="6">
        <f t="shared" si="1"/>
        <v>14</v>
      </c>
      <c r="AL4" s="6">
        <f t="shared" si="1"/>
        <v>15</v>
      </c>
      <c r="AM4" s="6">
        <f t="shared" si="1"/>
        <v>16</v>
      </c>
      <c r="AN4" s="6">
        <f t="shared" si="1"/>
        <v>17</v>
      </c>
      <c r="AO4" s="6">
        <f t="shared" si="1"/>
        <v>18</v>
      </c>
      <c r="AP4" s="6">
        <f t="shared" si="1"/>
        <v>19</v>
      </c>
      <c r="AQ4" s="6">
        <f t="shared" si="1"/>
        <v>20</v>
      </c>
      <c r="AR4" s="6">
        <f t="shared" si="1"/>
        <v>21</v>
      </c>
      <c r="AS4" s="6">
        <f t="shared" si="1"/>
        <v>22</v>
      </c>
      <c r="AT4" s="6">
        <f t="shared" si="1"/>
        <v>23</v>
      </c>
      <c r="AU4" s="1"/>
      <c r="AV4" s="21" t="s">
        <v>120</v>
      </c>
      <c r="AW4" s="21" t="s">
        <v>120</v>
      </c>
      <c r="AX4" s="21">
        <v>7</v>
      </c>
      <c r="AY4" s="21">
        <v>13</v>
      </c>
      <c r="AZ4" s="1"/>
      <c r="BA4" s="6">
        <v>18</v>
      </c>
      <c r="BB4" s="25">
        <v>14</v>
      </c>
      <c r="BC4" s="6">
        <v>12</v>
      </c>
      <c r="BD4" s="6">
        <v>9</v>
      </c>
      <c r="BE4" s="6">
        <v>1</v>
      </c>
      <c r="BF4" s="1"/>
      <c r="BG4" s="6"/>
      <c r="BH4" s="6">
        <f t="array" ref="BH4:BI31">TRANSPOSE(W4:AY5)</f>
        <v>0</v>
      </c>
      <c r="BI4" s="4">
        <v>0</v>
      </c>
      <c r="BJ4" s="1"/>
      <c r="BK4" t="s">
        <v>131</v>
      </c>
      <c r="BL4" t="s">
        <v>132</v>
      </c>
      <c r="BM4" t="s">
        <v>131</v>
      </c>
      <c r="BN4" t="s">
        <v>133</v>
      </c>
      <c r="BO4" t="s">
        <v>134</v>
      </c>
      <c r="BP4" t="s">
        <v>135</v>
      </c>
      <c r="BQ4" t="s">
        <v>136</v>
      </c>
      <c r="BR4" s="1" t="s">
        <v>115</v>
      </c>
      <c r="BS4" t="s">
        <v>131</v>
      </c>
      <c r="BT4" t="s">
        <v>132</v>
      </c>
      <c r="BU4" t="s">
        <v>136</v>
      </c>
      <c r="BV4" t="s">
        <v>166</v>
      </c>
      <c r="BW4" t="s">
        <v>167</v>
      </c>
      <c r="BX4" s="1"/>
      <c r="BY4" s="1"/>
      <c r="BZ4" s="1"/>
      <c r="CA4" s="1"/>
      <c r="CB4" s="1"/>
      <c r="CC4" s="1"/>
      <c r="CD4" s="1"/>
      <c r="CE4" s="1"/>
    </row>
    <row r="5" spans="1:83" ht="13.5" customHeight="1" x14ac:dyDescent="0.25">
      <c r="A5" s="10">
        <f>ROW()-ROW($A$4)</f>
        <v>1</v>
      </c>
      <c r="B5" s="4"/>
      <c r="C5" s="5" t="s">
        <v>0</v>
      </c>
      <c r="D5" s="5" t="s">
        <v>1</v>
      </c>
      <c r="E5" s="5" t="s">
        <v>2</v>
      </c>
      <c r="F5" s="5" t="s">
        <v>3</v>
      </c>
      <c r="G5" s="5" t="s">
        <v>4</v>
      </c>
      <c r="H5" s="5" t="s">
        <v>5</v>
      </c>
      <c r="I5" s="5" t="s">
        <v>6</v>
      </c>
      <c r="J5" s="5" t="s">
        <v>7</v>
      </c>
      <c r="K5" s="5" t="s">
        <v>8</v>
      </c>
      <c r="L5" s="5" t="s">
        <v>9</v>
      </c>
      <c r="M5" s="5" t="s">
        <v>10</v>
      </c>
      <c r="N5" s="5" t="s">
        <v>11</v>
      </c>
      <c r="O5" s="5" t="s">
        <v>12</v>
      </c>
      <c r="P5" s="5" t="s">
        <v>13</v>
      </c>
      <c r="Q5" s="5" t="s">
        <v>14</v>
      </c>
      <c r="R5" s="5" t="s">
        <v>15</v>
      </c>
      <c r="S5" s="5" t="s">
        <v>16</v>
      </c>
      <c r="T5" s="5" t="s">
        <v>17</v>
      </c>
      <c r="U5" s="5" t="s">
        <v>18</v>
      </c>
      <c r="V5" s="1" t="s">
        <v>115</v>
      </c>
      <c r="W5" s="4"/>
      <c r="X5" s="5" t="s">
        <v>0</v>
      </c>
      <c r="Y5" s="5" t="s">
        <v>1</v>
      </c>
      <c r="Z5" s="5" t="s">
        <v>2</v>
      </c>
      <c r="AA5" s="5" t="s">
        <v>3</v>
      </c>
      <c r="AB5" s="5" t="s">
        <v>4</v>
      </c>
      <c r="AC5" s="5" t="s">
        <v>5</v>
      </c>
      <c r="AD5" s="5" t="s">
        <v>6</v>
      </c>
      <c r="AE5" s="5" t="s">
        <v>7</v>
      </c>
      <c r="AF5" s="5" t="s">
        <v>8</v>
      </c>
      <c r="AG5" s="5" t="s">
        <v>9</v>
      </c>
      <c r="AH5" s="5" t="s">
        <v>10</v>
      </c>
      <c r="AI5" s="12" t="s">
        <v>11</v>
      </c>
      <c r="AJ5" s="5" t="s">
        <v>12</v>
      </c>
      <c r="AK5" s="5" t="s">
        <v>13</v>
      </c>
      <c r="AL5" s="5" t="s">
        <v>14</v>
      </c>
      <c r="AM5" s="5" t="s">
        <v>15</v>
      </c>
      <c r="AN5" s="5" t="s">
        <v>16</v>
      </c>
      <c r="AO5" s="5" t="s">
        <v>17</v>
      </c>
      <c r="AP5" s="5" t="s">
        <v>18</v>
      </c>
      <c r="AQ5" s="5" t="s">
        <v>116</v>
      </c>
      <c r="AR5" s="5" t="s">
        <v>117</v>
      </c>
      <c r="AS5" s="5" t="s">
        <v>118</v>
      </c>
      <c r="AT5" s="5" t="s">
        <v>119</v>
      </c>
      <c r="AU5" s="1" t="s">
        <v>115</v>
      </c>
      <c r="AV5" s="22" t="s">
        <v>120</v>
      </c>
      <c r="AW5" s="22" t="s">
        <v>120</v>
      </c>
      <c r="AX5" s="23" t="str">
        <f>INDEX($X$5:$AT$5,1,AX4)</f>
        <v>Well_Depth</v>
      </c>
      <c r="AY5" s="23" t="str">
        <f>INDEX($X$5:$AT$5,1,AY4)</f>
        <v>RASTERVALU</v>
      </c>
      <c r="AZ5" s="1" t="s">
        <v>115</v>
      </c>
      <c r="BA5" s="5" t="str">
        <f>INDEX($X$5:$AT$39,$A5,BA$4)</f>
        <v>ID_Well</v>
      </c>
      <c r="BB5" s="26"/>
      <c r="BC5" s="5" t="str">
        <f>INDEX($X$5:$AT$39,$A5,BC$4)</f>
        <v>Comments</v>
      </c>
      <c r="BD5" s="5" t="str">
        <f>INDEX($X$5:$AT$39,$A5,BD$4)</f>
        <v>WellDMeter</v>
      </c>
      <c r="BE5" s="5" t="str">
        <f>INDEX($X$5:$AT$39,$A5,BE$4)</f>
        <v>OBJECTID</v>
      </c>
      <c r="BF5" s="1" t="s">
        <v>115</v>
      </c>
      <c r="BG5" s="6"/>
      <c r="BH5" s="6">
        <v>1</v>
      </c>
      <c r="BI5" s="5" t="str">
        <v>OBJECTID</v>
      </c>
      <c r="BJ5" s="1"/>
      <c r="BK5">
        <v>11</v>
      </c>
      <c r="BL5" s="17" t="s">
        <v>137</v>
      </c>
      <c r="BM5">
        <v>11</v>
      </c>
      <c r="BN5">
        <v>150</v>
      </c>
      <c r="BO5">
        <v>250</v>
      </c>
      <c r="BP5">
        <v>200</v>
      </c>
      <c r="BQ5" s="30">
        <v>60.96</v>
      </c>
      <c r="BR5" s="1" t="s">
        <v>115</v>
      </c>
      <c r="BS5">
        <v>11</v>
      </c>
      <c r="BT5" t="s">
        <v>137</v>
      </c>
      <c r="BU5" s="30">
        <v>60.96</v>
      </c>
      <c r="BV5" s="30">
        <v>175</v>
      </c>
      <c r="BW5" s="30">
        <v>-114.039999999999</v>
      </c>
      <c r="BX5" s="1"/>
      <c r="BY5" s="1"/>
      <c r="BZ5" s="1"/>
      <c r="CA5" s="1"/>
      <c r="CB5" s="1"/>
      <c r="CC5" s="1"/>
      <c r="CD5" s="1"/>
      <c r="CE5" s="1"/>
    </row>
    <row r="6" spans="1:83" ht="12.95" customHeight="1" x14ac:dyDescent="0.25">
      <c r="A6" s="10">
        <f t="shared" ref="A6:A39" si="2">ROW()-ROW($A$4)</f>
        <v>2</v>
      </c>
      <c r="B6" s="4">
        <v>0</v>
      </c>
      <c r="C6">
        <v>4</v>
      </c>
      <c r="D6" t="s">
        <v>19</v>
      </c>
      <c r="E6" t="s">
        <v>20</v>
      </c>
      <c r="F6">
        <v>-74.567124789999994</v>
      </c>
      <c r="G6">
        <v>41.78170334</v>
      </c>
      <c r="H6">
        <v>2.8741003117699999E-4</v>
      </c>
      <c r="I6">
        <v>500</v>
      </c>
      <c r="K6">
        <v>152.4</v>
      </c>
      <c r="L6">
        <v>0</v>
      </c>
      <c r="M6">
        <v>0</v>
      </c>
      <c r="N6" t="s">
        <v>21</v>
      </c>
      <c r="O6">
        <v>448.74700000000001</v>
      </c>
      <c r="P6" t="s">
        <v>22</v>
      </c>
      <c r="Q6">
        <v>13824</v>
      </c>
      <c r="R6" t="s">
        <v>23</v>
      </c>
      <c r="S6">
        <v>1.3823999999999999E-2</v>
      </c>
      <c r="T6" t="s">
        <v>24</v>
      </c>
      <c r="U6" t="s">
        <v>25</v>
      </c>
      <c r="V6" s="1" t="s">
        <v>115</v>
      </c>
      <c r="W6" s="6">
        <v>0</v>
      </c>
      <c r="X6" s="9">
        <v>4</v>
      </c>
      <c r="Y6" s="9" t="s">
        <v>19</v>
      </c>
      <c r="Z6" s="9" t="s">
        <v>20</v>
      </c>
      <c r="AA6" s="15">
        <v>-74.567124789999994</v>
      </c>
      <c r="AB6" s="15">
        <v>41.78170334</v>
      </c>
      <c r="AC6" s="14">
        <v>2.8741003117699999E-4</v>
      </c>
      <c r="AD6" s="9">
        <v>500</v>
      </c>
      <c r="AE6" s="9"/>
      <c r="AF6" s="15">
        <v>152.4</v>
      </c>
      <c r="AG6" s="15">
        <v>2000</v>
      </c>
      <c r="AH6" s="15">
        <v>-2000</v>
      </c>
      <c r="AI6" s="8" t="s">
        <v>21</v>
      </c>
      <c r="AJ6" s="15">
        <v>448.74700000000001</v>
      </c>
      <c r="AK6" s="9" t="s">
        <v>22</v>
      </c>
      <c r="AL6" s="9">
        <v>13824</v>
      </c>
      <c r="AM6" s="9" t="s">
        <v>23</v>
      </c>
      <c r="AN6" s="9">
        <v>1.3823999999999999E-2</v>
      </c>
      <c r="AO6" s="9" t="s">
        <v>24</v>
      </c>
      <c r="AP6" s="9" t="s">
        <v>25</v>
      </c>
      <c r="AQ6" s="16">
        <v>1753754.29993774</v>
      </c>
      <c r="AR6" s="16">
        <v>2285095.1060784701</v>
      </c>
      <c r="AS6" s="15">
        <v>-1.0879648061177201</v>
      </c>
      <c r="AT6" s="15">
        <v>-52.329507839999998</v>
      </c>
      <c r="AU6" s="1" t="s">
        <v>115</v>
      </c>
      <c r="AV6" s="9">
        <f>IF(Z5=Z6,0,MAX(AV$5:AV5)+1)</f>
        <v>1</v>
      </c>
      <c r="AW6" s="9">
        <f>IF(AV6&lt;&gt;0,AV6,AW5)</f>
        <v>1</v>
      </c>
      <c r="AX6" s="18">
        <f>-AD6</f>
        <v>-500</v>
      </c>
      <c r="AY6" s="19">
        <f>-AJ6</f>
        <v>-448.74700000000001</v>
      </c>
      <c r="AZ6" s="1" t="s">
        <v>115</v>
      </c>
      <c r="BA6" s="1" t="str">
        <f>INDEX($X$5:$AT$39,$A6,BA$4)</f>
        <v>well_0</v>
      </c>
      <c r="BB6" s="24" t="s">
        <v>168</v>
      </c>
      <c r="BC6" s="17" t="str">
        <f t="shared" ref="BC6:BE28" si="3">INDEX($X$5:$AT$39,$A6,BC$4)</f>
        <v>Bedrock well according to SWUDS</v>
      </c>
      <c r="BD6" s="1">
        <f t="shared" si="3"/>
        <v>152.4</v>
      </c>
      <c r="BE6" s="1">
        <f t="shared" si="3"/>
        <v>4</v>
      </c>
      <c r="BF6" s="1" t="s">
        <v>115</v>
      </c>
      <c r="BG6" s="6"/>
      <c r="BH6" s="6">
        <v>2</v>
      </c>
      <c r="BI6" s="5" t="str">
        <v>Type</v>
      </c>
      <c r="BJ6" s="1"/>
      <c r="BK6">
        <v>12</v>
      </c>
      <c r="BL6" s="17" t="s">
        <v>138</v>
      </c>
      <c r="BM6">
        <v>12</v>
      </c>
      <c r="BN6">
        <v>150</v>
      </c>
      <c r="BO6">
        <v>250</v>
      </c>
      <c r="BP6">
        <v>200</v>
      </c>
      <c r="BQ6" s="30">
        <v>60.96</v>
      </c>
      <c r="BR6" s="1" t="s">
        <v>115</v>
      </c>
      <c r="BS6">
        <v>12</v>
      </c>
      <c r="BT6" t="s">
        <v>138</v>
      </c>
      <c r="BU6" s="30">
        <v>60.96</v>
      </c>
      <c r="BV6" s="30">
        <v>175</v>
      </c>
      <c r="BW6" s="30">
        <v>-114.039999999999</v>
      </c>
      <c r="BX6" s="1"/>
      <c r="BY6" s="1"/>
      <c r="BZ6" s="1"/>
      <c r="CA6" s="1"/>
      <c r="CB6" s="1"/>
      <c r="CC6" s="1"/>
      <c r="CD6" s="1"/>
      <c r="CE6" s="1"/>
    </row>
    <row r="7" spans="1:83" ht="12.95" customHeight="1" x14ac:dyDescent="0.25">
      <c r="A7" s="10">
        <f t="shared" si="2"/>
        <v>3</v>
      </c>
      <c r="B7" s="4">
        <v>1</v>
      </c>
      <c r="C7">
        <v>5</v>
      </c>
      <c r="D7" t="s">
        <v>19</v>
      </c>
      <c r="E7" t="s">
        <v>20</v>
      </c>
      <c r="F7">
        <v>-74.567124789999994</v>
      </c>
      <c r="G7">
        <v>41.78170334</v>
      </c>
      <c r="H7">
        <v>2.5466296617899999E-4</v>
      </c>
      <c r="I7">
        <v>620</v>
      </c>
      <c r="K7">
        <v>188.976</v>
      </c>
      <c r="L7">
        <v>0</v>
      </c>
      <c r="M7">
        <v>0</v>
      </c>
      <c r="N7" t="s">
        <v>21</v>
      </c>
      <c r="O7">
        <v>448.74700000000001</v>
      </c>
      <c r="P7" t="s">
        <v>22</v>
      </c>
      <c r="Q7">
        <v>12240</v>
      </c>
      <c r="R7" t="s">
        <v>23</v>
      </c>
      <c r="S7">
        <v>1.2239999999999999E-2</v>
      </c>
      <c r="T7" t="s">
        <v>26</v>
      </c>
      <c r="U7" t="s">
        <v>25</v>
      </c>
      <c r="V7" s="1" t="s">
        <v>115</v>
      </c>
      <c r="W7" s="6">
        <v>1</v>
      </c>
      <c r="X7" s="9">
        <v>5</v>
      </c>
      <c r="Y7" s="9" t="s">
        <v>19</v>
      </c>
      <c r="Z7" s="9" t="s">
        <v>20</v>
      </c>
      <c r="AA7" s="15">
        <v>-74.567124789999994</v>
      </c>
      <c r="AB7" s="15">
        <v>41.78170334</v>
      </c>
      <c r="AC7" s="14">
        <v>2.5466296617899999E-4</v>
      </c>
      <c r="AD7" s="9">
        <v>620</v>
      </c>
      <c r="AE7" s="9"/>
      <c r="AF7" s="15">
        <v>188.976</v>
      </c>
      <c r="AG7" s="15">
        <v>2000</v>
      </c>
      <c r="AH7" s="15">
        <v>-2000</v>
      </c>
      <c r="AI7" s="8" t="s">
        <v>21</v>
      </c>
      <c r="AJ7" s="15">
        <v>448.74700000000001</v>
      </c>
      <c r="AK7" s="9" t="s">
        <v>22</v>
      </c>
      <c r="AL7" s="9">
        <v>12240</v>
      </c>
      <c r="AM7" s="9" t="s">
        <v>23</v>
      </c>
      <c r="AN7" s="9">
        <v>1.2239999999999999E-2</v>
      </c>
      <c r="AO7" s="9" t="s">
        <v>26</v>
      </c>
      <c r="AP7" s="9" t="s">
        <v>25</v>
      </c>
      <c r="AQ7" s="16">
        <v>1753754.29993774</v>
      </c>
      <c r="AR7" s="16">
        <v>2285095.1060784701</v>
      </c>
      <c r="AS7" s="15">
        <v>-0.96400373880364798</v>
      </c>
      <c r="AT7" s="15">
        <v>-46.3334183999999</v>
      </c>
      <c r="AU7" s="1" t="s">
        <v>115</v>
      </c>
      <c r="AV7" s="9">
        <f>IF(Z6=Z7,0,MAX(AV$5:AV6)+1)</f>
        <v>0</v>
      </c>
      <c r="AW7" s="9">
        <f t="shared" ref="AW7:AW39" si="4">IF(AV7&lt;&gt;0,AV7,AW6)</f>
        <v>1</v>
      </c>
      <c r="AX7" s="18">
        <f t="shared" ref="AX7:AX39" si="5">-AD7</f>
        <v>-620</v>
      </c>
      <c r="AY7" s="19">
        <f t="shared" ref="AY7:AY39" si="6">-AJ7</f>
        <v>-448.74700000000001</v>
      </c>
      <c r="AZ7" s="1" t="s">
        <v>115</v>
      </c>
      <c r="BA7" s="1" t="str">
        <f t="shared" ref="BA7:BA28" si="7">INDEX($X$5:$AT$39,$A7,BA$4)</f>
        <v>well_1</v>
      </c>
      <c r="BB7" s="24" t="s">
        <v>168</v>
      </c>
      <c r="BC7" s="17" t="str">
        <f t="shared" si="3"/>
        <v>Bedrock well according to SWUDS</v>
      </c>
      <c r="BD7" s="1">
        <f t="shared" si="3"/>
        <v>188.976</v>
      </c>
      <c r="BE7" s="1">
        <f t="shared" si="3"/>
        <v>5</v>
      </c>
      <c r="BF7" s="1" t="s">
        <v>115</v>
      </c>
      <c r="BG7" s="6"/>
      <c r="BH7" s="6">
        <v>3</v>
      </c>
      <c r="BI7" s="5" t="str">
        <v>DEC_ID</v>
      </c>
      <c r="BJ7" s="1"/>
      <c r="BK7">
        <v>13</v>
      </c>
      <c r="BL7" s="17" t="s">
        <v>139</v>
      </c>
      <c r="BM7">
        <v>13</v>
      </c>
      <c r="BN7">
        <v>150</v>
      </c>
      <c r="BO7">
        <v>250</v>
      </c>
      <c r="BP7">
        <v>200</v>
      </c>
      <c r="BQ7" s="30">
        <v>60.96</v>
      </c>
      <c r="BR7" s="1" t="s">
        <v>115</v>
      </c>
      <c r="BS7">
        <v>13</v>
      </c>
      <c r="BT7" t="s">
        <v>139</v>
      </c>
      <c r="BU7" s="30">
        <v>60.96</v>
      </c>
      <c r="BV7" s="30">
        <v>175</v>
      </c>
      <c r="BW7" s="30">
        <v>-114.039999999999</v>
      </c>
      <c r="BX7" s="1"/>
      <c r="BY7" s="1"/>
      <c r="BZ7" s="1"/>
      <c r="CA7" s="1"/>
      <c r="CB7" s="1"/>
      <c r="CC7" s="1"/>
      <c r="CD7" s="1"/>
      <c r="CE7" s="1"/>
    </row>
    <row r="8" spans="1:83" ht="12.95" customHeight="1" x14ac:dyDescent="0.25">
      <c r="A8" s="10">
        <f t="shared" si="2"/>
        <v>4</v>
      </c>
      <c r="B8" s="4">
        <v>2</v>
      </c>
      <c r="C8">
        <v>6</v>
      </c>
      <c r="D8" t="s">
        <v>19</v>
      </c>
      <c r="E8" t="s">
        <v>20</v>
      </c>
      <c r="F8">
        <v>-74.567100719999999</v>
      </c>
      <c r="G8">
        <v>41.78170325</v>
      </c>
      <c r="H8">
        <v>1.36391461784E-3</v>
      </c>
      <c r="I8">
        <v>450</v>
      </c>
      <c r="K8">
        <v>137.16</v>
      </c>
      <c r="L8">
        <v>0</v>
      </c>
      <c r="M8">
        <v>0</v>
      </c>
      <c r="N8" t="s">
        <v>21</v>
      </c>
      <c r="O8">
        <v>448.73599999999999</v>
      </c>
      <c r="P8" t="s">
        <v>22</v>
      </c>
      <c r="Q8">
        <v>64800</v>
      </c>
      <c r="R8" t="s">
        <v>23</v>
      </c>
      <c r="S8">
        <v>6.4799999999999996E-2</v>
      </c>
      <c r="T8" t="s">
        <v>27</v>
      </c>
      <c r="U8" t="s">
        <v>28</v>
      </c>
      <c r="V8" s="1" t="s">
        <v>115</v>
      </c>
      <c r="W8" s="6">
        <v>2</v>
      </c>
      <c r="X8" s="9">
        <v>6</v>
      </c>
      <c r="Y8" s="9" t="s">
        <v>19</v>
      </c>
      <c r="Z8" s="9" t="s">
        <v>20</v>
      </c>
      <c r="AA8" s="15">
        <v>-74.567100719999999</v>
      </c>
      <c r="AB8" s="15">
        <v>41.78170325</v>
      </c>
      <c r="AC8" s="14">
        <v>1.36391461784E-3</v>
      </c>
      <c r="AD8" s="9">
        <v>450</v>
      </c>
      <c r="AE8" s="9"/>
      <c r="AF8" s="15">
        <v>137.16</v>
      </c>
      <c r="AG8" s="15">
        <v>2000</v>
      </c>
      <c r="AH8" s="15">
        <v>-2000</v>
      </c>
      <c r="AI8" s="8" t="s">
        <v>21</v>
      </c>
      <c r="AJ8" s="15">
        <v>448.73599999999999</v>
      </c>
      <c r="AK8" s="9" t="s">
        <v>22</v>
      </c>
      <c r="AL8" s="9">
        <v>64800</v>
      </c>
      <c r="AM8" s="9" t="s">
        <v>23</v>
      </c>
      <c r="AN8" s="9">
        <v>6.4799999999999996E-2</v>
      </c>
      <c r="AO8" s="9" t="s">
        <v>27</v>
      </c>
      <c r="AP8" s="9" t="s">
        <v>28</v>
      </c>
      <c r="AQ8" s="16">
        <v>1753756.2382211599</v>
      </c>
      <c r="AR8" s="16">
        <v>2285095.5404543499</v>
      </c>
      <c r="AS8" s="15">
        <v>-5.16297603351771</v>
      </c>
      <c r="AT8" s="15">
        <v>-245.294567999999</v>
      </c>
      <c r="AU8" s="1" t="s">
        <v>115</v>
      </c>
      <c r="AV8" s="9">
        <f>IF(Z7=Z8,0,MAX(AV$5:AV7)+1)</f>
        <v>0</v>
      </c>
      <c r="AW8" s="9">
        <f t="shared" si="4"/>
        <v>1</v>
      </c>
      <c r="AX8" s="18">
        <f>-AD8</f>
        <v>-450</v>
      </c>
      <c r="AY8" s="19">
        <f t="shared" si="6"/>
        <v>-448.73599999999999</v>
      </c>
      <c r="AZ8" s="1" t="s">
        <v>115</v>
      </c>
      <c r="BA8" s="1" t="str">
        <f t="shared" si="7"/>
        <v>well_2</v>
      </c>
      <c r="BB8" s="24" t="s">
        <v>168</v>
      </c>
      <c r="BC8" s="17" t="str">
        <f t="shared" si="3"/>
        <v>Bedrock well according to SWUDS</v>
      </c>
      <c r="BD8" s="1">
        <f t="shared" si="3"/>
        <v>137.16</v>
      </c>
      <c r="BE8" s="1">
        <f t="shared" si="3"/>
        <v>6</v>
      </c>
      <c r="BF8" s="1" t="s">
        <v>115</v>
      </c>
      <c r="BG8" s="6"/>
      <c r="BH8" s="6">
        <v>4</v>
      </c>
      <c r="BI8" s="5" t="str">
        <v>X</v>
      </c>
      <c r="BJ8" s="1"/>
      <c r="BK8">
        <v>14</v>
      </c>
      <c r="BL8" s="17" t="s">
        <v>140</v>
      </c>
      <c r="BM8">
        <v>14</v>
      </c>
      <c r="BN8">
        <v>50</v>
      </c>
      <c r="BO8">
        <v>100</v>
      </c>
      <c r="BP8">
        <v>75</v>
      </c>
      <c r="BQ8" s="30">
        <v>22.86</v>
      </c>
      <c r="BR8" s="1" t="s">
        <v>115</v>
      </c>
      <c r="BS8">
        <v>14</v>
      </c>
      <c r="BT8" t="s">
        <v>140</v>
      </c>
      <c r="BU8" s="30">
        <v>22.86</v>
      </c>
      <c r="BV8" s="30">
        <v>175</v>
      </c>
      <c r="BW8" s="30">
        <v>-152.13999999999999</v>
      </c>
      <c r="BX8" s="1"/>
      <c r="BY8" s="1"/>
      <c r="BZ8" s="1"/>
      <c r="CA8" s="1"/>
      <c r="CB8" s="1"/>
      <c r="CC8" s="1"/>
      <c r="CD8" s="1"/>
      <c r="CE8" s="1"/>
    </row>
    <row r="9" spans="1:83" ht="12.95" customHeight="1" x14ac:dyDescent="0.25">
      <c r="A9" s="10">
        <f t="shared" si="2"/>
        <v>5</v>
      </c>
      <c r="B9" s="4">
        <v>3</v>
      </c>
      <c r="C9">
        <v>7</v>
      </c>
      <c r="D9" t="s">
        <v>19</v>
      </c>
      <c r="E9" t="s">
        <v>20</v>
      </c>
      <c r="F9">
        <v>-74.567100719999999</v>
      </c>
      <c r="G9">
        <v>41.78170325</v>
      </c>
      <c r="H9">
        <v>1.21236854919E-3</v>
      </c>
      <c r="I9">
        <v>425</v>
      </c>
      <c r="K9">
        <v>129.54</v>
      </c>
      <c r="L9">
        <v>0</v>
      </c>
      <c r="M9">
        <v>0</v>
      </c>
      <c r="N9" t="s">
        <v>21</v>
      </c>
      <c r="O9">
        <v>448.73599999999999</v>
      </c>
      <c r="P9" t="s">
        <v>22</v>
      </c>
      <c r="Q9">
        <v>57600</v>
      </c>
      <c r="R9" t="s">
        <v>23</v>
      </c>
      <c r="S9">
        <v>5.7599999999999998E-2</v>
      </c>
      <c r="T9" t="s">
        <v>29</v>
      </c>
      <c r="U9" t="s">
        <v>28</v>
      </c>
      <c r="V9" s="1" t="s">
        <v>115</v>
      </c>
      <c r="W9" s="6">
        <v>3</v>
      </c>
      <c r="X9" s="9">
        <v>7</v>
      </c>
      <c r="Y9" s="9" t="s">
        <v>19</v>
      </c>
      <c r="Z9" s="9" t="s">
        <v>20</v>
      </c>
      <c r="AA9" s="15">
        <v>-74.567100719999999</v>
      </c>
      <c r="AB9" s="15">
        <v>41.78170325</v>
      </c>
      <c r="AC9" s="14">
        <v>1.21236854919E-3</v>
      </c>
      <c r="AD9" s="9">
        <v>425</v>
      </c>
      <c r="AE9" s="9"/>
      <c r="AF9" s="15">
        <v>129.54</v>
      </c>
      <c r="AG9" s="15">
        <v>2000</v>
      </c>
      <c r="AH9" s="15">
        <v>-2000</v>
      </c>
      <c r="AI9" s="8" t="s">
        <v>21</v>
      </c>
      <c r="AJ9" s="15">
        <v>448.73599999999999</v>
      </c>
      <c r="AK9" s="9" t="s">
        <v>22</v>
      </c>
      <c r="AL9" s="9">
        <v>57600</v>
      </c>
      <c r="AM9" s="9" t="s">
        <v>23</v>
      </c>
      <c r="AN9" s="9">
        <v>5.7599999999999998E-2</v>
      </c>
      <c r="AO9" s="9" t="s">
        <v>29</v>
      </c>
      <c r="AP9" s="9" t="s">
        <v>28</v>
      </c>
      <c r="AQ9" s="16">
        <v>1753756.2382211599</v>
      </c>
      <c r="AR9" s="16">
        <v>2285095.5404543499</v>
      </c>
      <c r="AS9" s="15">
        <v>-4.5893120297893102</v>
      </c>
      <c r="AT9" s="15">
        <v>-218.039616</v>
      </c>
      <c r="AU9" s="1" t="s">
        <v>115</v>
      </c>
      <c r="AV9" s="9">
        <f>IF(Z8=Z9,0,MAX(AV$5:AV8)+1)</f>
        <v>0</v>
      </c>
      <c r="AW9" s="9">
        <f t="shared" si="4"/>
        <v>1</v>
      </c>
      <c r="AX9" s="18">
        <f t="shared" si="5"/>
        <v>-425</v>
      </c>
      <c r="AY9" s="19">
        <f t="shared" si="6"/>
        <v>-448.73599999999999</v>
      </c>
      <c r="AZ9" s="1" t="s">
        <v>115</v>
      </c>
      <c r="BA9" s="1" t="str">
        <f t="shared" si="7"/>
        <v>well_3</v>
      </c>
      <c r="BB9" s="24" t="s">
        <v>168</v>
      </c>
      <c r="BC9" s="17" t="str">
        <f t="shared" si="3"/>
        <v>Bedrock well according to SWUDS</v>
      </c>
      <c r="BD9" s="1">
        <f t="shared" si="3"/>
        <v>129.54</v>
      </c>
      <c r="BE9" s="1">
        <f t="shared" si="3"/>
        <v>7</v>
      </c>
      <c r="BF9" s="1" t="s">
        <v>115</v>
      </c>
      <c r="BG9" s="6"/>
      <c r="BH9" s="6">
        <v>5</v>
      </c>
      <c r="BI9" s="5" t="str">
        <v>Y</v>
      </c>
      <c r="BJ9" s="1"/>
      <c r="BK9">
        <v>15</v>
      </c>
      <c r="BL9" s="17" t="s">
        <v>141</v>
      </c>
      <c r="BM9">
        <v>15</v>
      </c>
      <c r="BN9">
        <v>50</v>
      </c>
      <c r="BO9">
        <v>100</v>
      </c>
      <c r="BP9">
        <v>75</v>
      </c>
      <c r="BQ9" s="30">
        <v>22.86</v>
      </c>
      <c r="BR9" s="1" t="s">
        <v>115</v>
      </c>
      <c r="BS9">
        <v>15</v>
      </c>
      <c r="BT9" t="s">
        <v>141</v>
      </c>
      <c r="BU9" s="30">
        <v>22.86</v>
      </c>
      <c r="BV9" s="30">
        <v>19.812000000000001</v>
      </c>
      <c r="BW9" s="30">
        <v>3.0479999999999898</v>
      </c>
      <c r="BX9" s="1"/>
      <c r="BY9" s="1"/>
      <c r="BZ9" s="1"/>
      <c r="CA9" s="1"/>
      <c r="CB9" s="1"/>
      <c r="CC9" s="1"/>
      <c r="CD9" s="1"/>
      <c r="CE9" s="1"/>
    </row>
    <row r="10" spans="1:83" ht="12.95" customHeight="1" x14ac:dyDescent="0.25">
      <c r="A10" s="10">
        <f t="shared" si="2"/>
        <v>6</v>
      </c>
      <c r="B10" s="4">
        <v>4</v>
      </c>
      <c r="C10">
        <v>9</v>
      </c>
      <c r="D10" t="s">
        <v>19</v>
      </c>
      <c r="E10" t="s">
        <v>30</v>
      </c>
      <c r="F10">
        <v>-74.5902541958</v>
      </c>
      <c r="G10">
        <v>41.702976571500002</v>
      </c>
      <c r="H10">
        <v>1.6090455872399999E-2</v>
      </c>
      <c r="I10">
        <v>52</v>
      </c>
      <c r="J10">
        <v>414210074352501</v>
      </c>
      <c r="K10">
        <v>15.849600000000001</v>
      </c>
      <c r="L10">
        <v>326.25595615200001</v>
      </c>
      <c r="M10">
        <v>323.20795615200001</v>
      </c>
      <c r="N10" t="s">
        <v>31</v>
      </c>
      <c r="O10">
        <v>339.05799999999999</v>
      </c>
      <c r="P10" t="s">
        <v>32</v>
      </c>
      <c r="Q10">
        <v>108000</v>
      </c>
      <c r="R10" t="s">
        <v>23</v>
      </c>
      <c r="S10">
        <v>0.108</v>
      </c>
      <c r="T10" t="s">
        <v>33</v>
      </c>
      <c r="U10" t="s">
        <v>34</v>
      </c>
      <c r="V10" s="1" t="s">
        <v>115</v>
      </c>
      <c r="W10" s="6">
        <v>4</v>
      </c>
      <c r="X10" s="9">
        <v>9</v>
      </c>
      <c r="Y10" s="9" t="s">
        <v>19</v>
      </c>
      <c r="Z10" s="9" t="s">
        <v>30</v>
      </c>
      <c r="AA10" s="15">
        <v>-74.5902541958</v>
      </c>
      <c r="AB10" s="15">
        <v>41.702976571500002</v>
      </c>
      <c r="AC10" s="14">
        <v>1.6090455872399999E-2</v>
      </c>
      <c r="AD10" s="9">
        <v>52</v>
      </c>
      <c r="AE10" s="9">
        <v>414210074352501</v>
      </c>
      <c r="AF10" s="15">
        <v>15.849600000000001</v>
      </c>
      <c r="AG10" s="15">
        <v>326.25595615200001</v>
      </c>
      <c r="AH10" s="15">
        <v>323.20795615200001</v>
      </c>
      <c r="AI10" s="8" t="s">
        <v>31</v>
      </c>
      <c r="AJ10" s="15">
        <v>339.05799999999999</v>
      </c>
      <c r="AK10" s="9" t="s">
        <v>32</v>
      </c>
      <c r="AL10" s="9">
        <v>108000</v>
      </c>
      <c r="AM10" s="9" t="s">
        <v>23</v>
      </c>
      <c r="AN10" s="9">
        <v>0.108</v>
      </c>
      <c r="AO10" s="9" t="s">
        <v>33</v>
      </c>
      <c r="AP10" s="9" t="s">
        <v>34</v>
      </c>
      <c r="AQ10" s="16">
        <v>1753861.7087670299</v>
      </c>
      <c r="AR10" s="16">
        <v>2276081.9775081798</v>
      </c>
      <c r="AS10" s="15">
        <v>-60.908972563941603</v>
      </c>
      <c r="AT10" s="15">
        <v>-408.82427999999999</v>
      </c>
      <c r="AU10" s="1" t="s">
        <v>115</v>
      </c>
      <c r="AV10" s="9">
        <f>IF(Z9=Z10,0,MAX(AV$5:AV9)+1)</f>
        <v>2</v>
      </c>
      <c r="AW10" s="9">
        <f t="shared" si="4"/>
        <v>2</v>
      </c>
      <c r="AX10" s="18">
        <f t="shared" si="5"/>
        <v>-52</v>
      </c>
      <c r="AY10" s="19">
        <f t="shared" si="6"/>
        <v>-339.05799999999999</v>
      </c>
      <c r="AZ10" s="1" t="s">
        <v>115</v>
      </c>
      <c r="BA10" s="1" t="str">
        <f t="shared" si="7"/>
        <v>SV_193</v>
      </c>
      <c r="BB10" s="24">
        <v>1</v>
      </c>
      <c r="BC10" s="17" t="str">
        <f t="shared" si="3"/>
        <v>Screen in L3 - Kame</v>
      </c>
      <c r="BD10" s="1">
        <f t="shared" si="3"/>
        <v>15.849600000000001</v>
      </c>
      <c r="BE10" s="1">
        <f t="shared" si="3"/>
        <v>9</v>
      </c>
      <c r="BF10" s="1" t="s">
        <v>115</v>
      </c>
      <c r="BG10" s="6"/>
      <c r="BH10" s="6">
        <v>6</v>
      </c>
      <c r="BI10" s="5" t="str">
        <v>Avg_Mgd</v>
      </c>
      <c r="BJ10" s="1"/>
      <c r="BK10">
        <v>16</v>
      </c>
      <c r="BL10" s="17" t="s">
        <v>142</v>
      </c>
      <c r="BM10">
        <v>16</v>
      </c>
      <c r="BN10">
        <v>25</v>
      </c>
      <c r="BO10">
        <v>75</v>
      </c>
      <c r="BP10">
        <v>50</v>
      </c>
      <c r="BQ10" s="30">
        <v>15.24</v>
      </c>
      <c r="BR10" s="1" t="s">
        <v>115</v>
      </c>
      <c r="BS10">
        <v>16</v>
      </c>
      <c r="BT10" t="s">
        <v>142</v>
      </c>
      <c r="BU10" s="30">
        <v>15.24</v>
      </c>
      <c r="BV10" s="30">
        <v>12.192</v>
      </c>
      <c r="BW10" s="30">
        <v>3.048</v>
      </c>
      <c r="BX10" s="1"/>
      <c r="BY10" s="1"/>
      <c r="BZ10" s="1"/>
      <c r="CA10" s="1"/>
      <c r="CB10" s="1"/>
      <c r="CC10" s="1"/>
      <c r="CD10" s="1"/>
      <c r="CE10" s="1"/>
    </row>
    <row r="11" spans="1:83" ht="12.95" customHeight="1" x14ac:dyDescent="0.25">
      <c r="A11" s="10">
        <f t="shared" si="2"/>
        <v>7</v>
      </c>
      <c r="B11" s="4">
        <v>5</v>
      </c>
      <c r="C11">
        <v>10</v>
      </c>
      <c r="D11" t="s">
        <v>19</v>
      </c>
      <c r="E11" t="s">
        <v>30</v>
      </c>
      <c r="F11">
        <v>-74.599205966900001</v>
      </c>
      <c r="G11">
        <v>41.694179012399999</v>
      </c>
      <c r="H11">
        <v>4.9720967138300001E-2</v>
      </c>
      <c r="I11">
        <v>92</v>
      </c>
      <c r="J11">
        <v>414138074355701</v>
      </c>
      <c r="K11">
        <v>28.041599999999999</v>
      </c>
      <c r="L11">
        <v>313.14800000000002</v>
      </c>
      <c r="M11">
        <v>310.10000000000002</v>
      </c>
      <c r="N11" t="s">
        <v>35</v>
      </c>
      <c r="O11">
        <v>337.79300000000001</v>
      </c>
      <c r="P11" t="s">
        <v>32</v>
      </c>
      <c r="Q11">
        <v>331200</v>
      </c>
      <c r="R11" t="s">
        <v>23</v>
      </c>
      <c r="S11">
        <v>0.33119999999999999</v>
      </c>
      <c r="T11" t="s">
        <v>36</v>
      </c>
      <c r="U11" t="s">
        <v>37</v>
      </c>
      <c r="V11" s="1" t="s">
        <v>115</v>
      </c>
      <c r="W11" s="6">
        <v>5</v>
      </c>
      <c r="X11" s="9">
        <v>10</v>
      </c>
      <c r="Y11" s="9" t="s">
        <v>19</v>
      </c>
      <c r="Z11" s="9" t="s">
        <v>30</v>
      </c>
      <c r="AA11" s="15">
        <v>-74.599205966900001</v>
      </c>
      <c r="AB11" s="15">
        <v>41.694179012399999</v>
      </c>
      <c r="AC11" s="14">
        <v>4.9720967138300001E-2</v>
      </c>
      <c r="AD11" s="9">
        <v>92</v>
      </c>
      <c r="AE11" s="9">
        <v>414138074355701</v>
      </c>
      <c r="AF11" s="15">
        <v>28.041599999999999</v>
      </c>
      <c r="AG11" s="15">
        <v>313.14800000000002</v>
      </c>
      <c r="AH11" s="15">
        <v>310.10000000000002</v>
      </c>
      <c r="AI11" s="8" t="s">
        <v>35</v>
      </c>
      <c r="AJ11" s="15">
        <v>337.79300000000001</v>
      </c>
      <c r="AK11" s="9" t="s">
        <v>32</v>
      </c>
      <c r="AL11" s="9">
        <v>331200</v>
      </c>
      <c r="AM11" s="9" t="s">
        <v>23</v>
      </c>
      <c r="AN11" s="9">
        <v>0.33119999999999999</v>
      </c>
      <c r="AO11" s="9" t="s">
        <v>36</v>
      </c>
      <c r="AP11" s="9" t="s">
        <v>37</v>
      </c>
      <c r="AQ11" s="16">
        <v>1753360.6525610001</v>
      </c>
      <c r="AR11" s="16">
        <v>2274957.2117170999</v>
      </c>
      <c r="AS11" s="15">
        <v>-188.21424621499199</v>
      </c>
      <c r="AT11" s="15">
        <v>-1253.7277919999999</v>
      </c>
      <c r="AU11" s="1" t="s">
        <v>115</v>
      </c>
      <c r="AV11" s="9">
        <f>IF(Z10=Z11,0,MAX(AV$5:AV10)+1)</f>
        <v>0</v>
      </c>
      <c r="AW11" s="9">
        <f t="shared" si="4"/>
        <v>2</v>
      </c>
      <c r="AX11" s="18">
        <f t="shared" si="5"/>
        <v>-92</v>
      </c>
      <c r="AY11" s="19">
        <f t="shared" si="6"/>
        <v>-337.79300000000001</v>
      </c>
      <c r="AZ11" s="1" t="s">
        <v>115</v>
      </c>
      <c r="BA11" s="1" t="str">
        <f t="shared" si="7"/>
        <v>SV_227</v>
      </c>
      <c r="BB11" s="24">
        <f>MAX(BB$6:BB10)+1</f>
        <v>2</v>
      </c>
      <c r="BC11" s="17" t="str">
        <f t="shared" si="3"/>
        <v>Screen in L1</v>
      </c>
      <c r="BD11" s="1">
        <f t="shared" si="3"/>
        <v>28.041599999999999</v>
      </c>
      <c r="BE11" s="1">
        <f t="shared" si="3"/>
        <v>10</v>
      </c>
      <c r="BF11" s="1" t="s">
        <v>115</v>
      </c>
      <c r="BG11" s="6">
        <f>BH11</f>
        <v>7</v>
      </c>
      <c r="BH11" s="6">
        <v>7</v>
      </c>
      <c r="BI11" s="5" t="str">
        <v>Well_Depth</v>
      </c>
      <c r="BJ11" s="1"/>
      <c r="BK11">
        <v>17</v>
      </c>
      <c r="BL11" s="17" t="s">
        <v>143</v>
      </c>
      <c r="BM11">
        <v>17</v>
      </c>
      <c r="BN11">
        <v>100</v>
      </c>
      <c r="BO11">
        <v>200</v>
      </c>
      <c r="BP11">
        <v>150</v>
      </c>
      <c r="BQ11" s="30">
        <v>45.72</v>
      </c>
      <c r="BR11" s="1" t="s">
        <v>115</v>
      </c>
      <c r="BS11">
        <v>17</v>
      </c>
      <c r="BT11" t="s">
        <v>143</v>
      </c>
      <c r="BU11" s="30">
        <v>45.72</v>
      </c>
      <c r="BV11" s="30">
        <v>12.192</v>
      </c>
      <c r="BW11" s="30">
        <v>33.527999999999999</v>
      </c>
      <c r="BX11" s="1"/>
      <c r="BY11" s="1"/>
      <c r="BZ11" s="1"/>
      <c r="CA11" s="1"/>
      <c r="CB11" s="1"/>
      <c r="CC11" s="1"/>
      <c r="CD11" s="1"/>
      <c r="CE11" s="1"/>
    </row>
    <row r="12" spans="1:83" ht="12.95" customHeight="1" x14ac:dyDescent="0.25">
      <c r="A12" s="10">
        <f t="shared" si="2"/>
        <v>8</v>
      </c>
      <c r="B12" s="4">
        <v>6</v>
      </c>
      <c r="C12">
        <v>11</v>
      </c>
      <c r="D12" t="s">
        <v>19</v>
      </c>
      <c r="E12" t="s">
        <v>38</v>
      </c>
      <c r="F12">
        <v>-74.389707999999999</v>
      </c>
      <c r="G12">
        <v>41.712789999999998</v>
      </c>
      <c r="H12">
        <v>6.2288786801899997E-2</v>
      </c>
      <c r="I12">
        <v>60</v>
      </c>
      <c r="J12">
        <v>414212074233001</v>
      </c>
      <c r="K12">
        <v>18.288</v>
      </c>
      <c r="L12">
        <v>81.428518066400002</v>
      </c>
      <c r="M12">
        <v>78.380518066400001</v>
      </c>
      <c r="N12" t="s">
        <v>39</v>
      </c>
      <c r="O12">
        <v>96.668499999999995</v>
      </c>
      <c r="P12" t="s">
        <v>32</v>
      </c>
      <c r="Q12">
        <v>190000</v>
      </c>
      <c r="R12" t="s">
        <v>23</v>
      </c>
      <c r="S12">
        <v>0.19</v>
      </c>
      <c r="T12" t="s">
        <v>40</v>
      </c>
      <c r="U12" t="s">
        <v>41</v>
      </c>
      <c r="V12" s="1" t="s">
        <v>115</v>
      </c>
      <c r="W12" s="6">
        <v>6</v>
      </c>
      <c r="X12" s="9">
        <v>11</v>
      </c>
      <c r="Y12" s="9" t="s">
        <v>19</v>
      </c>
      <c r="Z12" s="9" t="s">
        <v>38</v>
      </c>
      <c r="AA12" s="15">
        <v>-74.389707999999999</v>
      </c>
      <c r="AB12" s="15">
        <v>41.712789999999998</v>
      </c>
      <c r="AC12" s="14">
        <v>6.2288786801899997E-2</v>
      </c>
      <c r="AD12" s="9">
        <v>60</v>
      </c>
      <c r="AE12" s="9">
        <v>414212074233001</v>
      </c>
      <c r="AF12" s="15">
        <v>18.288</v>
      </c>
      <c r="AG12" s="15">
        <v>81.428518066400002</v>
      </c>
      <c r="AH12" s="15">
        <v>78.380518066400001</v>
      </c>
      <c r="AI12" s="8" t="s">
        <v>39</v>
      </c>
      <c r="AJ12" s="15">
        <v>96.668499999999995</v>
      </c>
      <c r="AK12" s="9" t="s">
        <v>32</v>
      </c>
      <c r="AL12" s="9">
        <v>190000</v>
      </c>
      <c r="AM12" s="9" t="s">
        <v>23</v>
      </c>
      <c r="AN12" s="9">
        <v>0.19</v>
      </c>
      <c r="AO12" s="9" t="s">
        <v>40</v>
      </c>
      <c r="AP12" s="9" t="s">
        <v>41</v>
      </c>
      <c r="AQ12" s="16">
        <v>1769759.85933624</v>
      </c>
      <c r="AR12" s="16">
        <v>2280869.9901096001</v>
      </c>
      <c r="AS12" s="15">
        <v>-235.78859644778001</v>
      </c>
      <c r="AT12" s="15">
        <v>-719.22789999999998</v>
      </c>
      <c r="AU12" s="1" t="s">
        <v>115</v>
      </c>
      <c r="AV12" s="9">
        <f>IF(Z11=Z12,0,MAX(AV$5:AV11)+1)</f>
        <v>3</v>
      </c>
      <c r="AW12" s="9">
        <f t="shared" si="4"/>
        <v>3</v>
      </c>
      <c r="AX12" s="18">
        <f t="shared" si="5"/>
        <v>-60</v>
      </c>
      <c r="AY12" s="19">
        <f t="shared" si="6"/>
        <v>-96.668499999999995</v>
      </c>
      <c r="AZ12" s="1" t="s">
        <v>115</v>
      </c>
      <c r="BA12" s="1" t="str">
        <f t="shared" si="7"/>
        <v>U__55</v>
      </c>
      <c r="BB12" s="24">
        <f>MAX(BB$6:BB11)+1</f>
        <v>3</v>
      </c>
      <c r="BC12" s="17" t="str">
        <f t="shared" si="3"/>
        <v>Screen in L2 - Lacustrine sand</v>
      </c>
      <c r="BD12" s="1">
        <f t="shared" si="3"/>
        <v>18.288</v>
      </c>
      <c r="BE12" s="1">
        <f t="shared" si="3"/>
        <v>11</v>
      </c>
      <c r="BF12" s="1" t="s">
        <v>115</v>
      </c>
      <c r="BG12" s="6"/>
      <c r="BH12" s="6">
        <v>8</v>
      </c>
      <c r="BI12" s="5" t="str">
        <v>NWIS_ID</v>
      </c>
      <c r="BJ12" s="1"/>
      <c r="BK12">
        <v>18</v>
      </c>
      <c r="BL12" s="17" t="s">
        <v>144</v>
      </c>
      <c r="BM12">
        <v>18</v>
      </c>
      <c r="BN12">
        <v>10</v>
      </c>
      <c r="BO12">
        <v>50</v>
      </c>
      <c r="BP12">
        <v>30</v>
      </c>
      <c r="BQ12" s="30">
        <v>9.1440000000000001</v>
      </c>
      <c r="BR12" s="1" t="s">
        <v>115</v>
      </c>
      <c r="BS12">
        <v>18</v>
      </c>
      <c r="BT12" t="s">
        <v>144</v>
      </c>
      <c r="BU12" s="30">
        <v>9.1440000000000001</v>
      </c>
      <c r="BV12" s="30">
        <v>19.812000000000001</v>
      </c>
      <c r="BW12" s="30">
        <v>-10.667999999999999</v>
      </c>
      <c r="BX12" s="1"/>
      <c r="BY12" s="1"/>
      <c r="BZ12" s="1"/>
      <c r="CA12" s="1"/>
      <c r="CB12" s="1"/>
      <c r="CC12" s="1"/>
      <c r="CD12" s="1"/>
      <c r="CE12" s="1"/>
    </row>
    <row r="13" spans="1:83" ht="12.95" customHeight="1" x14ac:dyDescent="0.25">
      <c r="A13" s="10">
        <f t="shared" si="2"/>
        <v>9</v>
      </c>
      <c r="B13" s="4">
        <v>7</v>
      </c>
      <c r="C13">
        <v>12</v>
      </c>
      <c r="D13" t="s">
        <v>19</v>
      </c>
      <c r="E13" t="s">
        <v>38</v>
      </c>
      <c r="F13">
        <v>-74.391157000000007</v>
      </c>
      <c r="G13">
        <v>41.704287000000001</v>
      </c>
      <c r="H13">
        <v>0.26264949433899998</v>
      </c>
      <c r="I13">
        <v>35</v>
      </c>
      <c r="J13">
        <v>414210074233601</v>
      </c>
      <c r="K13">
        <v>10.667999999999999</v>
      </c>
      <c r="L13">
        <v>92.268603210400002</v>
      </c>
      <c r="M13">
        <v>89.2206032104</v>
      </c>
      <c r="N13" t="s">
        <v>42</v>
      </c>
      <c r="O13">
        <v>99.888599999999997</v>
      </c>
      <c r="P13" t="s">
        <v>32</v>
      </c>
      <c r="Q13">
        <v>720000</v>
      </c>
      <c r="R13" t="s">
        <v>23</v>
      </c>
      <c r="S13">
        <v>0.72</v>
      </c>
      <c r="T13" t="s">
        <v>43</v>
      </c>
      <c r="U13" t="s">
        <v>44</v>
      </c>
      <c r="V13" s="1" t="s">
        <v>115</v>
      </c>
      <c r="W13" s="6">
        <v>7</v>
      </c>
      <c r="X13" s="9">
        <v>12</v>
      </c>
      <c r="Y13" s="9" t="s">
        <v>19</v>
      </c>
      <c r="Z13" s="9" t="s">
        <v>38</v>
      </c>
      <c r="AA13" s="15">
        <v>-74.391157000000007</v>
      </c>
      <c r="AB13" s="15">
        <v>41.704287000000001</v>
      </c>
      <c r="AC13" s="14">
        <v>0.26264949433899998</v>
      </c>
      <c r="AD13" s="9">
        <v>35</v>
      </c>
      <c r="AE13" s="9">
        <v>414210074233601</v>
      </c>
      <c r="AF13" s="15">
        <v>10.667999999999999</v>
      </c>
      <c r="AG13" s="15">
        <v>92.268603210400002</v>
      </c>
      <c r="AH13" s="15">
        <v>89.2206032104</v>
      </c>
      <c r="AI13" s="8" t="s">
        <v>42</v>
      </c>
      <c r="AJ13" s="15">
        <v>99.888599999999997</v>
      </c>
      <c r="AK13" s="9" t="s">
        <v>32</v>
      </c>
      <c r="AL13" s="9">
        <v>720000</v>
      </c>
      <c r="AM13" s="9" t="s">
        <v>23</v>
      </c>
      <c r="AN13" s="9">
        <v>0.72</v>
      </c>
      <c r="AO13" s="9" t="s">
        <v>43</v>
      </c>
      <c r="AP13" s="9" t="s">
        <v>44</v>
      </c>
      <c r="AQ13" s="16">
        <v>1769857.73614024</v>
      </c>
      <c r="AR13" s="16">
        <v>2279916.02058536</v>
      </c>
      <c r="AS13" s="15">
        <v>-994.23602236579302</v>
      </c>
      <c r="AT13" s="15">
        <v>-2725.4951999999998</v>
      </c>
      <c r="AU13" s="1" t="s">
        <v>115</v>
      </c>
      <c r="AV13" s="9">
        <f>IF(Z12=Z13,0,MAX(AV$5:AV12)+1)</f>
        <v>0</v>
      </c>
      <c r="AW13" s="9">
        <f t="shared" si="4"/>
        <v>3</v>
      </c>
      <c r="AX13" s="18">
        <f t="shared" si="5"/>
        <v>-35</v>
      </c>
      <c r="AY13" s="19">
        <f t="shared" si="6"/>
        <v>-99.888599999999997</v>
      </c>
      <c r="AZ13" s="1" t="s">
        <v>115</v>
      </c>
      <c r="BA13" s="1" t="str">
        <f t="shared" si="7"/>
        <v>U_917</v>
      </c>
      <c r="BB13" s="24">
        <f>MAX(BB$6:BB12)+1</f>
        <v>4</v>
      </c>
      <c r="BC13" s="17" t="str">
        <f t="shared" si="3"/>
        <v>Screen in L1 and L2 - Alluvium/Kame</v>
      </c>
      <c r="BD13" s="1">
        <f t="shared" si="3"/>
        <v>10.667999999999999</v>
      </c>
      <c r="BE13" s="1">
        <f t="shared" si="3"/>
        <v>12</v>
      </c>
      <c r="BF13" s="1" t="s">
        <v>115</v>
      </c>
      <c r="BG13" s="6">
        <f>BH13</f>
        <v>9</v>
      </c>
      <c r="BH13" s="6">
        <v>9</v>
      </c>
      <c r="BI13" s="5" t="str">
        <v>WellDMeter</v>
      </c>
      <c r="BJ13" s="1"/>
      <c r="BK13">
        <v>19</v>
      </c>
      <c r="BL13" s="17" t="s">
        <v>145</v>
      </c>
      <c r="BM13">
        <v>19</v>
      </c>
      <c r="BN13">
        <v>1</v>
      </c>
      <c r="BO13">
        <v>10</v>
      </c>
      <c r="BP13">
        <v>5.5</v>
      </c>
      <c r="BQ13" s="30">
        <v>1.6763999999999999</v>
      </c>
      <c r="BR13" s="1" t="s">
        <v>115</v>
      </c>
      <c r="BS13">
        <v>19</v>
      </c>
      <c r="BT13" t="s">
        <v>145</v>
      </c>
      <c r="BU13" s="30">
        <v>1.6763999999999999</v>
      </c>
      <c r="BV13" s="30">
        <v>86.399999999999906</v>
      </c>
      <c r="BW13" s="30">
        <v>-84.723599999999905</v>
      </c>
      <c r="BX13" s="1"/>
      <c r="BY13" s="1"/>
      <c r="BZ13" s="1"/>
      <c r="CA13" s="1"/>
      <c r="CB13" s="1"/>
      <c r="CC13" s="1"/>
      <c r="CD13" s="1"/>
      <c r="CE13" s="1"/>
    </row>
    <row r="14" spans="1:83" ht="12.95" customHeight="1" x14ac:dyDescent="0.25">
      <c r="A14" s="10">
        <f t="shared" si="2"/>
        <v>10</v>
      </c>
      <c r="B14" s="4">
        <v>8</v>
      </c>
      <c r="C14">
        <v>13</v>
      </c>
      <c r="D14" t="s">
        <v>19</v>
      </c>
      <c r="E14" t="s">
        <v>38</v>
      </c>
      <c r="F14">
        <v>-74.392171000000005</v>
      </c>
      <c r="G14">
        <v>41.703690000000002</v>
      </c>
      <c r="H14">
        <v>0.140092273352</v>
      </c>
      <c r="I14">
        <v>58</v>
      </c>
      <c r="J14">
        <v>414212074233201</v>
      </c>
      <c r="K14">
        <v>17.6784</v>
      </c>
      <c r="L14">
        <v>85.277688684099999</v>
      </c>
      <c r="M14">
        <v>82.229688684099997</v>
      </c>
      <c r="N14" t="s">
        <v>45</v>
      </c>
      <c r="O14">
        <v>99.908100000000005</v>
      </c>
      <c r="P14" t="s">
        <v>32</v>
      </c>
      <c r="Q14">
        <v>720000</v>
      </c>
      <c r="R14" t="s">
        <v>23</v>
      </c>
      <c r="S14">
        <v>0.72</v>
      </c>
      <c r="T14" t="s">
        <v>46</v>
      </c>
      <c r="U14" t="s">
        <v>47</v>
      </c>
      <c r="V14" s="1" t="s">
        <v>115</v>
      </c>
      <c r="W14" s="6">
        <v>8</v>
      </c>
      <c r="X14" s="9">
        <v>13</v>
      </c>
      <c r="Y14" s="9" t="s">
        <v>19</v>
      </c>
      <c r="Z14" s="9" t="s">
        <v>38</v>
      </c>
      <c r="AA14" s="15">
        <v>-74.392171000000005</v>
      </c>
      <c r="AB14" s="15">
        <v>41.703690000000002</v>
      </c>
      <c r="AC14" s="14">
        <v>0.140092273352</v>
      </c>
      <c r="AD14" s="9">
        <v>58</v>
      </c>
      <c r="AE14" s="9">
        <v>414212074233201</v>
      </c>
      <c r="AF14" s="15">
        <v>17.6784</v>
      </c>
      <c r="AG14" s="15">
        <v>85.277688684099999</v>
      </c>
      <c r="AH14" s="15">
        <v>82.229688684099997</v>
      </c>
      <c r="AI14" s="8" t="s">
        <v>45</v>
      </c>
      <c r="AJ14" s="15">
        <v>99.908100000000005</v>
      </c>
      <c r="AK14" s="9" t="s">
        <v>32</v>
      </c>
      <c r="AL14" s="9">
        <v>720000</v>
      </c>
      <c r="AM14" s="9" t="s">
        <v>23</v>
      </c>
      <c r="AN14" s="9">
        <v>0.72</v>
      </c>
      <c r="AO14" s="9" t="s">
        <v>46</v>
      </c>
      <c r="AP14" s="9" t="s">
        <v>47</v>
      </c>
      <c r="AQ14" s="16">
        <v>1769791.1801173999</v>
      </c>
      <c r="AR14" s="16">
        <v>2279832.05205289</v>
      </c>
      <c r="AS14" s="15">
        <v>-530.30669246939397</v>
      </c>
      <c r="AT14" s="15">
        <v>-2725.4951999999998</v>
      </c>
      <c r="AU14" s="1" t="s">
        <v>115</v>
      </c>
      <c r="AV14" s="9">
        <f>IF(Z13=Z14,0,MAX(AV$5:AV13)+1)</f>
        <v>0</v>
      </c>
      <c r="AW14" s="9">
        <f t="shared" si="4"/>
        <v>3</v>
      </c>
      <c r="AX14" s="18">
        <f t="shared" si="5"/>
        <v>-58</v>
      </c>
      <c r="AY14" s="19">
        <f t="shared" si="6"/>
        <v>-99.908100000000005</v>
      </c>
      <c r="AZ14" s="1" t="s">
        <v>115</v>
      </c>
      <c r="BA14" s="1" t="str">
        <f t="shared" si="7"/>
        <v>U___7</v>
      </c>
      <c r="BB14" s="24">
        <f>MAX(BB$6:BB13)+1</f>
        <v>5</v>
      </c>
      <c r="BC14" s="17" t="str">
        <f t="shared" si="3"/>
        <v>Screen in L2 - Kame</v>
      </c>
      <c r="BD14" s="1">
        <f t="shared" si="3"/>
        <v>17.6784</v>
      </c>
      <c r="BE14" s="1">
        <f t="shared" si="3"/>
        <v>13</v>
      </c>
      <c r="BF14" s="1" t="s">
        <v>115</v>
      </c>
      <c r="BG14" s="6"/>
      <c r="BH14" s="6">
        <v>10</v>
      </c>
      <c r="BI14" s="5" t="str">
        <v>Stop_Meter</v>
      </c>
      <c r="BJ14" s="1"/>
      <c r="BK14">
        <v>20</v>
      </c>
      <c r="BL14" s="17" t="s">
        <v>146</v>
      </c>
      <c r="BM14">
        <v>20</v>
      </c>
      <c r="BN14">
        <v>0.1</v>
      </c>
      <c r="BO14">
        <v>1</v>
      </c>
      <c r="BP14">
        <v>0.55000000000000004</v>
      </c>
      <c r="BQ14" s="30">
        <v>0.16764000000000001</v>
      </c>
      <c r="BR14" s="1" t="s">
        <v>115</v>
      </c>
      <c r="BS14">
        <v>20</v>
      </c>
      <c r="BT14" t="s">
        <v>146</v>
      </c>
      <c r="BU14" s="30">
        <v>0.16764000000000001</v>
      </c>
      <c r="BV14" s="30">
        <v>86.399999999999906</v>
      </c>
      <c r="BW14" s="30">
        <v>-86.2323599999999</v>
      </c>
      <c r="BX14" s="1"/>
      <c r="BY14" s="1"/>
      <c r="BZ14" s="1"/>
      <c r="CA14" s="1"/>
      <c r="CB14" s="1"/>
      <c r="CC14" s="1"/>
      <c r="CD14" s="1"/>
      <c r="CE14" s="1"/>
    </row>
    <row r="15" spans="1:83" ht="12.95" customHeight="1" x14ac:dyDescent="0.25">
      <c r="A15" s="10">
        <f t="shared" si="2"/>
        <v>11</v>
      </c>
      <c r="B15" s="4">
        <v>9</v>
      </c>
      <c r="C15">
        <v>14</v>
      </c>
      <c r="D15" t="s">
        <v>19</v>
      </c>
      <c r="E15" t="s">
        <v>38</v>
      </c>
      <c r="F15">
        <v>-74.392097000000007</v>
      </c>
      <c r="G15">
        <v>41.703732000000002</v>
      </c>
      <c r="H15">
        <v>0.29758049674499998</v>
      </c>
      <c r="I15">
        <v>75</v>
      </c>
      <c r="J15">
        <v>414201074230201</v>
      </c>
      <c r="K15">
        <v>22.86</v>
      </c>
      <c r="L15">
        <v>80.428959167499997</v>
      </c>
      <c r="M15">
        <v>77.380959167499995</v>
      </c>
      <c r="N15" t="s">
        <v>45</v>
      </c>
      <c r="O15">
        <v>100.241</v>
      </c>
      <c r="P15" t="s">
        <v>32</v>
      </c>
      <c r="Q15">
        <v>880000</v>
      </c>
      <c r="R15" t="s">
        <v>23</v>
      </c>
      <c r="S15">
        <v>0.88</v>
      </c>
      <c r="T15" t="s">
        <v>48</v>
      </c>
      <c r="U15" t="s">
        <v>49</v>
      </c>
      <c r="V15" s="1" t="s">
        <v>115</v>
      </c>
      <c r="W15" s="6">
        <v>9</v>
      </c>
      <c r="X15" s="9">
        <v>14</v>
      </c>
      <c r="Y15" s="9" t="s">
        <v>19</v>
      </c>
      <c r="Z15" s="9" t="s">
        <v>38</v>
      </c>
      <c r="AA15" s="15">
        <v>-74.392097000000007</v>
      </c>
      <c r="AB15" s="15">
        <v>41.703732000000002</v>
      </c>
      <c r="AC15" s="14">
        <v>0.29758049674499998</v>
      </c>
      <c r="AD15" s="9">
        <v>75</v>
      </c>
      <c r="AE15" s="9">
        <v>414201074230201</v>
      </c>
      <c r="AF15" s="15">
        <v>22.86</v>
      </c>
      <c r="AG15" s="15">
        <v>80.428959167499997</v>
      </c>
      <c r="AH15" s="15">
        <v>77.380959167499995</v>
      </c>
      <c r="AI15" s="8" t="s">
        <v>45</v>
      </c>
      <c r="AJ15" s="15">
        <v>100.241</v>
      </c>
      <c r="AK15" s="9" t="s">
        <v>32</v>
      </c>
      <c r="AL15" s="9">
        <v>880000</v>
      </c>
      <c r="AM15" s="9" t="s">
        <v>23</v>
      </c>
      <c r="AN15" s="9">
        <v>0.88</v>
      </c>
      <c r="AO15" s="9" t="s">
        <v>48</v>
      </c>
      <c r="AP15" s="9" t="s">
        <v>49</v>
      </c>
      <c r="AQ15" s="16">
        <v>1769796.0768692601</v>
      </c>
      <c r="AR15" s="16">
        <v>2279838.00896896</v>
      </c>
      <c r="AS15" s="15">
        <v>-1126.46418818349</v>
      </c>
      <c r="AT15" s="15">
        <v>-3331.1608000000001</v>
      </c>
      <c r="AU15" s="1" t="s">
        <v>115</v>
      </c>
      <c r="AV15" s="9">
        <f>IF(Z14=Z15,0,MAX(AV$5:AV14)+1)</f>
        <v>0</v>
      </c>
      <c r="AW15" s="9">
        <f t="shared" si="4"/>
        <v>3</v>
      </c>
      <c r="AX15" s="18">
        <f t="shared" si="5"/>
        <v>-75</v>
      </c>
      <c r="AY15" s="19">
        <f t="shared" si="6"/>
        <v>-100.241</v>
      </c>
      <c r="AZ15" s="1" t="s">
        <v>115</v>
      </c>
      <c r="BA15" s="1" t="str">
        <f t="shared" si="7"/>
        <v>U___8</v>
      </c>
      <c r="BB15" s="24">
        <f>MAX(BB$6:BB14)+1</f>
        <v>6</v>
      </c>
      <c r="BC15" s="17" t="str">
        <f t="shared" si="3"/>
        <v>Screen in L2 - Kame</v>
      </c>
      <c r="BD15" s="1">
        <f t="shared" si="3"/>
        <v>22.86</v>
      </c>
      <c r="BE15" s="1">
        <f t="shared" si="3"/>
        <v>14</v>
      </c>
      <c r="BF15" s="1" t="s">
        <v>115</v>
      </c>
      <c r="BG15" s="6"/>
      <c r="BH15" s="6">
        <v>11</v>
      </c>
      <c r="BI15" s="5" t="str">
        <v>Sbot_Meter</v>
      </c>
      <c r="BJ15" s="1"/>
      <c r="BK15">
        <v>21</v>
      </c>
      <c r="BL15" s="17" t="s">
        <v>147</v>
      </c>
      <c r="BM15">
        <v>21</v>
      </c>
      <c r="BN15">
        <v>0.1</v>
      </c>
      <c r="BO15">
        <v>1</v>
      </c>
      <c r="BP15">
        <v>0.55000000000000004</v>
      </c>
      <c r="BQ15" s="30">
        <v>0.16764000000000001</v>
      </c>
      <c r="BR15" s="1" t="s">
        <v>115</v>
      </c>
      <c r="BS15">
        <v>21</v>
      </c>
      <c r="BT15" t="s">
        <v>147</v>
      </c>
      <c r="BU15" s="30">
        <v>0.16764000000000001</v>
      </c>
      <c r="BV15" s="30">
        <v>86.399999999999906</v>
      </c>
      <c r="BW15" s="30">
        <v>-86.2323599999999</v>
      </c>
      <c r="BX15" s="1"/>
      <c r="BY15" s="1"/>
      <c r="BZ15" s="1"/>
      <c r="CA15" s="1"/>
      <c r="CB15" s="1"/>
      <c r="CC15" s="1"/>
      <c r="CD15" s="1"/>
      <c r="CE15" s="1"/>
    </row>
    <row r="16" spans="1:83" ht="12.95" customHeight="1" x14ac:dyDescent="0.25">
      <c r="A16" s="10">
        <f t="shared" si="2"/>
        <v>12</v>
      </c>
      <c r="B16" s="4">
        <v>10</v>
      </c>
      <c r="C16">
        <v>15</v>
      </c>
      <c r="D16" t="s">
        <v>19</v>
      </c>
      <c r="E16" t="s">
        <v>50</v>
      </c>
      <c r="F16">
        <v>-74.612844949999996</v>
      </c>
      <c r="G16">
        <v>41.716925760000002</v>
      </c>
      <c r="H16">
        <v>0.19131152964500001</v>
      </c>
      <c r="I16">
        <v>180</v>
      </c>
      <c r="J16">
        <v>414301074364401</v>
      </c>
      <c r="K16">
        <v>54.863999999999997</v>
      </c>
      <c r="L16">
        <v>304.048</v>
      </c>
      <c r="M16">
        <v>301</v>
      </c>
      <c r="N16" t="s">
        <v>51</v>
      </c>
      <c r="O16">
        <v>346.47300000000001</v>
      </c>
      <c r="P16" t="s">
        <v>52</v>
      </c>
      <c r="Q16">
        <v>576000</v>
      </c>
      <c r="R16" t="s">
        <v>23</v>
      </c>
      <c r="S16">
        <v>0.57599999999999996</v>
      </c>
      <c r="T16" t="s">
        <v>53</v>
      </c>
      <c r="U16" t="s">
        <v>54</v>
      </c>
      <c r="V16" s="1" t="s">
        <v>115</v>
      </c>
      <c r="W16" s="6">
        <v>10</v>
      </c>
      <c r="X16" s="9">
        <v>15</v>
      </c>
      <c r="Y16" s="9" t="s">
        <v>19</v>
      </c>
      <c r="Z16" s="9" t="s">
        <v>50</v>
      </c>
      <c r="AA16" s="15">
        <v>-74.612844949999996</v>
      </c>
      <c r="AB16" s="15">
        <v>41.716925760000002</v>
      </c>
      <c r="AC16" s="14">
        <v>0.19131152964500001</v>
      </c>
      <c r="AD16" s="9">
        <v>180</v>
      </c>
      <c r="AE16" s="9">
        <v>414301074364401</v>
      </c>
      <c r="AF16" s="15">
        <v>54.863999999999997</v>
      </c>
      <c r="AG16" s="15">
        <v>304.048</v>
      </c>
      <c r="AH16" s="15">
        <v>301</v>
      </c>
      <c r="AI16" s="8" t="s">
        <v>51</v>
      </c>
      <c r="AJ16" s="15">
        <v>346.47300000000001</v>
      </c>
      <c r="AK16" s="9" t="s">
        <v>52</v>
      </c>
      <c r="AL16" s="9">
        <v>576000</v>
      </c>
      <c r="AM16" s="9" t="s">
        <v>23</v>
      </c>
      <c r="AN16" s="9">
        <v>0.57599999999999996</v>
      </c>
      <c r="AO16" s="9" t="s">
        <v>53</v>
      </c>
      <c r="AP16" s="9" t="s">
        <v>54</v>
      </c>
      <c r="AQ16" s="16">
        <v>1751694.1445035001</v>
      </c>
      <c r="AR16" s="16">
        <v>2277186.8130009701</v>
      </c>
      <c r="AS16" s="15">
        <v>-724.19257743347896</v>
      </c>
      <c r="AT16" s="15">
        <v>-2180.3961599999998</v>
      </c>
      <c r="AU16" s="1" t="s">
        <v>115</v>
      </c>
      <c r="AV16" s="9">
        <f>IF(Z15=Z16,0,MAX(AV$5:AV15)+1)</f>
        <v>4</v>
      </c>
      <c r="AW16" s="9">
        <f t="shared" si="4"/>
        <v>4</v>
      </c>
      <c r="AX16" s="18">
        <f t="shared" si="5"/>
        <v>-180</v>
      </c>
      <c r="AY16" s="19">
        <f t="shared" si="6"/>
        <v>-346.47300000000001</v>
      </c>
      <c r="AZ16" s="1" t="s">
        <v>115</v>
      </c>
      <c r="BA16" s="1" t="str">
        <f t="shared" si="7"/>
        <v>SV__61</v>
      </c>
      <c r="BB16" s="24" t="s">
        <v>120</v>
      </c>
      <c r="BC16" s="17" t="str">
        <f t="shared" si="3"/>
        <v>Well screen in L3; boosted screen up to be at the bottom of L3.</v>
      </c>
      <c r="BD16" s="1">
        <f t="shared" si="3"/>
        <v>54.863999999999997</v>
      </c>
      <c r="BE16" s="1">
        <f t="shared" si="3"/>
        <v>15</v>
      </c>
      <c r="BF16" s="1" t="s">
        <v>115</v>
      </c>
      <c r="BG16" s="6">
        <f>BH16</f>
        <v>12</v>
      </c>
      <c r="BH16" s="6">
        <v>12</v>
      </c>
      <c r="BI16" s="5" t="str">
        <v>Comments</v>
      </c>
      <c r="BJ16" s="1"/>
      <c r="BK16">
        <v>22</v>
      </c>
      <c r="BL16" s="17" t="s">
        <v>148</v>
      </c>
      <c r="BM16">
        <v>22</v>
      </c>
      <c r="BN16">
        <v>0.1</v>
      </c>
      <c r="BO16">
        <v>1</v>
      </c>
      <c r="BP16">
        <v>0.55000000000000004</v>
      </c>
      <c r="BQ16" s="30">
        <v>0.16764000000000001</v>
      </c>
      <c r="BR16" s="1" t="s">
        <v>115</v>
      </c>
      <c r="BS16">
        <v>22</v>
      </c>
      <c r="BT16" t="s">
        <v>148</v>
      </c>
      <c r="BU16" s="30">
        <v>0.16764000000000001</v>
      </c>
      <c r="BV16" s="30">
        <v>1</v>
      </c>
      <c r="BW16" s="30">
        <v>-0.83235999999999999</v>
      </c>
      <c r="BX16" s="1"/>
      <c r="BY16" s="1"/>
      <c r="BZ16" s="1"/>
      <c r="CA16" s="1"/>
      <c r="CB16" s="1"/>
      <c r="CC16" s="1"/>
      <c r="CD16" s="1"/>
      <c r="CE16" s="1"/>
    </row>
    <row r="17" spans="1:83" ht="12.95" customHeight="1" x14ac:dyDescent="0.25">
      <c r="A17" s="10">
        <f t="shared" si="2"/>
        <v>13</v>
      </c>
      <c r="B17" s="4">
        <v>11</v>
      </c>
      <c r="C17">
        <v>16</v>
      </c>
      <c r="D17" t="s">
        <v>19</v>
      </c>
      <c r="E17" t="s">
        <v>50</v>
      </c>
      <c r="F17">
        <v>-74.603998619999999</v>
      </c>
      <c r="G17">
        <v>41.734297290000001</v>
      </c>
      <c r="H17">
        <v>9.8343370994899995E-2</v>
      </c>
      <c r="I17">
        <v>164</v>
      </c>
      <c r="J17">
        <v>414406074361201</v>
      </c>
      <c r="K17">
        <v>49.987200000000001</v>
      </c>
      <c r="L17">
        <v>0</v>
      </c>
      <c r="M17">
        <v>0</v>
      </c>
      <c r="N17" t="s">
        <v>55</v>
      </c>
      <c r="O17">
        <v>354.12099999999998</v>
      </c>
      <c r="P17" t="s">
        <v>52</v>
      </c>
      <c r="Q17">
        <v>288000</v>
      </c>
      <c r="R17" t="s">
        <v>23</v>
      </c>
      <c r="S17">
        <v>0.28799999999999998</v>
      </c>
      <c r="T17" t="s">
        <v>56</v>
      </c>
      <c r="U17" t="s">
        <v>57</v>
      </c>
      <c r="V17" s="1" t="s">
        <v>115</v>
      </c>
      <c r="W17" s="6">
        <v>11</v>
      </c>
      <c r="X17" s="9">
        <v>16</v>
      </c>
      <c r="Y17" s="9" t="s">
        <v>19</v>
      </c>
      <c r="Z17" s="9" t="s">
        <v>50</v>
      </c>
      <c r="AA17" s="15">
        <v>-74.603998619999999</v>
      </c>
      <c r="AB17" s="15">
        <v>41.734297290000001</v>
      </c>
      <c r="AC17" s="14">
        <v>9.8343370994899995E-2</v>
      </c>
      <c r="AD17" s="9">
        <v>164</v>
      </c>
      <c r="AE17" s="9">
        <v>414406074361201</v>
      </c>
      <c r="AF17" s="15">
        <v>49.987200000000001</v>
      </c>
      <c r="AG17" s="15">
        <v>2000</v>
      </c>
      <c r="AH17" s="15">
        <v>-2000</v>
      </c>
      <c r="AI17" s="8" t="s">
        <v>55</v>
      </c>
      <c r="AJ17" s="15">
        <v>354.12099999999998</v>
      </c>
      <c r="AK17" s="9" t="s">
        <v>52</v>
      </c>
      <c r="AL17" s="9">
        <v>288000</v>
      </c>
      <c r="AM17" s="9" t="s">
        <v>23</v>
      </c>
      <c r="AN17" s="9">
        <v>0.28799999999999998</v>
      </c>
      <c r="AO17" s="9" t="s">
        <v>56</v>
      </c>
      <c r="AP17" s="9" t="s">
        <v>57</v>
      </c>
      <c r="AQ17" s="16">
        <v>1751972.4645192099</v>
      </c>
      <c r="AR17" s="16">
        <v>2279244.6699413601</v>
      </c>
      <c r="AS17" s="15">
        <v>-372.269979997804</v>
      </c>
      <c r="AT17" s="15">
        <v>-1090.1980799999999</v>
      </c>
      <c r="AU17" s="1" t="s">
        <v>115</v>
      </c>
      <c r="AV17" s="9">
        <f>IF(Z16=Z17,0,MAX(AV$5:AV16)+1)</f>
        <v>0</v>
      </c>
      <c r="AW17" s="9">
        <f t="shared" si="4"/>
        <v>4</v>
      </c>
      <c r="AX17" s="18">
        <f t="shared" si="5"/>
        <v>-164</v>
      </c>
      <c r="AY17" s="19">
        <f t="shared" si="6"/>
        <v>-354.12099999999998</v>
      </c>
      <c r="AZ17" s="1" t="s">
        <v>115</v>
      </c>
      <c r="BA17" s="1" t="str">
        <f t="shared" si="7"/>
        <v>SV__62</v>
      </c>
      <c r="BB17" s="24" t="s">
        <v>120</v>
      </c>
      <c r="BC17" s="17" t="str">
        <f t="shared" si="3"/>
        <v>We aren't sure about the screen of this well - could be bedrock well</v>
      </c>
      <c r="BD17" s="1">
        <f t="shared" si="3"/>
        <v>49.987200000000001</v>
      </c>
      <c r="BE17" s="1">
        <f t="shared" si="3"/>
        <v>16</v>
      </c>
      <c r="BF17" s="1" t="s">
        <v>115</v>
      </c>
      <c r="BG17" s="6">
        <f>BH17</f>
        <v>13</v>
      </c>
      <c r="BH17" s="6">
        <v>13</v>
      </c>
      <c r="BI17" s="5" t="str">
        <v>RASTERVALU</v>
      </c>
      <c r="BJ17" s="1"/>
      <c r="BK17">
        <v>23</v>
      </c>
      <c r="BL17" s="17" t="s">
        <v>149</v>
      </c>
      <c r="BM17">
        <v>23</v>
      </c>
      <c r="BN17">
        <v>0.03</v>
      </c>
      <c r="BO17">
        <v>0.3</v>
      </c>
      <c r="BP17">
        <v>0.16499999999999901</v>
      </c>
      <c r="BQ17" s="30">
        <v>5.0291999999999899E-2</v>
      </c>
      <c r="BR17" s="1" t="s">
        <v>115</v>
      </c>
      <c r="BS17">
        <v>23</v>
      </c>
      <c r="BT17" t="s">
        <v>149</v>
      </c>
      <c r="BU17" s="30">
        <v>5.0291999999999899E-2</v>
      </c>
      <c r="BV17" s="30">
        <v>86.399999999999906</v>
      </c>
      <c r="BW17" s="30">
        <v>-86.349707999999893</v>
      </c>
      <c r="BX17" s="1"/>
      <c r="BY17" s="1"/>
      <c r="BZ17" s="1"/>
      <c r="CA17" s="1"/>
      <c r="CB17" s="1"/>
      <c r="CC17" s="1"/>
      <c r="CD17" s="1"/>
      <c r="CE17" s="1"/>
    </row>
    <row r="18" spans="1:83" ht="12.95" customHeight="1" x14ac:dyDescent="0.25">
      <c r="A18" s="10">
        <f t="shared" si="2"/>
        <v>14</v>
      </c>
      <c r="B18" s="4">
        <v>12</v>
      </c>
      <c r="C18">
        <v>17</v>
      </c>
      <c r="D18" t="s">
        <v>19</v>
      </c>
      <c r="E18" t="s">
        <v>50</v>
      </c>
      <c r="F18">
        <v>-74.600470529999996</v>
      </c>
      <c r="G18">
        <v>41.740896249999999</v>
      </c>
      <c r="H18">
        <v>0.102544499745</v>
      </c>
      <c r="I18">
        <v>200</v>
      </c>
      <c r="K18">
        <v>60.96</v>
      </c>
      <c r="L18">
        <v>0</v>
      </c>
      <c r="M18">
        <v>0</v>
      </c>
      <c r="N18" t="s">
        <v>55</v>
      </c>
      <c r="O18">
        <v>355.37599999999998</v>
      </c>
      <c r="P18" t="s">
        <v>52</v>
      </c>
      <c r="Q18">
        <v>288000</v>
      </c>
      <c r="R18" t="s">
        <v>23</v>
      </c>
      <c r="S18">
        <v>0.28799999999999998</v>
      </c>
      <c r="T18" t="s">
        <v>58</v>
      </c>
      <c r="U18" t="s">
        <v>59</v>
      </c>
      <c r="V18" s="1" t="s">
        <v>115</v>
      </c>
      <c r="W18" s="6">
        <v>12</v>
      </c>
      <c r="X18" s="9">
        <v>17</v>
      </c>
      <c r="Y18" s="9" t="s">
        <v>19</v>
      </c>
      <c r="Z18" s="9" t="s">
        <v>50</v>
      </c>
      <c r="AA18" s="15">
        <v>-74.600470529999996</v>
      </c>
      <c r="AB18" s="15">
        <v>41.740896249999999</v>
      </c>
      <c r="AC18" s="14">
        <v>0.102544499745</v>
      </c>
      <c r="AD18" s="9">
        <v>200</v>
      </c>
      <c r="AE18" s="9"/>
      <c r="AF18" s="15">
        <v>60.96</v>
      </c>
      <c r="AG18" s="15">
        <v>2000</v>
      </c>
      <c r="AH18" s="15">
        <v>-2000</v>
      </c>
      <c r="AI18" s="8" t="s">
        <v>55</v>
      </c>
      <c r="AJ18" s="15">
        <v>355.37599999999998</v>
      </c>
      <c r="AK18" s="9" t="s">
        <v>52</v>
      </c>
      <c r="AL18" s="9">
        <v>288000</v>
      </c>
      <c r="AM18" s="9" t="s">
        <v>23</v>
      </c>
      <c r="AN18" s="9">
        <v>0.28799999999999998</v>
      </c>
      <c r="AO18" s="9" t="s">
        <v>58</v>
      </c>
      <c r="AP18" s="9" t="s">
        <v>59</v>
      </c>
      <c r="AQ18" s="16">
        <v>1752091.5870763599</v>
      </c>
      <c r="AR18" s="16">
        <v>2280029.4696012102</v>
      </c>
      <c r="AS18" s="15">
        <v>-388.17297477971999</v>
      </c>
      <c r="AT18" s="15">
        <v>-1090.1980799999999</v>
      </c>
      <c r="AU18" s="1" t="s">
        <v>115</v>
      </c>
      <c r="AV18" s="9">
        <f>IF(Z17=Z18,0,MAX(AV$5:AV17)+1)</f>
        <v>0</v>
      </c>
      <c r="AW18" s="9">
        <f t="shared" si="4"/>
        <v>4</v>
      </c>
      <c r="AX18" s="18">
        <f t="shared" si="5"/>
        <v>-200</v>
      </c>
      <c r="AY18" s="19">
        <f t="shared" si="6"/>
        <v>-355.37599999999998</v>
      </c>
      <c r="AZ18" s="1" t="s">
        <v>115</v>
      </c>
      <c r="BA18" s="1" t="str">
        <f t="shared" si="7"/>
        <v>well_4</v>
      </c>
      <c r="BB18" s="24" t="s">
        <v>120</v>
      </c>
      <c r="BC18" s="17" t="str">
        <f t="shared" si="3"/>
        <v>We aren't sure about the screen of this well - could be bedrock well</v>
      </c>
      <c r="BD18" s="1">
        <f t="shared" si="3"/>
        <v>60.96</v>
      </c>
      <c r="BE18" s="1">
        <f t="shared" si="3"/>
        <v>17</v>
      </c>
      <c r="BF18" s="1" t="s">
        <v>115</v>
      </c>
      <c r="BG18" s="6">
        <f>BH18</f>
        <v>14</v>
      </c>
      <c r="BH18" s="6">
        <v>14</v>
      </c>
      <c r="BI18" s="5" t="str">
        <v>WellType</v>
      </c>
      <c r="BJ18" s="1"/>
      <c r="BK18">
        <v>24</v>
      </c>
      <c r="BL18" s="17" t="s">
        <v>150</v>
      </c>
      <c r="BM18">
        <v>24</v>
      </c>
      <c r="BN18">
        <v>100</v>
      </c>
      <c r="BO18">
        <v>200</v>
      </c>
      <c r="BP18">
        <v>150</v>
      </c>
      <c r="BQ18" s="30">
        <v>45.72</v>
      </c>
      <c r="BR18" s="1" t="s">
        <v>115</v>
      </c>
      <c r="BS18">
        <v>24</v>
      </c>
      <c r="BT18" t="s">
        <v>150</v>
      </c>
      <c r="BU18" s="30">
        <v>45.72</v>
      </c>
      <c r="BV18" s="30">
        <v>175</v>
      </c>
      <c r="BW18" s="30">
        <v>-129.28</v>
      </c>
      <c r="BX18" s="1"/>
      <c r="BY18" s="1"/>
      <c r="BZ18" s="1"/>
      <c r="CA18" s="1"/>
      <c r="CB18" s="1"/>
      <c r="CC18" s="1"/>
      <c r="CD18" s="1"/>
      <c r="CE18" s="1"/>
    </row>
    <row r="19" spans="1:83" ht="12.95" customHeight="1" x14ac:dyDescent="0.25">
      <c r="A19" s="10">
        <f t="shared" si="2"/>
        <v>15</v>
      </c>
      <c r="B19" s="4">
        <v>13</v>
      </c>
      <c r="C19">
        <v>18</v>
      </c>
      <c r="D19" t="s">
        <v>19</v>
      </c>
      <c r="E19" t="s">
        <v>50</v>
      </c>
      <c r="F19">
        <v>-74.601503579999999</v>
      </c>
      <c r="G19">
        <v>41.739143460000001</v>
      </c>
      <c r="H19">
        <v>0.102544499745</v>
      </c>
      <c r="I19">
        <v>128</v>
      </c>
      <c r="J19">
        <v>414419074360701</v>
      </c>
      <c r="K19">
        <v>39.014400000000002</v>
      </c>
      <c r="L19">
        <v>317.66802993200002</v>
      </c>
      <c r="M19">
        <v>314.62002993200002</v>
      </c>
      <c r="N19" t="s">
        <v>60</v>
      </c>
      <c r="O19">
        <v>353.63400000000001</v>
      </c>
      <c r="P19" t="s">
        <v>52</v>
      </c>
      <c r="Q19">
        <v>288000</v>
      </c>
      <c r="R19" t="s">
        <v>23</v>
      </c>
      <c r="S19">
        <v>0.28799999999999998</v>
      </c>
      <c r="T19" t="s">
        <v>61</v>
      </c>
      <c r="U19" t="s">
        <v>62</v>
      </c>
      <c r="V19" s="1" t="s">
        <v>115</v>
      </c>
      <c r="W19" s="6">
        <v>13</v>
      </c>
      <c r="X19" s="9">
        <v>18</v>
      </c>
      <c r="Y19" s="9" t="s">
        <v>19</v>
      </c>
      <c r="Z19" s="9" t="s">
        <v>50</v>
      </c>
      <c r="AA19" s="15">
        <v>-74.601503579999999</v>
      </c>
      <c r="AB19" s="15">
        <v>41.739143460000001</v>
      </c>
      <c r="AC19" s="14">
        <v>0.102544499745</v>
      </c>
      <c r="AD19" s="9">
        <v>128</v>
      </c>
      <c r="AE19" s="9">
        <v>414419074360701</v>
      </c>
      <c r="AF19" s="15">
        <v>39.014400000000002</v>
      </c>
      <c r="AG19" s="15">
        <v>317.66802993200002</v>
      </c>
      <c r="AH19" s="15">
        <v>314.62002993200002</v>
      </c>
      <c r="AI19" s="8" t="s">
        <v>60</v>
      </c>
      <c r="AJ19" s="15">
        <v>353.63400000000001</v>
      </c>
      <c r="AK19" s="9" t="s">
        <v>52</v>
      </c>
      <c r="AL19" s="9">
        <v>288000</v>
      </c>
      <c r="AM19" s="9" t="s">
        <v>23</v>
      </c>
      <c r="AN19" s="9">
        <v>0.28799999999999998</v>
      </c>
      <c r="AO19" s="9" t="s">
        <v>61</v>
      </c>
      <c r="AP19" s="9" t="s">
        <v>62</v>
      </c>
      <c r="AQ19" s="16">
        <v>1752052.2300400699</v>
      </c>
      <c r="AR19" s="16">
        <v>2279819.2462082501</v>
      </c>
      <c r="AS19" s="15">
        <v>-388.17297477971999</v>
      </c>
      <c r="AT19" s="15">
        <v>-1090.1980799999999</v>
      </c>
      <c r="AU19" s="1" t="s">
        <v>115</v>
      </c>
      <c r="AV19" s="9">
        <f>IF(Z18=Z19,0,MAX(AV$5:AV18)+1)</f>
        <v>0</v>
      </c>
      <c r="AW19" s="9">
        <f t="shared" si="4"/>
        <v>4</v>
      </c>
      <c r="AX19" s="18">
        <f t="shared" si="5"/>
        <v>-128</v>
      </c>
      <c r="AY19" s="19">
        <f t="shared" si="6"/>
        <v>-353.63400000000001</v>
      </c>
      <c r="AZ19" s="1" t="s">
        <v>115</v>
      </c>
      <c r="BA19" s="1" t="str">
        <f t="shared" si="7"/>
        <v>SV__63</v>
      </c>
      <c r="BB19" s="24" t="s">
        <v>120</v>
      </c>
      <c r="BC19" s="17" t="str">
        <f t="shared" si="3"/>
        <v>Well screen in L3 - Kame</v>
      </c>
      <c r="BD19" s="1">
        <f t="shared" si="3"/>
        <v>39.014400000000002</v>
      </c>
      <c r="BE19" s="1">
        <f t="shared" si="3"/>
        <v>18</v>
      </c>
      <c r="BF19" s="1" t="s">
        <v>115</v>
      </c>
      <c r="BG19" s="6"/>
      <c r="BH19" s="6">
        <v>15</v>
      </c>
      <c r="BI19" s="5" t="str">
        <v>Max_Rate</v>
      </c>
      <c r="BJ19" s="1"/>
      <c r="BK19">
        <v>25</v>
      </c>
      <c r="BL19" s="17" t="s">
        <v>151</v>
      </c>
      <c r="BM19">
        <v>25</v>
      </c>
      <c r="BN19">
        <v>50</v>
      </c>
      <c r="BO19">
        <v>100</v>
      </c>
      <c r="BP19">
        <v>75</v>
      </c>
      <c r="BQ19" s="30">
        <v>22.86</v>
      </c>
      <c r="BR19" s="1" t="s">
        <v>115</v>
      </c>
      <c r="BS19">
        <v>25</v>
      </c>
      <c r="BT19" t="s">
        <v>151</v>
      </c>
      <c r="BU19" s="30">
        <v>22.86</v>
      </c>
      <c r="BV19" s="30">
        <v>80</v>
      </c>
      <c r="BW19" s="30">
        <v>-57.14</v>
      </c>
      <c r="BX19" s="1"/>
      <c r="BY19" s="1"/>
      <c r="BZ19" s="1"/>
      <c r="CA19" s="1"/>
      <c r="CB19" s="1"/>
      <c r="CC19" s="1"/>
      <c r="CD19" s="1"/>
      <c r="CE19" s="1"/>
    </row>
    <row r="20" spans="1:83" ht="12.95" customHeight="1" x14ac:dyDescent="0.25">
      <c r="A20" s="10">
        <f t="shared" si="2"/>
        <v>16</v>
      </c>
      <c r="B20" s="4">
        <v>14</v>
      </c>
      <c r="C20">
        <v>19</v>
      </c>
      <c r="D20" t="s">
        <v>19</v>
      </c>
      <c r="E20" t="s">
        <v>50</v>
      </c>
      <c r="F20">
        <v>-74.602006590000002</v>
      </c>
      <c r="G20">
        <v>41.739478470000002</v>
      </c>
      <c r="H20">
        <v>0.35890574910700002</v>
      </c>
      <c r="I20">
        <v>60</v>
      </c>
      <c r="J20">
        <v>414422074360701</v>
      </c>
      <c r="K20">
        <v>18.288</v>
      </c>
      <c r="L20">
        <v>341.74799999999999</v>
      </c>
      <c r="M20">
        <v>338.7</v>
      </c>
      <c r="N20" t="s">
        <v>63</v>
      </c>
      <c r="O20">
        <v>354.54899999999998</v>
      </c>
      <c r="P20" t="s">
        <v>52</v>
      </c>
      <c r="Q20">
        <v>1008000</v>
      </c>
      <c r="R20" t="s">
        <v>23</v>
      </c>
      <c r="S20">
        <v>1.008</v>
      </c>
      <c r="T20" t="s">
        <v>64</v>
      </c>
      <c r="U20" t="s">
        <v>65</v>
      </c>
      <c r="V20" s="1" t="s">
        <v>115</v>
      </c>
      <c r="W20" s="6">
        <v>14</v>
      </c>
      <c r="X20" s="9">
        <v>19</v>
      </c>
      <c r="Y20" s="9" t="s">
        <v>19</v>
      </c>
      <c r="Z20" s="9" t="s">
        <v>50</v>
      </c>
      <c r="AA20" s="15">
        <v>-74.602006590000002</v>
      </c>
      <c r="AB20" s="15">
        <v>41.739478470000002</v>
      </c>
      <c r="AC20" s="14">
        <v>0.35890574910700002</v>
      </c>
      <c r="AD20" s="9">
        <v>60</v>
      </c>
      <c r="AE20" s="9">
        <v>414422074360701</v>
      </c>
      <c r="AF20" s="15">
        <v>18.288</v>
      </c>
      <c r="AG20" s="15">
        <v>341.74799999999999</v>
      </c>
      <c r="AH20" s="15">
        <v>338.7</v>
      </c>
      <c r="AI20" s="8" t="s">
        <v>63</v>
      </c>
      <c r="AJ20" s="15">
        <v>354.54899999999998</v>
      </c>
      <c r="AK20" s="9" t="s">
        <v>52</v>
      </c>
      <c r="AL20" s="9">
        <v>1008000</v>
      </c>
      <c r="AM20" s="9" t="s">
        <v>23</v>
      </c>
      <c r="AN20" s="9">
        <v>1.008</v>
      </c>
      <c r="AO20" s="9" t="s">
        <v>64</v>
      </c>
      <c r="AP20" s="9" t="s">
        <v>65</v>
      </c>
      <c r="AQ20" s="16">
        <v>1752003.37394748</v>
      </c>
      <c r="AR20" s="16">
        <v>2279846.5125363101</v>
      </c>
      <c r="AS20" s="15">
        <v>-1358.6054117271201</v>
      </c>
      <c r="AT20" s="15">
        <v>-3815.69328</v>
      </c>
      <c r="AU20" s="1" t="s">
        <v>115</v>
      </c>
      <c r="AV20" s="9">
        <f>IF(Z19=Z20,0,MAX(AV$5:AV19)+1)</f>
        <v>0</v>
      </c>
      <c r="AW20" s="9">
        <f t="shared" si="4"/>
        <v>4</v>
      </c>
      <c r="AX20" s="18">
        <f t="shared" si="5"/>
        <v>-60</v>
      </c>
      <c r="AY20" s="19">
        <f t="shared" si="6"/>
        <v>-354.54899999999998</v>
      </c>
      <c r="AZ20" s="1" t="s">
        <v>115</v>
      </c>
      <c r="BA20" s="1" t="str">
        <f t="shared" si="7"/>
        <v>SV_266</v>
      </c>
      <c r="BB20" s="24" t="s">
        <v>120</v>
      </c>
      <c r="BC20" s="17" t="str">
        <f t="shared" si="3"/>
        <v>Well screen in L1</v>
      </c>
      <c r="BD20" s="1">
        <f t="shared" si="3"/>
        <v>18.288</v>
      </c>
      <c r="BE20" s="1">
        <f t="shared" si="3"/>
        <v>19</v>
      </c>
      <c r="BF20" s="1" t="s">
        <v>115</v>
      </c>
      <c r="BG20" s="6"/>
      <c r="BH20" s="6">
        <v>16</v>
      </c>
      <c r="BI20" s="5" t="str">
        <v>MaxR_Units</v>
      </c>
      <c r="BJ20" s="1"/>
      <c r="BK20">
        <v>26</v>
      </c>
      <c r="BL20" s="17" t="s">
        <v>152</v>
      </c>
      <c r="BM20">
        <v>26</v>
      </c>
      <c r="BN20">
        <v>50</v>
      </c>
      <c r="BO20">
        <v>100</v>
      </c>
      <c r="BP20">
        <v>75</v>
      </c>
      <c r="BQ20" s="30">
        <v>22.86</v>
      </c>
      <c r="BR20" s="1" t="s">
        <v>115</v>
      </c>
      <c r="BS20">
        <v>26</v>
      </c>
      <c r="BT20" t="s">
        <v>152</v>
      </c>
      <c r="BU20" s="30">
        <v>22.86</v>
      </c>
      <c r="BV20" s="30">
        <v>80</v>
      </c>
      <c r="BW20" s="30">
        <v>-57.14</v>
      </c>
      <c r="BX20" s="1"/>
      <c r="BY20" s="1"/>
      <c r="BZ20" s="1"/>
      <c r="CA20" s="1"/>
      <c r="CB20" s="1"/>
      <c r="CC20" s="1"/>
      <c r="CD20" s="1"/>
      <c r="CE20" s="1"/>
    </row>
    <row r="21" spans="1:83" ht="12.95" customHeight="1" x14ac:dyDescent="0.25">
      <c r="A21" s="10">
        <f t="shared" si="2"/>
        <v>17</v>
      </c>
      <c r="B21" s="4">
        <v>15</v>
      </c>
      <c r="C21">
        <v>20</v>
      </c>
      <c r="D21" t="s">
        <v>19</v>
      </c>
      <c r="E21" t="s">
        <v>50</v>
      </c>
      <c r="F21">
        <v>-74.605053159999997</v>
      </c>
      <c r="G21">
        <v>41.778057050000001</v>
      </c>
      <c r="H21">
        <v>0.10258423092500001</v>
      </c>
      <c r="I21">
        <v>0</v>
      </c>
      <c r="K21">
        <v>0</v>
      </c>
      <c r="L21">
        <v>0</v>
      </c>
      <c r="M21">
        <v>0</v>
      </c>
      <c r="N21" t="s">
        <v>66</v>
      </c>
      <c r="O21">
        <v>367.31099999999998</v>
      </c>
      <c r="P21" t="s">
        <v>52</v>
      </c>
      <c r="Q21">
        <v>338400</v>
      </c>
      <c r="R21" t="s">
        <v>23</v>
      </c>
      <c r="S21">
        <v>0.33839999999999998</v>
      </c>
      <c r="T21" t="s">
        <v>67</v>
      </c>
      <c r="U21" t="s">
        <v>68</v>
      </c>
      <c r="V21" s="1" t="s">
        <v>115</v>
      </c>
      <c r="W21" s="6">
        <v>15</v>
      </c>
      <c r="X21" s="9">
        <v>20</v>
      </c>
      <c r="Y21" s="9" t="s">
        <v>19</v>
      </c>
      <c r="Z21" s="9" t="s">
        <v>50</v>
      </c>
      <c r="AA21" s="15">
        <v>-74.605053159999997</v>
      </c>
      <c r="AB21" s="15">
        <v>41.778057050000001</v>
      </c>
      <c r="AC21" s="14">
        <v>0.10258423092500001</v>
      </c>
      <c r="AD21" s="9">
        <v>0</v>
      </c>
      <c r="AE21" s="9"/>
      <c r="AF21" s="15">
        <v>0</v>
      </c>
      <c r="AG21" s="15">
        <v>2000</v>
      </c>
      <c r="AH21" s="15">
        <v>-2000</v>
      </c>
      <c r="AI21" s="8" t="s">
        <v>66</v>
      </c>
      <c r="AJ21" s="15">
        <v>367.31099999999998</v>
      </c>
      <c r="AK21" s="9" t="s">
        <v>52</v>
      </c>
      <c r="AL21" s="9">
        <v>338400</v>
      </c>
      <c r="AM21" s="9" t="s">
        <v>23</v>
      </c>
      <c r="AN21" s="9">
        <v>0.33839999999999998</v>
      </c>
      <c r="AO21" s="9" t="s">
        <v>67</v>
      </c>
      <c r="AP21" s="9" t="s">
        <v>68</v>
      </c>
      <c r="AQ21" s="16">
        <v>1750794.52941656</v>
      </c>
      <c r="AR21" s="16">
        <v>2283998.0908235302</v>
      </c>
      <c r="AS21" s="15">
        <v>-388.32337358580401</v>
      </c>
      <c r="AT21" s="15">
        <v>-1280.9827439999999</v>
      </c>
      <c r="AU21" s="1" t="s">
        <v>115</v>
      </c>
      <c r="AV21" s="9">
        <f>IF(Z20=Z21,0,MAX(AV$5:AV20)+1)</f>
        <v>0</v>
      </c>
      <c r="AW21" s="9">
        <f t="shared" si="4"/>
        <v>4</v>
      </c>
      <c r="AX21" s="18">
        <f t="shared" si="5"/>
        <v>0</v>
      </c>
      <c r="AY21" s="19">
        <f t="shared" si="6"/>
        <v>-367.31099999999998</v>
      </c>
      <c r="AZ21" s="1" t="s">
        <v>115</v>
      </c>
      <c r="BA21" s="1" t="str">
        <f t="shared" si="7"/>
        <v>well_5</v>
      </c>
      <c r="BB21" s="24" t="s">
        <v>120</v>
      </c>
      <c r="BC21" s="17" t="str">
        <f t="shared" si="3"/>
        <v>Unknown well depth</v>
      </c>
      <c r="BD21" s="1">
        <f t="shared" si="3"/>
        <v>0</v>
      </c>
      <c r="BE21" s="1">
        <f t="shared" si="3"/>
        <v>20</v>
      </c>
      <c r="BF21" s="1" t="s">
        <v>115</v>
      </c>
      <c r="BG21" s="6"/>
      <c r="BH21" s="6">
        <v>17</v>
      </c>
      <c r="BI21" s="5" t="str">
        <v>M_Rate_MGD</v>
      </c>
      <c r="BJ21" s="1"/>
      <c r="BK21">
        <v>27</v>
      </c>
      <c r="BL21" s="17" t="s">
        <v>153</v>
      </c>
      <c r="BM21">
        <v>27</v>
      </c>
      <c r="BN21">
        <v>50</v>
      </c>
      <c r="BO21">
        <v>100</v>
      </c>
      <c r="BP21">
        <v>75</v>
      </c>
      <c r="BQ21" s="30">
        <v>22.86</v>
      </c>
      <c r="BR21" s="1" t="s">
        <v>115</v>
      </c>
      <c r="BS21">
        <v>27</v>
      </c>
      <c r="BT21" t="s">
        <v>153</v>
      </c>
      <c r="BU21" s="30">
        <v>22.86</v>
      </c>
      <c r="BV21" s="30">
        <v>80</v>
      </c>
      <c r="BW21" s="30">
        <v>-57.14</v>
      </c>
      <c r="BX21" s="1"/>
      <c r="BY21" s="1"/>
      <c r="BZ21" s="1"/>
      <c r="CA21" s="1"/>
      <c r="CB21" s="1"/>
      <c r="CC21" s="1"/>
      <c r="CD21" s="1"/>
      <c r="CE21" s="1"/>
    </row>
    <row r="22" spans="1:83" ht="12.95" customHeight="1" x14ac:dyDescent="0.25">
      <c r="A22" s="10">
        <f t="shared" si="2"/>
        <v>18</v>
      </c>
      <c r="B22" s="4">
        <v>16</v>
      </c>
      <c r="C22">
        <v>21</v>
      </c>
      <c r="D22" t="s">
        <v>19</v>
      </c>
      <c r="E22" t="s">
        <v>50</v>
      </c>
      <c r="F22">
        <v>-74.59773629</v>
      </c>
      <c r="G22">
        <v>41.745444280000001</v>
      </c>
      <c r="H22">
        <v>0.123799496611</v>
      </c>
      <c r="I22">
        <v>0</v>
      </c>
      <c r="J22">
        <v>414443074355101</v>
      </c>
      <c r="K22">
        <v>0</v>
      </c>
      <c r="L22">
        <v>0</v>
      </c>
      <c r="M22">
        <v>0</v>
      </c>
      <c r="N22" t="s">
        <v>66</v>
      </c>
      <c r="O22">
        <v>356.02</v>
      </c>
      <c r="P22" t="s">
        <v>52</v>
      </c>
      <c r="Q22">
        <v>432000</v>
      </c>
      <c r="R22" t="s">
        <v>23</v>
      </c>
      <c r="S22">
        <v>0.432</v>
      </c>
      <c r="T22" t="s">
        <v>69</v>
      </c>
      <c r="U22" t="s">
        <v>70</v>
      </c>
      <c r="V22" s="1" t="s">
        <v>115</v>
      </c>
      <c r="W22" s="6">
        <v>16</v>
      </c>
      <c r="X22" s="9">
        <v>21</v>
      </c>
      <c r="Y22" s="9" t="s">
        <v>19</v>
      </c>
      <c r="Z22" s="9" t="s">
        <v>50</v>
      </c>
      <c r="AA22" s="15">
        <v>-74.59773629</v>
      </c>
      <c r="AB22" s="15">
        <v>41.745444280000001</v>
      </c>
      <c r="AC22" s="14">
        <v>0.123799496611</v>
      </c>
      <c r="AD22" s="9">
        <v>0</v>
      </c>
      <c r="AE22" s="9">
        <v>414443074355101</v>
      </c>
      <c r="AF22" s="15">
        <v>0</v>
      </c>
      <c r="AG22" s="15">
        <v>2000</v>
      </c>
      <c r="AH22" s="15">
        <v>-2000</v>
      </c>
      <c r="AI22" s="8" t="s">
        <v>66</v>
      </c>
      <c r="AJ22" s="15">
        <v>356.02</v>
      </c>
      <c r="AK22" s="9" t="s">
        <v>52</v>
      </c>
      <c r="AL22" s="9">
        <v>432000</v>
      </c>
      <c r="AM22" s="9" t="s">
        <v>23</v>
      </c>
      <c r="AN22" s="9">
        <v>0.432</v>
      </c>
      <c r="AO22" s="9" t="s">
        <v>69</v>
      </c>
      <c r="AP22" s="9" t="s">
        <v>70</v>
      </c>
      <c r="AQ22" s="16">
        <v>1752198.01385321</v>
      </c>
      <c r="AR22" s="16">
        <v>2280575.93317649</v>
      </c>
      <c r="AS22" s="15">
        <v>-468.63185246624499</v>
      </c>
      <c r="AT22" s="15">
        <v>-1635.2971199999999</v>
      </c>
      <c r="AU22" s="1" t="s">
        <v>115</v>
      </c>
      <c r="AV22" s="9">
        <f>IF(Z21=Z22,0,MAX(AV$5:AV21)+1)</f>
        <v>0</v>
      </c>
      <c r="AW22" s="9">
        <f t="shared" si="4"/>
        <v>4</v>
      </c>
      <c r="AX22" s="18">
        <f t="shared" si="5"/>
        <v>0</v>
      </c>
      <c r="AY22" s="19">
        <f t="shared" si="6"/>
        <v>-356.02</v>
      </c>
      <c r="AZ22" s="1" t="s">
        <v>115</v>
      </c>
      <c r="BA22" s="1" t="str">
        <f t="shared" si="7"/>
        <v>SV_256</v>
      </c>
      <c r="BB22" s="24" t="s">
        <v>120</v>
      </c>
      <c r="BC22" s="17" t="str">
        <f t="shared" si="3"/>
        <v>Unknown well depth</v>
      </c>
      <c r="BD22" s="1">
        <f t="shared" si="3"/>
        <v>0</v>
      </c>
      <c r="BE22" s="1">
        <f t="shared" si="3"/>
        <v>21</v>
      </c>
      <c r="BF22" s="1" t="s">
        <v>115</v>
      </c>
      <c r="BG22" s="6">
        <f>BH22</f>
        <v>18</v>
      </c>
      <c r="BH22" s="6">
        <v>18</v>
      </c>
      <c r="BI22" s="5" t="str">
        <v>ID_Well</v>
      </c>
      <c r="BJ22" s="1"/>
      <c r="BK22">
        <v>28</v>
      </c>
      <c r="BL22" s="17" t="s">
        <v>154</v>
      </c>
      <c r="BM22">
        <v>28</v>
      </c>
      <c r="BN22">
        <v>50</v>
      </c>
      <c r="BO22">
        <v>100</v>
      </c>
      <c r="BP22">
        <v>75</v>
      </c>
      <c r="BQ22" s="30">
        <v>22.86</v>
      </c>
      <c r="BR22" s="1" t="s">
        <v>115</v>
      </c>
      <c r="BS22">
        <v>28</v>
      </c>
      <c r="BT22" t="s">
        <v>154</v>
      </c>
      <c r="BU22" s="30">
        <v>22.86</v>
      </c>
      <c r="BV22" s="30">
        <v>80</v>
      </c>
      <c r="BW22" s="30">
        <v>-57.14</v>
      </c>
      <c r="BX22" s="1"/>
      <c r="BY22" s="1"/>
      <c r="BZ22" s="1"/>
      <c r="CA22" s="1"/>
      <c r="CB22" s="1"/>
      <c r="CC22" s="1"/>
      <c r="CD22" s="1"/>
      <c r="CE22" s="1"/>
    </row>
    <row r="23" spans="1:83" ht="12.95" customHeight="1" x14ac:dyDescent="0.25">
      <c r="A23" s="10">
        <f t="shared" si="2"/>
        <v>19</v>
      </c>
      <c r="B23" s="4">
        <v>17</v>
      </c>
      <c r="C23">
        <v>22</v>
      </c>
      <c r="D23" t="s">
        <v>19</v>
      </c>
      <c r="E23" t="s">
        <v>50</v>
      </c>
      <c r="F23">
        <v>-74.599264109999993</v>
      </c>
      <c r="G23">
        <v>41.753114609999997</v>
      </c>
      <c r="H23">
        <v>0.167129320424</v>
      </c>
      <c r="I23">
        <v>0</v>
      </c>
      <c r="K23">
        <v>0</v>
      </c>
      <c r="L23">
        <v>0</v>
      </c>
      <c r="M23">
        <v>0</v>
      </c>
      <c r="N23" t="s">
        <v>66</v>
      </c>
      <c r="O23">
        <v>358.23700000000002</v>
      </c>
      <c r="P23" t="s">
        <v>52</v>
      </c>
      <c r="Q23">
        <v>583200</v>
      </c>
      <c r="R23" t="s">
        <v>23</v>
      </c>
      <c r="S23">
        <v>0.58320000000000005</v>
      </c>
      <c r="T23" t="s">
        <v>71</v>
      </c>
      <c r="U23" t="s">
        <v>72</v>
      </c>
      <c r="V23" s="1" t="s">
        <v>115</v>
      </c>
      <c r="W23" s="6">
        <v>17</v>
      </c>
      <c r="X23" s="9">
        <v>22</v>
      </c>
      <c r="Y23" s="9" t="s">
        <v>19</v>
      </c>
      <c r="Z23" s="9" t="s">
        <v>50</v>
      </c>
      <c r="AA23" s="15">
        <v>-74.599264109999993</v>
      </c>
      <c r="AB23" s="15">
        <v>41.753114609999997</v>
      </c>
      <c r="AC23" s="14">
        <v>0.167129320424</v>
      </c>
      <c r="AD23" s="9">
        <v>0</v>
      </c>
      <c r="AE23" s="9"/>
      <c r="AF23" s="15">
        <v>0</v>
      </c>
      <c r="AG23" s="15">
        <v>2000</v>
      </c>
      <c r="AH23" s="15">
        <v>-2000</v>
      </c>
      <c r="AI23" s="8" t="s">
        <v>66</v>
      </c>
      <c r="AJ23" s="15">
        <v>358.23700000000002</v>
      </c>
      <c r="AK23" s="9" t="s">
        <v>52</v>
      </c>
      <c r="AL23" s="9">
        <v>583200</v>
      </c>
      <c r="AM23" s="9" t="s">
        <v>23</v>
      </c>
      <c r="AN23" s="9">
        <v>0.58320000000000005</v>
      </c>
      <c r="AO23" s="9" t="s">
        <v>71</v>
      </c>
      <c r="AP23" s="9" t="s">
        <v>72</v>
      </c>
      <c r="AQ23" s="16">
        <v>1751883.4080818801</v>
      </c>
      <c r="AR23" s="16">
        <v>2281384.35934438</v>
      </c>
      <c r="AS23" s="15">
        <v>-632.65300082621297</v>
      </c>
      <c r="AT23" s="15">
        <v>-2207.651112</v>
      </c>
      <c r="AU23" s="1" t="s">
        <v>115</v>
      </c>
      <c r="AV23" s="9">
        <f>IF(Z22=Z23,0,MAX(AV$5:AV22)+1)</f>
        <v>0</v>
      </c>
      <c r="AW23" s="9">
        <f t="shared" si="4"/>
        <v>4</v>
      </c>
      <c r="AX23" s="18">
        <f t="shared" si="5"/>
        <v>0</v>
      </c>
      <c r="AY23" s="19">
        <f t="shared" si="6"/>
        <v>-358.23700000000002</v>
      </c>
      <c r="AZ23" s="1" t="s">
        <v>115</v>
      </c>
      <c r="BA23" s="1" t="str">
        <f t="shared" si="7"/>
        <v>well_6</v>
      </c>
      <c r="BB23" s="24" t="s">
        <v>120</v>
      </c>
      <c r="BC23" s="17" t="str">
        <f t="shared" si="3"/>
        <v>Unknown well depth</v>
      </c>
      <c r="BD23" s="1">
        <f t="shared" si="3"/>
        <v>0</v>
      </c>
      <c r="BE23" s="1">
        <f t="shared" si="3"/>
        <v>22</v>
      </c>
      <c r="BF23" s="1" t="s">
        <v>115</v>
      </c>
      <c r="BG23" s="6"/>
      <c r="BH23" s="6">
        <v>19</v>
      </c>
      <c r="BI23" s="5" t="str">
        <v>geometry</v>
      </c>
      <c r="BJ23" s="1"/>
      <c r="BK23">
        <v>29</v>
      </c>
      <c r="BL23" s="17" t="s">
        <v>155</v>
      </c>
      <c r="BM23">
        <v>29</v>
      </c>
      <c r="BN23">
        <v>5</v>
      </c>
      <c r="BO23">
        <v>20</v>
      </c>
      <c r="BP23">
        <v>12.5</v>
      </c>
      <c r="BQ23" s="30">
        <v>3.81</v>
      </c>
      <c r="BR23" s="1" t="s">
        <v>115</v>
      </c>
      <c r="BS23">
        <v>29</v>
      </c>
      <c r="BT23" t="s">
        <v>155</v>
      </c>
      <c r="BU23" s="30">
        <v>3.81</v>
      </c>
      <c r="BV23" s="30">
        <v>80</v>
      </c>
      <c r="BW23" s="30">
        <v>-76.19</v>
      </c>
      <c r="BX23" s="1"/>
      <c r="BY23" s="1"/>
      <c r="BZ23" s="1"/>
      <c r="CA23" s="1"/>
      <c r="CB23" s="1"/>
      <c r="CC23" s="1"/>
      <c r="CD23" s="1"/>
      <c r="CE23" s="1"/>
    </row>
    <row r="24" spans="1:83" ht="12.95" customHeight="1" x14ac:dyDescent="0.25">
      <c r="A24" s="10">
        <f t="shared" si="2"/>
        <v>20</v>
      </c>
      <c r="B24" s="4">
        <v>18</v>
      </c>
      <c r="C24">
        <v>24</v>
      </c>
      <c r="D24" t="s">
        <v>19</v>
      </c>
      <c r="E24" t="s">
        <v>73</v>
      </c>
      <c r="F24">
        <v>-74.532306039999995</v>
      </c>
      <c r="G24">
        <v>41.691289230000002</v>
      </c>
      <c r="H24">
        <v>2.4506151306899999E-2</v>
      </c>
      <c r="I24">
        <v>370</v>
      </c>
      <c r="J24">
        <v>414128074315601</v>
      </c>
      <c r="K24">
        <v>112.776</v>
      </c>
      <c r="L24">
        <v>0</v>
      </c>
      <c r="M24">
        <v>0</v>
      </c>
      <c r="N24" t="s">
        <v>21</v>
      </c>
      <c r="O24">
        <v>311.69299999999998</v>
      </c>
      <c r="P24" t="s">
        <v>22</v>
      </c>
      <c r="Q24">
        <v>178560</v>
      </c>
      <c r="R24" t="s">
        <v>23</v>
      </c>
      <c r="S24">
        <v>0.17856</v>
      </c>
      <c r="T24" t="s">
        <v>74</v>
      </c>
      <c r="U24" t="s">
        <v>75</v>
      </c>
      <c r="V24" s="1" t="s">
        <v>115</v>
      </c>
      <c r="W24" s="6">
        <v>18</v>
      </c>
      <c r="X24" s="9">
        <v>24</v>
      </c>
      <c r="Y24" s="9" t="s">
        <v>19</v>
      </c>
      <c r="Z24" s="9" t="s">
        <v>73</v>
      </c>
      <c r="AA24" s="15">
        <v>-74.532306039999995</v>
      </c>
      <c r="AB24" s="15">
        <v>41.691289230000002</v>
      </c>
      <c r="AC24" s="14">
        <v>2.4506151306899999E-2</v>
      </c>
      <c r="AD24" s="9">
        <v>370</v>
      </c>
      <c r="AE24" s="9">
        <v>414128074315601</v>
      </c>
      <c r="AF24" s="15">
        <v>112.776</v>
      </c>
      <c r="AG24" s="15">
        <v>2000</v>
      </c>
      <c r="AH24" s="15">
        <v>-2000</v>
      </c>
      <c r="AI24" s="8" t="s">
        <v>21</v>
      </c>
      <c r="AJ24" s="15">
        <v>311.69299999999998</v>
      </c>
      <c r="AK24" s="9" t="s">
        <v>22</v>
      </c>
      <c r="AL24" s="9">
        <v>178560</v>
      </c>
      <c r="AM24" s="9" t="s">
        <v>23</v>
      </c>
      <c r="AN24" s="9">
        <v>0.17856</v>
      </c>
      <c r="AO24" s="9" t="s">
        <v>74</v>
      </c>
      <c r="AP24" s="9" t="s">
        <v>75</v>
      </c>
      <c r="AQ24" s="16">
        <v>1758820.77030038</v>
      </c>
      <c r="AR24" s="16">
        <v>2275878.2567939698</v>
      </c>
      <c r="AS24" s="15">
        <v>-92.765830218652297</v>
      </c>
      <c r="AT24" s="15">
        <v>-675.92280959999903</v>
      </c>
      <c r="AU24" s="1" t="s">
        <v>115</v>
      </c>
      <c r="AV24" s="9">
        <f>IF(Z23=Z24,0,MAX(AV$5:AV23)+1)</f>
        <v>5</v>
      </c>
      <c r="AW24" s="9">
        <f t="shared" si="4"/>
        <v>5</v>
      </c>
      <c r="AX24" s="18">
        <f t="shared" si="5"/>
        <v>-370</v>
      </c>
      <c r="AY24" s="19">
        <f t="shared" si="6"/>
        <v>-311.69299999999998</v>
      </c>
      <c r="AZ24" s="1" t="s">
        <v>115</v>
      </c>
      <c r="BA24" s="1" t="str">
        <f t="shared" si="7"/>
        <v>SV_406</v>
      </c>
      <c r="BB24" s="24" t="s">
        <v>168</v>
      </c>
      <c r="BC24" s="17" t="str">
        <f t="shared" si="3"/>
        <v>Bedrock well according to SWUDS</v>
      </c>
      <c r="BD24" s="1">
        <f t="shared" si="3"/>
        <v>112.776</v>
      </c>
      <c r="BE24" s="1">
        <f t="shared" si="3"/>
        <v>24</v>
      </c>
      <c r="BF24" s="1" t="s">
        <v>115</v>
      </c>
      <c r="BG24" s="6"/>
      <c r="BH24" s="6">
        <v>20</v>
      </c>
      <c r="BI24" s="5" t="str">
        <v>x</v>
      </c>
      <c r="BJ24" s="1"/>
      <c r="BK24">
        <v>30</v>
      </c>
      <c r="BL24" s="17" t="s">
        <v>156</v>
      </c>
      <c r="BM24">
        <v>30</v>
      </c>
      <c r="BN24">
        <v>5</v>
      </c>
      <c r="BO24">
        <v>20</v>
      </c>
      <c r="BP24">
        <v>12.5</v>
      </c>
      <c r="BQ24" s="30">
        <v>3.81</v>
      </c>
      <c r="BR24" s="1" t="s">
        <v>115</v>
      </c>
      <c r="BS24">
        <v>30</v>
      </c>
      <c r="BT24" t="s">
        <v>156</v>
      </c>
      <c r="BU24" s="30">
        <v>3.81</v>
      </c>
      <c r="BV24" s="30">
        <v>2</v>
      </c>
      <c r="BW24" s="30">
        <v>1.81</v>
      </c>
      <c r="BX24" s="1"/>
      <c r="BY24" s="1"/>
      <c r="BZ24" s="1"/>
      <c r="CA24" s="1"/>
      <c r="CB24" s="1"/>
      <c r="CC24" s="1"/>
      <c r="CD24" s="1"/>
      <c r="CE24" s="1"/>
    </row>
    <row r="25" spans="1:83" ht="12.95" customHeight="1" x14ac:dyDescent="0.25">
      <c r="A25" s="10">
        <f t="shared" si="2"/>
        <v>21</v>
      </c>
      <c r="B25" s="4">
        <v>19</v>
      </c>
      <c r="C25">
        <v>25</v>
      </c>
      <c r="D25" t="s">
        <v>19</v>
      </c>
      <c r="E25" t="s">
        <v>73</v>
      </c>
      <c r="F25">
        <v>-74.546469223599999</v>
      </c>
      <c r="G25">
        <v>41.6963467681</v>
      </c>
      <c r="H25">
        <v>2.57203327114E-2</v>
      </c>
      <c r="I25">
        <v>54</v>
      </c>
      <c r="J25">
        <v>414147074324701</v>
      </c>
      <c r="K25">
        <v>16.459199999999999</v>
      </c>
      <c r="L25">
        <v>308.41121821299998</v>
      </c>
      <c r="M25">
        <v>305.36321821299998</v>
      </c>
      <c r="N25" t="s">
        <v>76</v>
      </c>
      <c r="O25">
        <v>321.822</v>
      </c>
      <c r="P25" t="s">
        <v>32</v>
      </c>
      <c r="Q25">
        <v>172800</v>
      </c>
      <c r="R25" t="s">
        <v>23</v>
      </c>
      <c r="S25">
        <v>0.17280000000000001</v>
      </c>
      <c r="T25" t="s">
        <v>77</v>
      </c>
      <c r="U25" t="s">
        <v>78</v>
      </c>
      <c r="V25" s="1" t="s">
        <v>115</v>
      </c>
      <c r="W25" s="6">
        <v>19</v>
      </c>
      <c r="X25" s="9">
        <v>25</v>
      </c>
      <c r="Y25" s="9" t="s">
        <v>19</v>
      </c>
      <c r="Z25" s="9" t="s">
        <v>73</v>
      </c>
      <c r="AA25" s="15">
        <v>-74.546469223599999</v>
      </c>
      <c r="AB25" s="15">
        <v>41.6963467681</v>
      </c>
      <c r="AC25" s="14">
        <v>2.57203327114E-2</v>
      </c>
      <c r="AD25" s="9">
        <v>54</v>
      </c>
      <c r="AE25" s="9">
        <v>414147074324701</v>
      </c>
      <c r="AF25" s="15">
        <v>16.459199999999999</v>
      </c>
      <c r="AG25" s="15">
        <v>308.41121821299998</v>
      </c>
      <c r="AH25" s="15">
        <v>305.36321821299998</v>
      </c>
      <c r="AI25" s="8" t="s">
        <v>76</v>
      </c>
      <c r="AJ25" s="15">
        <v>321.822</v>
      </c>
      <c r="AK25" s="9" t="s">
        <v>32</v>
      </c>
      <c r="AL25" s="9">
        <v>172800</v>
      </c>
      <c r="AM25" s="9" t="s">
        <v>23</v>
      </c>
      <c r="AN25" s="9">
        <v>0.17280000000000001</v>
      </c>
      <c r="AO25" s="9" t="s">
        <v>77</v>
      </c>
      <c r="AP25" s="9" t="s">
        <v>78</v>
      </c>
      <c r="AQ25" s="16">
        <v>1757553.50650563</v>
      </c>
      <c r="AR25" s="16">
        <v>2276167.8004376502</v>
      </c>
      <c r="AS25" s="15">
        <v>-97.362004649060594</v>
      </c>
      <c r="AT25" s="15">
        <v>-654.11884799999996</v>
      </c>
      <c r="AU25" s="1" t="s">
        <v>115</v>
      </c>
      <c r="AV25" s="9">
        <f>IF(Z24=Z25,0,MAX(AV$5:AV24)+1)</f>
        <v>0</v>
      </c>
      <c r="AW25" s="9">
        <f t="shared" si="4"/>
        <v>5</v>
      </c>
      <c r="AX25" s="18">
        <f t="shared" si="5"/>
        <v>-54</v>
      </c>
      <c r="AY25" s="19">
        <f t="shared" si="6"/>
        <v>-321.822</v>
      </c>
      <c r="AZ25" s="1" t="s">
        <v>115</v>
      </c>
      <c r="BA25" s="1" t="str">
        <f t="shared" si="7"/>
        <v>SV_407</v>
      </c>
      <c r="BB25" s="24">
        <f>MAX(BB$6:BB24)+1</f>
        <v>7</v>
      </c>
      <c r="BC25" s="17" t="str">
        <f t="shared" si="3"/>
        <v>Screen in L3 - Kame / fractured rock / ice contract (Geology here low confidence) Bedrock well according to SWUDS</v>
      </c>
      <c r="BD25" s="1">
        <f t="shared" si="3"/>
        <v>16.459199999999999</v>
      </c>
      <c r="BE25" s="1">
        <f t="shared" si="3"/>
        <v>25</v>
      </c>
      <c r="BF25" s="1" t="s">
        <v>115</v>
      </c>
      <c r="BG25" s="6"/>
      <c r="BH25" s="6">
        <v>21</v>
      </c>
      <c r="BI25" s="5" t="str">
        <v>y</v>
      </c>
      <c r="BJ25" s="1"/>
      <c r="BK25">
        <v>31</v>
      </c>
      <c r="BL25" s="17" t="s">
        <v>157</v>
      </c>
      <c r="BM25">
        <v>31</v>
      </c>
      <c r="BN25">
        <v>5</v>
      </c>
      <c r="BO25">
        <v>50</v>
      </c>
      <c r="BP25">
        <v>27.5</v>
      </c>
      <c r="BQ25" s="30">
        <v>8.3819999999999997</v>
      </c>
      <c r="BR25" s="1" t="s">
        <v>115</v>
      </c>
      <c r="BS25">
        <v>31</v>
      </c>
      <c r="BT25" t="s">
        <v>157</v>
      </c>
      <c r="BU25" s="30">
        <v>8.3819999999999997</v>
      </c>
      <c r="BV25" s="30">
        <v>80</v>
      </c>
      <c r="BW25" s="30">
        <v>-71.617999999999995</v>
      </c>
      <c r="BX25" s="1"/>
      <c r="BY25" s="1"/>
      <c r="BZ25" s="1"/>
      <c r="CA25" s="1"/>
      <c r="CB25" s="1"/>
      <c r="CC25" s="1"/>
      <c r="CD25" s="1"/>
      <c r="CE25" s="1"/>
    </row>
    <row r="26" spans="1:83" ht="12.95" customHeight="1" x14ac:dyDescent="0.25">
      <c r="A26" s="10">
        <f t="shared" si="2"/>
        <v>22</v>
      </c>
      <c r="B26" s="4">
        <v>20</v>
      </c>
      <c r="C26">
        <v>26</v>
      </c>
      <c r="D26" t="s">
        <v>19</v>
      </c>
      <c r="E26" t="s">
        <v>79</v>
      </c>
      <c r="F26">
        <v>-74.441700159999996</v>
      </c>
      <c r="G26">
        <v>41.653694340000001</v>
      </c>
      <c r="H26">
        <v>8.9383561643800007E-3</v>
      </c>
      <c r="I26">
        <v>0</v>
      </c>
      <c r="J26">
        <v>413913074263001</v>
      </c>
      <c r="K26">
        <v>0</v>
      </c>
      <c r="L26">
        <v>0</v>
      </c>
      <c r="M26">
        <v>0</v>
      </c>
      <c r="N26" t="s">
        <v>80</v>
      </c>
      <c r="O26">
        <v>157.31100000000001</v>
      </c>
      <c r="P26" t="s">
        <v>22</v>
      </c>
      <c r="Q26">
        <v>14400</v>
      </c>
      <c r="R26" t="s">
        <v>23</v>
      </c>
      <c r="S26">
        <v>1.44E-2</v>
      </c>
      <c r="T26" t="s">
        <v>81</v>
      </c>
      <c r="U26" t="s">
        <v>82</v>
      </c>
      <c r="V26" s="1" t="s">
        <v>115</v>
      </c>
      <c r="W26" s="6">
        <v>20</v>
      </c>
      <c r="X26" s="9">
        <v>26</v>
      </c>
      <c r="Y26" s="9" t="s">
        <v>19</v>
      </c>
      <c r="Z26" s="9" t="s">
        <v>79</v>
      </c>
      <c r="AA26" s="15">
        <v>-74.441700159999996</v>
      </c>
      <c r="AB26" s="15">
        <v>41.653694340000001</v>
      </c>
      <c r="AC26" s="14">
        <v>8.9383561643800007E-3</v>
      </c>
      <c r="AD26" s="9">
        <v>0</v>
      </c>
      <c r="AE26" s="9">
        <v>413913074263001</v>
      </c>
      <c r="AF26" s="15">
        <v>0</v>
      </c>
      <c r="AG26" s="15">
        <v>2000</v>
      </c>
      <c r="AH26" s="15">
        <v>-2000</v>
      </c>
      <c r="AI26" s="8" t="s">
        <v>80</v>
      </c>
      <c r="AJ26" s="15">
        <v>157.31100000000001</v>
      </c>
      <c r="AK26" s="9" t="s">
        <v>22</v>
      </c>
      <c r="AL26" s="9">
        <v>14400</v>
      </c>
      <c r="AM26" s="9" t="s">
        <v>23</v>
      </c>
      <c r="AN26" s="9">
        <v>1.44E-2</v>
      </c>
      <c r="AO26" s="9" t="s">
        <v>81</v>
      </c>
      <c r="AP26" s="9" t="s">
        <v>82</v>
      </c>
      <c r="AQ26" s="16">
        <v>1767062.6876467101</v>
      </c>
      <c r="AR26" s="16">
        <v>2273459.40906202</v>
      </c>
      <c r="AS26" s="15">
        <v>-33.835342808205603</v>
      </c>
      <c r="AT26" s="15">
        <v>-54.509903999999999</v>
      </c>
      <c r="AU26" s="1" t="s">
        <v>115</v>
      </c>
      <c r="AV26" s="9">
        <f>IF(Z25=Z26,0,MAX(AV$5:AV25)+1)</f>
        <v>6</v>
      </c>
      <c r="AW26" s="9">
        <f t="shared" si="4"/>
        <v>6</v>
      </c>
      <c r="AX26" s="18">
        <f t="shared" si="5"/>
        <v>0</v>
      </c>
      <c r="AY26" s="19">
        <f t="shared" si="6"/>
        <v>-157.31100000000001</v>
      </c>
      <c r="AZ26" s="1" t="s">
        <v>115</v>
      </c>
      <c r="BA26" s="1" t="str">
        <f t="shared" si="7"/>
        <v>SV_422</v>
      </c>
      <c r="BB26" s="24" t="s">
        <v>168</v>
      </c>
      <c r="BC26" s="17" t="str">
        <f t="shared" si="3"/>
        <v>Unknown well depth - Bedrock well according to SWUDS</v>
      </c>
      <c r="BD26" s="1">
        <f t="shared" si="3"/>
        <v>0</v>
      </c>
      <c r="BE26" s="1">
        <f t="shared" si="3"/>
        <v>26</v>
      </c>
      <c r="BF26" s="1" t="s">
        <v>115</v>
      </c>
      <c r="BG26" s="6"/>
      <c r="BH26" s="6">
        <v>22</v>
      </c>
      <c r="BI26" s="5" t="str">
        <v>flux_m3</v>
      </c>
      <c r="BJ26" s="1"/>
      <c r="BK26">
        <v>32</v>
      </c>
      <c r="BL26" s="17" t="s">
        <v>158</v>
      </c>
      <c r="BM26">
        <v>32</v>
      </c>
      <c r="BN26">
        <v>1</v>
      </c>
      <c r="BO26">
        <v>10</v>
      </c>
      <c r="BP26">
        <v>5.5</v>
      </c>
      <c r="BQ26" s="30">
        <v>1.6763999999999999</v>
      </c>
      <c r="BR26" s="1" t="s">
        <v>115</v>
      </c>
      <c r="BS26">
        <v>32</v>
      </c>
      <c r="BT26" t="s">
        <v>158</v>
      </c>
      <c r="BU26" s="30">
        <v>1.6763999999999999</v>
      </c>
      <c r="BV26" s="30">
        <v>80</v>
      </c>
      <c r="BW26" s="30">
        <v>-78.323599999999999</v>
      </c>
      <c r="BX26" s="1"/>
      <c r="BY26" s="1"/>
      <c r="BZ26" s="1"/>
      <c r="CA26" s="1"/>
      <c r="CB26" s="1"/>
      <c r="CC26" s="1"/>
      <c r="CD26" s="1"/>
      <c r="CE26" s="1"/>
    </row>
    <row r="27" spans="1:83" ht="12.95" customHeight="1" x14ac:dyDescent="0.25">
      <c r="A27" s="10">
        <f t="shared" si="2"/>
        <v>23</v>
      </c>
      <c r="B27" s="4">
        <v>21</v>
      </c>
      <c r="C27">
        <v>27</v>
      </c>
      <c r="D27" t="s">
        <v>19</v>
      </c>
      <c r="E27" t="s">
        <v>83</v>
      </c>
      <c r="F27">
        <v>-74.596437440000003</v>
      </c>
      <c r="G27">
        <v>41.749276719999997</v>
      </c>
      <c r="H27">
        <v>2.16733369263E-2</v>
      </c>
      <c r="I27">
        <v>46</v>
      </c>
      <c r="J27">
        <v>414457074354701</v>
      </c>
      <c r="K27">
        <v>14.020799999999999</v>
      </c>
      <c r="L27">
        <v>345.28370024399999</v>
      </c>
      <c r="M27">
        <v>342.23570024399999</v>
      </c>
      <c r="N27" t="s">
        <v>84</v>
      </c>
      <c r="O27">
        <v>356.25700000000001</v>
      </c>
      <c r="P27" t="s">
        <v>22</v>
      </c>
      <c r="Q27">
        <v>144000</v>
      </c>
      <c r="R27" t="s">
        <v>23</v>
      </c>
      <c r="S27">
        <v>0.14399999999999999</v>
      </c>
      <c r="T27" t="s">
        <v>85</v>
      </c>
      <c r="U27" t="s">
        <v>86</v>
      </c>
      <c r="V27" s="1" t="s">
        <v>115</v>
      </c>
      <c r="W27" s="6">
        <v>21</v>
      </c>
      <c r="X27" s="9">
        <v>27</v>
      </c>
      <c r="Y27" s="9" t="s">
        <v>19</v>
      </c>
      <c r="Z27" s="9" t="s">
        <v>83</v>
      </c>
      <c r="AA27" s="15">
        <v>-74.596437440000003</v>
      </c>
      <c r="AB27" s="15">
        <v>41.749276719999997</v>
      </c>
      <c r="AC27" s="14">
        <v>2.16733369263E-2</v>
      </c>
      <c r="AD27" s="9">
        <v>46</v>
      </c>
      <c r="AE27" s="9">
        <v>414457074354701</v>
      </c>
      <c r="AF27" s="15">
        <v>14.020799999999999</v>
      </c>
      <c r="AG27" s="15">
        <v>345.28370024399999</v>
      </c>
      <c r="AH27" s="15">
        <v>342.23570024399999</v>
      </c>
      <c r="AI27" s="8" t="s">
        <v>84</v>
      </c>
      <c r="AJ27" s="15">
        <v>356.25700000000001</v>
      </c>
      <c r="AK27" s="9" t="s">
        <v>22</v>
      </c>
      <c r="AL27" s="9">
        <v>144000</v>
      </c>
      <c r="AM27" s="9" t="s">
        <v>23</v>
      </c>
      <c r="AN27" s="9">
        <v>0.14399999999999999</v>
      </c>
      <c r="AO27" s="9" t="s">
        <v>85</v>
      </c>
      <c r="AP27" s="9" t="s">
        <v>86</v>
      </c>
      <c r="AQ27" s="16">
        <v>1752206.7792292</v>
      </c>
      <c r="AR27" s="16">
        <v>2281017.8799334099</v>
      </c>
      <c r="AS27" s="15">
        <v>-82.042466334185207</v>
      </c>
      <c r="AT27" s="15">
        <v>-545.09903999999995</v>
      </c>
      <c r="AU27" s="1" t="s">
        <v>115</v>
      </c>
      <c r="AV27" s="9">
        <f>IF(Z26=Z27,0,MAX(AV$5:AV26)+1)</f>
        <v>7</v>
      </c>
      <c r="AW27" s="9">
        <f t="shared" si="4"/>
        <v>7</v>
      </c>
      <c r="AX27" s="18">
        <f t="shared" si="5"/>
        <v>-46</v>
      </c>
      <c r="AY27" s="19">
        <f t="shared" si="6"/>
        <v>-356.25700000000001</v>
      </c>
      <c r="AZ27" s="1" t="s">
        <v>115</v>
      </c>
      <c r="BA27" s="1" t="str">
        <f t="shared" si="7"/>
        <v>SV_510</v>
      </c>
      <c r="BB27" s="24" t="s">
        <v>168</v>
      </c>
      <c r="BC27" s="17" t="str">
        <f t="shared" si="3"/>
        <v>Well screen in L1 // Bedrock well according to SWUDS</v>
      </c>
      <c r="BD27" s="1">
        <f t="shared" si="3"/>
        <v>14.020799999999999</v>
      </c>
      <c r="BE27" s="1">
        <f t="shared" si="3"/>
        <v>27</v>
      </c>
      <c r="BF27" s="1" t="s">
        <v>115</v>
      </c>
      <c r="BG27" s="6"/>
      <c r="BH27" s="6">
        <v>23</v>
      </c>
      <c r="BI27" s="5" t="str">
        <v>max_flux_m3</v>
      </c>
      <c r="BJ27" s="1"/>
      <c r="BK27">
        <v>33</v>
      </c>
      <c r="BL27" s="17" t="s">
        <v>159</v>
      </c>
      <c r="BM27">
        <v>33</v>
      </c>
      <c r="BN27">
        <v>5</v>
      </c>
      <c r="BO27">
        <v>50</v>
      </c>
      <c r="BP27">
        <v>27.5</v>
      </c>
      <c r="BQ27" s="30">
        <v>8.3819999999999997</v>
      </c>
      <c r="BR27" s="1" t="s">
        <v>115</v>
      </c>
      <c r="BS27">
        <v>33</v>
      </c>
      <c r="BT27" t="s">
        <v>159</v>
      </c>
      <c r="BU27" s="30">
        <v>8.3819999999999997</v>
      </c>
      <c r="BV27" s="30">
        <v>80</v>
      </c>
      <c r="BW27" s="30">
        <v>-71.617999999999995</v>
      </c>
      <c r="BX27" s="1"/>
      <c r="BY27" s="1"/>
      <c r="BZ27" s="1"/>
      <c r="CA27" s="1"/>
      <c r="CB27" s="1"/>
      <c r="CC27" s="1"/>
      <c r="CD27" s="1"/>
      <c r="CE27" s="1"/>
    </row>
    <row r="28" spans="1:83" ht="12.95" customHeight="1" x14ac:dyDescent="0.25">
      <c r="A28" s="10">
        <f t="shared" si="2"/>
        <v>24</v>
      </c>
      <c r="B28" s="4">
        <v>22</v>
      </c>
      <c r="C28">
        <v>28</v>
      </c>
      <c r="D28" t="s">
        <v>19</v>
      </c>
      <c r="E28" t="s">
        <v>83</v>
      </c>
      <c r="F28">
        <v>-74.596308690000001</v>
      </c>
      <c r="G28">
        <v>41.748708829999998</v>
      </c>
      <c r="H28">
        <v>2.3383813798800002E-2</v>
      </c>
      <c r="I28">
        <v>47</v>
      </c>
      <c r="J28">
        <v>414455074354601</v>
      </c>
      <c r="K28">
        <v>14.3256</v>
      </c>
      <c r="L28">
        <v>0</v>
      </c>
      <c r="M28">
        <v>0</v>
      </c>
      <c r="N28" t="s">
        <v>87</v>
      </c>
      <c r="O28">
        <v>354.20800000000003</v>
      </c>
      <c r="P28" t="s">
        <v>22</v>
      </c>
      <c r="Q28">
        <v>144000</v>
      </c>
      <c r="R28" t="s">
        <v>23</v>
      </c>
      <c r="S28">
        <v>0.14399999999999999</v>
      </c>
      <c r="T28" t="s">
        <v>88</v>
      </c>
      <c r="U28" t="s">
        <v>89</v>
      </c>
      <c r="V28" s="1" t="s">
        <v>115</v>
      </c>
      <c r="W28" s="6">
        <v>22</v>
      </c>
      <c r="X28" s="9">
        <v>28</v>
      </c>
      <c r="Y28" s="9" t="s">
        <v>19</v>
      </c>
      <c r="Z28" s="9" t="s">
        <v>83</v>
      </c>
      <c r="AA28" s="15">
        <v>-74.596308690000001</v>
      </c>
      <c r="AB28" s="15">
        <v>41.748708829999998</v>
      </c>
      <c r="AC28" s="14">
        <v>2.3383813798800002E-2</v>
      </c>
      <c r="AD28" s="9">
        <v>47</v>
      </c>
      <c r="AE28" s="9">
        <v>414455074354601</v>
      </c>
      <c r="AF28" s="15">
        <v>14.3256</v>
      </c>
      <c r="AG28" s="15">
        <v>2000</v>
      </c>
      <c r="AH28" s="15">
        <v>-2000</v>
      </c>
      <c r="AI28" s="8" t="s">
        <v>87</v>
      </c>
      <c r="AJ28" s="15">
        <v>354.20800000000003</v>
      </c>
      <c r="AK28" s="9" t="s">
        <v>22</v>
      </c>
      <c r="AL28" s="9">
        <v>144000</v>
      </c>
      <c r="AM28" s="9" t="s">
        <v>23</v>
      </c>
      <c r="AN28" s="9">
        <v>0.14399999999999999</v>
      </c>
      <c r="AO28" s="9" t="s">
        <v>88</v>
      </c>
      <c r="AP28" s="9" t="s">
        <v>89</v>
      </c>
      <c r="AQ28" s="16">
        <v>1752231.33135726</v>
      </c>
      <c r="AR28" s="16">
        <v>2280958.3150756899</v>
      </c>
      <c r="AS28" s="15">
        <v>-88.517322592115505</v>
      </c>
      <c r="AT28" s="15">
        <v>-545.09903999999995</v>
      </c>
      <c r="AU28" s="1" t="s">
        <v>115</v>
      </c>
      <c r="AV28" s="9">
        <f>IF(Z27=Z28,0,MAX(AV$5:AV27)+1)</f>
        <v>0</v>
      </c>
      <c r="AW28" s="9">
        <f t="shared" si="4"/>
        <v>7</v>
      </c>
      <c r="AX28" s="18">
        <f t="shared" si="5"/>
        <v>-47</v>
      </c>
      <c r="AY28" s="19">
        <f t="shared" si="6"/>
        <v>-354.20800000000003</v>
      </c>
      <c r="AZ28" s="1" t="s">
        <v>115</v>
      </c>
      <c r="BA28" s="1" t="str">
        <f t="shared" si="7"/>
        <v>SV_511</v>
      </c>
      <c r="BB28" s="24" t="s">
        <v>168</v>
      </c>
      <c r="BC28" s="17" t="str">
        <f t="shared" si="3"/>
        <v>Can't corroborate screen with water bearing layer Bedrock well according to SWUDS</v>
      </c>
      <c r="BD28" s="1">
        <f t="shared" si="3"/>
        <v>14.3256</v>
      </c>
      <c r="BE28" s="1">
        <f t="shared" si="3"/>
        <v>28</v>
      </c>
      <c r="BF28" s="1" t="s">
        <v>115</v>
      </c>
      <c r="BG28" s="20"/>
      <c r="BH28" s="20">
        <v>0</v>
      </c>
      <c r="BI28" s="20" t="str">
        <v xml:space="preserve"> </v>
      </c>
      <c r="BJ28" s="1"/>
      <c r="BK28">
        <v>34</v>
      </c>
      <c r="BL28" s="17" t="s">
        <v>160</v>
      </c>
      <c r="BM28">
        <v>34</v>
      </c>
      <c r="BN28">
        <v>1</v>
      </c>
      <c r="BO28">
        <v>10</v>
      </c>
      <c r="BP28">
        <v>5.5</v>
      </c>
      <c r="BQ28" s="30">
        <v>1.6763999999999999</v>
      </c>
      <c r="BR28" s="1" t="s">
        <v>115</v>
      </c>
      <c r="BS28">
        <v>34</v>
      </c>
      <c r="BT28" t="s">
        <v>160</v>
      </c>
      <c r="BU28" s="30">
        <v>1.6763999999999999</v>
      </c>
      <c r="BV28" s="30">
        <v>80</v>
      </c>
      <c r="BW28" s="30">
        <v>-78.323599999999999</v>
      </c>
      <c r="BX28" s="1"/>
      <c r="BY28" s="1"/>
      <c r="BZ28" s="1"/>
      <c r="CA28" s="1"/>
      <c r="CB28" s="1"/>
      <c r="CC28" s="1"/>
      <c r="CD28" s="1"/>
      <c r="CE28" s="1"/>
    </row>
    <row r="29" spans="1:83" ht="12.95" customHeight="1" x14ac:dyDescent="0.25">
      <c r="A29" s="10">
        <f t="shared" si="2"/>
        <v>25</v>
      </c>
      <c r="B29" s="4">
        <v>23</v>
      </c>
      <c r="C29">
        <v>29</v>
      </c>
      <c r="D29" t="s">
        <v>19</v>
      </c>
      <c r="E29" t="s">
        <v>83</v>
      </c>
      <c r="F29">
        <v>-74.586196869999995</v>
      </c>
      <c r="G29">
        <v>41.74819548</v>
      </c>
      <c r="H29">
        <v>2.3383813798800002E-2</v>
      </c>
      <c r="I29">
        <v>52</v>
      </c>
      <c r="J29">
        <v>414453074351001</v>
      </c>
      <c r="K29">
        <v>15.849600000000001</v>
      </c>
      <c r="L29">
        <v>0</v>
      </c>
      <c r="M29">
        <v>0</v>
      </c>
      <c r="N29" t="s">
        <v>21</v>
      </c>
      <c r="O29">
        <v>447.77600000000001</v>
      </c>
      <c r="P29" t="s">
        <v>22</v>
      </c>
      <c r="Q29">
        <v>144000</v>
      </c>
      <c r="R29" t="s">
        <v>23</v>
      </c>
      <c r="S29">
        <v>0.14399999999999999</v>
      </c>
      <c r="T29" t="s">
        <v>90</v>
      </c>
      <c r="U29" t="s">
        <v>91</v>
      </c>
      <c r="V29" s="1" t="s">
        <v>115</v>
      </c>
      <c r="W29" s="6">
        <v>23</v>
      </c>
      <c r="X29" s="9">
        <v>29</v>
      </c>
      <c r="Y29" s="9" t="s">
        <v>19</v>
      </c>
      <c r="Z29" s="9" t="s">
        <v>83</v>
      </c>
      <c r="AA29" s="15">
        <v>-74.586196869999995</v>
      </c>
      <c r="AB29" s="15">
        <v>41.74819548</v>
      </c>
      <c r="AC29" s="14">
        <v>2.3383813798800002E-2</v>
      </c>
      <c r="AD29" s="9">
        <v>52</v>
      </c>
      <c r="AE29" s="9">
        <v>414453074351001</v>
      </c>
      <c r="AF29" s="15">
        <v>15.849600000000001</v>
      </c>
      <c r="AG29" s="15">
        <v>2000</v>
      </c>
      <c r="AH29" s="15">
        <v>-2000</v>
      </c>
      <c r="AI29" s="8" t="s">
        <v>21</v>
      </c>
      <c r="AJ29" s="15">
        <v>447.77600000000001</v>
      </c>
      <c r="AK29" s="9" t="s">
        <v>22</v>
      </c>
      <c r="AL29" s="9">
        <v>144000</v>
      </c>
      <c r="AM29" s="9" t="s">
        <v>23</v>
      </c>
      <c r="AN29" s="9">
        <v>0.14399999999999999</v>
      </c>
      <c r="AO29" s="9" t="s">
        <v>90</v>
      </c>
      <c r="AP29" s="9" t="s">
        <v>91</v>
      </c>
      <c r="AQ29" s="16">
        <v>1753057.9233981499</v>
      </c>
      <c r="AR29" s="16">
        <v>2281088.8122590701</v>
      </c>
      <c r="AS29" s="15">
        <v>-88.517322592115505</v>
      </c>
      <c r="AT29" s="15">
        <v>-545.09903999999995</v>
      </c>
      <c r="AU29" s="1" t="s">
        <v>115</v>
      </c>
      <c r="AV29" s="9">
        <f>IF(Z28=Z29,0,MAX(AV$5:AV28)+1)</f>
        <v>0</v>
      </c>
      <c r="AW29" s="9">
        <f t="shared" si="4"/>
        <v>7</v>
      </c>
      <c r="AX29" s="18">
        <f t="shared" si="5"/>
        <v>-52</v>
      </c>
      <c r="AY29" s="19">
        <f t="shared" si="6"/>
        <v>-447.77600000000001</v>
      </c>
      <c r="AZ29" s="1" t="s">
        <v>115</v>
      </c>
      <c r="BA29" s="1" t="str">
        <f t="shared" ref="BA29:BE39" si="8">INDEX($X$5:$AT$39,$A29,BA$4)</f>
        <v>SV_512</v>
      </c>
      <c r="BB29" s="24" t="s">
        <v>168</v>
      </c>
      <c r="BC29" s="17" t="str">
        <f t="shared" si="8"/>
        <v>Bedrock well according to SWUDS</v>
      </c>
      <c r="BD29" s="1">
        <f t="shared" si="8"/>
        <v>15.849600000000001</v>
      </c>
      <c r="BE29" s="1">
        <f t="shared" si="8"/>
        <v>29</v>
      </c>
      <c r="BF29" s="1" t="s">
        <v>115</v>
      </c>
      <c r="BG29" s="20"/>
      <c r="BH29" s="20" t="str">
        <v>n</v>
      </c>
      <c r="BI29" s="20" t="str">
        <v>n</v>
      </c>
      <c r="BJ29" s="1"/>
      <c r="BK29">
        <v>35</v>
      </c>
      <c r="BL29" s="17" t="s">
        <v>161</v>
      </c>
      <c r="BM29">
        <v>35</v>
      </c>
      <c r="BN29">
        <v>5</v>
      </c>
      <c r="BO29">
        <v>50</v>
      </c>
      <c r="BP29">
        <v>27.5</v>
      </c>
      <c r="BQ29" s="30">
        <v>8.3819999999999997</v>
      </c>
      <c r="BR29" s="1" t="s">
        <v>115</v>
      </c>
      <c r="BS29">
        <v>35</v>
      </c>
      <c r="BT29" t="s">
        <v>161</v>
      </c>
      <c r="BU29" s="30">
        <v>8.3819999999999997</v>
      </c>
      <c r="BV29" s="30">
        <v>80</v>
      </c>
      <c r="BW29" s="30">
        <v>-71.617999999999995</v>
      </c>
      <c r="BX29" s="1"/>
      <c r="BY29" s="1"/>
      <c r="BZ29" s="1"/>
      <c r="CA29" s="1"/>
      <c r="CB29" s="1"/>
      <c r="CC29" s="1"/>
      <c r="CD29" s="1"/>
      <c r="CE29" s="1"/>
    </row>
    <row r="30" spans="1:83" ht="12.95" customHeight="1" x14ac:dyDescent="0.25">
      <c r="A30" s="10">
        <f t="shared" si="2"/>
        <v>26</v>
      </c>
      <c r="B30" s="4">
        <v>24</v>
      </c>
      <c r="C30">
        <v>30</v>
      </c>
      <c r="D30" t="s">
        <v>19</v>
      </c>
      <c r="E30" t="s">
        <v>83</v>
      </c>
      <c r="F30">
        <v>-74.596609169999994</v>
      </c>
      <c r="G30">
        <v>41.7448999</v>
      </c>
      <c r="H30">
        <v>2.3383813798800002E-2</v>
      </c>
      <c r="I30">
        <v>50</v>
      </c>
      <c r="J30">
        <v>414441074354701</v>
      </c>
      <c r="K30">
        <v>15.24</v>
      </c>
      <c r="L30">
        <v>0</v>
      </c>
      <c r="M30">
        <v>0</v>
      </c>
      <c r="N30" t="s">
        <v>87</v>
      </c>
      <c r="O30">
        <v>353.053</v>
      </c>
      <c r="P30" t="s">
        <v>22</v>
      </c>
      <c r="Q30">
        <v>144000</v>
      </c>
      <c r="R30" t="s">
        <v>23</v>
      </c>
      <c r="S30">
        <v>0.14399999999999999</v>
      </c>
      <c r="T30" t="s">
        <v>92</v>
      </c>
      <c r="U30" t="s">
        <v>93</v>
      </c>
      <c r="V30" s="1" t="s">
        <v>115</v>
      </c>
      <c r="W30" s="6">
        <v>24</v>
      </c>
      <c r="X30" s="9">
        <v>30</v>
      </c>
      <c r="Y30" s="9" t="s">
        <v>19</v>
      </c>
      <c r="Z30" s="9" t="s">
        <v>83</v>
      </c>
      <c r="AA30" s="15">
        <v>-74.596609169999994</v>
      </c>
      <c r="AB30" s="15">
        <v>41.7448999</v>
      </c>
      <c r="AC30" s="14">
        <v>2.3383813798800002E-2</v>
      </c>
      <c r="AD30" s="9">
        <v>50</v>
      </c>
      <c r="AE30" s="9">
        <v>414441074354701</v>
      </c>
      <c r="AF30" s="15">
        <v>15.24</v>
      </c>
      <c r="AG30" s="15">
        <v>2000</v>
      </c>
      <c r="AH30" s="15">
        <v>-2000</v>
      </c>
      <c r="AI30" s="8" t="s">
        <v>87</v>
      </c>
      <c r="AJ30" s="15">
        <v>353.053</v>
      </c>
      <c r="AK30" s="9" t="s">
        <v>22</v>
      </c>
      <c r="AL30" s="9">
        <v>144000</v>
      </c>
      <c r="AM30" s="9" t="s">
        <v>23</v>
      </c>
      <c r="AN30" s="9">
        <v>0.14399999999999999</v>
      </c>
      <c r="AO30" s="9" t="s">
        <v>92</v>
      </c>
      <c r="AP30" s="9" t="s">
        <v>93</v>
      </c>
      <c r="AQ30" s="16">
        <v>1752302.3285975</v>
      </c>
      <c r="AR30" s="16">
        <v>2280537.3404350299</v>
      </c>
      <c r="AS30" s="15">
        <v>-88.517322592115505</v>
      </c>
      <c r="AT30" s="15">
        <v>-545.09903999999995</v>
      </c>
      <c r="AU30" s="1" t="s">
        <v>115</v>
      </c>
      <c r="AV30" s="9">
        <f>IF(Z29=Z30,0,MAX(AV$5:AV29)+1)</f>
        <v>0</v>
      </c>
      <c r="AW30" s="9">
        <f t="shared" si="4"/>
        <v>7</v>
      </c>
      <c r="AX30" s="18">
        <f t="shared" si="5"/>
        <v>-50</v>
      </c>
      <c r="AY30" s="19">
        <f t="shared" si="6"/>
        <v>-353.053</v>
      </c>
      <c r="AZ30" s="1" t="s">
        <v>115</v>
      </c>
      <c r="BA30" s="1" t="str">
        <f t="shared" si="8"/>
        <v>SV_513</v>
      </c>
      <c r="BB30" s="24" t="s">
        <v>168</v>
      </c>
      <c r="BC30" s="17" t="str">
        <f t="shared" si="8"/>
        <v>Can't corroborate screen with water bearing layer Bedrock well according to SWUDS</v>
      </c>
      <c r="BD30" s="1">
        <f t="shared" si="8"/>
        <v>15.24</v>
      </c>
      <c r="BE30" s="1">
        <f t="shared" si="8"/>
        <v>30</v>
      </c>
      <c r="BF30" s="1" t="s">
        <v>115</v>
      </c>
      <c r="BG30" s="20"/>
      <c r="BH30" s="20" t="str">
        <v>n</v>
      </c>
      <c r="BI30" s="20" t="str">
        <v>n</v>
      </c>
      <c r="BJ30" s="1"/>
      <c r="BK30">
        <v>36</v>
      </c>
      <c r="BL30" s="17" t="s">
        <v>162</v>
      </c>
      <c r="BM30">
        <v>36</v>
      </c>
      <c r="BN30">
        <v>10</v>
      </c>
      <c r="BO30">
        <v>50</v>
      </c>
      <c r="BP30">
        <v>30</v>
      </c>
      <c r="BQ30" s="30">
        <v>9.1440000000000001</v>
      </c>
      <c r="BR30" s="1" t="s">
        <v>115</v>
      </c>
      <c r="BS30">
        <v>36</v>
      </c>
      <c r="BT30" t="s">
        <v>162</v>
      </c>
      <c r="BU30" s="30">
        <v>9.1440000000000001</v>
      </c>
      <c r="BV30" s="30">
        <v>80</v>
      </c>
      <c r="BW30" s="30">
        <v>-70.855999999999995</v>
      </c>
      <c r="BX30" s="1"/>
      <c r="BY30" s="1"/>
      <c r="BZ30" s="1"/>
      <c r="CA30" s="1"/>
      <c r="CB30" s="1"/>
      <c r="CC30" s="1"/>
      <c r="CD30" s="1"/>
      <c r="CE30" s="1"/>
    </row>
    <row r="31" spans="1:83" ht="12.95" customHeight="1" x14ac:dyDescent="0.25">
      <c r="A31" s="10">
        <f t="shared" si="2"/>
        <v>27</v>
      </c>
      <c r="B31" s="4">
        <v>25</v>
      </c>
      <c r="C31">
        <v>31</v>
      </c>
      <c r="D31" t="s">
        <v>19</v>
      </c>
      <c r="E31" t="s">
        <v>83</v>
      </c>
      <c r="F31">
        <v>-74.590216232000003</v>
      </c>
      <c r="G31">
        <v>41.742818104999998</v>
      </c>
      <c r="H31">
        <v>3.2715519053100002E-2</v>
      </c>
      <c r="I31">
        <v>48</v>
      </c>
      <c r="J31">
        <v>414450074353002</v>
      </c>
      <c r="K31">
        <v>14.6304</v>
      </c>
      <c r="L31">
        <v>413.05386098600002</v>
      </c>
      <c r="M31">
        <v>410.00586098600002</v>
      </c>
      <c r="N31" t="s">
        <v>21</v>
      </c>
      <c r="O31">
        <v>424.63600000000002</v>
      </c>
      <c r="P31" t="s">
        <v>22</v>
      </c>
      <c r="Q31">
        <v>309600</v>
      </c>
      <c r="R31" t="s">
        <v>23</v>
      </c>
      <c r="S31">
        <v>0.30959999999999999</v>
      </c>
      <c r="T31" t="s">
        <v>94</v>
      </c>
      <c r="U31" t="s">
        <v>95</v>
      </c>
      <c r="V31" s="1" t="s">
        <v>115</v>
      </c>
      <c r="W31" s="6">
        <v>25</v>
      </c>
      <c r="X31" s="9">
        <v>31</v>
      </c>
      <c r="Y31" s="9" t="s">
        <v>19</v>
      </c>
      <c r="Z31" s="9" t="s">
        <v>83</v>
      </c>
      <c r="AA31" s="15">
        <v>-74.590216232000003</v>
      </c>
      <c r="AB31" s="15">
        <v>41.742818104999998</v>
      </c>
      <c r="AC31" s="14">
        <v>3.2715519053100002E-2</v>
      </c>
      <c r="AD31" s="9">
        <v>48</v>
      </c>
      <c r="AE31" s="9">
        <v>414450074353002</v>
      </c>
      <c r="AF31" s="15">
        <v>14.6304</v>
      </c>
      <c r="AG31" s="15">
        <v>413.05386098600002</v>
      </c>
      <c r="AH31" s="15">
        <v>410.00586098600002</v>
      </c>
      <c r="AI31" s="8" t="s">
        <v>21</v>
      </c>
      <c r="AJ31" s="15">
        <v>424.63600000000002</v>
      </c>
      <c r="AK31" s="9" t="s">
        <v>22</v>
      </c>
      <c r="AL31" s="9">
        <v>309600</v>
      </c>
      <c r="AM31" s="9" t="s">
        <v>23</v>
      </c>
      <c r="AN31" s="9">
        <v>0.30959999999999999</v>
      </c>
      <c r="AO31" s="9" t="s">
        <v>94</v>
      </c>
      <c r="AP31" s="9" t="s">
        <v>95</v>
      </c>
      <c r="AQ31" s="16">
        <v>1752868.8729778701</v>
      </c>
      <c r="AR31" s="16">
        <v>2280428.1805796698</v>
      </c>
      <c r="AS31" s="15">
        <v>-123.841652978795</v>
      </c>
      <c r="AT31" s="15">
        <v>-1171.9629359999999</v>
      </c>
      <c r="AU31" s="1" t="s">
        <v>115</v>
      </c>
      <c r="AV31" s="9">
        <f>IF(Z30=Z31,0,MAX(AV$5:AV30)+1)</f>
        <v>0</v>
      </c>
      <c r="AW31" s="9">
        <f t="shared" si="4"/>
        <v>7</v>
      </c>
      <c r="AX31" s="18">
        <f t="shared" si="5"/>
        <v>-48</v>
      </c>
      <c r="AY31" s="19">
        <f t="shared" si="6"/>
        <v>-424.63600000000002</v>
      </c>
      <c r="AZ31" s="1" t="s">
        <v>115</v>
      </c>
      <c r="BA31" s="1" t="str">
        <f t="shared" si="8"/>
        <v>SV_514</v>
      </c>
      <c r="BB31" s="24" t="s">
        <v>168</v>
      </c>
      <c r="BC31" s="17" t="str">
        <f t="shared" si="8"/>
        <v>Bedrock well according to SWUDS</v>
      </c>
      <c r="BD31" s="1">
        <f t="shared" si="8"/>
        <v>14.6304</v>
      </c>
      <c r="BE31" s="1">
        <f t="shared" si="8"/>
        <v>31</v>
      </c>
      <c r="BF31" s="1" t="s">
        <v>115</v>
      </c>
      <c r="BG31" s="20"/>
      <c r="BH31" s="20">
        <v>7</v>
      </c>
      <c r="BI31" s="20" t="str">
        <v>Well_Depth</v>
      </c>
      <c r="BJ31" s="1"/>
      <c r="BK31">
        <v>37</v>
      </c>
      <c r="BL31" s="17" t="s">
        <v>163</v>
      </c>
      <c r="BM31">
        <v>37</v>
      </c>
      <c r="BN31">
        <v>10</v>
      </c>
      <c r="BO31">
        <v>50</v>
      </c>
      <c r="BP31">
        <v>30</v>
      </c>
      <c r="BQ31" s="30">
        <v>9.1440000000000001</v>
      </c>
      <c r="BR31" s="1" t="s">
        <v>115</v>
      </c>
      <c r="BS31">
        <v>37</v>
      </c>
      <c r="BT31" t="s">
        <v>163</v>
      </c>
      <c r="BU31" s="30">
        <v>9.1440000000000001</v>
      </c>
      <c r="BV31" s="30">
        <v>80</v>
      </c>
      <c r="BW31" s="30">
        <v>-70.855999999999995</v>
      </c>
      <c r="BX31" s="1"/>
      <c r="BY31" s="1"/>
      <c r="BZ31" s="1"/>
      <c r="CA31" s="1"/>
      <c r="CB31" s="1"/>
      <c r="CC31" s="1"/>
      <c r="CD31" s="1"/>
      <c r="CE31" s="1"/>
    </row>
    <row r="32" spans="1:83" ht="12.95" customHeight="1" x14ac:dyDescent="0.25">
      <c r="A32" s="10">
        <f t="shared" si="2"/>
        <v>28</v>
      </c>
      <c r="B32" s="4">
        <v>26</v>
      </c>
      <c r="C32">
        <v>32</v>
      </c>
      <c r="D32" t="s">
        <v>19</v>
      </c>
      <c r="E32" t="s">
        <v>83</v>
      </c>
      <c r="F32">
        <v>-74.596997790000003</v>
      </c>
      <c r="G32">
        <v>41.744297799999998</v>
      </c>
      <c r="H32">
        <v>5.02751996673E-2</v>
      </c>
      <c r="I32">
        <v>48</v>
      </c>
      <c r="J32">
        <v>414439074354901</v>
      </c>
      <c r="K32">
        <v>14.6304</v>
      </c>
      <c r="L32">
        <v>0</v>
      </c>
      <c r="M32">
        <v>0</v>
      </c>
      <c r="N32" t="s">
        <v>87</v>
      </c>
      <c r="O32">
        <v>353.642</v>
      </c>
      <c r="P32" t="s">
        <v>22</v>
      </c>
      <c r="Q32">
        <v>309600</v>
      </c>
      <c r="R32" t="s">
        <v>23</v>
      </c>
      <c r="S32">
        <v>0.30959999999999999</v>
      </c>
      <c r="T32" t="s">
        <v>96</v>
      </c>
      <c r="U32" t="s">
        <v>97</v>
      </c>
      <c r="V32" s="1" t="s">
        <v>115</v>
      </c>
      <c r="W32" s="6">
        <v>26</v>
      </c>
      <c r="X32" s="9">
        <v>32</v>
      </c>
      <c r="Y32" s="9" t="s">
        <v>19</v>
      </c>
      <c r="Z32" s="9" t="s">
        <v>83</v>
      </c>
      <c r="AA32" s="15">
        <v>-74.596997790000003</v>
      </c>
      <c r="AB32" s="15">
        <v>41.744297799999998</v>
      </c>
      <c r="AC32" s="14">
        <v>5.02751996673E-2</v>
      </c>
      <c r="AD32" s="9">
        <v>48</v>
      </c>
      <c r="AE32" s="9">
        <v>414439074354901</v>
      </c>
      <c r="AF32" s="15">
        <v>14.6304</v>
      </c>
      <c r="AG32" s="15">
        <v>2000</v>
      </c>
      <c r="AH32" s="15">
        <v>-2000</v>
      </c>
      <c r="AI32" s="8" t="s">
        <v>87</v>
      </c>
      <c r="AJ32" s="15">
        <v>353.642</v>
      </c>
      <c r="AK32" s="9" t="s">
        <v>22</v>
      </c>
      <c r="AL32" s="9">
        <v>309600</v>
      </c>
      <c r="AM32" s="9" t="s">
        <v>23</v>
      </c>
      <c r="AN32" s="9">
        <v>0.30959999999999999</v>
      </c>
      <c r="AO32" s="9" t="s">
        <v>96</v>
      </c>
      <c r="AP32" s="9" t="s">
        <v>97</v>
      </c>
      <c r="AQ32" s="16">
        <v>1752286.09718792</v>
      </c>
      <c r="AR32" s="16">
        <v>2280464.5044147801</v>
      </c>
      <c r="AS32" s="15">
        <v>-190.31224357259401</v>
      </c>
      <c r="AT32" s="15">
        <v>-1171.9629359999999</v>
      </c>
      <c r="AU32" s="1" t="s">
        <v>115</v>
      </c>
      <c r="AV32" s="9">
        <f>IF(Z31=Z32,0,MAX(AV$5:AV31)+1)</f>
        <v>0</v>
      </c>
      <c r="AW32" s="9">
        <f t="shared" si="4"/>
        <v>7</v>
      </c>
      <c r="AX32" s="18">
        <f t="shared" si="5"/>
        <v>-48</v>
      </c>
      <c r="AY32" s="19">
        <f t="shared" si="6"/>
        <v>-353.642</v>
      </c>
      <c r="AZ32" s="1" t="s">
        <v>115</v>
      </c>
      <c r="BA32" s="1" t="str">
        <f t="shared" si="8"/>
        <v>SV_515</v>
      </c>
      <c r="BB32" s="24" t="s">
        <v>168</v>
      </c>
      <c r="BC32" s="17" t="str">
        <f t="shared" si="8"/>
        <v>Can't corroborate screen with water bearing layer Bedrock well according to SWUDS</v>
      </c>
      <c r="BD32" s="1">
        <f t="shared" si="8"/>
        <v>14.6304</v>
      </c>
      <c r="BE32" s="1">
        <f t="shared" si="8"/>
        <v>32</v>
      </c>
      <c r="BF32" s="1" t="s">
        <v>115</v>
      </c>
      <c r="BG32" t="s">
        <v>123</v>
      </c>
      <c r="BH32">
        <v>1743735.4876964299</v>
      </c>
      <c r="BI32" s="28" t="s">
        <v>127</v>
      </c>
      <c r="BJ32" s="1"/>
      <c r="BK32">
        <v>38</v>
      </c>
      <c r="BL32" s="17" t="s">
        <v>164</v>
      </c>
      <c r="BM32">
        <v>38</v>
      </c>
      <c r="BN32">
        <v>50</v>
      </c>
      <c r="BO32">
        <v>100</v>
      </c>
      <c r="BP32">
        <v>75</v>
      </c>
      <c r="BQ32" s="30">
        <v>22.86</v>
      </c>
      <c r="BR32" s="1" t="s">
        <v>115</v>
      </c>
      <c r="BS32">
        <v>38</v>
      </c>
      <c r="BT32" t="s">
        <v>164</v>
      </c>
      <c r="BU32" s="30">
        <v>22.86</v>
      </c>
      <c r="BV32" s="30">
        <v>80</v>
      </c>
      <c r="BW32" s="30">
        <v>-57.14</v>
      </c>
      <c r="BX32" s="1"/>
      <c r="BY32" s="1"/>
      <c r="BZ32" s="1"/>
      <c r="CA32" s="1"/>
      <c r="CB32" s="1"/>
      <c r="CC32" s="1"/>
      <c r="CD32" s="1"/>
      <c r="CE32" s="1"/>
    </row>
    <row r="33" spans="1:83" ht="12.95" customHeight="1" x14ac:dyDescent="0.25">
      <c r="A33" s="10">
        <f t="shared" si="2"/>
        <v>29</v>
      </c>
      <c r="B33" s="4">
        <v>27</v>
      </c>
      <c r="C33">
        <v>33</v>
      </c>
      <c r="D33" t="s">
        <v>19</v>
      </c>
      <c r="E33" t="s">
        <v>83</v>
      </c>
      <c r="F33">
        <v>-74.590216232000003</v>
      </c>
      <c r="G33">
        <v>41.742818104999998</v>
      </c>
      <c r="H33">
        <v>5.02751996673E-2</v>
      </c>
      <c r="I33">
        <v>0</v>
      </c>
      <c r="J33">
        <v>414450074353001</v>
      </c>
      <c r="K33">
        <v>0</v>
      </c>
      <c r="L33">
        <v>0</v>
      </c>
      <c r="M33">
        <v>0</v>
      </c>
      <c r="N33" t="s">
        <v>80</v>
      </c>
      <c r="O33">
        <v>424.63600000000002</v>
      </c>
      <c r="P33" t="s">
        <v>22</v>
      </c>
      <c r="Q33">
        <v>309600</v>
      </c>
      <c r="R33" t="s">
        <v>23</v>
      </c>
      <c r="S33">
        <v>0.30959999999999999</v>
      </c>
      <c r="T33" t="s">
        <v>98</v>
      </c>
      <c r="U33" t="s">
        <v>95</v>
      </c>
      <c r="V33" s="1" t="s">
        <v>115</v>
      </c>
      <c r="W33" s="6">
        <v>27</v>
      </c>
      <c r="X33" s="9">
        <v>33</v>
      </c>
      <c r="Y33" s="9" t="s">
        <v>19</v>
      </c>
      <c r="Z33" s="9" t="s">
        <v>83</v>
      </c>
      <c r="AA33" s="15">
        <v>-74.590216232000003</v>
      </c>
      <c r="AB33" s="15">
        <v>41.742818104999998</v>
      </c>
      <c r="AC33" s="14">
        <v>5.02751996673E-2</v>
      </c>
      <c r="AD33" s="9">
        <v>0</v>
      </c>
      <c r="AE33" s="9">
        <v>414450074353001</v>
      </c>
      <c r="AF33" s="15">
        <v>0</v>
      </c>
      <c r="AG33" s="15">
        <v>2000</v>
      </c>
      <c r="AH33" s="15">
        <v>-2000</v>
      </c>
      <c r="AI33" s="8" t="s">
        <v>80</v>
      </c>
      <c r="AJ33" s="15">
        <v>424.63600000000002</v>
      </c>
      <c r="AK33" s="9" t="s">
        <v>22</v>
      </c>
      <c r="AL33" s="9">
        <v>309600</v>
      </c>
      <c r="AM33" s="9" t="s">
        <v>23</v>
      </c>
      <c r="AN33" s="9">
        <v>0.30959999999999999</v>
      </c>
      <c r="AO33" s="9" t="s">
        <v>98</v>
      </c>
      <c r="AP33" s="9" t="s">
        <v>95</v>
      </c>
      <c r="AQ33" s="16">
        <v>1752868.8729778701</v>
      </c>
      <c r="AR33" s="16">
        <v>2280428.1805796698</v>
      </c>
      <c r="AS33" s="15">
        <v>-190.31224357259401</v>
      </c>
      <c r="AT33" s="15">
        <v>-1171.9629359999999</v>
      </c>
      <c r="AU33" s="1" t="s">
        <v>115</v>
      </c>
      <c r="AV33" s="9">
        <f>IF(Z32=Z33,0,MAX(AV$5:AV32)+1)</f>
        <v>0</v>
      </c>
      <c r="AW33" s="9">
        <f t="shared" si="4"/>
        <v>7</v>
      </c>
      <c r="AX33" s="18">
        <f t="shared" si="5"/>
        <v>0</v>
      </c>
      <c r="AY33" s="19">
        <f t="shared" si="6"/>
        <v>-424.63600000000002</v>
      </c>
      <c r="AZ33" s="1" t="s">
        <v>115</v>
      </c>
      <c r="BA33" s="1" t="str">
        <f t="shared" si="8"/>
        <v>SV_516</v>
      </c>
      <c r="BB33" s="24" t="s">
        <v>168</v>
      </c>
      <c r="BC33" s="17" t="str">
        <f t="shared" si="8"/>
        <v>Unknown well depth - Bedrock well according to SWUDS</v>
      </c>
      <c r="BD33" s="1">
        <f t="shared" si="8"/>
        <v>0</v>
      </c>
      <c r="BE33" s="1">
        <f t="shared" si="8"/>
        <v>33</v>
      </c>
      <c r="BF33" s="1" t="s">
        <v>115</v>
      </c>
      <c r="BG33" t="s">
        <v>124</v>
      </c>
      <c r="BH33">
        <v>2258813.8672688399</v>
      </c>
      <c r="BI33" s="1"/>
      <c r="BJ33" s="1"/>
      <c r="BK33">
        <v>39</v>
      </c>
      <c r="BL33" s="17" t="s">
        <v>165</v>
      </c>
      <c r="BM33">
        <v>39</v>
      </c>
      <c r="BN33">
        <v>0.1</v>
      </c>
      <c r="BO33">
        <v>1</v>
      </c>
      <c r="BP33">
        <v>0.55000000000000004</v>
      </c>
      <c r="BQ33" s="30">
        <v>0.16764000000000001</v>
      </c>
      <c r="BR33" s="1" t="s">
        <v>115</v>
      </c>
      <c r="BS33">
        <v>39</v>
      </c>
      <c r="BT33" t="s">
        <v>165</v>
      </c>
      <c r="BU33" s="30">
        <v>0.16764000000000001</v>
      </c>
      <c r="BV33" s="30">
        <v>80</v>
      </c>
      <c r="BW33" s="30">
        <v>-79.832359999999994</v>
      </c>
      <c r="BX33" s="1"/>
      <c r="BY33" s="1"/>
      <c r="BZ33" s="1"/>
      <c r="CA33" s="1"/>
      <c r="CB33" s="1"/>
      <c r="CC33" s="1"/>
      <c r="CD33" s="1"/>
      <c r="CE33" s="1"/>
    </row>
    <row r="34" spans="1:83" ht="12.95" customHeight="1" x14ac:dyDescent="0.25">
      <c r="A34" s="10">
        <f t="shared" si="2"/>
        <v>30</v>
      </c>
      <c r="B34" s="4">
        <v>28</v>
      </c>
      <c r="C34">
        <v>34</v>
      </c>
      <c r="D34" t="s">
        <v>19</v>
      </c>
      <c r="E34" t="s">
        <v>99</v>
      </c>
      <c r="F34">
        <v>-74.565645149999995</v>
      </c>
      <c r="G34">
        <v>41.71025393</v>
      </c>
      <c r="H34">
        <v>5.2547000000000003E-2</v>
      </c>
      <c r="I34">
        <v>30</v>
      </c>
      <c r="J34">
        <v>414236074335601</v>
      </c>
      <c r="K34">
        <v>9.1440000000000001</v>
      </c>
      <c r="L34">
        <v>321.646034912</v>
      </c>
      <c r="M34">
        <v>318.598034912</v>
      </c>
      <c r="N34" t="s">
        <v>100</v>
      </c>
      <c r="O34">
        <v>327.74200000000002</v>
      </c>
      <c r="P34" t="s">
        <v>52</v>
      </c>
      <c r="Q34">
        <v>115000</v>
      </c>
      <c r="R34" t="s">
        <v>23</v>
      </c>
      <c r="S34">
        <v>0.115</v>
      </c>
      <c r="T34" t="s">
        <v>101</v>
      </c>
      <c r="U34" t="s">
        <v>102</v>
      </c>
      <c r="V34" s="1" t="s">
        <v>115</v>
      </c>
      <c r="W34" s="6">
        <v>28</v>
      </c>
      <c r="X34" s="9">
        <v>34</v>
      </c>
      <c r="Y34" s="9" t="s">
        <v>19</v>
      </c>
      <c r="Z34" s="9" t="s">
        <v>99</v>
      </c>
      <c r="AA34" s="15">
        <v>-74.565645149999995</v>
      </c>
      <c r="AB34" s="15">
        <v>41.71025393</v>
      </c>
      <c r="AC34" s="14">
        <v>5.2547000000000003E-2</v>
      </c>
      <c r="AD34" s="9">
        <v>30</v>
      </c>
      <c r="AE34" s="9">
        <v>414236074335601</v>
      </c>
      <c r="AF34" s="15">
        <v>9.1440000000000001</v>
      </c>
      <c r="AG34" s="15">
        <v>321.646034912</v>
      </c>
      <c r="AH34" s="15">
        <v>318.598034912</v>
      </c>
      <c r="AI34" s="8" t="s">
        <v>100</v>
      </c>
      <c r="AJ34" s="15">
        <v>327.74200000000002</v>
      </c>
      <c r="AK34" s="9" t="s">
        <v>52</v>
      </c>
      <c r="AL34" s="9">
        <v>115000</v>
      </c>
      <c r="AM34" s="9" t="s">
        <v>23</v>
      </c>
      <c r="AN34" s="9">
        <v>0.115</v>
      </c>
      <c r="AO34" s="9" t="s">
        <v>101</v>
      </c>
      <c r="AP34" s="9" t="s">
        <v>102</v>
      </c>
      <c r="AQ34" s="16">
        <v>1755661.25694083</v>
      </c>
      <c r="AR34" s="16">
        <v>2277330.10604318</v>
      </c>
      <c r="AS34" s="15">
        <v>-198.91193927</v>
      </c>
      <c r="AT34" s="15">
        <v>-435.32215000000002</v>
      </c>
      <c r="AU34" s="1" t="s">
        <v>115</v>
      </c>
      <c r="AV34" s="9">
        <f>IF(Z33=Z34,0,MAX(AV$5:AV33)+1)</f>
        <v>8</v>
      </c>
      <c r="AW34" s="9">
        <f t="shared" si="4"/>
        <v>8</v>
      </c>
      <c r="AX34" s="18">
        <f t="shared" si="5"/>
        <v>-30</v>
      </c>
      <c r="AY34" s="19">
        <f t="shared" si="6"/>
        <v>-327.74200000000002</v>
      </c>
      <c r="AZ34" s="1" t="s">
        <v>115</v>
      </c>
      <c r="BA34" s="1" t="str">
        <f t="shared" si="8"/>
        <v>SV_463</v>
      </c>
      <c r="BB34" s="24"/>
      <c r="BC34" s="17" t="str">
        <f t="shared" si="8"/>
        <v>Well screen in L1 (alluvium lacustrine)... but maybe it's Kame?</v>
      </c>
      <c r="BD34" s="1">
        <f t="shared" si="8"/>
        <v>9.1440000000000001</v>
      </c>
      <c r="BE34" s="1">
        <f t="shared" si="8"/>
        <v>34</v>
      </c>
      <c r="BF34" s="1" t="s">
        <v>115</v>
      </c>
      <c r="BG34" t="s">
        <v>125</v>
      </c>
      <c r="BH34">
        <v>1773643.984189</v>
      </c>
      <c r="BI34" s="1"/>
      <c r="BJ34" s="1"/>
      <c r="BK34" s="1"/>
      <c r="BL34" s="1"/>
      <c r="BM34" s="1"/>
      <c r="BN34" s="1"/>
      <c r="BO34" s="1"/>
      <c r="BP34" s="1"/>
      <c r="BQ34" s="1"/>
      <c r="BR34" s="1" t="s">
        <v>115</v>
      </c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</row>
    <row r="35" spans="1:83" ht="12.95" customHeight="1" x14ac:dyDescent="0.25">
      <c r="A35" s="10">
        <f t="shared" si="2"/>
        <v>31</v>
      </c>
      <c r="B35" s="4">
        <v>29</v>
      </c>
      <c r="C35">
        <v>35</v>
      </c>
      <c r="D35" t="s">
        <v>19</v>
      </c>
      <c r="E35" t="s">
        <v>99</v>
      </c>
      <c r="F35">
        <v>-74.565526410000004</v>
      </c>
      <c r="G35">
        <v>41.710037309999997</v>
      </c>
      <c r="H35">
        <v>7.0501999999999995E-2</v>
      </c>
      <c r="I35">
        <v>400</v>
      </c>
      <c r="J35">
        <v>414236074335501</v>
      </c>
      <c r="K35">
        <v>121.92</v>
      </c>
      <c r="L35">
        <v>209.21405956999999</v>
      </c>
      <c r="M35">
        <v>206.16605956999999</v>
      </c>
      <c r="N35" t="s">
        <v>21</v>
      </c>
      <c r="O35">
        <v>328.08600000000001</v>
      </c>
      <c r="P35" t="s">
        <v>22</v>
      </c>
      <c r="Q35">
        <v>173000</v>
      </c>
      <c r="R35" t="s">
        <v>23</v>
      </c>
      <c r="S35">
        <v>0.17299999999999999</v>
      </c>
      <c r="T35" t="s">
        <v>103</v>
      </c>
      <c r="U35" t="s">
        <v>104</v>
      </c>
      <c r="V35" s="1" t="s">
        <v>115</v>
      </c>
      <c r="W35" s="6">
        <v>29</v>
      </c>
      <c r="X35" s="9">
        <v>35</v>
      </c>
      <c r="Y35" s="9" t="s">
        <v>19</v>
      </c>
      <c r="Z35" s="9" t="s">
        <v>99</v>
      </c>
      <c r="AA35" s="15">
        <v>-74.565526410000004</v>
      </c>
      <c r="AB35" s="15">
        <v>41.710037309999997</v>
      </c>
      <c r="AC35" s="14">
        <v>7.0501999999999995E-2</v>
      </c>
      <c r="AD35" s="9">
        <v>400</v>
      </c>
      <c r="AE35" s="9">
        <v>414236074335501</v>
      </c>
      <c r="AF35" s="15">
        <v>121.92</v>
      </c>
      <c r="AG35" s="15">
        <v>209.21405956999999</v>
      </c>
      <c r="AH35" s="15">
        <v>206.16605956999999</v>
      </c>
      <c r="AI35" s="8" t="s">
        <v>21</v>
      </c>
      <c r="AJ35" s="15">
        <v>328.08600000000001</v>
      </c>
      <c r="AK35" s="9" t="s">
        <v>22</v>
      </c>
      <c r="AL35" s="9">
        <v>173000</v>
      </c>
      <c r="AM35" s="9" t="s">
        <v>23</v>
      </c>
      <c r="AN35" s="9">
        <v>0.17299999999999999</v>
      </c>
      <c r="AO35" s="9" t="s">
        <v>103</v>
      </c>
      <c r="AP35" s="9" t="s">
        <v>104</v>
      </c>
      <c r="AQ35" s="16">
        <v>1755676.2382233101</v>
      </c>
      <c r="AR35" s="16">
        <v>2277308.6740891198</v>
      </c>
      <c r="AS35" s="15">
        <v>-266.87897581999999</v>
      </c>
      <c r="AT35" s="15">
        <v>-654.87592999999902</v>
      </c>
      <c r="AU35" s="1" t="s">
        <v>115</v>
      </c>
      <c r="AV35" s="9">
        <f>IF(Z34=Z35,0,MAX(AV$5:AV34)+1)</f>
        <v>0</v>
      </c>
      <c r="AW35" s="9">
        <f t="shared" si="4"/>
        <v>8</v>
      </c>
      <c r="AX35" s="18">
        <f t="shared" si="5"/>
        <v>-400</v>
      </c>
      <c r="AY35" s="19">
        <f t="shared" si="6"/>
        <v>-328.08600000000001</v>
      </c>
      <c r="AZ35" s="1" t="s">
        <v>115</v>
      </c>
      <c r="BA35" s="1" t="str">
        <f t="shared" si="8"/>
        <v>SV_465</v>
      </c>
      <c r="BB35" s="24" t="s">
        <v>168</v>
      </c>
      <c r="BC35" s="17" t="str">
        <f t="shared" si="8"/>
        <v>Bedrock well according to SWUDS</v>
      </c>
      <c r="BD35" s="1">
        <f t="shared" si="8"/>
        <v>121.92</v>
      </c>
      <c r="BE35" s="1">
        <f t="shared" si="8"/>
        <v>35</v>
      </c>
      <c r="BF35" s="1" t="s">
        <v>115</v>
      </c>
      <c r="BG35" t="s">
        <v>126</v>
      </c>
      <c r="BH35">
        <v>2291791.2831732901</v>
      </c>
      <c r="BI35" s="1"/>
      <c r="BJ35" s="1"/>
      <c r="BL35" t="str">
        <f t="array" ref="BL35:BL37">TRANSPOSE(BN4:BQ4)</f>
        <v>Kh_ft_d_lower</v>
      </c>
      <c r="BR35" s="1" t="s">
        <v>115</v>
      </c>
      <c r="BX35" s="1"/>
      <c r="BY35" s="1"/>
      <c r="BZ35" s="1"/>
      <c r="CA35" s="1"/>
      <c r="CB35" s="1"/>
      <c r="CC35" s="1"/>
      <c r="CD35" s="1"/>
      <c r="CE35" s="1"/>
    </row>
    <row r="36" spans="1:83" ht="12.95" customHeight="1" x14ac:dyDescent="0.25">
      <c r="A36" s="10">
        <f t="shared" si="2"/>
        <v>32</v>
      </c>
      <c r="B36" s="4">
        <v>30</v>
      </c>
      <c r="C36">
        <v>36</v>
      </c>
      <c r="D36" t="s">
        <v>19</v>
      </c>
      <c r="E36" t="s">
        <v>99</v>
      </c>
      <c r="F36">
        <v>-74.506067130000005</v>
      </c>
      <c r="G36">
        <v>41.706248340000002</v>
      </c>
      <c r="H36">
        <v>8.2270999999999997E-2</v>
      </c>
      <c r="I36">
        <v>410</v>
      </c>
      <c r="J36">
        <v>414222074302101</v>
      </c>
      <c r="K36">
        <v>124.968</v>
      </c>
      <c r="L36">
        <v>250.790998535</v>
      </c>
      <c r="M36">
        <v>247.742998535</v>
      </c>
      <c r="N36" t="s">
        <v>105</v>
      </c>
      <c r="O36">
        <v>372.71100000000001</v>
      </c>
      <c r="P36" t="s">
        <v>22</v>
      </c>
      <c r="Q36">
        <v>202000</v>
      </c>
      <c r="R36" t="s">
        <v>23</v>
      </c>
      <c r="S36">
        <v>0.20200000000000001</v>
      </c>
      <c r="T36" t="s">
        <v>106</v>
      </c>
      <c r="U36" t="s">
        <v>107</v>
      </c>
      <c r="V36" s="1" t="s">
        <v>115</v>
      </c>
      <c r="W36" s="6">
        <v>30</v>
      </c>
      <c r="X36" s="9">
        <v>36</v>
      </c>
      <c r="Y36" s="9" t="s">
        <v>19</v>
      </c>
      <c r="Z36" s="9" t="s">
        <v>99</v>
      </c>
      <c r="AA36" s="15">
        <v>-74.506067130000005</v>
      </c>
      <c r="AB36" s="15">
        <v>41.706248340000002</v>
      </c>
      <c r="AC36" s="14">
        <v>8.2270999999999997E-2</v>
      </c>
      <c r="AD36" s="9">
        <v>410</v>
      </c>
      <c r="AE36" s="9">
        <v>414222074302101</v>
      </c>
      <c r="AF36" s="15">
        <v>124.968</v>
      </c>
      <c r="AG36" s="15">
        <v>250.790998535</v>
      </c>
      <c r="AH36" s="15">
        <v>247.742998535</v>
      </c>
      <c r="AI36" s="8" t="s">
        <v>105</v>
      </c>
      <c r="AJ36" s="15">
        <v>372.71100000000001</v>
      </c>
      <c r="AK36" s="9" t="s">
        <v>22</v>
      </c>
      <c r="AL36" s="9">
        <v>202000</v>
      </c>
      <c r="AM36" s="9" t="s">
        <v>23</v>
      </c>
      <c r="AN36" s="9">
        <v>0.20200000000000001</v>
      </c>
      <c r="AO36" s="9" t="s">
        <v>106</v>
      </c>
      <c r="AP36" s="9" t="s">
        <v>107</v>
      </c>
      <c r="AQ36" s="16">
        <v>1760558.3549309899</v>
      </c>
      <c r="AR36" s="16">
        <v>2277995.4588199202</v>
      </c>
      <c r="AS36" s="15">
        <v>-311.429466109999</v>
      </c>
      <c r="AT36" s="15">
        <v>-764.65282000000002</v>
      </c>
      <c r="AU36" s="1" t="s">
        <v>115</v>
      </c>
      <c r="AV36" s="9">
        <f>IF(Z35=Z36,0,MAX(AV$5:AV35)+1)</f>
        <v>0</v>
      </c>
      <c r="AW36" s="9">
        <f t="shared" si="4"/>
        <v>8</v>
      </c>
      <c r="AX36" s="18">
        <f t="shared" si="5"/>
        <v>-410</v>
      </c>
      <c r="AY36" s="19">
        <f t="shared" si="6"/>
        <v>-372.71100000000001</v>
      </c>
      <c r="AZ36" s="1" t="s">
        <v>115</v>
      </c>
      <c r="BA36" s="1" t="str">
        <f t="shared" si="8"/>
        <v>SV_470</v>
      </c>
      <c r="BB36" s="24" t="s">
        <v>168</v>
      </c>
      <c r="BC36" s="17" t="str">
        <f t="shared" si="8"/>
        <v>Well location may be bad? Maybe bedrock well? Bedrock well according to SWUDS</v>
      </c>
      <c r="BD36" s="1">
        <f t="shared" si="8"/>
        <v>124.968</v>
      </c>
      <c r="BE36" s="1">
        <f t="shared" si="8"/>
        <v>36</v>
      </c>
      <c r="BF36" s="1" t="s">
        <v>115</v>
      </c>
      <c r="BG36" s="1" t="str">
        <f>BG32</f>
        <v>minx</v>
      </c>
      <c r="BH36" s="1" t="str">
        <f>BG33</f>
        <v>miny</v>
      </c>
      <c r="BI36" s="1"/>
      <c r="BJ36" s="1"/>
      <c r="BL36" t="str">
        <v>Kh_ft_d_upper</v>
      </c>
      <c r="BR36" s="1" t="s">
        <v>115</v>
      </c>
      <c r="BX36" s="1"/>
      <c r="BY36" s="1"/>
      <c r="BZ36" s="1"/>
      <c r="CA36" s="1"/>
      <c r="CB36" s="1"/>
      <c r="CC36" s="1"/>
      <c r="CD36" s="1"/>
      <c r="CE36" s="1"/>
    </row>
    <row r="37" spans="1:83" ht="12.95" customHeight="1" x14ac:dyDescent="0.25">
      <c r="A37" s="10">
        <f t="shared" si="2"/>
        <v>33</v>
      </c>
      <c r="B37" s="4">
        <v>31</v>
      </c>
      <c r="C37">
        <v>37</v>
      </c>
      <c r="D37" t="s">
        <v>19</v>
      </c>
      <c r="E37" t="s">
        <v>108</v>
      </c>
      <c r="F37">
        <v>-74.479065279500006</v>
      </c>
      <c r="G37">
        <v>41.577481796699999</v>
      </c>
      <c r="H37">
        <v>0.10800377335</v>
      </c>
      <c r="I37">
        <v>38</v>
      </c>
      <c r="J37">
        <v>413438074284401</v>
      </c>
      <c r="K37">
        <v>11.5824</v>
      </c>
      <c r="L37">
        <v>152.40799999999999</v>
      </c>
      <c r="M37">
        <v>149.36000000000001</v>
      </c>
      <c r="N37" t="s">
        <v>35</v>
      </c>
      <c r="O37">
        <v>160.828</v>
      </c>
      <c r="P37" t="s">
        <v>32</v>
      </c>
      <c r="Q37">
        <v>432000</v>
      </c>
      <c r="R37" t="s">
        <v>23</v>
      </c>
      <c r="S37">
        <v>0.432</v>
      </c>
      <c r="T37" t="s">
        <v>109</v>
      </c>
      <c r="U37" t="s">
        <v>110</v>
      </c>
      <c r="V37" s="1" t="s">
        <v>115</v>
      </c>
      <c r="W37" s="6">
        <v>31</v>
      </c>
      <c r="X37" s="9">
        <v>37</v>
      </c>
      <c r="Y37" s="9" t="s">
        <v>19</v>
      </c>
      <c r="Z37" s="9" t="s">
        <v>108</v>
      </c>
      <c r="AA37" s="15">
        <v>-74.479065279500006</v>
      </c>
      <c r="AB37" s="15">
        <v>41.577481796699999</v>
      </c>
      <c r="AC37" s="14">
        <v>0.10800377335</v>
      </c>
      <c r="AD37" s="9">
        <v>38</v>
      </c>
      <c r="AE37" s="9">
        <v>413438074284401</v>
      </c>
      <c r="AF37" s="15">
        <v>11.5824</v>
      </c>
      <c r="AG37" s="15">
        <v>152.40799999999999</v>
      </c>
      <c r="AH37" s="15">
        <v>149.36000000000001</v>
      </c>
      <c r="AI37" s="8" t="s">
        <v>35</v>
      </c>
      <c r="AJ37" s="15">
        <v>160.828</v>
      </c>
      <c r="AK37" s="9" t="s">
        <v>32</v>
      </c>
      <c r="AL37" s="9">
        <v>432000</v>
      </c>
      <c r="AM37" s="9" t="s">
        <v>23</v>
      </c>
      <c r="AN37" s="9">
        <v>0.432</v>
      </c>
      <c r="AO37" s="9" t="s">
        <v>109</v>
      </c>
      <c r="AP37" s="9" t="s">
        <v>110</v>
      </c>
      <c r="AQ37" s="16">
        <v>1765967.5462333299</v>
      </c>
      <c r="AR37" s="16">
        <v>2264454.0454979101</v>
      </c>
      <c r="AS37" s="15">
        <v>-408.83856367682301</v>
      </c>
      <c r="AT37" s="15">
        <v>-1635.2971199999999</v>
      </c>
      <c r="AU37" s="1" t="s">
        <v>115</v>
      </c>
      <c r="AV37" s="9">
        <f>IF(Z36=Z37,0,MAX(AV$5:AV36)+1)</f>
        <v>9</v>
      </c>
      <c r="AW37" s="9">
        <f t="shared" si="4"/>
        <v>9</v>
      </c>
      <c r="AX37" s="18">
        <f t="shared" si="5"/>
        <v>-38</v>
      </c>
      <c r="AY37" s="19">
        <f t="shared" si="6"/>
        <v>-160.828</v>
      </c>
      <c r="AZ37" s="1" t="s">
        <v>115</v>
      </c>
      <c r="BA37" s="1" t="str">
        <f t="shared" si="8"/>
        <v>SV_487</v>
      </c>
      <c r="BB37" s="24">
        <f>MAX(BB$6:BB36)+1</f>
        <v>8</v>
      </c>
      <c r="BC37" s="17" t="str">
        <f t="shared" si="8"/>
        <v>Screen in L1</v>
      </c>
      <c r="BD37" s="1">
        <f t="shared" si="8"/>
        <v>11.5824</v>
      </c>
      <c r="BE37" s="1">
        <f t="shared" si="8"/>
        <v>37</v>
      </c>
      <c r="BF37" s="1" t="s">
        <v>115</v>
      </c>
      <c r="BG37" s="1" t="str">
        <f>BG34</f>
        <v>maxx</v>
      </c>
      <c r="BH37" s="1" t="str">
        <f>BG35</f>
        <v>maxy</v>
      </c>
      <c r="BI37" s="1"/>
      <c r="BJ37" s="1"/>
      <c r="BL37" t="str">
        <v>Kh_ft_d_mean</v>
      </c>
      <c r="BR37" s="1" t="s">
        <v>115</v>
      </c>
      <c r="BX37" s="1"/>
      <c r="BY37" s="1"/>
      <c r="BZ37" s="1"/>
      <c r="CA37" s="1"/>
      <c r="CB37" s="1"/>
      <c r="CC37" s="1"/>
      <c r="CD37" s="1"/>
      <c r="CE37" s="1"/>
    </row>
    <row r="38" spans="1:83" ht="12.95" customHeight="1" x14ac:dyDescent="0.25">
      <c r="A38" s="10">
        <f t="shared" si="2"/>
        <v>34</v>
      </c>
      <c r="B38" s="4">
        <v>32</v>
      </c>
      <c r="C38">
        <v>38</v>
      </c>
      <c r="D38" t="s">
        <v>19</v>
      </c>
      <c r="E38" t="s">
        <v>108</v>
      </c>
      <c r="F38">
        <v>-74.479414106899995</v>
      </c>
      <c r="G38">
        <v>41.577029871400001</v>
      </c>
      <c r="H38">
        <v>2.70009433375E-2</v>
      </c>
      <c r="I38">
        <v>500</v>
      </c>
      <c r="J38">
        <v>413437074284501</v>
      </c>
      <c r="K38">
        <v>152.4</v>
      </c>
      <c r="L38">
        <v>0</v>
      </c>
      <c r="M38">
        <v>0</v>
      </c>
      <c r="N38" t="s">
        <v>21</v>
      </c>
      <c r="O38">
        <v>160.88999999999999</v>
      </c>
      <c r="P38" t="s">
        <v>22</v>
      </c>
      <c r="Q38">
        <v>108000</v>
      </c>
      <c r="R38" t="s">
        <v>23</v>
      </c>
      <c r="S38">
        <v>0.108</v>
      </c>
      <c r="T38" t="s">
        <v>111</v>
      </c>
      <c r="U38" t="s">
        <v>112</v>
      </c>
      <c r="V38" s="1" t="s">
        <v>115</v>
      </c>
      <c r="W38" s="6">
        <v>32</v>
      </c>
      <c r="X38" s="9">
        <v>38</v>
      </c>
      <c r="Y38" s="9" t="s">
        <v>19</v>
      </c>
      <c r="Z38" s="9" t="s">
        <v>108</v>
      </c>
      <c r="AA38" s="15">
        <v>-74.479414106899995</v>
      </c>
      <c r="AB38" s="15">
        <v>41.577029871400001</v>
      </c>
      <c r="AC38" s="14">
        <v>2.70009433375E-2</v>
      </c>
      <c r="AD38" s="9">
        <v>500</v>
      </c>
      <c r="AE38" s="9">
        <v>413437074284501</v>
      </c>
      <c r="AF38" s="15">
        <v>152.4</v>
      </c>
      <c r="AG38" s="15">
        <v>2000</v>
      </c>
      <c r="AH38" s="15">
        <v>-2000</v>
      </c>
      <c r="AI38" s="8" t="s">
        <v>21</v>
      </c>
      <c r="AJ38" s="15">
        <v>160.88999999999999</v>
      </c>
      <c r="AK38" s="9" t="s">
        <v>22</v>
      </c>
      <c r="AL38" s="9">
        <v>108000</v>
      </c>
      <c r="AM38" s="9" t="s">
        <v>23</v>
      </c>
      <c r="AN38" s="9">
        <v>0.108</v>
      </c>
      <c r="AO38" s="9" t="s">
        <v>111</v>
      </c>
      <c r="AP38" s="9" t="s">
        <v>112</v>
      </c>
      <c r="AQ38" s="16">
        <v>1765950.76876107</v>
      </c>
      <c r="AR38" s="16">
        <v>2264398.2777609299</v>
      </c>
      <c r="AS38" s="15">
        <v>-102.209640919205</v>
      </c>
      <c r="AT38" s="15">
        <v>-408.82427999999999</v>
      </c>
      <c r="AU38" s="1" t="s">
        <v>115</v>
      </c>
      <c r="AV38" s="9">
        <f>IF(Z37=Z38,0,MAX(AV$5:AV37)+1)</f>
        <v>0</v>
      </c>
      <c r="AW38" s="9">
        <f t="shared" si="4"/>
        <v>9</v>
      </c>
      <c r="AX38" s="18">
        <f t="shared" si="5"/>
        <v>-500</v>
      </c>
      <c r="AY38" s="19">
        <f t="shared" si="6"/>
        <v>-160.88999999999999</v>
      </c>
      <c r="AZ38" s="1" t="s">
        <v>115</v>
      </c>
      <c r="BA38" s="1" t="str">
        <f t="shared" si="8"/>
        <v>SV_490</v>
      </c>
      <c r="BB38" s="24" t="s">
        <v>168</v>
      </c>
      <c r="BC38" s="17" t="str">
        <f t="shared" si="8"/>
        <v>Bedrock well according to SWUDS</v>
      </c>
      <c r="BD38" s="1">
        <f t="shared" si="8"/>
        <v>152.4</v>
      </c>
      <c r="BE38" s="1">
        <f t="shared" si="8"/>
        <v>38</v>
      </c>
      <c r="BF38" s="1" t="s">
        <v>115</v>
      </c>
      <c r="BG38" s="1">
        <f>BH32</f>
        <v>1743735.4876964299</v>
      </c>
      <c r="BH38" s="1">
        <f>BH33</f>
        <v>2258813.8672688399</v>
      </c>
      <c r="BI38" s="1"/>
      <c r="BJ38" s="1"/>
      <c r="BR38" s="1" t="s">
        <v>115</v>
      </c>
      <c r="BX38" s="1"/>
      <c r="BY38" s="1"/>
      <c r="BZ38" s="1"/>
      <c r="CA38" s="1"/>
      <c r="CB38" s="1"/>
      <c r="CC38" s="1"/>
      <c r="CD38" s="1"/>
      <c r="CE38" s="1"/>
    </row>
    <row r="39" spans="1:83" ht="12.95" customHeight="1" x14ac:dyDescent="0.25">
      <c r="A39" s="10">
        <f t="shared" si="2"/>
        <v>35</v>
      </c>
      <c r="B39" s="4">
        <v>33</v>
      </c>
      <c r="C39">
        <v>39</v>
      </c>
      <c r="D39" t="s">
        <v>19</v>
      </c>
      <c r="E39" t="s">
        <v>108</v>
      </c>
      <c r="F39">
        <v>-74.483389000000003</v>
      </c>
      <c r="G39">
        <v>41.567581930000003</v>
      </c>
      <c r="H39">
        <v>6.3002201120800003E-2</v>
      </c>
      <c r="I39">
        <v>500</v>
      </c>
      <c r="J39">
        <v>413434074291201</v>
      </c>
      <c r="K39">
        <v>152.4</v>
      </c>
      <c r="L39">
        <v>0</v>
      </c>
      <c r="M39">
        <v>0</v>
      </c>
      <c r="N39" t="s">
        <v>21</v>
      </c>
      <c r="O39">
        <v>155.45599999999999</v>
      </c>
      <c r="P39" t="s">
        <v>22</v>
      </c>
      <c r="Q39">
        <v>252000</v>
      </c>
      <c r="R39" t="s">
        <v>23</v>
      </c>
      <c r="S39">
        <v>0.252</v>
      </c>
      <c r="T39" t="s">
        <v>113</v>
      </c>
      <c r="U39" t="s">
        <v>114</v>
      </c>
      <c r="V39" s="1" t="s">
        <v>115</v>
      </c>
      <c r="W39" s="6">
        <v>33</v>
      </c>
      <c r="X39" s="9">
        <v>39</v>
      </c>
      <c r="Y39" s="9" t="s">
        <v>19</v>
      </c>
      <c r="Z39" s="9" t="s">
        <v>108</v>
      </c>
      <c r="AA39" s="15">
        <v>-74.483389000000003</v>
      </c>
      <c r="AB39" s="15">
        <v>41.567581930000003</v>
      </c>
      <c r="AC39" s="14">
        <v>6.3002201120800003E-2</v>
      </c>
      <c r="AD39" s="9">
        <v>500</v>
      </c>
      <c r="AE39" s="9">
        <v>413434074291201</v>
      </c>
      <c r="AF39" s="15">
        <v>152.4</v>
      </c>
      <c r="AG39" s="15">
        <v>2000</v>
      </c>
      <c r="AH39" s="15">
        <v>-2000</v>
      </c>
      <c r="AI39" s="8" t="s">
        <v>21</v>
      </c>
      <c r="AJ39" s="15">
        <v>155.45599999999999</v>
      </c>
      <c r="AK39" s="9" t="s">
        <v>22</v>
      </c>
      <c r="AL39" s="9">
        <v>252000</v>
      </c>
      <c r="AM39" s="9" t="s">
        <v>23</v>
      </c>
      <c r="AN39" s="9">
        <v>0.252</v>
      </c>
      <c r="AO39" s="9" t="s">
        <v>113</v>
      </c>
      <c r="AP39" s="9" t="s">
        <v>114</v>
      </c>
      <c r="AQ39" s="16">
        <v>1765867.54714559</v>
      </c>
      <c r="AR39" s="16">
        <v>2263294.0410958799</v>
      </c>
      <c r="AS39" s="15">
        <v>-238.48916214468699</v>
      </c>
      <c r="AT39" s="15">
        <v>-953.92331999999999</v>
      </c>
      <c r="AU39" s="1" t="s">
        <v>115</v>
      </c>
      <c r="AV39" s="9">
        <f>IF(Z38=Z39,0,MAX(AV$5:AV38)+1)</f>
        <v>0</v>
      </c>
      <c r="AW39" s="9">
        <f t="shared" si="4"/>
        <v>9</v>
      </c>
      <c r="AX39" s="18">
        <f t="shared" si="5"/>
        <v>-500</v>
      </c>
      <c r="AY39" s="19">
        <f t="shared" si="6"/>
        <v>-155.45599999999999</v>
      </c>
      <c r="AZ39" s="1" t="s">
        <v>115</v>
      </c>
      <c r="BA39" s="1" t="str">
        <f t="shared" si="8"/>
        <v>SV_551</v>
      </c>
      <c r="BB39" s="24" t="s">
        <v>168</v>
      </c>
      <c r="BC39" s="17" t="str">
        <f t="shared" si="8"/>
        <v>Bedrock well according to SWUDS</v>
      </c>
      <c r="BD39" s="1">
        <f t="shared" si="8"/>
        <v>152.4</v>
      </c>
      <c r="BE39" s="1">
        <f t="shared" si="8"/>
        <v>39</v>
      </c>
      <c r="BF39" s="1" t="s">
        <v>115</v>
      </c>
      <c r="BG39" s="1">
        <f>BH34</f>
        <v>1773643.984189</v>
      </c>
      <c r="BH39" s="1">
        <f>BH35</f>
        <v>2291791.2831732901</v>
      </c>
      <c r="BI39" s="1"/>
      <c r="BJ39" s="1"/>
      <c r="BR39" s="1" t="s">
        <v>115</v>
      </c>
      <c r="BX39" s="1"/>
      <c r="BY39" s="1"/>
      <c r="BZ39" s="1"/>
      <c r="CA39" s="1"/>
      <c r="CB39" s="1"/>
      <c r="CC39" s="1"/>
      <c r="CD39" s="1"/>
      <c r="CE39" s="1"/>
    </row>
    <row r="40" spans="1:83" ht="13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 t="s">
        <v>115</v>
      </c>
      <c r="W40" s="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 t="s">
        <v>115</v>
      </c>
      <c r="AV40" s="1"/>
      <c r="AW40" s="1"/>
      <c r="AX40" s="1"/>
      <c r="AY40" s="15"/>
      <c r="AZ40" s="1"/>
      <c r="BA40" s="1"/>
      <c r="BB40" s="24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 t="s">
        <v>115</v>
      </c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spans="1:83" ht="13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115</v>
      </c>
      <c r="W41" s="2"/>
      <c r="X41" s="28" t="s">
        <v>130</v>
      </c>
      <c r="Y41" s="28"/>
      <c r="Z41" s="28"/>
      <c r="AA41" s="28"/>
      <c r="AB41" s="28"/>
      <c r="AC41" s="28"/>
      <c r="AD41" s="28"/>
      <c r="AE41" s="28"/>
      <c r="AF41" s="28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1" t="s">
        <v>115</v>
      </c>
      <c r="AV41" s="1"/>
      <c r="AW41" s="1"/>
      <c r="AX41" s="1"/>
      <c r="AY41" s="15"/>
      <c r="AZ41" s="1"/>
      <c r="BA41" s="1"/>
      <c r="BB41" s="24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 t="s">
        <v>115</v>
      </c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</row>
    <row r="42" spans="1:83" ht="13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115</v>
      </c>
      <c r="W42" s="2"/>
      <c r="X42" s="1">
        <f>IF(X43=X5,1,0)</f>
        <v>1</v>
      </c>
      <c r="Y42" s="1">
        <f t="shared" ref="Y42:AU42" si="9">IF(Y43=Y5,1,0)</f>
        <v>1</v>
      </c>
      <c r="Z42" s="1">
        <f t="shared" si="9"/>
        <v>1</v>
      </c>
      <c r="AA42" s="1">
        <f t="shared" si="9"/>
        <v>1</v>
      </c>
      <c r="AB42" s="1">
        <f t="shared" si="9"/>
        <v>1</v>
      </c>
      <c r="AC42" s="1">
        <f t="shared" si="9"/>
        <v>1</v>
      </c>
      <c r="AD42" s="1">
        <f t="shared" si="9"/>
        <v>1</v>
      </c>
      <c r="AE42" s="1">
        <f t="shared" si="9"/>
        <v>1</v>
      </c>
      <c r="AF42" s="1">
        <f t="shared" si="9"/>
        <v>1</v>
      </c>
      <c r="AG42" s="1">
        <f t="shared" si="9"/>
        <v>1</v>
      </c>
      <c r="AH42" s="1">
        <f t="shared" si="9"/>
        <v>1</v>
      </c>
      <c r="AI42" s="1">
        <f t="shared" si="9"/>
        <v>1</v>
      </c>
      <c r="AJ42" s="1">
        <f t="shared" si="9"/>
        <v>1</v>
      </c>
      <c r="AK42" s="1">
        <f t="shared" si="9"/>
        <v>1</v>
      </c>
      <c r="AL42" s="1">
        <f t="shared" si="9"/>
        <v>1</v>
      </c>
      <c r="AM42" s="1">
        <f t="shared" si="9"/>
        <v>1</v>
      </c>
      <c r="AN42" s="1">
        <f t="shared" si="9"/>
        <v>1</v>
      </c>
      <c r="AO42" s="1">
        <f t="shared" si="9"/>
        <v>1</v>
      </c>
      <c r="AP42" s="1">
        <f t="shared" si="9"/>
        <v>0</v>
      </c>
      <c r="AQ42" s="1">
        <f t="shared" si="9"/>
        <v>0</v>
      </c>
      <c r="AR42" s="1">
        <f t="shared" si="9"/>
        <v>0</v>
      </c>
      <c r="AS42" s="1">
        <f t="shared" si="9"/>
        <v>0</v>
      </c>
      <c r="AT42" s="1">
        <f t="shared" si="9"/>
        <v>0</v>
      </c>
      <c r="AU42" s="1">
        <f t="shared" si="9"/>
        <v>0</v>
      </c>
      <c r="AV42" s="1"/>
      <c r="AW42" s="1"/>
      <c r="AX42" s="1"/>
      <c r="AY42" s="15"/>
      <c r="AZ42" s="1"/>
      <c r="BA42" s="1"/>
      <c r="BB42" s="24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 t="s">
        <v>115</v>
      </c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spans="1:83" ht="13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115</v>
      </c>
      <c r="W43" s="6">
        <v>1</v>
      </c>
      <c r="X43" t="s">
        <v>0</v>
      </c>
      <c r="Y43" t="s">
        <v>1</v>
      </c>
      <c r="Z43" t="s">
        <v>2</v>
      </c>
      <c r="AA43" t="s">
        <v>3</v>
      </c>
      <c r="AB43" t="s">
        <v>4</v>
      </c>
      <c r="AC43" t="s">
        <v>5</v>
      </c>
      <c r="AD43" t="s">
        <v>6</v>
      </c>
      <c r="AE43" t="s">
        <v>7</v>
      </c>
      <c r="AF43" t="s">
        <v>8</v>
      </c>
      <c r="AG43" t="s">
        <v>9</v>
      </c>
      <c r="AH43" t="s">
        <v>10</v>
      </c>
      <c r="AI43" t="s">
        <v>11</v>
      </c>
      <c r="AJ43" t="s">
        <v>12</v>
      </c>
      <c r="AK43" t="s">
        <v>13</v>
      </c>
      <c r="AL43" t="s">
        <v>14</v>
      </c>
      <c r="AM43" t="s">
        <v>15</v>
      </c>
      <c r="AN43" t="s">
        <v>16</v>
      </c>
      <c r="AO43" t="s">
        <v>17</v>
      </c>
      <c r="AP43" t="s">
        <v>116</v>
      </c>
      <c r="AQ43" t="s">
        <v>117</v>
      </c>
      <c r="AR43" t="s">
        <v>118</v>
      </c>
      <c r="AS43" t="s">
        <v>119</v>
      </c>
      <c r="AT43" s="29" t="s">
        <v>128</v>
      </c>
      <c r="AU43" s="29" t="s">
        <v>129</v>
      </c>
      <c r="AV43" s="1" t="s">
        <v>115</v>
      </c>
      <c r="AW43" s="1"/>
      <c r="AX43" s="1"/>
      <c r="AY43" s="15"/>
      <c r="AZ43" s="1"/>
      <c r="BA43" s="1"/>
      <c r="BB43" s="24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 t="s">
        <v>115</v>
      </c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</row>
    <row r="44" spans="1:83" ht="13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 t="s">
        <v>115</v>
      </c>
      <c r="AV44" s="1"/>
      <c r="AW44" s="1"/>
      <c r="AX44" s="1"/>
      <c r="AY44" s="15"/>
      <c r="AZ44" s="1"/>
      <c r="BA44" s="1"/>
      <c r="BB44" s="24"/>
      <c r="BC44" s="1"/>
      <c r="BD44" s="1"/>
      <c r="BE44" s="1"/>
      <c r="BF44" s="1" t="s">
        <v>115</v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 t="s">
        <v>115</v>
      </c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spans="1:83" ht="13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 t="s">
        <v>115</v>
      </c>
      <c r="AV45" s="1"/>
      <c r="AW45" s="1"/>
      <c r="AX45" s="1"/>
      <c r="AY45" s="15"/>
      <c r="AZ45" s="1"/>
      <c r="BA45" s="1"/>
      <c r="BB45" s="24"/>
      <c r="BC45" s="1"/>
      <c r="BD45" s="1"/>
      <c r="BE45" s="1"/>
      <c r="BF45" s="1" t="s">
        <v>115</v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 t="s">
        <v>115</v>
      </c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</row>
    <row r="46" spans="1:83" ht="13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">
        <v>115</v>
      </c>
      <c r="AV46" s="1"/>
      <c r="AW46" s="1"/>
      <c r="AX46" s="1"/>
      <c r="AY46" s="15"/>
      <c r="AZ46" s="1"/>
      <c r="BA46" s="1"/>
      <c r="BB46" s="24"/>
      <c r="BC46" s="1"/>
      <c r="BD46" s="1"/>
      <c r="BE46" s="1"/>
      <c r="BF46" s="1" t="s">
        <v>115</v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 t="s">
        <v>115</v>
      </c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spans="1:83" ht="13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">
        <v>115</v>
      </c>
      <c r="AV47" s="1"/>
      <c r="AW47" s="1"/>
      <c r="AX47" s="1"/>
      <c r="AY47" s="15"/>
      <c r="AZ47" s="1"/>
      <c r="BA47" s="1"/>
      <c r="BB47" s="24"/>
      <c r="BC47" s="1"/>
      <c r="BD47" s="1"/>
      <c r="BE47" s="1"/>
      <c r="BF47" s="1" t="s">
        <v>115</v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 t="s">
        <v>115</v>
      </c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</row>
    <row r="48" spans="1:83" ht="13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115</v>
      </c>
      <c r="AV48" s="1"/>
      <c r="AW48" s="1"/>
      <c r="AX48" s="1"/>
      <c r="AY48" s="15"/>
      <c r="AZ48" s="1"/>
      <c r="BA48" s="1"/>
      <c r="BB48" s="24"/>
      <c r="BC48" s="1"/>
      <c r="BD48" s="1"/>
      <c r="BE48" s="1"/>
      <c r="BF48" s="1" t="s">
        <v>115</v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spans="1:83" ht="13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115</v>
      </c>
      <c r="AV49" s="1"/>
      <c r="AW49" s="1"/>
      <c r="AX49" s="1"/>
      <c r="AY49" s="1"/>
      <c r="AZ49" s="1"/>
      <c r="BA49" s="1"/>
      <c r="BB49" s="24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</row>
    <row r="50" spans="1:83" ht="13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24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</row>
    <row r="51" spans="1:83" ht="13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24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</row>
    <row r="52" spans="1:83" ht="13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24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spans="1:83" ht="13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24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</row>
    <row r="54" spans="1:83" ht="13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24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spans="1:83" ht="13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24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</row>
    <row r="56" spans="1:83" ht="13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24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spans="1:83" ht="13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24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</row>
    <row r="58" spans="1:83" ht="13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24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spans="1:83" ht="13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24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</row>
    <row r="60" spans="1:83" ht="13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24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spans="1:83" ht="13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24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</row>
    <row r="62" spans="1:83" ht="13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24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</row>
    <row r="63" spans="1:83" ht="13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24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spans="1:83" ht="13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24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</row>
    <row r="65" spans="1:83" ht="13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24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</row>
    <row r="66" spans="1:83" ht="13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24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</row>
    <row r="67" spans="1:83" ht="13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24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</row>
    <row r="68" spans="1:83" ht="13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24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</row>
    <row r="69" spans="1:83" ht="13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24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</row>
    <row r="70" spans="1:83" ht="13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24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</row>
    <row r="71" spans="1:83" ht="13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24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</row>
    <row r="72" spans="1:83" ht="13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24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</row>
    <row r="73" spans="1:83" ht="13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24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</row>
    <row r="74" spans="1:83" ht="13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24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</row>
    <row r="75" spans="1:83" ht="13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24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</row>
    <row r="76" spans="1:83" ht="13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24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</row>
    <row r="77" spans="1:83" ht="13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24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</row>
    <row r="78" spans="1:83" ht="13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24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</row>
    <row r="79" spans="1:83" ht="13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24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</row>
    <row r="80" spans="1:83" ht="13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24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</row>
    <row r="81" spans="1:83" ht="13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24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</row>
    <row r="82" spans="1:83" ht="13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24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</row>
    <row r="83" spans="1:83" ht="13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24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</row>
    <row r="84" spans="1:83" ht="13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24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</row>
    <row r="85" spans="1:83" ht="13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24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</row>
    <row r="86" spans="1:83" ht="13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24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</row>
    <row r="87" spans="1:83" ht="13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24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</row>
    <row r="88" spans="1:83" ht="13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24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</row>
    <row r="89" spans="1:83" ht="13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24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</row>
    <row r="90" spans="1:83" ht="13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24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</row>
    <row r="91" spans="1:83" ht="13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24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</row>
    <row r="92" spans="1:83" ht="13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24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</row>
    <row r="93" spans="1:83" ht="13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24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</row>
    <row r="94" spans="1:83" ht="13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24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</row>
    <row r="95" spans="1:83" ht="13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24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</row>
    <row r="96" spans="1:83" ht="13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24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</row>
    <row r="97" spans="1:83" ht="13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24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</row>
    <row r="98" spans="1:83" ht="13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24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</row>
    <row r="99" spans="1:83" ht="13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24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</row>
    <row r="100" spans="1:83" ht="13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24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</row>
    <row r="101" spans="1:83" ht="13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24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</row>
    <row r="102" spans="1:83" ht="13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24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</row>
    <row r="103" spans="1:83" ht="13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24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</row>
    <row r="104" spans="1:83" ht="13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24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</row>
    <row r="105" spans="1:83" ht="13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24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</row>
    <row r="106" spans="1:83" ht="13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24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</row>
    <row r="107" spans="1:83" ht="13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24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</row>
    <row r="108" spans="1:83" ht="13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24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</row>
    <row r="109" spans="1:83" ht="13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24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</row>
    <row r="110" spans="1:83" ht="13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24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</row>
    <row r="111" spans="1:83" ht="13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24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</row>
    <row r="112" spans="1:83" ht="13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24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</row>
    <row r="113" spans="1:83" ht="13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24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</row>
    <row r="114" spans="1:83" ht="13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24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</row>
    <row r="115" spans="1:83" ht="13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24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</row>
    <row r="116" spans="1:83" ht="13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24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</row>
    <row r="117" spans="1:83" ht="13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24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</row>
    <row r="118" spans="1:83" ht="13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24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</row>
    <row r="119" spans="1:83" ht="13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24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</row>
    <row r="120" spans="1:83" ht="13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24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</row>
    <row r="121" spans="1:83" ht="13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24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</row>
    <row r="122" spans="1:83" ht="13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24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</row>
    <row r="123" spans="1:83" ht="13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24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</row>
    <row r="124" spans="1:83" ht="13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24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</row>
    <row r="125" spans="1:83" ht="13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24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</row>
    <row r="126" spans="1:83" ht="13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24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</row>
    <row r="127" spans="1:83" ht="13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24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</row>
    <row r="128" spans="1:83" ht="13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24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</row>
    <row r="129" spans="1:83" ht="13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24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</row>
    <row r="130" spans="1:83" ht="13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24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</row>
    <row r="131" spans="1:83" ht="13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24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</row>
    <row r="132" spans="1:83" ht="13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24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</row>
    <row r="133" spans="1:83" ht="13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24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</row>
    <row r="134" spans="1:83" ht="13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24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</row>
    <row r="135" spans="1:83" ht="13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24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</row>
    <row r="136" spans="1:83" ht="13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24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</row>
    <row r="137" spans="1:83" ht="13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24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</row>
    <row r="138" spans="1:83" ht="13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24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</row>
    <row r="139" spans="1:83" ht="13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24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</row>
    <row r="140" spans="1:83" ht="13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24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</row>
    <row r="141" spans="1:83" ht="13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24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</row>
    <row r="142" spans="1:83" ht="13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24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</row>
    <row r="143" spans="1:83" ht="13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24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</row>
    <row r="144" spans="1:83" ht="13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24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</row>
    <row r="145" spans="1:83" ht="13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24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</row>
    <row r="146" spans="1:83" ht="13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24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</row>
    <row r="147" spans="1:83" ht="13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24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</row>
    <row r="148" spans="1:83" ht="13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24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</row>
    <row r="149" spans="1:83" ht="13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24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</row>
    <row r="150" spans="1:83" ht="13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24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</row>
    <row r="151" spans="1:83" ht="13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24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</row>
    <row r="152" spans="1:83" ht="13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24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</row>
    <row r="153" spans="1:83" ht="13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24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</row>
    <row r="154" spans="1:83" ht="13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24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</row>
    <row r="155" spans="1:83" ht="13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24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</row>
    <row r="156" spans="1:83" ht="13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24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</row>
    <row r="157" spans="1:83" ht="13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24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</row>
  </sheetData>
  <conditionalFormatting sqref="X3:AU3 AU4:AU4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42:AU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6:AS3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{0C75051F-DD0F-4543-AD0E-13754B3EB2F7}</x14:id>
        </ext>
      </extLst>
    </cfRule>
  </conditionalFormatting>
  <conditionalFormatting sqref="AV3:AY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6:AW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75051F-DD0F-4543-AD0E-13754B3EB2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AS6:AS39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2025-11-17T19:26:31Z</dcterms:created>
  <dcterms:modified xsi:type="dcterms:W3CDTF">2025-11-19T17:01:46Z</dcterms:modified>
</cp:coreProperties>
</file>
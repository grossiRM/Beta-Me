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15_REPOS\02_Beta-Me\Beta_xls\"/>
    </mc:Choice>
  </mc:AlternateContent>
  <xr:revisionPtr revIDLastSave="0" documentId="13_ncr:1_{8E434A6C-4B2A-4AF1-8C56-A53C7E55212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51" sheetId="1" r:id="rId1"/>
  </sheet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51" i="1" l="1"/>
  <c r="BU3" i="1"/>
  <c r="BU2" i="1"/>
  <c r="BV3" i="1"/>
  <c r="BV2" i="1"/>
  <c r="BW3" i="1"/>
  <c r="BW2" i="1"/>
  <c r="BD5" i="1"/>
  <c r="BD6" i="1"/>
  <c r="BD7" i="1" s="1"/>
  <c r="BD8" i="1" s="1"/>
  <c r="BD9" i="1" s="1"/>
  <c r="BD10" i="1"/>
  <c r="BD11" i="1"/>
  <c r="BD12" i="1" s="1"/>
  <c r="BD13" i="1" s="1"/>
  <c r="BD14" i="1" s="1"/>
  <c r="BD15" i="1" s="1"/>
  <c r="BD16" i="1" s="1"/>
  <c r="BD17" i="1" s="1"/>
  <c r="BD18" i="1" s="1"/>
  <c r="BD19" i="1" s="1"/>
  <c r="BD20" i="1" s="1"/>
  <c r="BD21" i="1" s="1"/>
  <c r="BD22" i="1" s="1"/>
  <c r="BD23" i="1"/>
  <c r="BD24" i="1" s="1"/>
  <c r="BD25" i="1" s="1"/>
  <c r="BD26" i="1" s="1"/>
  <c r="BD27" i="1" s="1"/>
  <c r="BD28" i="1" s="1"/>
  <c r="BD29" i="1" s="1"/>
  <c r="BD30" i="1" s="1"/>
  <c r="BD31" i="1" s="1"/>
  <c r="BD32" i="1" s="1"/>
  <c r="BD33" i="1" s="1"/>
  <c r="BD34" i="1" s="1"/>
  <c r="BD35" i="1" s="1"/>
  <c r="BD36" i="1" s="1"/>
  <c r="BD37" i="1" s="1"/>
  <c r="BD38" i="1" s="1"/>
  <c r="BD39" i="1" s="1"/>
  <c r="BD40" i="1" s="1"/>
  <c r="BD41" i="1" s="1"/>
  <c r="BD42" i="1"/>
  <c r="D30" i="1"/>
  <c r="C30" i="1"/>
  <c r="D29" i="1"/>
  <c r="C29" i="1"/>
  <c r="F28" i="1"/>
  <c r="E28" i="1"/>
  <c r="D28" i="1"/>
  <c r="C28" i="1"/>
  <c r="F27" i="1"/>
  <c r="E27" i="1"/>
  <c r="D27" i="1"/>
  <c r="C27" i="1"/>
  <c r="E26" i="1"/>
  <c r="D26" i="1"/>
  <c r="D25" i="1"/>
  <c r="D24" i="1"/>
  <c r="D23" i="1"/>
  <c r="T20" i="1"/>
  <c r="U19" i="1"/>
  <c r="T19" i="1"/>
  <c r="S19" i="1"/>
  <c r="V18" i="1"/>
  <c r="U18" i="1"/>
  <c r="T18" i="1"/>
  <c r="S18" i="1"/>
  <c r="V17" i="1"/>
  <c r="U17" i="1"/>
  <c r="T17" i="1"/>
  <c r="S17" i="1"/>
  <c r="W16" i="1"/>
  <c r="V16" i="1"/>
  <c r="U16" i="1"/>
  <c r="T16" i="1"/>
  <c r="S16" i="1"/>
  <c r="W15" i="1"/>
  <c r="V15" i="1"/>
  <c r="U15" i="1"/>
  <c r="T15" i="1"/>
  <c r="S15" i="1"/>
  <c r="W14" i="1"/>
  <c r="V14" i="1"/>
  <c r="U14" i="1"/>
  <c r="T14" i="1"/>
  <c r="S14" i="1"/>
  <c r="R14" i="1"/>
  <c r="W13" i="1"/>
  <c r="V13" i="1"/>
  <c r="U13" i="1"/>
  <c r="T13" i="1"/>
  <c r="S13" i="1"/>
  <c r="R13" i="1"/>
  <c r="V12" i="1"/>
  <c r="U12" i="1"/>
  <c r="T12" i="1"/>
  <c r="S12" i="1"/>
  <c r="R12" i="1"/>
  <c r="V11" i="1"/>
  <c r="U11" i="1"/>
  <c r="T11" i="1"/>
  <c r="V10" i="1"/>
  <c r="U10" i="1"/>
  <c r="BB47" i="1"/>
  <c r="BB45" i="1"/>
  <c r="BB46" i="1"/>
  <c r="BB44" i="1"/>
  <c r="BB48" i="1" l="1"/>
  <c r="AK48" i="1" l="1"/>
  <c r="AA52" i="1"/>
  <c r="AS52" i="1"/>
  <c r="AS53" i="1" s="1"/>
  <c r="AS62" i="1"/>
  <c r="AS63" i="1" s="1"/>
  <c r="AS64" i="1" s="1"/>
  <c r="AS65" i="1" s="1"/>
  <c r="AA55" i="1"/>
  <c r="AD49" i="1"/>
  <c r="BS2" i="1"/>
  <c r="AD50" i="1"/>
  <c r="AA51" i="1"/>
  <c r="BP3" i="1" s="1"/>
  <c r="BI369" i="1" s="1"/>
  <c r="AD51" i="1" s="1"/>
  <c r="AA50" i="1"/>
  <c r="AA49" i="1"/>
  <c r="BR3" i="1"/>
  <c r="AG27" i="1"/>
  <c r="BJ349" i="1" s="1"/>
  <c r="BJ5" i="1"/>
  <c r="BJ6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299" i="1"/>
  <c r="BJ300" i="1"/>
  <c r="BJ301" i="1"/>
  <c r="BJ302" i="1"/>
  <c r="BJ303" i="1"/>
  <c r="BJ304" i="1"/>
  <c r="BJ305" i="1"/>
  <c r="BJ306" i="1"/>
  <c r="BJ307" i="1"/>
  <c r="BJ308" i="1"/>
  <c r="BJ309" i="1"/>
  <c r="BJ310" i="1"/>
  <c r="BJ311" i="1"/>
  <c r="BJ312" i="1"/>
  <c r="BJ313" i="1"/>
  <c r="BJ314" i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7" i="1"/>
  <c r="AG6" i="1"/>
  <c r="BJ328" i="1" s="1"/>
  <c r="AG7" i="1"/>
  <c r="BJ329" i="1" s="1"/>
  <c r="AG8" i="1"/>
  <c r="BJ330" i="1" s="1"/>
  <c r="AG9" i="1"/>
  <c r="BJ331" i="1" s="1"/>
  <c r="AG10" i="1"/>
  <c r="BJ332" i="1" s="1"/>
  <c r="AG11" i="1"/>
  <c r="BJ333" i="1" s="1"/>
  <c r="AG12" i="1"/>
  <c r="BJ334" i="1" s="1"/>
  <c r="AG13" i="1"/>
  <c r="BJ335" i="1" s="1"/>
  <c r="AG14" i="1"/>
  <c r="BJ336" i="1" s="1"/>
  <c r="AG15" i="1"/>
  <c r="BJ337" i="1" s="1"/>
  <c r="AG16" i="1"/>
  <c r="BJ338" i="1" s="1"/>
  <c r="AG17" i="1"/>
  <c r="BJ339" i="1" s="1"/>
  <c r="AG18" i="1"/>
  <c r="BJ340" i="1" s="1"/>
  <c r="AG19" i="1"/>
  <c r="BJ341" i="1" s="1"/>
  <c r="AG20" i="1"/>
  <c r="BJ342" i="1" s="1"/>
  <c r="AG21" i="1"/>
  <c r="BJ343" i="1" s="1"/>
  <c r="AG22" i="1"/>
  <c r="BJ344" i="1" s="1"/>
  <c r="AG23" i="1"/>
  <c r="BJ345" i="1" s="1"/>
  <c r="AG24" i="1"/>
  <c r="BJ346" i="1" s="1"/>
  <c r="AG25" i="1"/>
  <c r="BJ347" i="1" s="1"/>
  <c r="AG26" i="1"/>
  <c r="BJ348" i="1" s="1"/>
  <c r="AG28" i="1"/>
  <c r="BJ350" i="1" s="1"/>
  <c r="AG29" i="1"/>
  <c r="BJ351" i="1" s="1"/>
  <c r="AG30" i="1"/>
  <c r="BJ352" i="1" s="1"/>
  <c r="AG31" i="1"/>
  <c r="BJ353" i="1" s="1"/>
  <c r="AG32" i="1"/>
  <c r="BJ354" i="1" s="1"/>
  <c r="AG33" i="1"/>
  <c r="BJ355" i="1" s="1"/>
  <c r="AG34" i="1"/>
  <c r="BJ356" i="1" s="1"/>
  <c r="AG35" i="1"/>
  <c r="BJ357" i="1" s="1"/>
  <c r="AG36" i="1"/>
  <c r="BJ358" i="1" s="1"/>
  <c r="AG37" i="1"/>
  <c r="BJ359" i="1" s="1"/>
  <c r="AG38" i="1"/>
  <c r="BJ360" i="1" s="1"/>
  <c r="AG39" i="1"/>
  <c r="BJ361" i="1" s="1"/>
  <c r="AG40" i="1"/>
  <c r="BJ362" i="1" s="1"/>
  <c r="AG41" i="1"/>
  <c r="BJ363" i="1" s="1"/>
  <c r="AG42" i="1"/>
  <c r="BJ364" i="1" s="1"/>
  <c r="AG5" i="1"/>
  <c r="BJ327" i="1" s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T90" i="1" s="1"/>
  <c r="B89" i="1"/>
  <c r="B88" i="1"/>
  <c r="B87" i="1"/>
  <c r="B86" i="1"/>
  <c r="B85" i="1"/>
  <c r="L84" i="1"/>
  <c r="K84" i="1"/>
  <c r="J84" i="1"/>
  <c r="I84" i="1"/>
  <c r="H84" i="1"/>
  <c r="G84" i="1"/>
  <c r="F84" i="1"/>
  <c r="E84" i="1"/>
  <c r="D84" i="1"/>
  <c r="C84" i="1"/>
  <c r="B84" i="1"/>
  <c r="T10" i="1" l="1"/>
  <c r="I93" i="1"/>
  <c r="I13" i="1" s="1"/>
  <c r="AX51" i="1"/>
  <c r="BR2" i="1"/>
  <c r="F101" i="1"/>
  <c r="F21" i="1" s="1"/>
  <c r="M86" i="1"/>
  <c r="M6" i="1" s="1"/>
  <c r="Y85" i="1"/>
  <c r="Y5" i="1" s="1"/>
  <c r="Q98" i="1"/>
  <c r="Q18" i="1" s="1"/>
  <c r="D89" i="1"/>
  <c r="D9" i="1" s="1"/>
  <c r="J101" i="1"/>
  <c r="J21" i="1" s="1"/>
  <c r="Q87" i="1"/>
  <c r="Q7" i="1" s="1"/>
  <c r="L111" i="1"/>
  <c r="L31" i="1" s="1"/>
  <c r="W99" i="1"/>
  <c r="W19" i="1" s="1"/>
  <c r="X100" i="1"/>
  <c r="X20" i="1" s="1"/>
  <c r="V117" i="1"/>
  <c r="V37" i="1" s="1"/>
  <c r="Y110" i="1"/>
  <c r="Y30" i="1" s="1"/>
  <c r="T113" i="1"/>
  <c r="T33" i="1" s="1"/>
  <c r="R115" i="1"/>
  <c r="R35" i="1" s="1"/>
  <c r="C89" i="1"/>
  <c r="C9" i="1" s="1"/>
  <c r="Y92" i="1"/>
  <c r="Y12" i="1" s="1"/>
  <c r="K104" i="1"/>
  <c r="K24" i="1" s="1"/>
  <c r="G97" i="1"/>
  <c r="G17" i="1" s="1"/>
  <c r="E103" i="1"/>
  <c r="E23" i="1" s="1"/>
  <c r="Q93" i="1"/>
  <c r="Q13" i="1" s="1"/>
  <c r="Q105" i="1"/>
  <c r="Q25" i="1" s="1"/>
  <c r="N96" i="1"/>
  <c r="N16" i="1" s="1"/>
  <c r="X110" i="1"/>
  <c r="X30" i="1" s="1"/>
  <c r="K110" i="1"/>
  <c r="K30" i="1" s="1"/>
  <c r="M91" i="1"/>
  <c r="M11" i="1" s="1"/>
  <c r="L104" i="1"/>
  <c r="L24" i="1" s="1"/>
  <c r="J104" i="1"/>
  <c r="J24" i="1" s="1"/>
  <c r="Y114" i="1"/>
  <c r="Y34" i="1" s="1"/>
  <c r="Y90" i="1"/>
  <c r="Y10" i="1" s="1"/>
  <c r="Y88" i="1"/>
  <c r="Y8" i="1" s="1"/>
  <c r="R92" i="1"/>
  <c r="H116" i="1"/>
  <c r="H36" i="1" s="1"/>
  <c r="P117" i="1"/>
  <c r="P37" i="1" s="1"/>
  <c r="U101" i="1"/>
  <c r="U21" i="1" s="1"/>
  <c r="Y97" i="1"/>
  <c r="Y17" i="1" s="1"/>
  <c r="Y98" i="1"/>
  <c r="Y18" i="1" s="1"/>
  <c r="J118" i="1"/>
  <c r="J38" i="1" s="1"/>
  <c r="M92" i="1"/>
  <c r="M12" i="1" s="1"/>
  <c r="Y93" i="1"/>
  <c r="Y13" i="1" s="1"/>
  <c r="M90" i="1"/>
  <c r="M10" i="1" s="1"/>
  <c r="D110" i="1"/>
  <c r="P94" i="1"/>
  <c r="P14" i="1" s="1"/>
  <c r="J94" i="1"/>
  <c r="J14" i="1" s="1"/>
  <c r="U94" i="1"/>
  <c r="X87" i="1"/>
  <c r="X7" i="1" s="1"/>
  <c r="X88" i="1"/>
  <c r="X8" i="1" s="1"/>
  <c r="O88" i="1"/>
  <c r="O8" i="1" s="1"/>
  <c r="U92" i="1"/>
  <c r="X89" i="1"/>
  <c r="X9" i="1" s="1"/>
  <c r="L99" i="1"/>
  <c r="L19" i="1" s="1"/>
  <c r="K106" i="1"/>
  <c r="K26" i="1" s="1"/>
  <c r="D112" i="1"/>
  <c r="D32" i="1" s="1"/>
  <c r="X92" i="1"/>
  <c r="X12" i="1" s="1"/>
  <c r="L107" i="1"/>
  <c r="L27" i="1" s="1"/>
  <c r="M114" i="1"/>
  <c r="M34" i="1" s="1"/>
  <c r="D114" i="1"/>
  <c r="D34" i="1" s="1"/>
  <c r="C114" i="1"/>
  <c r="C34" i="1" s="1"/>
  <c r="L108" i="1"/>
  <c r="L28" i="1" s="1"/>
  <c r="X115" i="1"/>
  <c r="X35" i="1" s="1"/>
  <c r="V94" i="1"/>
  <c r="L115" i="1"/>
  <c r="L35" i="1" s="1"/>
  <c r="Y87" i="1"/>
  <c r="Y7" i="1" s="1"/>
  <c r="J114" i="1"/>
  <c r="J34" i="1" s="1"/>
  <c r="M110" i="1"/>
  <c r="M30" i="1" s="1"/>
  <c r="G110" i="1"/>
  <c r="G30" i="1" s="1"/>
  <c r="C110" i="1"/>
  <c r="M88" i="1"/>
  <c r="M8" i="1" s="1"/>
  <c r="R98" i="1"/>
  <c r="R18" i="1" s="1"/>
  <c r="K111" i="1"/>
  <c r="K31" i="1" s="1"/>
  <c r="D103" i="1"/>
  <c r="H110" i="1"/>
  <c r="H30" i="1" s="1"/>
  <c r="Q117" i="1"/>
  <c r="Q37" i="1" s="1"/>
  <c r="R88" i="1"/>
  <c r="R8" i="1" s="1"/>
  <c r="Y100" i="1"/>
  <c r="Y20" i="1" s="1"/>
  <c r="L110" i="1"/>
  <c r="L30" i="1" s="1"/>
  <c r="Y111" i="1"/>
  <c r="Y31" i="1" s="1"/>
  <c r="J111" i="1"/>
  <c r="J31" i="1" s="1"/>
  <c r="L119" i="1"/>
  <c r="L39" i="1" s="1"/>
  <c r="I111" i="1"/>
  <c r="I31" i="1" s="1"/>
  <c r="T114" i="1"/>
  <c r="T34" i="1" s="1"/>
  <c r="H115" i="1"/>
  <c r="H35" i="1" s="1"/>
  <c r="T107" i="1"/>
  <c r="T27" i="1" s="1"/>
  <c r="R85" i="1"/>
  <c r="R5" i="1" s="1"/>
  <c r="M85" i="1"/>
  <c r="M5" i="1" s="1"/>
  <c r="Y86" i="1"/>
  <c r="Y6" i="1" s="1"/>
  <c r="U95" i="1"/>
  <c r="R104" i="1"/>
  <c r="R24" i="1" s="1"/>
  <c r="U85" i="1"/>
  <c r="U5" i="1" s="1"/>
  <c r="X104" i="1"/>
  <c r="X24" i="1" s="1"/>
  <c r="C108" i="1"/>
  <c r="E95" i="1"/>
  <c r="E15" i="1" s="1"/>
  <c r="E101" i="1"/>
  <c r="E21" i="1" s="1"/>
  <c r="G103" i="1"/>
  <c r="G23" i="1" s="1"/>
  <c r="F110" i="1"/>
  <c r="F30" i="1" s="1"/>
  <c r="H111" i="1"/>
  <c r="H31" i="1" s="1"/>
  <c r="K115" i="1"/>
  <c r="K35" i="1" s="1"/>
  <c r="J117" i="1"/>
  <c r="J37" i="1" s="1"/>
  <c r="O118" i="1"/>
  <c r="O38" i="1" s="1"/>
  <c r="Y89" i="1"/>
  <c r="Y9" i="1" s="1"/>
  <c r="R94" i="1"/>
  <c r="M98" i="1"/>
  <c r="M18" i="1" s="1"/>
  <c r="C118" i="1"/>
  <c r="C38" i="1" s="1"/>
  <c r="F102" i="1"/>
  <c r="F22" i="1" s="1"/>
  <c r="H103" i="1"/>
  <c r="H23" i="1" s="1"/>
  <c r="I105" i="1"/>
  <c r="I25" i="1" s="1"/>
  <c r="D108" i="1"/>
  <c r="I110" i="1"/>
  <c r="I30" i="1" s="1"/>
  <c r="H114" i="1"/>
  <c r="H34" i="1" s="1"/>
  <c r="C116" i="1"/>
  <c r="C36" i="1" s="1"/>
  <c r="G118" i="1"/>
  <c r="G38" i="1" s="1"/>
  <c r="Q86" i="1"/>
  <c r="Q6" i="1" s="1"/>
  <c r="U90" i="1"/>
  <c r="X94" i="1"/>
  <c r="X14" i="1" s="1"/>
  <c r="X98" i="1"/>
  <c r="X18" i="1" s="1"/>
  <c r="X101" i="1"/>
  <c r="X21" i="1" s="1"/>
  <c r="W105" i="1"/>
  <c r="W25" i="1" s="1"/>
  <c r="M111" i="1"/>
  <c r="M31" i="1" s="1"/>
  <c r="M115" i="1"/>
  <c r="M35" i="1" s="1"/>
  <c r="U113" i="1"/>
  <c r="U33" i="1" s="1"/>
  <c r="E89" i="1"/>
  <c r="E9" i="1" s="1"/>
  <c r="C102" i="1"/>
  <c r="C22" i="1" s="1"/>
  <c r="J103" i="1"/>
  <c r="J23" i="1" s="1"/>
  <c r="J105" i="1"/>
  <c r="J25" i="1" s="1"/>
  <c r="E108" i="1"/>
  <c r="J110" i="1"/>
  <c r="J30" i="1" s="1"/>
  <c r="I114" i="1"/>
  <c r="I34" i="1" s="1"/>
  <c r="E116" i="1"/>
  <c r="E36" i="1" s="1"/>
  <c r="K118" i="1"/>
  <c r="K38" i="1" s="1"/>
  <c r="R86" i="1"/>
  <c r="R6" i="1" s="1"/>
  <c r="V88" i="1"/>
  <c r="V8" i="1" s="1"/>
  <c r="V90" i="1"/>
  <c r="O95" i="1"/>
  <c r="O15" i="1" s="1"/>
  <c r="M102" i="1"/>
  <c r="M22" i="1" s="1"/>
  <c r="P106" i="1"/>
  <c r="P26" i="1" s="1"/>
  <c r="P111" i="1"/>
  <c r="P31" i="1" s="1"/>
  <c r="S115" i="1"/>
  <c r="S35" i="1" s="1"/>
  <c r="D102" i="1"/>
  <c r="D22" i="1" s="1"/>
  <c r="F116" i="1"/>
  <c r="F36" i="1" s="1"/>
  <c r="K119" i="1"/>
  <c r="K39" i="1" s="1"/>
  <c r="U112" i="1"/>
  <c r="U32" i="1" s="1"/>
  <c r="X86" i="1"/>
  <c r="X6" i="1" s="1"/>
  <c r="M93" i="1"/>
  <c r="M13" i="1" s="1"/>
  <c r="R95" i="1"/>
  <c r="R15" i="1" s="1"/>
  <c r="M99" i="1"/>
  <c r="M19" i="1" s="1"/>
  <c r="T102" i="1"/>
  <c r="T22" i="1" s="1"/>
  <c r="R106" i="1"/>
  <c r="R26" i="1" s="1"/>
  <c r="J95" i="1"/>
  <c r="J15" i="1" s="1"/>
  <c r="K103" i="1"/>
  <c r="K23" i="1" s="1"/>
  <c r="L103" i="1"/>
  <c r="L23" i="1" s="1"/>
  <c r="V102" i="1"/>
  <c r="V22" i="1" s="1"/>
  <c r="U106" i="1"/>
  <c r="U26" i="1" s="1"/>
  <c r="M112" i="1"/>
  <c r="M32" i="1" s="1"/>
  <c r="R116" i="1"/>
  <c r="R36" i="1" s="1"/>
  <c r="Q116" i="1"/>
  <c r="Q36" i="1" s="1"/>
  <c r="K96" i="1"/>
  <c r="K16" i="1" s="1"/>
  <c r="K114" i="1"/>
  <c r="K34" i="1" s="1"/>
  <c r="V111" i="1"/>
  <c r="V31" i="1" s="1"/>
  <c r="T95" i="1"/>
  <c r="D91" i="1"/>
  <c r="D11" i="1" s="1"/>
  <c r="H102" i="1"/>
  <c r="H22" i="1" s="1"/>
  <c r="H104" i="1"/>
  <c r="H24" i="1" s="1"/>
  <c r="G106" i="1"/>
  <c r="G26" i="1" s="1"/>
  <c r="L109" i="1"/>
  <c r="L29" i="1" s="1"/>
  <c r="C111" i="1"/>
  <c r="C31" i="1" s="1"/>
  <c r="G112" i="1"/>
  <c r="G32" i="1" s="1"/>
  <c r="G115" i="1"/>
  <c r="G35" i="1" s="1"/>
  <c r="J116" i="1"/>
  <c r="J36" i="1" s="1"/>
  <c r="L120" i="1"/>
  <c r="L40" i="1" s="1"/>
  <c r="X109" i="1"/>
  <c r="X29" i="1" s="1"/>
  <c r="M87" i="1"/>
  <c r="M7" i="1" s="1"/>
  <c r="M89" i="1"/>
  <c r="M9" i="1" s="1"/>
  <c r="S91" i="1"/>
  <c r="S11" i="1" s="1"/>
  <c r="R93" i="1"/>
  <c r="X99" i="1"/>
  <c r="X19" i="1" s="1"/>
  <c r="Y102" i="1"/>
  <c r="Y22" i="1" s="1"/>
  <c r="O107" i="1"/>
  <c r="O27" i="1" s="1"/>
  <c r="O112" i="1"/>
  <c r="O32" i="1" s="1"/>
  <c r="Q110" i="1"/>
  <c r="Q30" i="1" s="1"/>
  <c r="F89" i="1"/>
  <c r="F9" i="1" s="1"/>
  <c r="C106" i="1"/>
  <c r="C26" i="1" s="1"/>
  <c r="J108" i="1"/>
  <c r="J28" i="1" s="1"/>
  <c r="E112" i="1"/>
  <c r="E32" i="1" s="1"/>
  <c r="I116" i="1"/>
  <c r="I36" i="1" s="1"/>
  <c r="P99" i="1"/>
  <c r="P19" i="1" s="1"/>
  <c r="L90" i="1"/>
  <c r="L10" i="1" s="1"/>
  <c r="D100" i="1"/>
  <c r="D20" i="1" s="1"/>
  <c r="E100" i="1"/>
  <c r="E20" i="1" s="1"/>
  <c r="I102" i="1"/>
  <c r="I22" i="1" s="1"/>
  <c r="C104" i="1"/>
  <c r="C24" i="1" s="1"/>
  <c r="D111" i="1"/>
  <c r="D31" i="1" s="1"/>
  <c r="I112" i="1"/>
  <c r="I32" i="1" s="1"/>
  <c r="D115" i="1"/>
  <c r="D35" i="1" s="1"/>
  <c r="K116" i="1"/>
  <c r="K36" i="1" s="1"/>
  <c r="C120" i="1"/>
  <c r="C40" i="1" s="1"/>
  <c r="Y120" i="1"/>
  <c r="Y40" i="1" s="1"/>
  <c r="P87" i="1"/>
  <c r="P7" i="1" s="1"/>
  <c r="N89" i="1"/>
  <c r="N9" i="1" s="1"/>
  <c r="U91" i="1"/>
  <c r="V93" i="1"/>
  <c r="Y99" i="1"/>
  <c r="Y19" i="1" s="1"/>
  <c r="M103" i="1"/>
  <c r="M23" i="1" s="1"/>
  <c r="V112" i="1"/>
  <c r="V32" i="1" s="1"/>
  <c r="P118" i="1"/>
  <c r="P38" i="1" s="1"/>
  <c r="J106" i="1"/>
  <c r="J26" i="1" s="1"/>
  <c r="F92" i="1"/>
  <c r="F12" i="1" s="1"/>
  <c r="J102" i="1"/>
  <c r="J22" i="1" s="1"/>
  <c r="E111" i="1"/>
  <c r="E31" i="1" s="1"/>
  <c r="V91" i="1"/>
  <c r="X93" i="1"/>
  <c r="X13" i="1" s="1"/>
  <c r="M97" i="1"/>
  <c r="M17" i="1" s="1"/>
  <c r="M100" i="1"/>
  <c r="M20" i="1" s="1"/>
  <c r="U103" i="1"/>
  <c r="U23" i="1" s="1"/>
  <c r="N108" i="1"/>
  <c r="N28" i="1" s="1"/>
  <c r="X112" i="1"/>
  <c r="X32" i="1" s="1"/>
  <c r="O119" i="1"/>
  <c r="O39" i="1" s="1"/>
  <c r="G102" i="1"/>
  <c r="G22" i="1" s="1"/>
  <c r="G100" i="1"/>
  <c r="G20" i="1" s="1"/>
  <c r="E104" i="1"/>
  <c r="E24" i="1" s="1"/>
  <c r="K107" i="1"/>
  <c r="K27" i="1" s="1"/>
  <c r="E113" i="1"/>
  <c r="E33" i="1" s="1"/>
  <c r="E115" i="1"/>
  <c r="E35" i="1" s="1"/>
  <c r="L116" i="1"/>
  <c r="L36" i="1" s="1"/>
  <c r="E120" i="1"/>
  <c r="E40" i="1" s="1"/>
  <c r="U89" i="1"/>
  <c r="U9" i="1" s="1"/>
  <c r="H92" i="1"/>
  <c r="H12" i="1" s="1"/>
  <c r="H100" i="1"/>
  <c r="H20" i="1" s="1"/>
  <c r="K102" i="1"/>
  <c r="K22" i="1" s="1"/>
  <c r="F104" i="1"/>
  <c r="F24" i="1" s="1"/>
  <c r="D107" i="1"/>
  <c r="F111" i="1"/>
  <c r="F31" i="1" s="1"/>
  <c r="F113" i="1"/>
  <c r="F33" i="1" s="1"/>
  <c r="I117" i="1"/>
  <c r="I37" i="1" s="1"/>
  <c r="I120" i="1"/>
  <c r="I40" i="1" s="1"/>
  <c r="O85" i="1"/>
  <c r="O5" i="1" s="1"/>
  <c r="R87" i="1"/>
  <c r="R7" i="1" s="1"/>
  <c r="V89" i="1"/>
  <c r="V9" i="1" s="1"/>
  <c r="X91" i="1"/>
  <c r="X11" i="1" s="1"/>
  <c r="R97" i="1"/>
  <c r="R17" i="1" s="1"/>
  <c r="O100" i="1"/>
  <c r="O20" i="1" s="1"/>
  <c r="X103" i="1"/>
  <c r="X23" i="1" s="1"/>
  <c r="M109" i="1"/>
  <c r="M29" i="1" s="1"/>
  <c r="Y112" i="1"/>
  <c r="Y32" i="1" s="1"/>
  <c r="T119" i="1"/>
  <c r="T39" i="1" s="1"/>
  <c r="G114" i="1"/>
  <c r="G34" i="1" s="1"/>
  <c r="H94" i="1"/>
  <c r="H14" i="1" s="1"/>
  <c r="J89" i="1"/>
  <c r="J9" i="1" s="1"/>
  <c r="I108" i="1"/>
  <c r="I28" i="1" s="1"/>
  <c r="D94" i="1"/>
  <c r="D14" i="1" s="1"/>
  <c r="F93" i="1"/>
  <c r="F13" i="1" s="1"/>
  <c r="I100" i="1"/>
  <c r="I20" i="1" s="1"/>
  <c r="L102" i="1"/>
  <c r="L22" i="1" s="1"/>
  <c r="I104" i="1"/>
  <c r="I24" i="1" s="1"/>
  <c r="H107" i="1"/>
  <c r="H27" i="1" s="1"/>
  <c r="E110" i="1"/>
  <c r="E30" i="1" s="1"/>
  <c r="G111" i="1"/>
  <c r="G31" i="1" s="1"/>
  <c r="F114" i="1"/>
  <c r="F34" i="1" s="1"/>
  <c r="J115" i="1"/>
  <c r="J35" i="1" s="1"/>
  <c r="F117" i="1"/>
  <c r="F37" i="1" s="1"/>
  <c r="M120" i="1"/>
  <c r="M40" i="1" s="1"/>
  <c r="Y91" i="1"/>
  <c r="Y11" i="1" s="1"/>
  <c r="V100" i="1"/>
  <c r="V20" i="1" s="1"/>
  <c r="Y103" i="1"/>
  <c r="Y23" i="1" s="1"/>
  <c r="R109" i="1"/>
  <c r="R29" i="1" s="1"/>
  <c r="W113" i="1"/>
  <c r="W33" i="1" s="1"/>
  <c r="W110" i="1"/>
  <c r="W30" i="1" s="1"/>
  <c r="W88" i="1"/>
  <c r="W8" i="1" s="1"/>
  <c r="W102" i="1"/>
  <c r="W22" i="1" s="1"/>
  <c r="U118" i="1"/>
  <c r="U38" i="1" s="1"/>
  <c r="W90" i="1"/>
  <c r="W10" i="1" s="1"/>
  <c r="W94" i="1"/>
  <c r="W100" i="1"/>
  <c r="W20" i="1" s="1"/>
  <c r="W111" i="1"/>
  <c r="W31" i="1" s="1"/>
  <c r="W87" i="1"/>
  <c r="W7" i="1" s="1"/>
  <c r="Y115" i="1"/>
  <c r="Y35" i="1" s="1"/>
  <c r="W92" i="1"/>
  <c r="W12" i="1" s="1"/>
  <c r="W89" i="1"/>
  <c r="W9" i="1" s="1"/>
  <c r="W101" i="1"/>
  <c r="W21" i="1" s="1"/>
  <c r="W104" i="1"/>
  <c r="W24" i="1" s="1"/>
  <c r="W93" i="1"/>
  <c r="Y109" i="1"/>
  <c r="Y29" i="1" s="1"/>
  <c r="W116" i="1"/>
  <c r="W36" i="1" s="1"/>
  <c r="W95" i="1"/>
  <c r="V105" i="1"/>
  <c r="V25" i="1" s="1"/>
  <c r="S114" i="1"/>
  <c r="S34" i="1" s="1"/>
  <c r="S102" i="1"/>
  <c r="S22" i="1" s="1"/>
  <c r="S90" i="1"/>
  <c r="S10" i="1" s="1"/>
  <c r="S113" i="1"/>
  <c r="S33" i="1" s="1"/>
  <c r="S101" i="1"/>
  <c r="S21" i="1" s="1"/>
  <c r="S89" i="1"/>
  <c r="S9" i="1" s="1"/>
  <c r="S112" i="1"/>
  <c r="S32" i="1" s="1"/>
  <c r="S100" i="1"/>
  <c r="S20" i="1" s="1"/>
  <c r="S88" i="1"/>
  <c r="S8" i="1" s="1"/>
  <c r="S111" i="1"/>
  <c r="S31" i="1" s="1"/>
  <c r="S99" i="1"/>
  <c r="S87" i="1"/>
  <c r="S7" i="1" s="1"/>
  <c r="S110" i="1"/>
  <c r="S30" i="1" s="1"/>
  <c r="S98" i="1"/>
  <c r="S86" i="1"/>
  <c r="S6" i="1" s="1"/>
  <c r="S109" i="1"/>
  <c r="S29" i="1" s="1"/>
  <c r="S97" i="1"/>
  <c r="S85" i="1"/>
  <c r="S5" i="1" s="1"/>
  <c r="S120" i="1"/>
  <c r="S40" i="1" s="1"/>
  <c r="S108" i="1"/>
  <c r="S28" i="1" s="1"/>
  <c r="S96" i="1"/>
  <c r="S119" i="1"/>
  <c r="S39" i="1" s="1"/>
  <c r="S107" i="1"/>
  <c r="S27" i="1" s="1"/>
  <c r="S95" i="1"/>
  <c r="S118" i="1"/>
  <c r="S38" i="1" s="1"/>
  <c r="S106" i="1"/>
  <c r="S26" i="1" s="1"/>
  <c r="S94" i="1"/>
  <c r="S117" i="1"/>
  <c r="S37" i="1" s="1"/>
  <c r="S105" i="1"/>
  <c r="S25" i="1" s="1"/>
  <c r="S93" i="1"/>
  <c r="S116" i="1"/>
  <c r="S36" i="1" s="1"/>
  <c r="S104" i="1"/>
  <c r="S24" i="1" s="1"/>
  <c r="S92" i="1"/>
  <c r="N119" i="1"/>
  <c r="N39" i="1" s="1"/>
  <c r="N107" i="1"/>
  <c r="N27" i="1" s="1"/>
  <c r="N95" i="1"/>
  <c r="N15" i="1" s="1"/>
  <c r="N118" i="1"/>
  <c r="N38" i="1" s="1"/>
  <c r="N106" i="1"/>
  <c r="N26" i="1" s="1"/>
  <c r="N94" i="1"/>
  <c r="N14" i="1" s="1"/>
  <c r="N117" i="1"/>
  <c r="N37" i="1" s="1"/>
  <c r="N105" i="1"/>
  <c r="N25" i="1" s="1"/>
  <c r="N93" i="1"/>
  <c r="N13" i="1" s="1"/>
  <c r="N116" i="1"/>
  <c r="N36" i="1" s="1"/>
  <c r="N104" i="1"/>
  <c r="N24" i="1" s="1"/>
  <c r="N92" i="1"/>
  <c r="N12" i="1" s="1"/>
  <c r="N115" i="1"/>
  <c r="N35" i="1" s="1"/>
  <c r="N103" i="1"/>
  <c r="N23" i="1" s="1"/>
  <c r="N91" i="1"/>
  <c r="N11" i="1" s="1"/>
  <c r="N114" i="1"/>
  <c r="N34" i="1" s="1"/>
  <c r="N102" i="1"/>
  <c r="N22" i="1" s="1"/>
  <c r="N90" i="1"/>
  <c r="N10" i="1" s="1"/>
  <c r="N113" i="1"/>
  <c r="N33" i="1" s="1"/>
  <c r="N101" i="1"/>
  <c r="N21" i="1" s="1"/>
  <c r="N112" i="1"/>
  <c r="N32" i="1" s="1"/>
  <c r="N100" i="1"/>
  <c r="N20" i="1" s="1"/>
  <c r="N88" i="1"/>
  <c r="N8" i="1" s="1"/>
  <c r="N111" i="1"/>
  <c r="N31" i="1" s="1"/>
  <c r="N99" i="1"/>
  <c r="N19" i="1" s="1"/>
  <c r="N87" i="1"/>
  <c r="N7" i="1" s="1"/>
  <c r="N110" i="1"/>
  <c r="N30" i="1" s="1"/>
  <c r="N98" i="1"/>
  <c r="N18" i="1" s="1"/>
  <c r="N86" i="1"/>
  <c r="N6" i="1" s="1"/>
  <c r="N109" i="1"/>
  <c r="N29" i="1" s="1"/>
  <c r="N97" i="1"/>
  <c r="N17" i="1" s="1"/>
  <c r="N85" i="1"/>
  <c r="N5" i="1" s="1"/>
  <c r="S103" i="1"/>
  <c r="S23" i="1" s="1"/>
  <c r="N120" i="1"/>
  <c r="N40" i="1" s="1"/>
  <c r="T91" i="1"/>
  <c r="Q94" i="1"/>
  <c r="Q14" i="1" s="1"/>
  <c r="P95" i="1"/>
  <c r="P15" i="1" s="1"/>
  <c r="O96" i="1"/>
  <c r="O16" i="1" s="1"/>
  <c r="V101" i="1"/>
  <c r="V21" i="1" s="1"/>
  <c r="U102" i="1"/>
  <c r="U22" i="1" s="1"/>
  <c r="T103" i="1"/>
  <c r="T23" i="1" s="1"/>
  <c r="R105" i="1"/>
  <c r="R25" i="1" s="1"/>
  <c r="Q106" i="1"/>
  <c r="Q26" i="1" s="1"/>
  <c r="P107" i="1"/>
  <c r="P27" i="1" s="1"/>
  <c r="O108" i="1"/>
  <c r="O28" i="1" s="1"/>
  <c r="X111" i="1"/>
  <c r="X31" i="1" s="1"/>
  <c r="W112" i="1"/>
  <c r="W32" i="1" s="1"/>
  <c r="V113" i="1"/>
  <c r="V33" i="1" s="1"/>
  <c r="U114" i="1"/>
  <c r="U34" i="1" s="1"/>
  <c r="T115" i="1"/>
  <c r="T35" i="1" s="1"/>
  <c r="R117" i="1"/>
  <c r="R37" i="1" s="1"/>
  <c r="Q118" i="1"/>
  <c r="Q38" i="1" s="1"/>
  <c r="P119" i="1"/>
  <c r="P39" i="1" s="1"/>
  <c r="O120" i="1"/>
  <c r="O40" i="1" s="1"/>
  <c r="T92" i="1"/>
  <c r="Q95" i="1"/>
  <c r="Q15" i="1" s="1"/>
  <c r="P96" i="1"/>
  <c r="P16" i="1" s="1"/>
  <c r="O97" i="1"/>
  <c r="O17" i="1" s="1"/>
  <c r="T104" i="1"/>
  <c r="T24" i="1" s="1"/>
  <c r="Q107" i="1"/>
  <c r="Q27" i="1" s="1"/>
  <c r="P108" i="1"/>
  <c r="P28" i="1" s="1"/>
  <c r="O109" i="1"/>
  <c r="O29" i="1" s="1"/>
  <c r="V114" i="1"/>
  <c r="V34" i="1" s="1"/>
  <c r="U115" i="1"/>
  <c r="U35" i="1" s="1"/>
  <c r="T116" i="1"/>
  <c r="T36" i="1" s="1"/>
  <c r="R118" i="1"/>
  <c r="R38" i="1" s="1"/>
  <c r="Q119" i="1"/>
  <c r="Q39" i="1" s="1"/>
  <c r="P120" i="1"/>
  <c r="P40" i="1" s="1"/>
  <c r="P85" i="1"/>
  <c r="P5" i="1" s="1"/>
  <c r="O86" i="1"/>
  <c r="O6" i="1" s="1"/>
  <c r="T93" i="1"/>
  <c r="Q96" i="1"/>
  <c r="Q16" i="1" s="1"/>
  <c r="P97" i="1"/>
  <c r="P17" i="1" s="1"/>
  <c r="O98" i="1"/>
  <c r="O18" i="1" s="1"/>
  <c r="V103" i="1"/>
  <c r="V23" i="1" s="1"/>
  <c r="U104" i="1"/>
  <c r="U24" i="1" s="1"/>
  <c r="T105" i="1"/>
  <c r="T25" i="1" s="1"/>
  <c r="R107" i="1"/>
  <c r="R27" i="1" s="1"/>
  <c r="Q108" i="1"/>
  <c r="Q28" i="1" s="1"/>
  <c r="P109" i="1"/>
  <c r="P29" i="1" s="1"/>
  <c r="O110" i="1"/>
  <c r="O30" i="1" s="1"/>
  <c r="X113" i="1"/>
  <c r="X33" i="1" s="1"/>
  <c r="W114" i="1"/>
  <c r="W34" i="1" s="1"/>
  <c r="V115" i="1"/>
  <c r="V35" i="1" s="1"/>
  <c r="U116" i="1"/>
  <c r="U36" i="1" s="1"/>
  <c r="T117" i="1"/>
  <c r="T37" i="1" s="1"/>
  <c r="R119" i="1"/>
  <c r="R39" i="1" s="1"/>
  <c r="Q120" i="1"/>
  <c r="Q40" i="1" s="1"/>
  <c r="Q85" i="1"/>
  <c r="Q5" i="1" s="1"/>
  <c r="P86" i="1"/>
  <c r="P6" i="1" s="1"/>
  <c r="O87" i="1"/>
  <c r="O7" i="1" s="1"/>
  <c r="X90" i="1"/>
  <c r="X10" i="1" s="1"/>
  <c r="W91" i="1"/>
  <c r="W11" i="1" s="1"/>
  <c r="V92" i="1"/>
  <c r="U93" i="1"/>
  <c r="T94" i="1"/>
  <c r="R96" i="1"/>
  <c r="R16" i="1" s="1"/>
  <c r="Q97" i="1"/>
  <c r="Q17" i="1" s="1"/>
  <c r="P98" i="1"/>
  <c r="P18" i="1" s="1"/>
  <c r="O99" i="1"/>
  <c r="O19" i="1" s="1"/>
  <c r="M101" i="1"/>
  <c r="M21" i="1" s="1"/>
  <c r="Y101" i="1"/>
  <c r="Y21" i="1" s="1"/>
  <c r="X102" i="1"/>
  <c r="X22" i="1" s="1"/>
  <c r="W103" i="1"/>
  <c r="W23" i="1" s="1"/>
  <c r="V104" i="1"/>
  <c r="V24" i="1" s="1"/>
  <c r="U105" i="1"/>
  <c r="U25" i="1" s="1"/>
  <c r="T106" i="1"/>
  <c r="T26" i="1" s="1"/>
  <c r="R108" i="1"/>
  <c r="R28" i="1" s="1"/>
  <c r="Q109" i="1"/>
  <c r="Q29" i="1" s="1"/>
  <c r="P110" i="1"/>
  <c r="P30" i="1" s="1"/>
  <c r="O111" i="1"/>
  <c r="O31" i="1" s="1"/>
  <c r="M113" i="1"/>
  <c r="M33" i="1" s="1"/>
  <c r="Y113" i="1"/>
  <c r="Y33" i="1" s="1"/>
  <c r="X114" i="1"/>
  <c r="X34" i="1" s="1"/>
  <c r="W115" i="1"/>
  <c r="W35" i="1" s="1"/>
  <c r="V116" i="1"/>
  <c r="V36" i="1" s="1"/>
  <c r="U117" i="1"/>
  <c r="U37" i="1" s="1"/>
  <c r="T118" i="1"/>
  <c r="T38" i="1" s="1"/>
  <c r="R120" i="1"/>
  <c r="R40" i="1" s="1"/>
  <c r="P88" i="1"/>
  <c r="P8" i="1" s="1"/>
  <c r="O89" i="1"/>
  <c r="O9" i="1" s="1"/>
  <c r="T96" i="1"/>
  <c r="Q99" i="1"/>
  <c r="Q19" i="1" s="1"/>
  <c r="P100" i="1"/>
  <c r="P20" i="1" s="1"/>
  <c r="O101" i="1"/>
  <c r="O21" i="1" s="1"/>
  <c r="V106" i="1"/>
  <c r="V26" i="1" s="1"/>
  <c r="U107" i="1"/>
  <c r="U27" i="1" s="1"/>
  <c r="T108" i="1"/>
  <c r="T28" i="1" s="1"/>
  <c r="R110" i="1"/>
  <c r="R30" i="1" s="1"/>
  <c r="Q111" i="1"/>
  <c r="Q31" i="1" s="1"/>
  <c r="P112" i="1"/>
  <c r="P32" i="1" s="1"/>
  <c r="O113" i="1"/>
  <c r="O33" i="1" s="1"/>
  <c r="X116" i="1"/>
  <c r="X36" i="1" s="1"/>
  <c r="W117" i="1"/>
  <c r="W37" i="1" s="1"/>
  <c r="V118" i="1"/>
  <c r="V38" i="1" s="1"/>
  <c r="U119" i="1"/>
  <c r="U39" i="1" s="1"/>
  <c r="T120" i="1"/>
  <c r="T40" i="1" s="1"/>
  <c r="T85" i="1"/>
  <c r="T5" i="1" s="1"/>
  <c r="Q88" i="1"/>
  <c r="Q8" i="1" s="1"/>
  <c r="P89" i="1"/>
  <c r="P9" i="1" s="1"/>
  <c r="O90" i="1"/>
  <c r="O10" i="1" s="1"/>
  <c r="V95" i="1"/>
  <c r="U96" i="1"/>
  <c r="T97" i="1"/>
  <c r="R99" i="1"/>
  <c r="R19" i="1" s="1"/>
  <c r="Q100" i="1"/>
  <c r="Q20" i="1" s="1"/>
  <c r="P101" i="1"/>
  <c r="P21" i="1" s="1"/>
  <c r="O102" i="1"/>
  <c r="O22" i="1" s="1"/>
  <c r="M104" i="1"/>
  <c r="M24" i="1" s="1"/>
  <c r="Y104" i="1"/>
  <c r="Y24" i="1" s="1"/>
  <c r="X105" i="1"/>
  <c r="X25" i="1" s="1"/>
  <c r="W106" i="1"/>
  <c r="W26" i="1" s="1"/>
  <c r="V107" i="1"/>
  <c r="V27" i="1" s="1"/>
  <c r="U108" i="1"/>
  <c r="U28" i="1" s="1"/>
  <c r="T109" i="1"/>
  <c r="T29" i="1" s="1"/>
  <c r="R111" i="1"/>
  <c r="R31" i="1" s="1"/>
  <c r="Q112" i="1"/>
  <c r="Q32" i="1" s="1"/>
  <c r="P113" i="1"/>
  <c r="P33" i="1" s="1"/>
  <c r="O114" i="1"/>
  <c r="O34" i="1" s="1"/>
  <c r="M116" i="1"/>
  <c r="M36" i="1" s="1"/>
  <c r="Y116" i="1"/>
  <c r="Y36" i="1" s="1"/>
  <c r="X117" i="1"/>
  <c r="X37" i="1" s="1"/>
  <c r="W118" i="1"/>
  <c r="W38" i="1" s="1"/>
  <c r="V119" i="1"/>
  <c r="V39" i="1" s="1"/>
  <c r="U120" i="1"/>
  <c r="U40" i="1" s="1"/>
  <c r="T86" i="1"/>
  <c r="T6" i="1" s="1"/>
  <c r="Q89" i="1"/>
  <c r="Q9" i="1" s="1"/>
  <c r="P90" i="1"/>
  <c r="P10" i="1" s="1"/>
  <c r="O91" i="1"/>
  <c r="O11" i="1" s="1"/>
  <c r="V96" i="1"/>
  <c r="U97" i="1"/>
  <c r="T98" i="1"/>
  <c r="R100" i="1"/>
  <c r="R20" i="1" s="1"/>
  <c r="Q101" i="1"/>
  <c r="Q21" i="1" s="1"/>
  <c r="P102" i="1"/>
  <c r="P22" i="1" s="1"/>
  <c r="O103" i="1"/>
  <c r="O23" i="1" s="1"/>
  <c r="M105" i="1"/>
  <c r="M25" i="1" s="1"/>
  <c r="Y105" i="1"/>
  <c r="Y25" i="1" s="1"/>
  <c r="X106" i="1"/>
  <c r="X26" i="1" s="1"/>
  <c r="W107" i="1"/>
  <c r="W27" i="1" s="1"/>
  <c r="V108" i="1"/>
  <c r="V28" i="1" s="1"/>
  <c r="U109" i="1"/>
  <c r="U29" i="1" s="1"/>
  <c r="T110" i="1"/>
  <c r="T30" i="1" s="1"/>
  <c r="R112" i="1"/>
  <c r="R32" i="1" s="1"/>
  <c r="Q113" i="1"/>
  <c r="Q33" i="1" s="1"/>
  <c r="P114" i="1"/>
  <c r="P34" i="1" s="1"/>
  <c r="O115" i="1"/>
  <c r="O35" i="1" s="1"/>
  <c r="M117" i="1"/>
  <c r="M37" i="1" s="1"/>
  <c r="Y117" i="1"/>
  <c r="Y37" i="1" s="1"/>
  <c r="X118" i="1"/>
  <c r="X38" i="1" s="1"/>
  <c r="W119" i="1"/>
  <c r="W39" i="1" s="1"/>
  <c r="V120" i="1"/>
  <c r="V40" i="1" s="1"/>
  <c r="V85" i="1"/>
  <c r="V5" i="1" s="1"/>
  <c r="U86" i="1"/>
  <c r="U6" i="1" s="1"/>
  <c r="T87" i="1"/>
  <c r="T7" i="1" s="1"/>
  <c r="R89" i="1"/>
  <c r="R9" i="1" s="1"/>
  <c r="Q90" i="1"/>
  <c r="Q10" i="1" s="1"/>
  <c r="P91" i="1"/>
  <c r="P11" i="1" s="1"/>
  <c r="O92" i="1"/>
  <c r="O12" i="1" s="1"/>
  <c r="M94" i="1"/>
  <c r="M14" i="1" s="1"/>
  <c r="Y94" i="1"/>
  <c r="Y14" i="1" s="1"/>
  <c r="X95" i="1"/>
  <c r="X15" i="1" s="1"/>
  <c r="W96" i="1"/>
  <c r="V97" i="1"/>
  <c r="U98" i="1"/>
  <c r="T99" i="1"/>
  <c r="R101" i="1"/>
  <c r="R21" i="1" s="1"/>
  <c r="Q102" i="1"/>
  <c r="Q22" i="1" s="1"/>
  <c r="P103" i="1"/>
  <c r="P23" i="1" s="1"/>
  <c r="O104" i="1"/>
  <c r="O24" i="1" s="1"/>
  <c r="M106" i="1"/>
  <c r="M26" i="1" s="1"/>
  <c r="Y106" i="1"/>
  <c r="Y26" i="1" s="1"/>
  <c r="X107" i="1"/>
  <c r="X27" i="1" s="1"/>
  <c r="W108" i="1"/>
  <c r="W28" i="1" s="1"/>
  <c r="V109" i="1"/>
  <c r="V29" i="1" s="1"/>
  <c r="U110" i="1"/>
  <c r="U30" i="1" s="1"/>
  <c r="T111" i="1"/>
  <c r="T31" i="1" s="1"/>
  <c r="R113" i="1"/>
  <c r="R33" i="1" s="1"/>
  <c r="Q114" i="1"/>
  <c r="Q34" i="1" s="1"/>
  <c r="P115" i="1"/>
  <c r="P35" i="1" s="1"/>
  <c r="O116" i="1"/>
  <c r="O36" i="1" s="1"/>
  <c r="M118" i="1"/>
  <c r="M38" i="1" s="1"/>
  <c r="Y118" i="1"/>
  <c r="Y38" i="1" s="1"/>
  <c r="X119" i="1"/>
  <c r="X39" i="1" s="1"/>
  <c r="W120" i="1"/>
  <c r="W40" i="1" s="1"/>
  <c r="W85" i="1"/>
  <c r="W5" i="1" s="1"/>
  <c r="V86" i="1"/>
  <c r="V6" i="1" s="1"/>
  <c r="U87" i="1"/>
  <c r="U7" i="1" s="1"/>
  <c r="T88" i="1"/>
  <c r="T8" i="1" s="1"/>
  <c r="R90" i="1"/>
  <c r="R10" i="1" s="1"/>
  <c r="Q91" i="1"/>
  <c r="Q11" i="1" s="1"/>
  <c r="P92" i="1"/>
  <c r="P12" i="1" s="1"/>
  <c r="O93" i="1"/>
  <c r="O13" i="1" s="1"/>
  <c r="M95" i="1"/>
  <c r="M15" i="1" s="1"/>
  <c r="Y95" i="1"/>
  <c r="Y15" i="1" s="1"/>
  <c r="X96" i="1"/>
  <c r="X16" i="1" s="1"/>
  <c r="W97" i="1"/>
  <c r="W17" i="1" s="1"/>
  <c r="V98" i="1"/>
  <c r="U99" i="1"/>
  <c r="T100" i="1"/>
  <c r="R102" i="1"/>
  <c r="R22" i="1" s="1"/>
  <c r="Q103" i="1"/>
  <c r="Q23" i="1" s="1"/>
  <c r="P104" i="1"/>
  <c r="P24" i="1" s="1"/>
  <c r="O105" i="1"/>
  <c r="O25" i="1" s="1"/>
  <c r="M107" i="1"/>
  <c r="M27" i="1" s="1"/>
  <c r="Y107" i="1"/>
  <c r="Y27" i="1" s="1"/>
  <c r="X108" i="1"/>
  <c r="X28" i="1" s="1"/>
  <c r="W109" i="1"/>
  <c r="W29" i="1" s="1"/>
  <c r="V110" i="1"/>
  <c r="V30" i="1" s="1"/>
  <c r="U111" i="1"/>
  <c r="U31" i="1" s="1"/>
  <c r="T112" i="1"/>
  <c r="T32" i="1" s="1"/>
  <c r="R114" i="1"/>
  <c r="R34" i="1" s="1"/>
  <c r="Q115" i="1"/>
  <c r="Q35" i="1" s="1"/>
  <c r="P116" i="1"/>
  <c r="P36" i="1" s="1"/>
  <c r="O117" i="1"/>
  <c r="O37" i="1" s="1"/>
  <c r="M119" i="1"/>
  <c r="M39" i="1" s="1"/>
  <c r="Y119" i="1"/>
  <c r="Y39" i="1" s="1"/>
  <c r="X120" i="1"/>
  <c r="X40" i="1" s="1"/>
  <c r="X85" i="1"/>
  <c r="X5" i="1" s="1"/>
  <c r="W86" i="1"/>
  <c r="W6" i="1" s="1"/>
  <c r="V87" i="1"/>
  <c r="V7" i="1" s="1"/>
  <c r="U88" i="1"/>
  <c r="U8" i="1" s="1"/>
  <c r="T89" i="1"/>
  <c r="T9" i="1" s="1"/>
  <c r="R91" i="1"/>
  <c r="R11" i="1" s="1"/>
  <c r="Q92" i="1"/>
  <c r="Q12" i="1" s="1"/>
  <c r="P93" i="1"/>
  <c r="P13" i="1" s="1"/>
  <c r="O94" i="1"/>
  <c r="O14" i="1" s="1"/>
  <c r="M96" i="1"/>
  <c r="M16" i="1" s="1"/>
  <c r="Y96" i="1"/>
  <c r="Y16" i="1" s="1"/>
  <c r="X97" i="1"/>
  <c r="X17" i="1" s="1"/>
  <c r="W98" i="1"/>
  <c r="W18" i="1" s="1"/>
  <c r="V99" i="1"/>
  <c r="V19" i="1" s="1"/>
  <c r="U100" i="1"/>
  <c r="U20" i="1" s="1"/>
  <c r="T101" i="1"/>
  <c r="T21" i="1" s="1"/>
  <c r="R103" i="1"/>
  <c r="R23" i="1" s="1"/>
  <c r="Q104" i="1"/>
  <c r="Q24" i="1" s="1"/>
  <c r="P105" i="1"/>
  <c r="P25" i="1" s="1"/>
  <c r="O106" i="1"/>
  <c r="O26" i="1" s="1"/>
  <c r="M108" i="1"/>
  <c r="M28" i="1" s="1"/>
  <c r="Y108" i="1"/>
  <c r="Y28" i="1" s="1"/>
  <c r="F100" i="1"/>
  <c r="F20" i="1" s="1"/>
  <c r="G101" i="1"/>
  <c r="G21" i="1" s="1"/>
  <c r="I103" i="1"/>
  <c r="I23" i="1" s="1"/>
  <c r="K105" i="1"/>
  <c r="K25" i="1" s="1"/>
  <c r="L106" i="1"/>
  <c r="L26" i="1" s="1"/>
  <c r="C109" i="1"/>
  <c r="F112" i="1"/>
  <c r="F32" i="1" s="1"/>
  <c r="G113" i="1"/>
  <c r="G33" i="1" s="1"/>
  <c r="I115" i="1"/>
  <c r="I35" i="1" s="1"/>
  <c r="K117" i="1"/>
  <c r="K37" i="1" s="1"/>
  <c r="L118" i="1"/>
  <c r="L38" i="1" s="1"/>
  <c r="H101" i="1"/>
  <c r="H21" i="1" s="1"/>
  <c r="L105" i="1"/>
  <c r="L25" i="1" s="1"/>
  <c r="D109" i="1"/>
  <c r="H113" i="1"/>
  <c r="H33" i="1" s="1"/>
  <c r="L117" i="1"/>
  <c r="L37" i="1" s="1"/>
  <c r="I101" i="1"/>
  <c r="I21" i="1" s="1"/>
  <c r="C107" i="1"/>
  <c r="E109" i="1"/>
  <c r="E29" i="1" s="1"/>
  <c r="H112" i="1"/>
  <c r="H32" i="1" s="1"/>
  <c r="I113" i="1"/>
  <c r="I33" i="1" s="1"/>
  <c r="C119" i="1"/>
  <c r="C39" i="1" s="1"/>
  <c r="D120" i="1"/>
  <c r="D40" i="1" s="1"/>
  <c r="F109" i="1"/>
  <c r="F29" i="1" s="1"/>
  <c r="J113" i="1"/>
  <c r="J33" i="1" s="1"/>
  <c r="D119" i="1"/>
  <c r="D39" i="1" s="1"/>
  <c r="J100" i="1"/>
  <c r="J20" i="1" s="1"/>
  <c r="K101" i="1"/>
  <c r="K21" i="1" s="1"/>
  <c r="C105" i="1"/>
  <c r="C25" i="1" s="1"/>
  <c r="D106" i="1"/>
  <c r="E107" i="1"/>
  <c r="F108" i="1"/>
  <c r="G109" i="1"/>
  <c r="G29" i="1" s="1"/>
  <c r="J112" i="1"/>
  <c r="J32" i="1" s="1"/>
  <c r="K113" i="1"/>
  <c r="K33" i="1" s="1"/>
  <c r="L114" i="1"/>
  <c r="L34" i="1" s="1"/>
  <c r="C117" i="1"/>
  <c r="C37" i="1" s="1"/>
  <c r="D118" i="1"/>
  <c r="D38" i="1" s="1"/>
  <c r="E119" i="1"/>
  <c r="E39" i="1" s="1"/>
  <c r="F120" i="1"/>
  <c r="F40" i="1" s="1"/>
  <c r="K100" i="1"/>
  <c r="K20" i="1" s="1"/>
  <c r="L101" i="1"/>
  <c r="L21" i="1" s="1"/>
  <c r="D105" i="1"/>
  <c r="E106" i="1"/>
  <c r="F107" i="1"/>
  <c r="G108" i="1"/>
  <c r="G28" i="1" s="1"/>
  <c r="H109" i="1"/>
  <c r="H29" i="1" s="1"/>
  <c r="K112" i="1"/>
  <c r="K32" i="1" s="1"/>
  <c r="L113" i="1"/>
  <c r="L33" i="1" s="1"/>
  <c r="D117" i="1"/>
  <c r="D37" i="1" s="1"/>
  <c r="E118" i="1"/>
  <c r="E38" i="1" s="1"/>
  <c r="F119" i="1"/>
  <c r="F39" i="1" s="1"/>
  <c r="G120" i="1"/>
  <c r="G40" i="1" s="1"/>
  <c r="L100" i="1"/>
  <c r="L20" i="1" s="1"/>
  <c r="C103" i="1"/>
  <c r="C23" i="1" s="1"/>
  <c r="D104" i="1"/>
  <c r="E105" i="1"/>
  <c r="E25" i="1" s="1"/>
  <c r="F106" i="1"/>
  <c r="F26" i="1" s="1"/>
  <c r="G107" i="1"/>
  <c r="G27" i="1" s="1"/>
  <c r="H108" i="1"/>
  <c r="H28" i="1" s="1"/>
  <c r="I109" i="1"/>
  <c r="I29" i="1" s="1"/>
  <c r="L112" i="1"/>
  <c r="L32" i="1" s="1"/>
  <c r="C115" i="1"/>
  <c r="C35" i="1" s="1"/>
  <c r="D116" i="1"/>
  <c r="D36" i="1" s="1"/>
  <c r="E117" i="1"/>
  <c r="E37" i="1" s="1"/>
  <c r="F118" i="1"/>
  <c r="F38" i="1" s="1"/>
  <c r="G119" i="1"/>
  <c r="G39" i="1" s="1"/>
  <c r="H120" i="1"/>
  <c r="H40" i="1" s="1"/>
  <c r="F105" i="1"/>
  <c r="F25" i="1" s="1"/>
  <c r="J109" i="1"/>
  <c r="J29" i="1" s="1"/>
  <c r="H119" i="1"/>
  <c r="H39" i="1" s="1"/>
  <c r="G105" i="1"/>
  <c r="G25" i="1" s="1"/>
  <c r="H106" i="1"/>
  <c r="H26" i="1" s="1"/>
  <c r="I107" i="1"/>
  <c r="I27" i="1" s="1"/>
  <c r="K109" i="1"/>
  <c r="K29" i="1" s="1"/>
  <c r="C113" i="1"/>
  <c r="C33" i="1" s="1"/>
  <c r="G117" i="1"/>
  <c r="G37" i="1" s="1"/>
  <c r="H118" i="1"/>
  <c r="H38" i="1" s="1"/>
  <c r="I119" i="1"/>
  <c r="I39" i="1" s="1"/>
  <c r="J120" i="1"/>
  <c r="J40" i="1" s="1"/>
  <c r="C100" i="1"/>
  <c r="C20" i="1" s="1"/>
  <c r="D101" i="1"/>
  <c r="D21" i="1" s="1"/>
  <c r="E102" i="1"/>
  <c r="E22" i="1" s="1"/>
  <c r="F103" i="1"/>
  <c r="F23" i="1" s="1"/>
  <c r="G104" i="1"/>
  <c r="G24" i="1" s="1"/>
  <c r="H105" i="1"/>
  <c r="H25" i="1" s="1"/>
  <c r="I106" i="1"/>
  <c r="I26" i="1" s="1"/>
  <c r="J107" i="1"/>
  <c r="J27" i="1" s="1"/>
  <c r="K108" i="1"/>
  <c r="K28" i="1" s="1"/>
  <c r="C112" i="1"/>
  <c r="C32" i="1" s="1"/>
  <c r="D113" i="1"/>
  <c r="D33" i="1" s="1"/>
  <c r="E114" i="1"/>
  <c r="E34" i="1" s="1"/>
  <c r="F115" i="1"/>
  <c r="F35" i="1" s="1"/>
  <c r="G116" i="1"/>
  <c r="G36" i="1" s="1"/>
  <c r="H117" i="1"/>
  <c r="H37" i="1" s="1"/>
  <c r="I118" i="1"/>
  <c r="I38" i="1" s="1"/>
  <c r="J119" i="1"/>
  <c r="J39" i="1" s="1"/>
  <c r="K120" i="1"/>
  <c r="K40" i="1" s="1"/>
  <c r="C101" i="1"/>
  <c r="C21" i="1" s="1"/>
  <c r="H90" i="1"/>
  <c r="H10" i="1" s="1"/>
  <c r="G92" i="1"/>
  <c r="G12" i="1" s="1"/>
  <c r="H95" i="1"/>
  <c r="H15" i="1" s="1"/>
  <c r="I95" i="1"/>
  <c r="I15" i="1" s="1"/>
  <c r="I90" i="1"/>
  <c r="I10" i="1" s="1"/>
  <c r="J90" i="1"/>
  <c r="J10" i="1" s="1"/>
  <c r="I92" i="1"/>
  <c r="I12" i="1" s="1"/>
  <c r="I96" i="1"/>
  <c r="I16" i="1" s="1"/>
  <c r="H89" i="1"/>
  <c r="H9" i="1" s="1"/>
  <c r="E91" i="1"/>
  <c r="E11" i="1" s="1"/>
  <c r="G93" i="1"/>
  <c r="G13" i="1" s="1"/>
  <c r="J96" i="1"/>
  <c r="J16" i="1" s="1"/>
  <c r="J85" i="1"/>
  <c r="J5" i="1" s="1"/>
  <c r="I89" i="1"/>
  <c r="I9" i="1" s="1"/>
  <c r="F91" i="1"/>
  <c r="F11" i="1" s="1"/>
  <c r="H93" i="1"/>
  <c r="H13" i="1" s="1"/>
  <c r="J97" i="1"/>
  <c r="J17" i="1" s="1"/>
  <c r="K86" i="1"/>
  <c r="K6" i="1" s="1"/>
  <c r="G91" i="1"/>
  <c r="G11" i="1" s="1"/>
  <c r="K98" i="1"/>
  <c r="K18" i="1" s="1"/>
  <c r="G90" i="1"/>
  <c r="G10" i="1" s="1"/>
  <c r="G89" i="1"/>
  <c r="G9" i="1" s="1"/>
  <c r="C93" i="1"/>
  <c r="C13" i="1" s="1"/>
  <c r="L86" i="1"/>
  <c r="L6" i="1" s="1"/>
  <c r="C90" i="1"/>
  <c r="C10" i="1" s="1"/>
  <c r="H91" i="1"/>
  <c r="H11" i="1" s="1"/>
  <c r="J93" i="1"/>
  <c r="J13" i="1" s="1"/>
  <c r="H98" i="1"/>
  <c r="H18" i="1" s="1"/>
  <c r="L87" i="1"/>
  <c r="L7" i="1" s="1"/>
  <c r="D90" i="1"/>
  <c r="D10" i="1" s="1"/>
  <c r="I91" i="1"/>
  <c r="I11" i="1" s="1"/>
  <c r="G94" i="1"/>
  <c r="G14" i="1" s="1"/>
  <c r="L98" i="1"/>
  <c r="L18" i="1" s="1"/>
  <c r="J88" i="1"/>
  <c r="J8" i="1" s="1"/>
  <c r="E90" i="1"/>
  <c r="E10" i="1" s="1"/>
  <c r="J91" i="1"/>
  <c r="J11" i="1" s="1"/>
  <c r="F96" i="1"/>
  <c r="F16" i="1" s="1"/>
  <c r="F90" i="1"/>
  <c r="F10" i="1" s="1"/>
  <c r="E92" i="1"/>
  <c r="E12" i="1" s="1"/>
  <c r="I94" i="1"/>
  <c r="I14" i="1" s="1"/>
  <c r="D88" i="1"/>
  <c r="D8" i="1" s="1"/>
  <c r="K95" i="1"/>
  <c r="K15" i="1" s="1"/>
  <c r="L96" i="1"/>
  <c r="L16" i="1" s="1"/>
  <c r="C99" i="1"/>
  <c r="C19" i="1" s="1"/>
  <c r="C86" i="1"/>
  <c r="C6" i="1" s="1"/>
  <c r="E88" i="1"/>
  <c r="E8" i="1" s="1"/>
  <c r="K94" i="1"/>
  <c r="K14" i="1" s="1"/>
  <c r="L95" i="1"/>
  <c r="L15" i="1" s="1"/>
  <c r="C98" i="1"/>
  <c r="C18" i="1" s="1"/>
  <c r="D99" i="1"/>
  <c r="D19" i="1" s="1"/>
  <c r="D86" i="1"/>
  <c r="D6" i="1" s="1"/>
  <c r="F88" i="1"/>
  <c r="F8" i="1" s="1"/>
  <c r="J92" i="1"/>
  <c r="J12" i="1" s="1"/>
  <c r="K93" i="1"/>
  <c r="K13" i="1" s="1"/>
  <c r="L94" i="1"/>
  <c r="L14" i="1" s="1"/>
  <c r="C97" i="1"/>
  <c r="C17" i="1" s="1"/>
  <c r="D98" i="1"/>
  <c r="D18" i="1" s="1"/>
  <c r="E99" i="1"/>
  <c r="E19" i="1" s="1"/>
  <c r="L97" i="1"/>
  <c r="L17" i="1" s="1"/>
  <c r="C87" i="1"/>
  <c r="C7" i="1" s="1"/>
  <c r="E87" i="1"/>
  <c r="E7" i="1" s="1"/>
  <c r="D85" i="1"/>
  <c r="D5" i="1" s="1"/>
  <c r="E86" i="1"/>
  <c r="E6" i="1" s="1"/>
  <c r="F87" i="1"/>
  <c r="F7" i="1" s="1"/>
  <c r="G88" i="1"/>
  <c r="G8" i="1" s="1"/>
  <c r="K92" i="1"/>
  <c r="K12" i="1" s="1"/>
  <c r="L93" i="1"/>
  <c r="L13" i="1" s="1"/>
  <c r="C96" i="1"/>
  <c r="C16" i="1" s="1"/>
  <c r="D97" i="1"/>
  <c r="D17" i="1" s="1"/>
  <c r="E98" i="1"/>
  <c r="E18" i="1" s="1"/>
  <c r="F99" i="1"/>
  <c r="F19" i="1" s="1"/>
  <c r="E85" i="1"/>
  <c r="E5" i="1" s="1"/>
  <c r="F86" i="1"/>
  <c r="F6" i="1" s="1"/>
  <c r="G87" i="1"/>
  <c r="G7" i="1" s="1"/>
  <c r="H88" i="1"/>
  <c r="H8" i="1" s="1"/>
  <c r="K91" i="1"/>
  <c r="K11" i="1" s="1"/>
  <c r="L92" i="1"/>
  <c r="L12" i="1" s="1"/>
  <c r="C95" i="1"/>
  <c r="C15" i="1" s="1"/>
  <c r="D96" i="1"/>
  <c r="D16" i="1" s="1"/>
  <c r="E97" i="1"/>
  <c r="E17" i="1" s="1"/>
  <c r="F98" i="1"/>
  <c r="F18" i="1" s="1"/>
  <c r="G99" i="1"/>
  <c r="G19" i="1" s="1"/>
  <c r="F85" i="1"/>
  <c r="F5" i="1" s="1"/>
  <c r="G86" i="1"/>
  <c r="G6" i="1" s="1"/>
  <c r="H87" i="1"/>
  <c r="H7" i="1" s="1"/>
  <c r="I88" i="1"/>
  <c r="I8" i="1" s="1"/>
  <c r="K90" i="1"/>
  <c r="K10" i="1" s="1"/>
  <c r="L91" i="1"/>
  <c r="L11" i="1" s="1"/>
  <c r="C94" i="1"/>
  <c r="C14" i="1" s="1"/>
  <c r="D95" i="1"/>
  <c r="D15" i="1" s="1"/>
  <c r="E96" i="1"/>
  <c r="E16" i="1" s="1"/>
  <c r="F97" i="1"/>
  <c r="F17" i="1" s="1"/>
  <c r="G98" i="1"/>
  <c r="G18" i="1" s="1"/>
  <c r="H99" i="1"/>
  <c r="H19" i="1" s="1"/>
  <c r="G85" i="1"/>
  <c r="G5" i="1" s="1"/>
  <c r="I87" i="1"/>
  <c r="I7" i="1" s="1"/>
  <c r="K89" i="1"/>
  <c r="K9" i="1" s="1"/>
  <c r="I99" i="1"/>
  <c r="I19" i="1" s="1"/>
  <c r="H85" i="1"/>
  <c r="H5" i="1" s="1"/>
  <c r="I86" i="1"/>
  <c r="I6" i="1" s="1"/>
  <c r="J87" i="1"/>
  <c r="J7" i="1" s="1"/>
  <c r="K88" i="1"/>
  <c r="K8" i="1" s="1"/>
  <c r="L89" i="1"/>
  <c r="L9" i="1" s="1"/>
  <c r="C92" i="1"/>
  <c r="C12" i="1" s="1"/>
  <c r="D93" i="1"/>
  <c r="D13" i="1" s="1"/>
  <c r="E94" i="1"/>
  <c r="E14" i="1" s="1"/>
  <c r="F95" i="1"/>
  <c r="F15" i="1" s="1"/>
  <c r="G96" i="1"/>
  <c r="G16" i="1" s="1"/>
  <c r="H97" i="1"/>
  <c r="H17" i="1" s="1"/>
  <c r="I98" i="1"/>
  <c r="I18" i="1" s="1"/>
  <c r="J99" i="1"/>
  <c r="J19" i="1" s="1"/>
  <c r="K85" i="1"/>
  <c r="K5" i="1" s="1"/>
  <c r="D87" i="1"/>
  <c r="D7" i="1" s="1"/>
  <c r="I85" i="1"/>
  <c r="I5" i="1" s="1"/>
  <c r="J86" i="1"/>
  <c r="J6" i="1" s="1"/>
  <c r="K87" i="1"/>
  <c r="K7" i="1" s="1"/>
  <c r="L88" i="1"/>
  <c r="L8" i="1" s="1"/>
  <c r="C91" i="1"/>
  <c r="C11" i="1" s="1"/>
  <c r="D92" i="1"/>
  <c r="D12" i="1" s="1"/>
  <c r="E93" i="1"/>
  <c r="E13" i="1" s="1"/>
  <c r="F94" i="1"/>
  <c r="F14" i="1" s="1"/>
  <c r="G95" i="1"/>
  <c r="G15" i="1" s="1"/>
  <c r="H96" i="1"/>
  <c r="H16" i="1" s="1"/>
  <c r="I97" i="1"/>
  <c r="I17" i="1" s="1"/>
  <c r="J98" i="1"/>
  <c r="J18" i="1" s="1"/>
  <c r="K99" i="1"/>
  <c r="K19" i="1" s="1"/>
  <c r="K97" i="1"/>
  <c r="K17" i="1" s="1"/>
  <c r="L85" i="1"/>
  <c r="L5" i="1" s="1"/>
  <c r="C88" i="1"/>
  <c r="C8" i="1" s="1"/>
  <c r="C85" i="1"/>
  <c r="C5" i="1" s="1"/>
  <c r="H86" i="1"/>
  <c r="H6" i="1" s="1"/>
  <c r="Y44" i="1" l="1"/>
  <c r="BN5" i="1"/>
  <c r="BL4" i="1"/>
  <c r="BL1792" i="1" l="1"/>
  <c r="BL1782" i="1"/>
  <c r="BL1773" i="1"/>
  <c r="BL1763" i="1"/>
  <c r="BL1744" i="1"/>
  <c r="BL1734" i="1"/>
  <c r="BL1725" i="1"/>
  <c r="BL1715" i="1"/>
  <c r="BL1696" i="1"/>
  <c r="BL1686" i="1"/>
  <c r="BL1677" i="1"/>
  <c r="BL1666" i="1"/>
  <c r="BL1655" i="1"/>
  <c r="BL1643" i="1"/>
  <c r="BL1632" i="1"/>
  <c r="BL1622" i="1"/>
  <c r="BL1611" i="1"/>
  <c r="BL1600" i="1"/>
  <c r="BL1589" i="1"/>
  <c r="BL1579" i="1"/>
  <c r="BL1569" i="1"/>
  <c r="BL1559" i="1"/>
  <c r="BL1549" i="1"/>
  <c r="BL1540" i="1"/>
  <c r="BL1530" i="1"/>
  <c r="BL1521" i="1"/>
  <c r="BL1511" i="1"/>
  <c r="BL1493" i="1"/>
  <c r="BL1485" i="1"/>
  <c r="BL1470" i="1"/>
  <c r="BL1282" i="1"/>
  <c r="BL1275" i="1"/>
  <c r="BL1269" i="1"/>
  <c r="BL1256" i="1"/>
  <c r="BL1249" i="1"/>
  <c r="BL1242" i="1"/>
  <c r="BL1234" i="1"/>
  <c r="BL1220" i="1"/>
  <c r="BL1213" i="1"/>
  <c r="BL1206" i="1"/>
  <c r="BL1198" i="1"/>
  <c r="BL1184" i="1"/>
  <c r="BL1177" i="1"/>
  <c r="BL1170" i="1"/>
  <c r="BL1162" i="1"/>
  <c r="BL1154" i="1"/>
  <c r="BL1146" i="1"/>
  <c r="BL1138" i="1"/>
  <c r="BL1130" i="1"/>
  <c r="BL1122" i="1"/>
  <c r="BL1114" i="1"/>
  <c r="BL1106" i="1"/>
  <c r="BL1098" i="1"/>
  <c r="BL1791" i="1"/>
  <c r="BL1772" i="1"/>
  <c r="BL1762" i="1"/>
  <c r="BL1753" i="1"/>
  <c r="BL1743" i="1"/>
  <c r="BL1724" i="1"/>
  <c r="BL1714" i="1"/>
  <c r="BL1705" i="1"/>
  <c r="BL1695" i="1"/>
  <c r="BL1676" i="1"/>
  <c r="BL1665" i="1"/>
  <c r="BL1654" i="1"/>
  <c r="BL1642" i="1"/>
  <c r="BL1631" i="1"/>
  <c r="BL1621" i="1"/>
  <c r="BL1610" i="1"/>
  <c r="BL1599" i="1"/>
  <c r="BL1588" i="1"/>
  <c r="BL1578" i="1"/>
  <c r="BL1568" i="1"/>
  <c r="BL1548" i="1"/>
  <c r="BL1539" i="1"/>
  <c r="BL1520" i="1"/>
  <c r="BL1501" i="1"/>
  <c r="BL1492" i="1"/>
  <c r="BL1469" i="1"/>
  <c r="BL1462" i="1"/>
  <c r="BL1455" i="1"/>
  <c r="BL1447" i="1"/>
  <c r="BL1439" i="1"/>
  <c r="BL1431" i="1"/>
  <c r="BL1423" i="1"/>
  <c r="BL1415" i="1"/>
  <c r="BL1407" i="1"/>
  <c r="BL1399" i="1"/>
  <c r="BL1391" i="1"/>
  <c r="BL1383" i="1"/>
  <c r="BL1375" i="1"/>
  <c r="BL1367" i="1"/>
  <c r="BL1359" i="1"/>
  <c r="BL1351" i="1"/>
  <c r="BL1274" i="1"/>
  <c r="BL1268" i="1"/>
  <c r="BL1263" i="1"/>
  <c r="BL1227" i="1"/>
  <c r="BL1212" i="1"/>
  <c r="BL1205" i="1"/>
  <c r="BL1790" i="1"/>
  <c r="BL1781" i="1"/>
  <c r="BL1771" i="1"/>
  <c r="BL1752" i="1"/>
  <c r="BL1742" i="1"/>
  <c r="BL1733" i="1"/>
  <c r="BL1723" i="1"/>
  <c r="BL1704" i="1"/>
  <c r="BL1694" i="1"/>
  <c r="BL1685" i="1"/>
  <c r="BL1675" i="1"/>
  <c r="BL1664" i="1"/>
  <c r="BL1653" i="1"/>
  <c r="BL1641" i="1"/>
  <c r="BL1630" i="1"/>
  <c r="BL1620" i="1"/>
  <c r="BL1598" i="1"/>
  <c r="BL1780" i="1"/>
  <c r="BL1770" i="1"/>
  <c r="BL1761" i="1"/>
  <c r="BL1751" i="1"/>
  <c r="BL1732" i="1"/>
  <c r="BL1722" i="1"/>
  <c r="BL1713" i="1"/>
  <c r="BL1703" i="1"/>
  <c r="BL1684" i="1"/>
  <c r="BL1674" i="1"/>
  <c r="BL1663" i="1"/>
  <c r="BL1652" i="1"/>
  <c r="BL1640" i="1"/>
  <c r="BL1619" i="1"/>
  <c r="BL1609" i="1"/>
  <c r="BL1597" i="1"/>
  <c r="BL1586" i="1"/>
  <c r="BL1576" i="1"/>
  <c r="BL1566" i="1"/>
  <c r="BL1557" i="1"/>
  <c r="BL1546" i="1"/>
  <c r="BL1538" i="1"/>
  <c r="BL1528" i="1"/>
  <c r="BL1518" i="1"/>
  <c r="BL1509" i="1"/>
  <c r="BL1499" i="1"/>
  <c r="BL1483" i="1"/>
  <c r="BL1476" i="1"/>
  <c r="BL1453" i="1"/>
  <c r="BL1445" i="1"/>
  <c r="BL1437" i="1"/>
  <c r="BL1429" i="1"/>
  <c r="BL1421" i="1"/>
  <c r="BL1413" i="1"/>
  <c r="BL1405" i="1"/>
  <c r="BL1397" i="1"/>
  <c r="BL1389" i="1"/>
  <c r="BL1381" i="1"/>
  <c r="BL1373" i="1"/>
  <c r="BL1365" i="1"/>
  <c r="BL1357" i="1"/>
  <c r="BL1349" i="1"/>
  <c r="BL1342" i="1"/>
  <c r="BL1334" i="1"/>
  <c r="BL1326" i="1"/>
  <c r="BL1318" i="1"/>
  <c r="BL1310" i="1"/>
  <c r="BL1302" i="1"/>
  <c r="BL1294" i="1"/>
  <c r="BL1286" i="1"/>
  <c r="BL1280" i="1"/>
  <c r="BL1273" i="1"/>
  <c r="BL1261" i="1"/>
  <c r="BL1255" i="1"/>
  <c r="BL1247" i="1"/>
  <c r="BL1241" i="1"/>
  <c r="BL1233" i="1"/>
  <c r="BL1219" i="1"/>
  <c r="BL1211" i="1"/>
  <c r="BL1197" i="1"/>
  <c r="BL1190" i="1"/>
  <c r="BL1183" i="1"/>
  <c r="BL1175" i="1"/>
  <c r="BL1168" i="1"/>
  <c r="BL1160" i="1"/>
  <c r="BL1152" i="1"/>
  <c r="BL1144" i="1"/>
  <c r="BL1136" i="1"/>
  <c r="BL1128" i="1"/>
  <c r="BL1120" i="1"/>
  <c r="BL1112" i="1"/>
  <c r="BL1104" i="1"/>
  <c r="BL1096" i="1"/>
  <c r="BL1088" i="1"/>
  <c r="BL1080" i="1"/>
  <c r="BL1789" i="1"/>
  <c r="BL1779" i="1"/>
  <c r="BL1760" i="1"/>
  <c r="BL1750" i="1"/>
  <c r="BL1741" i="1"/>
  <c r="BL1731" i="1"/>
  <c r="BL1712" i="1"/>
  <c r="BL1702" i="1"/>
  <c r="BL1693" i="1"/>
  <c r="BL1683" i="1"/>
  <c r="BL1662" i="1"/>
  <c r="BL1651" i="1"/>
  <c r="BL1639" i="1"/>
  <c r="BL1629" i="1"/>
  <c r="BL1618" i="1"/>
  <c r="BL1608" i="1"/>
  <c r="BL1596" i="1"/>
  <c r="BL1585" i="1"/>
  <c r="BL1575" i="1"/>
  <c r="BL1556" i="1"/>
  <c r="BL1537" i="1"/>
  <c r="BL1527" i="1"/>
  <c r="BL1508" i="1"/>
  <c r="BL1498" i="1"/>
  <c r="BL1490" i="1"/>
  <c r="BL1482" i="1"/>
  <c r="BL1475" i="1"/>
  <c r="BL1468" i="1"/>
  <c r="BL1452" i="1"/>
  <c r="BL1444" i="1"/>
  <c r="BL1436" i="1"/>
  <c r="BL1428" i="1"/>
  <c r="BL1420" i="1"/>
  <c r="BL1412" i="1"/>
  <c r="BL1404" i="1"/>
  <c r="BL1396" i="1"/>
  <c r="BL1388" i="1"/>
  <c r="BL1380" i="1"/>
  <c r="BL1372" i="1"/>
  <c r="BL1364" i="1"/>
  <c r="BL1356" i="1"/>
  <c r="BL1341" i="1"/>
  <c r="BL1333" i="1"/>
  <c r="BL1325" i="1"/>
  <c r="BL1317" i="1"/>
  <c r="BL1309" i="1"/>
  <c r="BL1301" i="1"/>
  <c r="BL1293" i="1"/>
  <c r="BL1267" i="1"/>
  <c r="BL1260" i="1"/>
  <c r="BL1254" i="1"/>
  <c r="BL1246" i="1"/>
  <c r="BL1232" i="1"/>
  <c r="BL1225" i="1"/>
  <c r="BL1218" i="1"/>
  <c r="BL1210" i="1"/>
  <c r="BL1196" i="1"/>
  <c r="BL1189" i="1"/>
  <c r="BL1182" i="1"/>
  <c r="BL1174" i="1"/>
  <c r="BL1788" i="1"/>
  <c r="BL1778" i="1"/>
  <c r="BL1769" i="1"/>
  <c r="BL1759" i="1"/>
  <c r="BL1740" i="1"/>
  <c r="BL1730" i="1"/>
  <c r="BL1721" i="1"/>
  <c r="BL1711" i="1"/>
  <c r="BL1692" i="1"/>
  <c r="BL1682" i="1"/>
  <c r="BL1673" i="1"/>
  <c r="BL1661" i="1"/>
  <c r="BL1650" i="1"/>
  <c r="BL1638" i="1"/>
  <c r="BL1628" i="1"/>
  <c r="BL1617" i="1"/>
  <c r="BL1607" i="1"/>
  <c r="BL1595" i="1"/>
  <c r="BL1584" i="1"/>
  <c r="BL1574" i="1"/>
  <c r="BL1555" i="1"/>
  <c r="BL1536" i="1"/>
  <c r="BL1526" i="1"/>
  <c r="BL1507" i="1"/>
  <c r="BL1474" i="1"/>
  <c r="BL1467" i="1"/>
  <c r="BL1460" i="1"/>
  <c r="BL1348" i="1"/>
  <c r="BL1340" i="1"/>
  <c r="BL1332" i="1"/>
  <c r="BL1324" i="1"/>
  <c r="BL1316" i="1"/>
  <c r="BL1308" i="1"/>
  <c r="BL1300" i="1"/>
  <c r="BL1292" i="1"/>
  <c r="BL1285" i="1"/>
  <c r="BL1272" i="1"/>
  <c r="BL1266" i="1"/>
  <c r="BL1253" i="1"/>
  <c r="BL1240" i="1"/>
  <c r="BL1203" i="1"/>
  <c r="BL1188" i="1"/>
  <c r="BL1181" i="1"/>
  <c r="BL1167" i="1"/>
  <c r="BL1159" i="1"/>
  <c r="BL1151" i="1"/>
  <c r="BL1787" i="1"/>
  <c r="BL1768" i="1"/>
  <c r="BL1758" i="1"/>
  <c r="BL1749" i="1"/>
  <c r="BL1739" i="1"/>
  <c r="BL1720" i="1"/>
  <c r="BL1710" i="1"/>
  <c r="BL1701" i="1"/>
  <c r="BL1691" i="1"/>
  <c r="BL1672" i="1"/>
  <c r="BL1660" i="1"/>
  <c r="BL1649" i="1"/>
  <c r="BL1627" i="1"/>
  <c r="BL1616" i="1"/>
  <c r="BL1606" i="1"/>
  <c r="BL1594" i="1"/>
  <c r="BL1583" i="1"/>
  <c r="BL1565" i="1"/>
  <c r="BL1545" i="1"/>
  <c r="BL1535" i="1"/>
  <c r="BL1517" i="1"/>
  <c r="BL1489" i="1"/>
  <c r="BL1466" i="1"/>
  <c r="BL1279" i="1"/>
  <c r="BL1252" i="1"/>
  <c r="BL1786" i="1"/>
  <c r="BL1777" i="1"/>
  <c r="BL1767" i="1"/>
  <c r="BL1748" i="1"/>
  <c r="BL1738" i="1"/>
  <c r="BL1729" i="1"/>
  <c r="BL1719" i="1"/>
  <c r="BL1700" i="1"/>
  <c r="BL1690" i="1"/>
  <c r="BL1681" i="1"/>
  <c r="BL1671" i="1"/>
  <c r="BL1659" i="1"/>
  <c r="BL1648" i="1"/>
  <c r="BL1637" i="1"/>
  <c r="BL1626" i="1"/>
  <c r="BL1615" i="1"/>
  <c r="BL1605" i="1"/>
  <c r="BL1593" i="1"/>
  <c r="BL1776" i="1"/>
  <c r="BL1766" i="1"/>
  <c r="BL1757" i="1"/>
  <c r="BL1747" i="1"/>
  <c r="BL1728" i="1"/>
  <c r="BL1718" i="1"/>
  <c r="BL1709" i="1"/>
  <c r="BL1699" i="1"/>
  <c r="BL1680" i="1"/>
  <c r="BL1670" i="1"/>
  <c r="BL1658" i="1"/>
  <c r="BL1647" i="1"/>
  <c r="BL1636" i="1"/>
  <c r="BL1614" i="1"/>
  <c r="BL1604" i="1"/>
  <c r="BL1592" i="1"/>
  <c r="BL1573" i="1"/>
  <c r="BL1563" i="1"/>
  <c r="BL1553" i="1"/>
  <c r="BL1543" i="1"/>
  <c r="BL1533" i="1"/>
  <c r="BL1525" i="1"/>
  <c r="BL1515" i="1"/>
  <c r="BL1505" i="1"/>
  <c r="BL1496" i="1"/>
  <c r="BL1487" i="1"/>
  <c r="BL1473" i="1"/>
  <c r="BL1450" i="1"/>
  <c r="BL1442" i="1"/>
  <c r="BL1434" i="1"/>
  <c r="BL1426" i="1"/>
  <c r="BL1418" i="1"/>
  <c r="BL1410" i="1"/>
  <c r="BL1402" i="1"/>
  <c r="BL1394" i="1"/>
  <c r="BL1386" i="1"/>
  <c r="BL1378" i="1"/>
  <c r="BL1370" i="1"/>
  <c r="BL1362" i="1"/>
  <c r="BL1354" i="1"/>
  <c r="BL1347" i="1"/>
  <c r="BL1339" i="1"/>
  <c r="BL1331" i="1"/>
  <c r="BL1323" i="1"/>
  <c r="BL1315" i="1"/>
  <c r="BL1307" i="1"/>
  <c r="BL1299" i="1"/>
  <c r="BL1291" i="1"/>
  <c r="BL1284" i="1"/>
  <c r="BL1277" i="1"/>
  <c r="BL1271" i="1"/>
  <c r="BL1265" i="1"/>
  <c r="BL1258" i="1"/>
  <c r="BL1244" i="1"/>
  <c r="BL1783" i="1"/>
  <c r="BL1764" i="1"/>
  <c r="BL1754" i="1"/>
  <c r="BL1745" i="1"/>
  <c r="BL1735" i="1"/>
  <c r="BL1716" i="1"/>
  <c r="BL1706" i="1"/>
  <c r="BL1697" i="1"/>
  <c r="BL1687" i="1"/>
  <c r="BL1667" i="1"/>
  <c r="BL1656" i="1"/>
  <c r="BL1644" i="1"/>
  <c r="BL1633" i="1"/>
  <c r="BL1623" i="1"/>
  <c r="BL1612" i="1"/>
  <c r="BL1601" i="1"/>
  <c r="BL1580" i="1"/>
  <c r="BL1570" i="1"/>
  <c r="BL1560" i="1"/>
  <c r="BL1550" i="1"/>
  <c r="BL1541" i="1"/>
  <c r="BL1522" i="1"/>
  <c r="BL1512" i="1"/>
  <c r="BL1502" i="1"/>
  <c r="BL1494" i="1"/>
  <c r="BL1486" i="1"/>
  <c r="BL1478" i="1"/>
  <c r="BL1471" i="1"/>
  <c r="BL1463" i="1"/>
  <c r="BL1456" i="1"/>
  <c r="BL1344" i="1"/>
  <c r="BL1336" i="1"/>
  <c r="BL1328" i="1"/>
  <c r="BL1320" i="1"/>
  <c r="BL1312" i="1"/>
  <c r="BL1304" i="1"/>
  <c r="BL1296" i="1"/>
  <c r="BL1288" i="1"/>
  <c r="BL1283" i="1"/>
  <c r="BL1257" i="1"/>
  <c r="BL1243" i="1"/>
  <c r="BL1235" i="1"/>
  <c r="BL1221" i="1"/>
  <c r="BL1214" i="1"/>
  <c r="BL1785" i="1"/>
  <c r="BL1727" i="1"/>
  <c r="BL1669" i="1"/>
  <c r="BL1603" i="1"/>
  <c r="BL1567" i="1"/>
  <c r="BL1510" i="1"/>
  <c r="BL1484" i="1"/>
  <c r="BL1461" i="1"/>
  <c r="BL1438" i="1"/>
  <c r="BL1414" i="1"/>
  <c r="BL1390" i="1"/>
  <c r="BL1366" i="1"/>
  <c r="BL1343" i="1"/>
  <c r="BL1319" i="1"/>
  <c r="BL1295" i="1"/>
  <c r="BL1236" i="1"/>
  <c r="BL1150" i="1"/>
  <c r="BL1140" i="1"/>
  <c r="BL1129" i="1"/>
  <c r="BL1118" i="1"/>
  <c r="BL1108" i="1"/>
  <c r="BL1097" i="1"/>
  <c r="BL1087" i="1"/>
  <c r="BL1077" i="1"/>
  <c r="BL1069" i="1"/>
  <c r="BL1061" i="1"/>
  <c r="BL1053" i="1"/>
  <c r="BL1045" i="1"/>
  <c r="BL1038" i="1"/>
  <c r="BL1031" i="1"/>
  <c r="BL1023" i="1"/>
  <c r="BL1008" i="1"/>
  <c r="BL1000" i="1"/>
  <c r="BL991" i="1"/>
  <c r="BL981" i="1"/>
  <c r="BL972" i="1"/>
  <c r="BL962" i="1"/>
  <c r="BL937" i="1"/>
  <c r="BL929" i="1"/>
  <c r="BL891" i="1"/>
  <c r="BL877" i="1"/>
  <c r="BL864" i="1"/>
  <c r="BL850" i="1"/>
  <c r="BL843" i="1"/>
  <c r="BL829" i="1"/>
  <c r="BL816" i="1"/>
  <c r="BL802" i="1"/>
  <c r="BL795" i="1"/>
  <c r="BL781" i="1"/>
  <c r="BL768" i="1"/>
  <c r="BL704" i="1"/>
  <c r="BL695" i="1"/>
  <c r="BL685" i="1"/>
  <c r="BL1784" i="1"/>
  <c r="BL1726" i="1"/>
  <c r="BL1668" i="1"/>
  <c r="BL1602" i="1"/>
  <c r="BL1564" i="1"/>
  <c r="BL1534" i="1"/>
  <c r="BL1506" i="1"/>
  <c r="BL1481" i="1"/>
  <c r="BL1459" i="1"/>
  <c r="BL1435" i="1"/>
  <c r="BL1411" i="1"/>
  <c r="BL1387" i="1"/>
  <c r="BL1363" i="1"/>
  <c r="BL1195" i="1"/>
  <c r="BL1185" i="1"/>
  <c r="BL1173" i="1"/>
  <c r="BL1163" i="1"/>
  <c r="BL1149" i="1"/>
  <c r="BL1117" i="1"/>
  <c r="BL1086" i="1"/>
  <c r="BL1037" i="1"/>
  <c r="BL1030" i="1"/>
  <c r="BL1022" i="1"/>
  <c r="BL1015" i="1"/>
  <c r="BL990" i="1"/>
  <c r="BL971" i="1"/>
  <c r="BL961" i="1"/>
  <c r="BL945" i="1"/>
  <c r="BL936" i="1"/>
  <c r="BL921" i="1"/>
  <c r="BL884" i="1"/>
  <c r="BL870" i="1"/>
  <c r="BL863" i="1"/>
  <c r="BL849" i="1"/>
  <c r="BL836" i="1"/>
  <c r="BL822" i="1"/>
  <c r="BL815" i="1"/>
  <c r="BL801" i="1"/>
  <c r="BL788" i="1"/>
  <c r="BL774" i="1"/>
  <c r="BL767" i="1"/>
  <c r="BL760" i="1"/>
  <c r="BL752" i="1"/>
  <c r="BL744" i="1"/>
  <c r="BL736" i="1"/>
  <c r="BL728" i="1"/>
  <c r="BL720" i="1"/>
  <c r="BL712" i="1"/>
  <c r="BL703" i="1"/>
  <c r="BL694" i="1"/>
  <c r="BL676" i="1"/>
  <c r="BL1775" i="1"/>
  <c r="BL1591" i="1"/>
  <c r="BL1562" i="1"/>
  <c r="BL1532" i="1"/>
  <c r="BL1504" i="1"/>
  <c r="BL1480" i="1"/>
  <c r="BL1458" i="1"/>
  <c r="BL1433" i="1"/>
  <c r="BL1409" i="1"/>
  <c r="BL1385" i="1"/>
  <c r="BL1361" i="1"/>
  <c r="BL1338" i="1"/>
  <c r="BL1314" i="1"/>
  <c r="BL1290" i="1"/>
  <c r="BL1270" i="1"/>
  <c r="BL1251" i="1"/>
  <c r="BL1207" i="1"/>
  <c r="BL1194" i="1"/>
  <c r="BL1172" i="1"/>
  <c r="BL1161" i="1"/>
  <c r="BL1139" i="1"/>
  <c r="BL1127" i="1"/>
  <c r="BL1107" i="1"/>
  <c r="BL1095" i="1"/>
  <c r="BL1085" i="1"/>
  <c r="BL1076" i="1"/>
  <c r="BL1068" i="1"/>
  <c r="BL1060" i="1"/>
  <c r="BL1052" i="1"/>
  <c r="BL1044" i="1"/>
  <c r="BL1029" i="1"/>
  <c r="BL1021" i="1"/>
  <c r="BL1014" i="1"/>
  <c r="BL1007" i="1"/>
  <c r="BL999" i="1"/>
  <c r="BL989" i="1"/>
  <c r="BL980" i="1"/>
  <c r="BL970" i="1"/>
  <c r="BL960" i="1"/>
  <c r="BL953" i="1"/>
  <c r="BL944" i="1"/>
  <c r="BL935" i="1"/>
  <c r="BL928" i="1"/>
  <c r="BL913" i="1"/>
  <c r="BL906" i="1"/>
  <c r="BL898" i="1"/>
  <c r="BL890" i="1"/>
  <c r="BL883" i="1"/>
  <c r="BL869" i="1"/>
  <c r="BL856" i="1"/>
  <c r="BL842" i="1"/>
  <c r="BL835" i="1"/>
  <c r="BL821" i="1"/>
  <c r="BL808" i="1"/>
  <c r="BL794" i="1"/>
  <c r="BL787" i="1"/>
  <c r="BL773" i="1"/>
  <c r="BL759" i="1"/>
  <c r="BL751" i="1"/>
  <c r="BL743" i="1"/>
  <c r="BL735" i="1"/>
  <c r="BL727" i="1"/>
  <c r="BL719" i="1"/>
  <c r="BL711" i="1"/>
  <c r="BL702" i="1"/>
  <c r="BL693" i="1"/>
  <c r="BL1774" i="1"/>
  <c r="BL1717" i="1"/>
  <c r="BL1657" i="1"/>
  <c r="BL1590" i="1"/>
  <c r="BL1561" i="1"/>
  <c r="BL1531" i="1"/>
  <c r="BL1503" i="1"/>
  <c r="BL1479" i="1"/>
  <c r="BL1457" i="1"/>
  <c r="BL1432" i="1"/>
  <c r="BL1408" i="1"/>
  <c r="BL1384" i="1"/>
  <c r="BL1360" i="1"/>
  <c r="BL1337" i="1"/>
  <c r="BL1313" i="1"/>
  <c r="BL1289" i="1"/>
  <c r="BL1250" i="1"/>
  <c r="BL1204" i="1"/>
  <c r="BL1148" i="1"/>
  <c r="BL1137" i="1"/>
  <c r="BL1126" i="1"/>
  <c r="BL1116" i="1"/>
  <c r="BL1105" i="1"/>
  <c r="BL1094" i="1"/>
  <c r="BL1036" i="1"/>
  <c r="BL1013" i="1"/>
  <c r="BL1006" i="1"/>
  <c r="BL998" i="1"/>
  <c r="BL979" i="1"/>
  <c r="BL969" i="1"/>
  <c r="BL952" i="1"/>
  <c r="BL943" i="1"/>
  <c r="BL934" i="1"/>
  <c r="BL920" i="1"/>
  <c r="BL905" i="1"/>
  <c r="BL897" i="1"/>
  <c r="BL889" i="1"/>
  <c r="BL876" i="1"/>
  <c r="BL862" i="1"/>
  <c r="BL855" i="1"/>
  <c r="BL841" i="1"/>
  <c r="BL828" i="1"/>
  <c r="BL814" i="1"/>
  <c r="BL807" i="1"/>
  <c r="BL793" i="1"/>
  <c r="BL780" i="1"/>
  <c r="BL766" i="1"/>
  <c r="BL758" i="1"/>
  <c r="BL750" i="1"/>
  <c r="BL742" i="1"/>
  <c r="BL734" i="1"/>
  <c r="BL726" i="1"/>
  <c r="BL718" i="1"/>
  <c r="BL710" i="1"/>
  <c r="BL701" i="1"/>
  <c r="BL684" i="1"/>
  <c r="BL674" i="1"/>
  <c r="BL665" i="1"/>
  <c r="BL1708" i="1"/>
  <c r="BL1646" i="1"/>
  <c r="BL1587" i="1"/>
  <c r="BL1558" i="1"/>
  <c r="BL1529" i="1"/>
  <c r="BL1500" i="1"/>
  <c r="BL1477" i="1"/>
  <c r="BL1454" i="1"/>
  <c r="BL1430" i="1"/>
  <c r="BL1406" i="1"/>
  <c r="BL1382" i="1"/>
  <c r="BL1358" i="1"/>
  <c r="BL1335" i="1"/>
  <c r="BL1311" i="1"/>
  <c r="BL1287" i="1"/>
  <c r="BL1248" i="1"/>
  <c r="BL1231" i="1"/>
  <c r="BL1217" i="1"/>
  <c r="BL1202" i="1"/>
  <c r="BL1180" i="1"/>
  <c r="BL1158" i="1"/>
  <c r="BL1125" i="1"/>
  <c r="BL1093" i="1"/>
  <c r="BL1084" i="1"/>
  <c r="BL1075" i="1"/>
  <c r="BL1067" i="1"/>
  <c r="BL1059" i="1"/>
  <c r="BL1051" i="1"/>
  <c r="BL1043" i="1"/>
  <c r="BL1028" i="1"/>
  <c r="BL1020" i="1"/>
  <c r="BL1005" i="1"/>
  <c r="BL997" i="1"/>
  <c r="BL988" i="1"/>
  <c r="BL978" i="1"/>
  <c r="BL968" i="1"/>
  <c r="BL959" i="1"/>
  <c r="BL951" i="1"/>
  <c r="BL942" i="1"/>
  <c r="BL927" i="1"/>
  <c r="BL912" i="1"/>
  <c r="BL904" i="1"/>
  <c r="BL896" i="1"/>
  <c r="BL882" i="1"/>
  <c r="BL875" i="1"/>
  <c r="BL861" i="1"/>
  <c r="BL848" i="1"/>
  <c r="BL834" i="1"/>
  <c r="BL827" i="1"/>
  <c r="BL813" i="1"/>
  <c r="BL800" i="1"/>
  <c r="BL786" i="1"/>
  <c r="BL779" i="1"/>
  <c r="BL765" i="1"/>
  <c r="BL757" i="1"/>
  <c r="BL749" i="1"/>
  <c r="BL741" i="1"/>
  <c r="BL733" i="1"/>
  <c r="BL725" i="1"/>
  <c r="BL717" i="1"/>
  <c r="BL709" i="1"/>
  <c r="BL1765" i="1"/>
  <c r="BL1707" i="1"/>
  <c r="BL1645" i="1"/>
  <c r="BL1582" i="1"/>
  <c r="BL1554" i="1"/>
  <c r="BL1497" i="1"/>
  <c r="BL1451" i="1"/>
  <c r="BL1427" i="1"/>
  <c r="BL1403" i="1"/>
  <c r="BL1379" i="1"/>
  <c r="BL1355" i="1"/>
  <c r="BL1245" i="1"/>
  <c r="BL1230" i="1"/>
  <c r="BL1193" i="1"/>
  <c r="BL1171" i="1"/>
  <c r="BL1157" i="1"/>
  <c r="BL1147" i="1"/>
  <c r="BL1135" i="1"/>
  <c r="BL1115" i="1"/>
  <c r="BL1103" i="1"/>
  <c r="BL1074" i="1"/>
  <c r="BL1066" i="1"/>
  <c r="BL1058" i="1"/>
  <c r="BL1050" i="1"/>
  <c r="BL1042" i="1"/>
  <c r="BL1035" i="1"/>
  <c r="BL1012" i="1"/>
  <c r="BL987" i="1"/>
  <c r="BL977" i="1"/>
  <c r="BL958" i="1"/>
  <c r="BL950" i="1"/>
  <c r="BL919" i="1"/>
  <c r="BL903" i="1"/>
  <c r="BL881" i="1"/>
  <c r="BL868" i="1"/>
  <c r="BL1756" i="1"/>
  <c r="BL1698" i="1"/>
  <c r="BL1635" i="1"/>
  <c r="BL1552" i="1"/>
  <c r="BL1524" i="1"/>
  <c r="BL1495" i="1"/>
  <c r="BL1472" i="1"/>
  <c r="BL1449" i="1"/>
  <c r="BL1425" i="1"/>
  <c r="BL1401" i="1"/>
  <c r="BL1377" i="1"/>
  <c r="BL1353" i="1"/>
  <c r="BL1330" i="1"/>
  <c r="BL1306" i="1"/>
  <c r="BL1229" i="1"/>
  <c r="BL1216" i="1"/>
  <c r="BL1201" i="1"/>
  <c r="BL1192" i="1"/>
  <c r="BL1169" i="1"/>
  <c r="BL1145" i="1"/>
  <c r="BL1134" i="1"/>
  <c r="BL1124" i="1"/>
  <c r="BL1113" i="1"/>
  <c r="BL1102" i="1"/>
  <c r="BL1092" i="1"/>
  <c r="BL1083" i="1"/>
  <c r="BL1073" i="1"/>
  <c r="BL1065" i="1"/>
  <c r="BL1057" i="1"/>
  <c r="BL1049" i="1"/>
  <c r="BL1034" i="1"/>
  <c r="BL1027" i="1"/>
  <c r="BL1019" i="1"/>
  <c r="BL1004" i="1"/>
  <c r="BL996" i="1"/>
  <c r="BL986" i="1"/>
  <c r="BL967" i="1"/>
  <c r="BL933" i="1"/>
  <c r="BL926" i="1"/>
  <c r="BL911" i="1"/>
  <c r="BL895" i="1"/>
  <c r="BL888" i="1"/>
  <c r="BL874" i="1"/>
  <c r="BL867" i="1"/>
  <c r="BL853" i="1"/>
  <c r="BL840" i="1"/>
  <c r="BL826" i="1"/>
  <c r="BL819" i="1"/>
  <c r="BL805" i="1"/>
  <c r="BL792" i="1"/>
  <c r="BL778" i="1"/>
  <c r="BL771" i="1"/>
  <c r="BL1755" i="1"/>
  <c r="BL1634" i="1"/>
  <c r="BL1581" i="1"/>
  <c r="BL1551" i="1"/>
  <c r="BL1523" i="1"/>
  <c r="BL1448" i="1"/>
  <c r="BL1424" i="1"/>
  <c r="BL1400" i="1"/>
  <c r="BL1376" i="1"/>
  <c r="BL1352" i="1"/>
  <c r="BL1329" i="1"/>
  <c r="BL1305" i="1"/>
  <c r="BL1264" i="1"/>
  <c r="BL1228" i="1"/>
  <c r="BL1215" i="1"/>
  <c r="BL1191" i="1"/>
  <c r="BL1179" i="1"/>
  <c r="BL1156" i="1"/>
  <c r="BL1133" i="1"/>
  <c r="BL1101" i="1"/>
  <c r="BL1082" i="1"/>
  <c r="BL1041" i="1"/>
  <c r="BL1026" i="1"/>
  <c r="BL1018" i="1"/>
  <c r="BL1011" i="1"/>
  <c r="BL1003" i="1"/>
  <c r="BL995" i="1"/>
  <c r="BL985" i="1"/>
  <c r="BL976" i="1"/>
  <c r="BL966" i="1"/>
  <c r="BL949" i="1"/>
  <c r="BL941" i="1"/>
  <c r="BL932" i="1"/>
  <c r="BL925" i="1"/>
  <c r="BL918" i="1"/>
  <c r="BL902" i="1"/>
  <c r="BL894" i="1"/>
  <c r="BL887" i="1"/>
  <c r="BL873" i="1"/>
  <c r="BL860" i="1"/>
  <c r="BL846" i="1"/>
  <c r="BL839" i="1"/>
  <c r="BL825" i="1"/>
  <c r="BL812" i="1"/>
  <c r="BL798" i="1"/>
  <c r="BL791" i="1"/>
  <c r="BL777" i="1"/>
  <c r="BL764" i="1"/>
  <c r="BL756" i="1"/>
  <c r="BL1746" i="1"/>
  <c r="BL1577" i="1"/>
  <c r="BL1491" i="1"/>
  <c r="BL1422" i="1"/>
  <c r="BL1350" i="1"/>
  <c r="BL1281" i="1"/>
  <c r="BL1226" i="1"/>
  <c r="BL1123" i="1"/>
  <c r="BL1091" i="1"/>
  <c r="BL1064" i="1"/>
  <c r="BL994" i="1"/>
  <c r="BL940" i="1"/>
  <c r="BL917" i="1"/>
  <c r="BL854" i="1"/>
  <c r="BL838" i="1"/>
  <c r="BL823" i="1"/>
  <c r="BL789" i="1"/>
  <c r="BL772" i="1"/>
  <c r="BL754" i="1"/>
  <c r="BL740" i="1"/>
  <c r="BL713" i="1"/>
  <c r="BL697" i="1"/>
  <c r="BL683" i="1"/>
  <c r="BL672" i="1"/>
  <c r="BL661" i="1"/>
  <c r="BL652" i="1"/>
  <c r="BL643" i="1"/>
  <c r="BL634" i="1"/>
  <c r="BL609" i="1"/>
  <c r="BL599" i="1"/>
  <c r="BL592" i="1"/>
  <c r="BL585" i="1"/>
  <c r="BL578" i="1"/>
  <c r="BL571" i="1"/>
  <c r="BL558" i="1"/>
  <c r="BL551" i="1"/>
  <c r="BL520" i="1"/>
  <c r="BL513" i="1"/>
  <c r="BL498" i="1"/>
  <c r="BL490" i="1"/>
  <c r="BL482" i="1"/>
  <c r="BL474" i="1"/>
  <c r="BL459" i="1"/>
  <c r="BL436" i="1"/>
  <c r="BL418" i="1"/>
  <c r="BL410" i="1"/>
  <c r="BL402" i="1"/>
  <c r="BL394" i="1"/>
  <c r="BL379" i="1"/>
  <c r="BL372" i="1"/>
  <c r="BL358" i="1"/>
  <c r="BL349" i="1"/>
  <c r="BL1488" i="1"/>
  <c r="BL1419" i="1"/>
  <c r="BL1278" i="1"/>
  <c r="BL1224" i="1"/>
  <c r="BL1187" i="1"/>
  <c r="BL1155" i="1"/>
  <c r="BL1121" i="1"/>
  <c r="BL1090" i="1"/>
  <c r="BL1040" i="1"/>
  <c r="BL1017" i="1"/>
  <c r="BL993" i="1"/>
  <c r="BL965" i="1"/>
  <c r="BL939" i="1"/>
  <c r="BL916" i="1"/>
  <c r="BL893" i="1"/>
  <c r="BL837" i="1"/>
  <c r="BL820" i="1"/>
  <c r="BL804" i="1"/>
  <c r="BL770" i="1"/>
  <c r="BL753" i="1"/>
  <c r="BL739" i="1"/>
  <c r="BL682" i="1"/>
  <c r="BL671" i="1"/>
  <c r="BL651" i="1"/>
  <c r="BL642" i="1"/>
  <c r="BL625" i="1"/>
  <c r="BL617" i="1"/>
  <c r="BL608" i="1"/>
  <c r="BL598" i="1"/>
  <c r="BL564" i="1"/>
  <c r="BL550" i="1"/>
  <c r="BL543" i="1"/>
  <c r="BL535" i="1"/>
  <c r="BL527" i="1"/>
  <c r="BL512" i="1"/>
  <c r="BL505" i="1"/>
  <c r="BL466" i="1"/>
  <c r="BL451" i="1"/>
  <c r="BL443" i="1"/>
  <c r="BL435" i="1"/>
  <c r="BL393" i="1"/>
  <c r="BL371" i="1"/>
  <c r="BL363" i="1"/>
  <c r="BL357" i="1"/>
  <c r="BL348" i="1"/>
  <c r="BL1737" i="1"/>
  <c r="BL1572" i="1"/>
  <c r="BL1417" i="1"/>
  <c r="BL1346" i="1"/>
  <c r="BL1276" i="1"/>
  <c r="BL1223" i="1"/>
  <c r="BL1186" i="1"/>
  <c r="BL1153" i="1"/>
  <c r="BL1089" i="1"/>
  <c r="BL1063" i="1"/>
  <c r="BL964" i="1"/>
  <c r="BL938" i="1"/>
  <c r="BL915" i="1"/>
  <c r="BL872" i="1"/>
  <c r="BL852" i="1"/>
  <c r="BL818" i="1"/>
  <c r="BL803" i="1"/>
  <c r="BL785" i="1"/>
  <c r="BL769" i="1"/>
  <c r="BL738" i="1"/>
  <c r="BL724" i="1"/>
  <c r="BL681" i="1"/>
  <c r="BL670" i="1"/>
  <c r="BL650" i="1"/>
  <c r="BL633" i="1"/>
  <c r="BL624" i="1"/>
  <c r="BL607" i="1"/>
  <c r="BL591" i="1"/>
  <c r="BL577" i="1"/>
  <c r="BL570" i="1"/>
  <c r="BL563" i="1"/>
  <c r="BL557" i="1"/>
  <c r="BL542" i="1"/>
  <c r="BL534" i="1"/>
  <c r="BL526" i="1"/>
  <c r="BL519" i="1"/>
  <c r="BL504" i="1"/>
  <c r="BL497" i="1"/>
  <c r="BL489" i="1"/>
  <c r="BL481" i="1"/>
  <c r="BL473" i="1"/>
  <c r="BL458" i="1"/>
  <c r="BL442" i="1"/>
  <c r="BL434" i="1"/>
  <c r="BL426" i="1"/>
  <c r="BL417" i="1"/>
  <c r="BL409" i="1"/>
  <c r="BL401" i="1"/>
  <c r="BL386" i="1"/>
  <c r="BL378" i="1"/>
  <c r="BL356" i="1"/>
  <c r="BL342" i="1"/>
  <c r="BL333" i="1"/>
  <c r="BL326" i="1"/>
  <c r="BL317" i="1"/>
  <c r="BL312" i="1"/>
  <c r="BL307" i="1"/>
  <c r="BL301" i="1"/>
  <c r="BL296" i="1"/>
  <c r="BL291" i="1"/>
  <c r="BL1736" i="1"/>
  <c r="BL1571" i="1"/>
  <c r="BL1416" i="1"/>
  <c r="BL1345" i="1"/>
  <c r="BL1222" i="1"/>
  <c r="BL1119" i="1"/>
  <c r="BL1062" i="1"/>
  <c r="BL1039" i="1"/>
  <c r="BL1016" i="1"/>
  <c r="BL992" i="1"/>
  <c r="BL963" i="1"/>
  <c r="BL914" i="1"/>
  <c r="BL892" i="1"/>
  <c r="BL871" i="1"/>
  <c r="BL851" i="1"/>
  <c r="BL833" i="1"/>
  <c r="BL817" i="1"/>
  <c r="BL784" i="1"/>
  <c r="BL737" i="1"/>
  <c r="BL723" i="1"/>
  <c r="BL696" i="1"/>
  <c r="BL669" i="1"/>
  <c r="BL660" i="1"/>
  <c r="BL649" i="1"/>
  <c r="BL641" i="1"/>
  <c r="BL632" i="1"/>
  <c r="BL623" i="1"/>
  <c r="BL616" i="1"/>
  <c r="BL606" i="1"/>
  <c r="BL584" i="1"/>
  <c r="BL569" i="1"/>
  <c r="BL556" i="1"/>
  <c r="BL549" i="1"/>
  <c r="BL518" i="1"/>
  <c r="BL511" i="1"/>
  <c r="BL496" i="1"/>
  <c r="BL488" i="1"/>
  <c r="BL480" i="1"/>
  <c r="BL472" i="1"/>
  <c r="BL465" i="1"/>
  <c r="BL450" i="1"/>
  <c r="BL416" i="1"/>
  <c r="BL408" i="1"/>
  <c r="BL400" i="1"/>
  <c r="BL392" i="1"/>
  <c r="BL377" i="1"/>
  <c r="BL362" i="1"/>
  <c r="BL355" i="1"/>
  <c r="BL347" i="1"/>
  <c r="BL341" i="1"/>
  <c r="BL332" i="1"/>
  <c r="BL325" i="1"/>
  <c r="BL1689" i="1"/>
  <c r="BL1547" i="1"/>
  <c r="BL1398" i="1"/>
  <c r="BL1327" i="1"/>
  <c r="BL1262" i="1"/>
  <c r="BL1178" i="1"/>
  <c r="BL1143" i="1"/>
  <c r="BL1111" i="1"/>
  <c r="BL1081" i="1"/>
  <c r="BL1056" i="1"/>
  <c r="BL1033" i="1"/>
  <c r="BL1010" i="1"/>
  <c r="BL957" i="1"/>
  <c r="BL931" i="1"/>
  <c r="BL910" i="1"/>
  <c r="BL866" i="1"/>
  <c r="BL832" i="1"/>
  <c r="BL799" i="1"/>
  <c r="BL783" i="1"/>
  <c r="BL722" i="1"/>
  <c r="BL708" i="1"/>
  <c r="BL692" i="1"/>
  <c r="BL680" i="1"/>
  <c r="BL659" i="1"/>
  <c r="BL640" i="1"/>
  <c r="BL631" i="1"/>
  <c r="BL622" i="1"/>
  <c r="BL615" i="1"/>
  <c r="BL597" i="1"/>
  <c r="BL590" i="1"/>
  <c r="BL576" i="1"/>
  <c r="BL548" i="1"/>
  <c r="BL541" i="1"/>
  <c r="BL533" i="1"/>
  <c r="BL525" i="1"/>
  <c r="BL510" i="1"/>
  <c r="BL503" i="1"/>
  <c r="BL464" i="1"/>
  <c r="BL457" i="1"/>
  <c r="BL441" i="1"/>
  <c r="BL433" i="1"/>
  <c r="BL425" i="1"/>
  <c r="BL415" i="1"/>
  <c r="BL407" i="1"/>
  <c r="BL385" i="1"/>
  <c r="BL370" i="1"/>
  <c r="BL340" i="1"/>
  <c r="BL331" i="1"/>
  <c r="BL324" i="1"/>
  <c r="BL1688" i="1"/>
  <c r="BL1544" i="1"/>
  <c r="BL1465" i="1"/>
  <c r="BL1395" i="1"/>
  <c r="BL1259" i="1"/>
  <c r="BL1142" i="1"/>
  <c r="BL1110" i="1"/>
  <c r="BL984" i="1"/>
  <c r="BL956" i="1"/>
  <c r="BL930" i="1"/>
  <c r="BL909" i="1"/>
  <c r="BL886" i="1"/>
  <c r="BL865" i="1"/>
  <c r="BL847" i="1"/>
  <c r="BL831" i="1"/>
  <c r="BL797" i="1"/>
  <c r="BL748" i="1"/>
  <c r="BL721" i="1"/>
  <c r="BL707" i="1"/>
  <c r="BL691" i="1"/>
  <c r="BL679" i="1"/>
  <c r="BL668" i="1"/>
  <c r="BL658" i="1"/>
  <c r="BL639" i="1"/>
  <c r="BL614" i="1"/>
  <c r="BL605" i="1"/>
  <c r="BL583" i="1"/>
  <c r="BL568" i="1"/>
  <c r="BL562" i="1"/>
  <c r="BL555" i="1"/>
  <c r="BL540" i="1"/>
  <c r="BL532" i="1"/>
  <c r="BL524" i="1"/>
  <c r="BL517" i="1"/>
  <c r="BL502" i="1"/>
  <c r="BL495" i="1"/>
  <c r="BL487" i="1"/>
  <c r="BL479" i="1"/>
  <c r="BL471" i="1"/>
  <c r="BL456" i="1"/>
  <c r="BL449" i="1"/>
  <c r="BL440" i="1"/>
  <c r="BL432" i="1"/>
  <c r="BL424" i="1"/>
  <c r="BL406" i="1"/>
  <c r="BL399" i="1"/>
  <c r="BL391" i="1"/>
  <c r="BL384" i="1"/>
  <c r="BL376" i="1"/>
  <c r="BL369" i="1"/>
  <c r="BL361" i="1"/>
  <c r="BL346" i="1"/>
  <c r="BL339" i="1"/>
  <c r="BL323" i="1"/>
  <c r="BL316" i="1"/>
  <c r="BL311" i="1"/>
  <c r="BL305" i="1"/>
  <c r="BL300" i="1"/>
  <c r="BL295" i="1"/>
  <c r="BL289" i="1"/>
  <c r="BL284" i="1"/>
  <c r="BL279" i="1"/>
  <c r="BL1679" i="1"/>
  <c r="BL1393" i="1"/>
  <c r="BL1322" i="1"/>
  <c r="BL1209" i="1"/>
  <c r="BL1141" i="1"/>
  <c r="BL1109" i="1"/>
  <c r="BL1079" i="1"/>
  <c r="BL1055" i="1"/>
  <c r="BL1032" i="1"/>
  <c r="BL1009" i="1"/>
  <c r="BL983" i="1"/>
  <c r="BL955" i="1"/>
  <c r="BL908" i="1"/>
  <c r="BL885" i="1"/>
  <c r="BL845" i="1"/>
  <c r="BL782" i="1"/>
  <c r="BL763" i="1"/>
  <c r="BL747" i="1"/>
  <c r="BL706" i="1"/>
  <c r="BL690" i="1"/>
  <c r="BL678" i="1"/>
  <c r="BL667" i="1"/>
  <c r="BL657" i="1"/>
  <c r="BL648" i="1"/>
  <c r="BL630" i="1"/>
  <c r="BL604" i="1"/>
  <c r="BL596" i="1"/>
  <c r="BL589" i="1"/>
  <c r="BL582" i="1"/>
  <c r="BL575" i="1"/>
  <c r="BL547" i="1"/>
  <c r="BL516" i="1"/>
  <c r="BL509" i="1"/>
  <c r="BL494" i="1"/>
  <c r="BL1678" i="1"/>
  <c r="BL1542" i="1"/>
  <c r="BL1464" i="1"/>
  <c r="BL1392" i="1"/>
  <c r="BL1321" i="1"/>
  <c r="BL1208" i="1"/>
  <c r="BL1176" i="1"/>
  <c r="BL1078" i="1"/>
  <c r="BL1054" i="1"/>
  <c r="BL982" i="1"/>
  <c r="BL954" i="1"/>
  <c r="BL907" i="1"/>
  <c r="BL830" i="1"/>
  <c r="BL811" i="1"/>
  <c r="BL762" i="1"/>
  <c r="BL746" i="1"/>
  <c r="BL732" i="1"/>
  <c r="BL705" i="1"/>
  <c r="BL689" i="1"/>
  <c r="BL677" i="1"/>
  <c r="BL666" i="1"/>
  <c r="BL656" i="1"/>
  <c r="BL647" i="1"/>
  <c r="BL638" i="1"/>
  <c r="BL629" i="1"/>
  <c r="BL621" i="1"/>
  <c r="BL613" i="1"/>
  <c r="BL603" i="1"/>
  <c r="BL595" i="1"/>
  <c r="BL567" i="1"/>
  <c r="BL561" i="1"/>
  <c r="BL554" i="1"/>
  <c r="BL539" i="1"/>
  <c r="BL531" i="1"/>
  <c r="BL523" i="1"/>
  <c r="BL508" i="1"/>
  <c r="BL501" i="1"/>
  <c r="BL462" i="1"/>
  <c r="BL455" i="1"/>
  <c r="BL447" i="1"/>
  <c r="BL430" i="1"/>
  <c r="BL422" i="1"/>
  <c r="BL414" i="1"/>
  <c r="BL405" i="1"/>
  <c r="BL397" i="1"/>
  <c r="BL383" i="1"/>
  <c r="BL375" i="1"/>
  <c r="BL360" i="1"/>
  <c r="BL353" i="1"/>
  <c r="BL345" i="1"/>
  <c r="BL1625" i="1"/>
  <c r="BL1374" i="1"/>
  <c r="BL1200" i="1"/>
  <c r="BL1025" i="1"/>
  <c r="BL948" i="1"/>
  <c r="BL880" i="1"/>
  <c r="BL731" i="1"/>
  <c r="BL655" i="1"/>
  <c r="BL602" i="1"/>
  <c r="BL581" i="1"/>
  <c r="BL538" i="1"/>
  <c r="BL515" i="1"/>
  <c r="BL493" i="1"/>
  <c r="BL438" i="1"/>
  <c r="BL419" i="1"/>
  <c r="BL396" i="1"/>
  <c r="BL380" i="1"/>
  <c r="BL344" i="1"/>
  <c r="BL320" i="1"/>
  <c r="BL304" i="1"/>
  <c r="BL297" i="1"/>
  <c r="BL290" i="1"/>
  <c r="BL265" i="1"/>
  <c r="BL254" i="1"/>
  <c r="BL238" i="1"/>
  <c r="BL222" i="1"/>
  <c r="BL206" i="1"/>
  <c r="BL190" i="1"/>
  <c r="BL167" i="1"/>
  <c r="BL157" i="1"/>
  <c r="BL148" i="1"/>
  <c r="BL138" i="1"/>
  <c r="BL119" i="1"/>
  <c r="BL109" i="1"/>
  <c r="BL97" i="1"/>
  <c r="BL85" i="1"/>
  <c r="BL73" i="1"/>
  <c r="BL63" i="1"/>
  <c r="BL53" i="1"/>
  <c r="BL23" i="1"/>
  <c r="BL12" i="1"/>
  <c r="BL155" i="1"/>
  <c r="BL145" i="1"/>
  <c r="BL94" i="1"/>
  <c r="BL70" i="1"/>
  <c r="BL50" i="1"/>
  <c r="BL31" i="1"/>
  <c r="BL483" i="1"/>
  <c r="BL27" i="1"/>
  <c r="BL299" i="1"/>
  <c r="BL169" i="1"/>
  <c r="BL88" i="1"/>
  <c r="BL26" i="1"/>
  <c r="BL900" i="1"/>
  <c r="BL1624" i="1"/>
  <c r="BL1371" i="1"/>
  <c r="BL1199" i="1"/>
  <c r="BL1100" i="1"/>
  <c r="BL947" i="1"/>
  <c r="BL879" i="1"/>
  <c r="BL730" i="1"/>
  <c r="BL688" i="1"/>
  <c r="BL654" i="1"/>
  <c r="BL628" i="1"/>
  <c r="BL580" i="1"/>
  <c r="BL560" i="1"/>
  <c r="BL492" i="1"/>
  <c r="BL475" i="1"/>
  <c r="BL454" i="1"/>
  <c r="BL329" i="1"/>
  <c r="BL319" i="1"/>
  <c r="BL283" i="1"/>
  <c r="BL271" i="1"/>
  <c r="BL253" i="1"/>
  <c r="BL248" i="1"/>
  <c r="BL243" i="1"/>
  <c r="BL237" i="1"/>
  <c r="BL232" i="1"/>
  <c r="BL227" i="1"/>
  <c r="BL221" i="1"/>
  <c r="BL216" i="1"/>
  <c r="BL211" i="1"/>
  <c r="BL205" i="1"/>
  <c r="BL200" i="1"/>
  <c r="BL195" i="1"/>
  <c r="BL189" i="1"/>
  <c r="BL184" i="1"/>
  <c r="BL176" i="1"/>
  <c r="BL166" i="1"/>
  <c r="BL147" i="1"/>
  <c r="BL137" i="1"/>
  <c r="BL128" i="1"/>
  <c r="BL118" i="1"/>
  <c r="BL108" i="1"/>
  <c r="BL96" i="1"/>
  <c r="BL84" i="1"/>
  <c r="BL72" i="1"/>
  <c r="BL62" i="1"/>
  <c r="BL52" i="1"/>
  <c r="BL43" i="1"/>
  <c r="BL33" i="1"/>
  <c r="BL22" i="1"/>
  <c r="BL11" i="1"/>
  <c r="BL136" i="1"/>
  <c r="BL106" i="1"/>
  <c r="BL82" i="1"/>
  <c r="BL41" i="1"/>
  <c r="BL20" i="1"/>
  <c r="BL367" i="1"/>
  <c r="BL141" i="1"/>
  <c r="BL77" i="1"/>
  <c r="BL16" i="1"/>
  <c r="BL1132" i="1"/>
  <c r="BL700" i="1"/>
  <c r="BL522" i="1"/>
  <c r="BL313" i="1"/>
  <c r="BL234" i="1"/>
  <c r="BL202" i="1"/>
  <c r="BL160" i="1"/>
  <c r="BL76" i="1"/>
  <c r="BL1238" i="1"/>
  <c r="BL1369" i="1"/>
  <c r="BL1024" i="1"/>
  <c r="BL946" i="1"/>
  <c r="BL776" i="1"/>
  <c r="BL729" i="1"/>
  <c r="BL687" i="1"/>
  <c r="BL653" i="1"/>
  <c r="BL627" i="1"/>
  <c r="BL601" i="1"/>
  <c r="BL579" i="1"/>
  <c r="BL537" i="1"/>
  <c r="BL514" i="1"/>
  <c r="BL470" i="1"/>
  <c r="BL437" i="1"/>
  <c r="BL395" i="1"/>
  <c r="BL359" i="1"/>
  <c r="BL343" i="1"/>
  <c r="BL318" i="1"/>
  <c r="BL310" i="1"/>
  <c r="BL276" i="1"/>
  <c r="BL259" i="1"/>
  <c r="BL175" i="1"/>
  <c r="BL165" i="1"/>
  <c r="BL156" i="1"/>
  <c r="BL146" i="1"/>
  <c r="BL127" i="1"/>
  <c r="BL117" i="1"/>
  <c r="BL107" i="1"/>
  <c r="BL95" i="1"/>
  <c r="BL83" i="1"/>
  <c r="BL71" i="1"/>
  <c r="BL61" i="1"/>
  <c r="BL51" i="1"/>
  <c r="BL42" i="1"/>
  <c r="BM42" i="1" s="1"/>
  <c r="BL32" i="1"/>
  <c r="BL21" i="1"/>
  <c r="BL10" i="1"/>
  <c r="BL126" i="1"/>
  <c r="BL445" i="1"/>
  <c r="BL56" i="1"/>
  <c r="BL901" i="1"/>
  <c r="BL566" i="1"/>
  <c r="BL444" i="1"/>
  <c r="BL306" i="1"/>
  <c r="BL218" i="1"/>
  <c r="BL100" i="1"/>
  <c r="BL1613" i="1"/>
  <c r="BL1368" i="1"/>
  <c r="BL1099" i="1"/>
  <c r="BL878" i="1"/>
  <c r="BL824" i="1"/>
  <c r="BL775" i="1"/>
  <c r="BL686" i="1"/>
  <c r="BL626" i="1"/>
  <c r="BL600" i="1"/>
  <c r="BL559" i="1"/>
  <c r="BL536" i="1"/>
  <c r="BL491" i="1"/>
  <c r="BL469" i="1"/>
  <c r="BL453" i="1"/>
  <c r="BL431" i="1"/>
  <c r="BL413" i="1"/>
  <c r="BL309" i="1"/>
  <c r="BL303" i="1"/>
  <c r="BL288" i="1"/>
  <c r="BL282" i="1"/>
  <c r="BL270" i="1"/>
  <c r="BL264" i="1"/>
  <c r="BL258" i="1"/>
  <c r="BL242" i="1"/>
  <c r="BL226" i="1"/>
  <c r="BL210" i="1"/>
  <c r="BL194" i="1"/>
  <c r="BL174" i="1"/>
  <c r="BL1519" i="1"/>
  <c r="BL1303" i="1"/>
  <c r="BL1166" i="1"/>
  <c r="BL1072" i="1"/>
  <c r="BL1002" i="1"/>
  <c r="BL924" i="1"/>
  <c r="BL859" i="1"/>
  <c r="BL761" i="1"/>
  <c r="BL675" i="1"/>
  <c r="BL646" i="1"/>
  <c r="BL574" i="1"/>
  <c r="BL530" i="1"/>
  <c r="BL486" i="1"/>
  <c r="BL468" i="1"/>
  <c r="BL452" i="1"/>
  <c r="BL412" i="1"/>
  <c r="BL328" i="1"/>
  <c r="BL281" i="1"/>
  <c r="BL269" i="1"/>
  <c r="BL257" i="1"/>
  <c r="BL252" i="1"/>
  <c r="BL247" i="1"/>
  <c r="BL241" i="1"/>
  <c r="BL236" i="1"/>
  <c r="BL231" i="1"/>
  <c r="BL225" i="1"/>
  <c r="BL220" i="1"/>
  <c r="BL215" i="1"/>
  <c r="BL209" i="1"/>
  <c r="BL204" i="1"/>
  <c r="BL199" i="1"/>
  <c r="BL193" i="1"/>
  <c r="BL188" i="1"/>
  <c r="BL183" i="1"/>
  <c r="BL173" i="1"/>
  <c r="BL164" i="1"/>
  <c r="BL154" i="1"/>
  <c r="BL135" i="1"/>
  <c r="BL125" i="1"/>
  <c r="BL116" i="1"/>
  <c r="BL105" i="1"/>
  <c r="BL93" i="1"/>
  <c r="BL81" i="1"/>
  <c r="BL69" i="1"/>
  <c r="BL60" i="1"/>
  <c r="BL49" i="1"/>
  <c r="BL30" i="1"/>
  <c r="BL9" i="1"/>
  <c r="BL91" i="1"/>
  <c r="BL39" i="1"/>
  <c r="BL17" i="1"/>
  <c r="BL322" i="1"/>
  <c r="BL261" i="1"/>
  <c r="BL151" i="1"/>
  <c r="BL65" i="1"/>
  <c r="BL1443" i="1"/>
  <c r="BL587" i="1"/>
  <c r="BL366" i="1"/>
  <c r="BL150" i="1"/>
  <c r="BL699" i="1"/>
  <c r="BL499" i="1"/>
  <c r="BL1516" i="1"/>
  <c r="BL1165" i="1"/>
  <c r="BL923" i="1"/>
  <c r="BL810" i="1"/>
  <c r="BL716" i="1"/>
  <c r="BL673" i="1"/>
  <c r="BL645" i="1"/>
  <c r="BL620" i="1"/>
  <c r="BL594" i="1"/>
  <c r="BL553" i="1"/>
  <c r="BL507" i="1"/>
  <c r="BL485" i="1"/>
  <c r="BL448" i="1"/>
  <c r="BL429" i="1"/>
  <c r="BL411" i="1"/>
  <c r="BL390" i="1"/>
  <c r="BL374" i="1"/>
  <c r="BL354" i="1"/>
  <c r="BL338" i="1"/>
  <c r="BL302" i="1"/>
  <c r="BL294" i="1"/>
  <c r="BL275" i="1"/>
  <c r="BL263" i="1"/>
  <c r="BL182" i="1"/>
  <c r="BL163" i="1"/>
  <c r="BL153" i="1"/>
  <c r="BL144" i="1"/>
  <c r="BL134" i="1"/>
  <c r="BL115" i="1"/>
  <c r="BL104" i="1"/>
  <c r="BL92" i="1"/>
  <c r="BL80" i="1"/>
  <c r="BL68" i="1"/>
  <c r="BL59" i="1"/>
  <c r="BL40" i="1"/>
  <c r="BM40" i="1" s="1"/>
  <c r="BL19" i="1"/>
  <c r="BL8" i="1"/>
  <c r="BL29" i="1"/>
  <c r="BL588" i="1"/>
  <c r="BL89" i="1"/>
  <c r="BL844" i="1"/>
  <c r="BL478" i="1"/>
  <c r="BL335" i="1"/>
  <c r="BL267" i="1"/>
  <c r="BL36" i="1"/>
  <c r="BL973" i="1"/>
  <c r="BL636" i="1"/>
  <c r="BL1514" i="1"/>
  <c r="BL1298" i="1"/>
  <c r="BL1071" i="1"/>
  <c r="BL1001" i="1"/>
  <c r="BL922" i="1"/>
  <c r="BL858" i="1"/>
  <c r="BL809" i="1"/>
  <c r="BL715" i="1"/>
  <c r="BL619" i="1"/>
  <c r="BL593" i="1"/>
  <c r="BL573" i="1"/>
  <c r="BL552" i="1"/>
  <c r="BL529" i="1"/>
  <c r="BL484" i="1"/>
  <c r="BL467" i="1"/>
  <c r="BL446" i="1"/>
  <c r="BL428" i="1"/>
  <c r="BL389" i="1"/>
  <c r="BL373" i="1"/>
  <c r="BL352" i="1"/>
  <c r="BL337" i="1"/>
  <c r="BL327" i="1"/>
  <c r="BL315" i="1"/>
  <c r="BL308" i="1"/>
  <c r="BL293" i="1"/>
  <c r="BL287" i="1"/>
  <c r="BL274" i="1"/>
  <c r="BL268" i="1"/>
  <c r="BL246" i="1"/>
  <c r="BL230" i="1"/>
  <c r="BL214" i="1"/>
  <c r="BL198" i="1"/>
  <c r="BL181" i="1"/>
  <c r="BL172" i="1"/>
  <c r="BL162" i="1"/>
  <c r="BL143" i="1"/>
  <c r="BL133" i="1"/>
  <c r="BL124" i="1"/>
  <c r="BL114" i="1"/>
  <c r="BL103" i="1"/>
  <c r="BL79" i="1"/>
  <c r="BL67" i="1"/>
  <c r="BL58" i="1"/>
  <c r="BL48" i="1"/>
  <c r="BL18" i="1"/>
  <c r="BL546" i="1"/>
  <c r="BL314" i="1"/>
  <c r="BL170" i="1"/>
  <c r="BL101" i="1"/>
  <c r="BL46" i="1"/>
  <c r="BL1239" i="1"/>
  <c r="BL664" i="1"/>
  <c r="BL350" i="1"/>
  <c r="BL285" i="1"/>
  <c r="BL186" i="1"/>
  <c r="BL121" i="1"/>
  <c r="BL45" i="1"/>
  <c r="BL1047" i="1"/>
  <c r="BL663" i="1"/>
  <c r="BL1513" i="1"/>
  <c r="BL1297" i="1"/>
  <c r="BL1164" i="1"/>
  <c r="BL1070" i="1"/>
  <c r="BL857" i="1"/>
  <c r="BL806" i="1"/>
  <c r="BL755" i="1"/>
  <c r="BL714" i="1"/>
  <c r="BL644" i="1"/>
  <c r="BL618" i="1"/>
  <c r="BL572" i="1"/>
  <c r="BL528" i="1"/>
  <c r="BL506" i="1"/>
  <c r="BL463" i="1"/>
  <c r="BL427" i="1"/>
  <c r="BL404" i="1"/>
  <c r="BL388" i="1"/>
  <c r="BL368" i="1"/>
  <c r="BL336" i="1"/>
  <c r="BL280" i="1"/>
  <c r="BL273" i="1"/>
  <c r="BL262" i="1"/>
  <c r="BL256" i="1"/>
  <c r="BL251" i="1"/>
  <c r="BL245" i="1"/>
  <c r="BL240" i="1"/>
  <c r="BL235" i="1"/>
  <c r="BL229" i="1"/>
  <c r="BL224" i="1"/>
  <c r="BL219" i="1"/>
  <c r="BL213" i="1"/>
  <c r="BL208" i="1"/>
  <c r="BL203" i="1"/>
  <c r="BL197" i="1"/>
  <c r="BL192" i="1"/>
  <c r="BL187" i="1"/>
  <c r="BL171" i="1"/>
  <c r="BL161" i="1"/>
  <c r="BL152" i="1"/>
  <c r="BL142" i="1"/>
  <c r="BL123" i="1"/>
  <c r="BL113" i="1"/>
  <c r="BL102" i="1"/>
  <c r="BL90" i="1"/>
  <c r="BL78" i="1"/>
  <c r="BL66" i="1"/>
  <c r="BL57" i="1"/>
  <c r="BL47" i="1"/>
  <c r="BL38" i="1"/>
  <c r="BL28" i="1"/>
  <c r="BL500" i="1"/>
  <c r="BL132" i="1"/>
  <c r="BL974" i="1"/>
  <c r="BL611" i="1"/>
  <c r="BL461" i="1"/>
  <c r="BL112" i="1"/>
  <c r="BL15" i="1"/>
  <c r="BL610" i="1"/>
  <c r="BL1446" i="1"/>
  <c r="BL1048" i="1"/>
  <c r="BL975" i="1"/>
  <c r="BL796" i="1"/>
  <c r="BL745" i="1"/>
  <c r="BL637" i="1"/>
  <c r="BL612" i="1"/>
  <c r="BL423" i="1"/>
  <c r="BL403" i="1"/>
  <c r="BL387" i="1"/>
  <c r="BL351" i="1"/>
  <c r="BL286" i="1"/>
  <c r="BL180" i="1"/>
  <c r="BL122" i="1"/>
  <c r="BL37" i="1"/>
  <c r="BL292" i="1"/>
  <c r="BL250" i="1"/>
  <c r="BL179" i="1"/>
  <c r="BL131" i="1"/>
  <c r="BL1441" i="1"/>
  <c r="BL545" i="1"/>
  <c r="BL1440" i="1"/>
  <c r="BL421" i="1"/>
  <c r="BL321" i="1"/>
  <c r="BL278" i="1"/>
  <c r="BL244" i="1"/>
  <c r="BL212" i="1"/>
  <c r="BL178" i="1"/>
  <c r="BL55" i="1"/>
  <c r="BL98" i="1"/>
  <c r="BL87" i="1"/>
  <c r="BL130" i="1"/>
  <c r="BL1237" i="1"/>
  <c r="BL586" i="1"/>
  <c r="BL420" i="1"/>
  <c r="BL277" i="1"/>
  <c r="BL177" i="1"/>
  <c r="BL120" i="1"/>
  <c r="BM120" i="1" s="1"/>
  <c r="BL54" i="1"/>
  <c r="BM54" i="1" s="1"/>
  <c r="BL158" i="1"/>
  <c r="BL260" i="1"/>
  <c r="BL86" i="1"/>
  <c r="BL249" i="1"/>
  <c r="BL1131" i="1"/>
  <c r="BL565" i="1"/>
  <c r="BL272" i="1"/>
  <c r="BL239" i="1"/>
  <c r="BL207" i="1"/>
  <c r="BL111" i="1"/>
  <c r="BL34" i="1"/>
  <c r="BL149" i="1"/>
  <c r="BL298" i="1"/>
  <c r="BL24" i="1"/>
  <c r="BL217" i="1"/>
  <c r="BL330" i="1"/>
  <c r="BL1046" i="1"/>
  <c r="BL544" i="1"/>
  <c r="BL398" i="1"/>
  <c r="BL168" i="1"/>
  <c r="BM168" i="1" s="1"/>
  <c r="BL110" i="1"/>
  <c r="BL44" i="1"/>
  <c r="BL228" i="1"/>
  <c r="BL476" i="1"/>
  <c r="BL74" i="1"/>
  <c r="BL635" i="1"/>
  <c r="BL521" i="1"/>
  <c r="BL382" i="1"/>
  <c r="BL233" i="1"/>
  <c r="BL201" i="1"/>
  <c r="BL159" i="1"/>
  <c r="BL99" i="1"/>
  <c r="BL35" i="1"/>
  <c r="BL196" i="1"/>
  <c r="BL790" i="1"/>
  <c r="BL662" i="1"/>
  <c r="BL899" i="1"/>
  <c r="BL381" i="1"/>
  <c r="BL266" i="1"/>
  <c r="BL364" i="1"/>
  <c r="BL13" i="1"/>
  <c r="BL439" i="1"/>
  <c r="BL477" i="1"/>
  <c r="BL365" i="1"/>
  <c r="BL25" i="1"/>
  <c r="BL334" i="1"/>
  <c r="BL64" i="1"/>
  <c r="BM64" i="1" s="1"/>
  <c r="BL460" i="1"/>
  <c r="BL255" i="1"/>
  <c r="BL223" i="1"/>
  <c r="BL191" i="1"/>
  <c r="BL140" i="1"/>
  <c r="BL75" i="1"/>
  <c r="BL14" i="1"/>
  <c r="BL698" i="1"/>
  <c r="BL139" i="1"/>
  <c r="BL185" i="1"/>
  <c r="BL129" i="1"/>
  <c r="BL6" i="1"/>
  <c r="BL7" i="1"/>
  <c r="BL5" i="1"/>
  <c r="AW5" i="1"/>
  <c r="AW6" i="1" s="1"/>
  <c r="AW7" i="1" s="1"/>
  <c r="AF3" i="1"/>
  <c r="BM110" i="1" l="1"/>
  <c r="BM18" i="1"/>
  <c r="BM34" i="1"/>
  <c r="BM57" i="1"/>
  <c r="BM143" i="1"/>
  <c r="BM9" i="1"/>
  <c r="BM164" i="1"/>
  <c r="BM126" i="1"/>
  <c r="BM77" i="1"/>
  <c r="BM66" i="1"/>
  <c r="BM74" i="1"/>
  <c r="BM169" i="1"/>
  <c r="BL3" i="1"/>
  <c r="BM83" i="1"/>
  <c r="BM32" i="1"/>
  <c r="BM98" i="1"/>
  <c r="BM47" i="1"/>
  <c r="BM146" i="1"/>
  <c r="BM25" i="1"/>
  <c r="BM113" i="1"/>
  <c r="BM105" i="1"/>
  <c r="BM122" i="1"/>
  <c r="BM45" i="1"/>
  <c r="BM84" i="1"/>
  <c r="BM140" i="1"/>
  <c r="BM30" i="1"/>
  <c r="BM173" i="1"/>
  <c r="BM141" i="1"/>
  <c r="BM62" i="1"/>
  <c r="BM71" i="1"/>
  <c r="BM87" i="1"/>
  <c r="BM91" i="1"/>
  <c r="BM38" i="1"/>
  <c r="BM69" i="1"/>
  <c r="BM130" i="1"/>
  <c r="BM136" i="1"/>
  <c r="BM103" i="1"/>
  <c r="BM44" i="1"/>
  <c r="BM177" i="1"/>
  <c r="BM20" i="1"/>
  <c r="BM160" i="1"/>
  <c r="BM16" i="1"/>
  <c r="BM92" i="1"/>
  <c r="BM75" i="1"/>
  <c r="BM89" i="1"/>
  <c r="BM134" i="1"/>
  <c r="BM94" i="1"/>
  <c r="BM138" i="1"/>
  <c r="BM29" i="1"/>
  <c r="BM153" i="1"/>
  <c r="BM17" i="1"/>
  <c r="BM125" i="1"/>
  <c r="BM22" i="1"/>
  <c r="BM157" i="1"/>
  <c r="BM24" i="1"/>
  <c r="BM152" i="1"/>
  <c r="BM107" i="1"/>
  <c r="BM377" i="1"/>
  <c r="BM562" i="1"/>
  <c r="BM1322" i="1"/>
  <c r="BM1259" i="1"/>
  <c r="BM449" i="1"/>
  <c r="BM992" i="1"/>
  <c r="BM552" i="1"/>
  <c r="BM413" i="1"/>
  <c r="BM748" i="1"/>
  <c r="BM476" i="1"/>
  <c r="BM171" i="1"/>
  <c r="BM170" i="1"/>
  <c r="BM636" i="1"/>
  <c r="BM530" i="1"/>
  <c r="BM878" i="1"/>
  <c r="BM590" i="1"/>
  <c r="BM506" i="1"/>
  <c r="BM175" i="1"/>
  <c r="BM174" i="1"/>
  <c r="BM1024" i="1"/>
  <c r="BM339" i="1"/>
  <c r="BM1502" i="1"/>
  <c r="BM662" i="1"/>
  <c r="BM149" i="1"/>
  <c r="BM975" i="1"/>
  <c r="BM245" i="1"/>
  <c r="BM308" i="1"/>
  <c r="BM263" i="1"/>
  <c r="BM699" i="1"/>
  <c r="BM236" i="1"/>
  <c r="BM127" i="1"/>
  <c r="BM248" i="1"/>
  <c r="BM1200" i="1"/>
  <c r="BM425" i="1"/>
  <c r="BM460" i="1"/>
  <c r="BM212" i="1"/>
  <c r="BM1513" i="1"/>
  <c r="BM507" i="1"/>
  <c r="BM437" i="1"/>
  <c r="BM184" i="1"/>
  <c r="BM654" i="1"/>
  <c r="BM53" i="1"/>
  <c r="BM206" i="1"/>
  <c r="BM419" i="1"/>
  <c r="BM430" i="1"/>
  <c r="BM595" i="1"/>
  <c r="BM732" i="1"/>
  <c r="BM1321" i="1"/>
  <c r="BM596" i="1"/>
  <c r="BM845" i="1"/>
  <c r="BM799" i="1"/>
  <c r="BM681" i="1"/>
  <c r="BM1121" i="1"/>
  <c r="BM994" i="1"/>
  <c r="BM771" i="1"/>
  <c r="BM1171" i="1"/>
  <c r="BM1558" i="1"/>
  <c r="BM1717" i="1"/>
  <c r="BM1161" i="1"/>
  <c r="BM1022" i="1"/>
  <c r="BM1236" i="1"/>
  <c r="BM1244" i="1"/>
  <c r="BM1659" i="1"/>
  <c r="BM1292" i="1"/>
  <c r="BM1508" i="1"/>
  <c r="BM1286" i="1"/>
  <c r="BM1619" i="1"/>
  <c r="BM1439" i="1"/>
  <c r="BM1724" i="1"/>
  <c r="BM315" i="1"/>
  <c r="BM275" i="1"/>
  <c r="BM574" i="1"/>
  <c r="BM470" i="1"/>
  <c r="BM253" i="1"/>
  <c r="BM746" i="1"/>
  <c r="BM696" i="1"/>
  <c r="BM233" i="1"/>
  <c r="BM611" i="1"/>
  <c r="BM368" i="1"/>
  <c r="BM350" i="1"/>
  <c r="BM922" i="1"/>
  <c r="BM810" i="1"/>
  <c r="BM328" i="1"/>
  <c r="BM653" i="1"/>
  <c r="BM221" i="1"/>
  <c r="BM656" i="1"/>
  <c r="BM1055" i="1"/>
  <c r="BM517" i="1"/>
  <c r="BM340" i="1"/>
  <c r="BM1033" i="1"/>
  <c r="BM851" i="1"/>
  <c r="BM489" i="1"/>
  <c r="BM505" i="1"/>
  <c r="BM634" i="1"/>
  <c r="BM976" i="1"/>
  <c r="BM1019" i="1"/>
  <c r="BM1103" i="1"/>
  <c r="BM1158" i="1"/>
  <c r="BM814" i="1"/>
  <c r="BM735" i="1"/>
  <c r="BM1314" i="1"/>
  <c r="BM1775" i="1"/>
  <c r="BM1602" i="1"/>
  <c r="BM829" i="1"/>
  <c r="BM1438" i="1"/>
  <c r="BM1735" i="1"/>
  <c r="BM1515" i="1"/>
  <c r="BM1565" i="1"/>
  <c r="BM1240" i="1"/>
  <c r="BM1617" i="1"/>
  <c r="BM1246" i="1"/>
  <c r="BM1468" i="1"/>
  <c r="BM1750" i="1"/>
  <c r="BM1247" i="1"/>
  <c r="BM1437" i="1"/>
  <c r="BM1713" i="1"/>
  <c r="BM1205" i="1"/>
  <c r="BM1520" i="1"/>
  <c r="BM1106" i="1"/>
  <c r="BM1763" i="1"/>
  <c r="BM382" i="1"/>
  <c r="BM249" i="1"/>
  <c r="BM612" i="1"/>
  <c r="BM388" i="1"/>
  <c r="BM857" i="1"/>
  <c r="BM268" i="1"/>
  <c r="BM191" i="1"/>
  <c r="BM266" i="1"/>
  <c r="BM217" i="1"/>
  <c r="BM637" i="1"/>
  <c r="BM142" i="1"/>
  <c r="BM1070" i="1"/>
  <c r="BM1239" i="1"/>
  <c r="BM274" i="1"/>
  <c r="BM1071" i="1"/>
  <c r="BM220" i="1"/>
  <c r="BM1166" i="1"/>
  <c r="BM686" i="1"/>
  <c r="BM729" i="1"/>
  <c r="BM232" i="1"/>
  <c r="BM900" i="1"/>
  <c r="BM344" i="1"/>
  <c r="BM575" i="1"/>
  <c r="BM255" i="1"/>
  <c r="BM899" i="1"/>
  <c r="BM298" i="1"/>
  <c r="BM159" i="1"/>
  <c r="BM158" i="1"/>
  <c r="BM179" i="1"/>
  <c r="BM178" i="1"/>
  <c r="BM292" i="1"/>
  <c r="BM796" i="1"/>
  <c r="BM161" i="1"/>
  <c r="BM240" i="1"/>
  <c r="BM463" i="1"/>
  <c r="BM1297" i="1"/>
  <c r="BM101" i="1"/>
  <c r="BM133" i="1"/>
  <c r="BM293" i="1"/>
  <c r="BM529" i="1"/>
  <c r="BM1514" i="1"/>
  <c r="BM19" i="1"/>
  <c r="BM182" i="1"/>
  <c r="BM485" i="1"/>
  <c r="BM499" i="1"/>
  <c r="BM155" i="1"/>
  <c r="BM154" i="1"/>
  <c r="BM231" i="1"/>
  <c r="BM486" i="1"/>
  <c r="BM1519" i="1"/>
  <c r="BM309" i="1"/>
  <c r="BM824" i="1"/>
  <c r="BM445" i="1"/>
  <c r="BM117" i="1"/>
  <c r="BM395" i="1"/>
  <c r="BM946" i="1"/>
  <c r="BM43" i="1"/>
  <c r="BM176" i="1"/>
  <c r="BM243" i="1"/>
  <c r="BM628" i="1"/>
  <c r="BM88" i="1"/>
  <c r="BM23" i="1"/>
  <c r="BM190" i="1"/>
  <c r="BM396" i="1"/>
  <c r="BM1025" i="1"/>
  <c r="BM422" i="1"/>
  <c r="BM567" i="1"/>
  <c r="BM705" i="1"/>
  <c r="BM1208" i="1"/>
  <c r="BM589" i="1"/>
  <c r="BM782" i="1"/>
  <c r="BM1209" i="1"/>
  <c r="BM323" i="1"/>
  <c r="BM440" i="1"/>
  <c r="BM555" i="1"/>
  <c r="BM721" i="1"/>
  <c r="BM1142" i="1"/>
  <c r="BM415" i="1"/>
  <c r="BM576" i="1"/>
  <c r="BM783" i="1"/>
  <c r="BM1143" i="1"/>
  <c r="BM362" i="1"/>
  <c r="BM511" i="1"/>
  <c r="BM660" i="1"/>
  <c r="BM963" i="1"/>
  <c r="BM296" i="1"/>
  <c r="BM409" i="1"/>
  <c r="BM526" i="1"/>
  <c r="BM670" i="1"/>
  <c r="BM964" i="1"/>
  <c r="BM357" i="1"/>
  <c r="BM543" i="1"/>
  <c r="BM753" i="1"/>
  <c r="BM1090" i="1"/>
  <c r="BM394" i="1"/>
  <c r="BM551" i="1"/>
  <c r="BM672" i="1"/>
  <c r="BM940" i="1"/>
  <c r="BM756" i="1"/>
  <c r="BM894" i="1"/>
  <c r="BM1011" i="1"/>
  <c r="BM1264" i="1"/>
  <c r="BM1755" i="1"/>
  <c r="BM895" i="1"/>
  <c r="BM1057" i="1"/>
  <c r="BM1201" i="1"/>
  <c r="BM1524" i="1"/>
  <c r="BM987" i="1"/>
  <c r="BM1157" i="1"/>
  <c r="BM1582" i="1"/>
  <c r="BM779" i="1"/>
  <c r="BM912" i="1"/>
  <c r="BM1043" i="1"/>
  <c r="BM1231" i="1"/>
  <c r="BM1529" i="1"/>
  <c r="BM734" i="1"/>
  <c r="BM862" i="1"/>
  <c r="BM1006" i="1"/>
  <c r="BM1313" i="1"/>
  <c r="BM1657" i="1"/>
  <c r="BM773" i="1"/>
  <c r="BM906" i="1"/>
  <c r="BM1014" i="1"/>
  <c r="BM1139" i="1"/>
  <c r="BM1409" i="1"/>
  <c r="BM712" i="1"/>
  <c r="BM822" i="1"/>
  <c r="BM1015" i="1"/>
  <c r="BM1387" i="1"/>
  <c r="BM685" i="1"/>
  <c r="BM877" i="1"/>
  <c r="BM1038" i="1"/>
  <c r="BM1150" i="1"/>
  <c r="BM1567" i="1"/>
  <c r="BM1296" i="1"/>
  <c r="BM1494" i="1"/>
  <c r="BM1633" i="1"/>
  <c r="BM1783" i="1"/>
  <c r="BM1331" i="1"/>
  <c r="BM1426" i="1"/>
  <c r="BM1553" i="1"/>
  <c r="BM1709" i="1"/>
  <c r="BM1648" i="1"/>
  <c r="BM1786" i="1"/>
  <c r="BM1616" i="1"/>
  <c r="BM1768" i="1"/>
  <c r="BM1285" i="1"/>
  <c r="BM1507" i="1"/>
  <c r="BM1661" i="1"/>
  <c r="BM1174" i="1"/>
  <c r="BM1293" i="1"/>
  <c r="BM1396" i="1"/>
  <c r="BM1498" i="1"/>
  <c r="BM1651" i="1"/>
  <c r="BM1080" i="1"/>
  <c r="BM1175" i="1"/>
  <c r="BM1280" i="1"/>
  <c r="BM1373" i="1"/>
  <c r="BM1483" i="1"/>
  <c r="BM1609" i="1"/>
  <c r="BM1761" i="1"/>
  <c r="BM1704" i="1"/>
  <c r="BM1268" i="1"/>
  <c r="BM1431" i="1"/>
  <c r="BM1578" i="1"/>
  <c r="BM1714" i="1"/>
  <c r="BM1138" i="1"/>
  <c r="BM1242" i="1"/>
  <c r="BM1540" i="1"/>
  <c r="BM1666" i="1"/>
  <c r="BM1178" i="1"/>
  <c r="BM301" i="1"/>
  <c r="BM1063" i="1"/>
  <c r="BM402" i="1"/>
  <c r="BM1018" i="1"/>
  <c r="BM1012" i="1"/>
  <c r="BM927" i="1"/>
  <c r="BM876" i="1"/>
  <c r="BM913" i="1"/>
  <c r="BM720" i="1"/>
  <c r="BM891" i="1"/>
  <c r="BM1304" i="1"/>
  <c r="BM1434" i="1"/>
  <c r="BM1252" i="1"/>
  <c r="BM1526" i="1"/>
  <c r="BM1301" i="1"/>
  <c r="BM1662" i="1"/>
  <c r="BM1381" i="1"/>
  <c r="BM1723" i="1"/>
  <c r="BM1677" i="1"/>
  <c r="BM528" i="1"/>
  <c r="BM63" i="1"/>
  <c r="BM603" i="1"/>
  <c r="BM1393" i="1"/>
  <c r="BM797" i="1"/>
  <c r="BM597" i="1"/>
  <c r="BM549" i="1"/>
  <c r="BM426" i="1"/>
  <c r="BM542" i="1"/>
  <c r="BM724" i="1"/>
  <c r="BM1089" i="1"/>
  <c r="BM371" i="1"/>
  <c r="BM564" i="1"/>
  <c r="BM804" i="1"/>
  <c r="BM697" i="1"/>
  <c r="BM1064" i="1"/>
  <c r="BM777" i="1"/>
  <c r="BM918" i="1"/>
  <c r="BM1026" i="1"/>
  <c r="BM1329" i="1"/>
  <c r="BM778" i="1"/>
  <c r="BM926" i="1"/>
  <c r="BM1073" i="1"/>
  <c r="BM1229" i="1"/>
  <c r="BM1635" i="1"/>
  <c r="BM1035" i="1"/>
  <c r="BM1193" i="1"/>
  <c r="BM1707" i="1"/>
  <c r="BM800" i="1"/>
  <c r="BM942" i="1"/>
  <c r="BM1059" i="1"/>
  <c r="BM1287" i="1"/>
  <c r="BM1587" i="1"/>
  <c r="BM750" i="1"/>
  <c r="BM889" i="1"/>
  <c r="BM1036" i="1"/>
  <c r="BM1360" i="1"/>
  <c r="BM1774" i="1"/>
  <c r="BM794" i="1"/>
  <c r="BM928" i="1"/>
  <c r="BM1029" i="1"/>
  <c r="BM1172" i="1"/>
  <c r="BM1458" i="1"/>
  <c r="BM728" i="1"/>
  <c r="BM849" i="1"/>
  <c r="BM1030" i="1"/>
  <c r="BM1435" i="1"/>
  <c r="BM704" i="1"/>
  <c r="BM929" i="1"/>
  <c r="BM1053" i="1"/>
  <c r="BM1295" i="1"/>
  <c r="BM1669" i="1"/>
  <c r="BM1312" i="1"/>
  <c r="BM1512" i="1"/>
  <c r="BM1656" i="1"/>
  <c r="BM1258" i="1"/>
  <c r="BM1347" i="1"/>
  <c r="BM1442" i="1"/>
  <c r="BM1573" i="1"/>
  <c r="BM1728" i="1"/>
  <c r="BM1671" i="1"/>
  <c r="BM1279" i="1"/>
  <c r="BM1649" i="1"/>
  <c r="BM1151" i="1"/>
  <c r="BM1300" i="1"/>
  <c r="BM1536" i="1"/>
  <c r="BM1682" i="1"/>
  <c r="BM1189" i="1"/>
  <c r="BM1309" i="1"/>
  <c r="BM1412" i="1"/>
  <c r="BM1527" i="1"/>
  <c r="BM1683" i="1"/>
  <c r="BM1096" i="1"/>
  <c r="BM1190" i="1"/>
  <c r="BM1294" i="1"/>
  <c r="BM1389" i="1"/>
  <c r="BM1509" i="1"/>
  <c r="BM1640" i="1"/>
  <c r="BM1780" i="1"/>
  <c r="BM1733" i="1"/>
  <c r="BM1351" i="1"/>
  <c r="BM1447" i="1"/>
  <c r="BM1599" i="1"/>
  <c r="BM1743" i="1"/>
  <c r="BM1154" i="1"/>
  <c r="BM1256" i="1"/>
  <c r="BM1559" i="1"/>
  <c r="BM1686" i="1"/>
  <c r="BM129" i="1"/>
  <c r="BM334" i="1"/>
  <c r="BM196" i="1"/>
  <c r="BM111" i="1"/>
  <c r="BM278" i="1"/>
  <c r="BM180" i="1"/>
  <c r="BM1446" i="1"/>
  <c r="BM192" i="1"/>
  <c r="BM256" i="1"/>
  <c r="BM572" i="1"/>
  <c r="BM1047" i="1"/>
  <c r="BM546" i="1"/>
  <c r="BM172" i="1"/>
  <c r="BM327" i="1"/>
  <c r="BM593" i="1"/>
  <c r="BM37" i="1"/>
  <c r="BM36" i="1"/>
  <c r="BM294" i="1"/>
  <c r="BM594" i="1"/>
  <c r="BM366" i="1"/>
  <c r="BM49" i="1"/>
  <c r="BM183" i="1"/>
  <c r="BM247" i="1"/>
  <c r="BM646" i="1"/>
  <c r="BM210" i="1"/>
  <c r="BM453" i="1"/>
  <c r="BM1368" i="1"/>
  <c r="BM21" i="1"/>
  <c r="BM156" i="1"/>
  <c r="BM514" i="1"/>
  <c r="BM1238" i="1"/>
  <c r="BM367" i="1"/>
  <c r="BM72" i="1"/>
  <c r="BM195" i="1"/>
  <c r="BM271" i="1"/>
  <c r="BM730" i="1"/>
  <c r="BM28" i="1"/>
  <c r="BM27" i="1"/>
  <c r="BM73" i="1"/>
  <c r="BM238" i="1"/>
  <c r="BM493" i="1"/>
  <c r="BM1625" i="1"/>
  <c r="BM455" i="1"/>
  <c r="BM613" i="1"/>
  <c r="BM762" i="1"/>
  <c r="BM1464" i="1"/>
  <c r="BM630" i="1"/>
  <c r="BM908" i="1"/>
  <c r="BM1679" i="1"/>
  <c r="BM361" i="1"/>
  <c r="BM471" i="1"/>
  <c r="BM583" i="1"/>
  <c r="BM831" i="1"/>
  <c r="BM1465" i="1"/>
  <c r="BM441" i="1"/>
  <c r="BM615" i="1"/>
  <c r="BM866" i="1"/>
  <c r="BM1327" i="1"/>
  <c r="BM400" i="1"/>
  <c r="BM556" i="1"/>
  <c r="BM723" i="1"/>
  <c r="BM1039" i="1"/>
  <c r="BM312" i="1"/>
  <c r="BM434" i="1"/>
  <c r="BM557" i="1"/>
  <c r="BM738" i="1"/>
  <c r="BM1153" i="1"/>
  <c r="BM393" i="1"/>
  <c r="BM598" i="1"/>
  <c r="BM820" i="1"/>
  <c r="BM1187" i="1"/>
  <c r="BM418" i="1"/>
  <c r="BM578" i="1"/>
  <c r="BM713" i="1"/>
  <c r="BM1091" i="1"/>
  <c r="BM791" i="1"/>
  <c r="BM925" i="1"/>
  <c r="BM1041" i="1"/>
  <c r="BM1352" i="1"/>
  <c r="BM792" i="1"/>
  <c r="BM933" i="1"/>
  <c r="BM1083" i="1"/>
  <c r="BM1306" i="1"/>
  <c r="BM1698" i="1"/>
  <c r="BM1042" i="1"/>
  <c r="BM1230" i="1"/>
  <c r="BM1765" i="1"/>
  <c r="BM813" i="1"/>
  <c r="BM951" i="1"/>
  <c r="BM1067" i="1"/>
  <c r="BM1311" i="1"/>
  <c r="BM1646" i="1"/>
  <c r="BM758" i="1"/>
  <c r="BM897" i="1"/>
  <c r="BM1094" i="1"/>
  <c r="BM1384" i="1"/>
  <c r="BM693" i="1"/>
  <c r="BM808" i="1"/>
  <c r="BM935" i="1"/>
  <c r="BM1044" i="1"/>
  <c r="BM1194" i="1"/>
  <c r="BM1480" i="1"/>
  <c r="BM736" i="1"/>
  <c r="BM863" i="1"/>
  <c r="BM1037" i="1"/>
  <c r="BM1459" i="1"/>
  <c r="BM768" i="1"/>
  <c r="BM937" i="1"/>
  <c r="BM1061" i="1"/>
  <c r="BM1319" i="1"/>
  <c r="BM1727" i="1"/>
  <c r="BM1320" i="1"/>
  <c r="BM1522" i="1"/>
  <c r="BM1667" i="1"/>
  <c r="BM1265" i="1"/>
  <c r="BM1354" i="1"/>
  <c r="BM1450" i="1"/>
  <c r="BM1592" i="1"/>
  <c r="BM1747" i="1"/>
  <c r="BM1681" i="1"/>
  <c r="BM1466" i="1"/>
  <c r="BM1660" i="1"/>
  <c r="BM1159" i="1"/>
  <c r="BM1308" i="1"/>
  <c r="BM1555" i="1"/>
  <c r="BM1692" i="1"/>
  <c r="BM1196" i="1"/>
  <c r="BM1317" i="1"/>
  <c r="BM1420" i="1"/>
  <c r="BM1537" i="1"/>
  <c r="BM1693" i="1"/>
  <c r="BM1104" i="1"/>
  <c r="BM1197" i="1"/>
  <c r="BM1302" i="1"/>
  <c r="BM1397" i="1"/>
  <c r="BM1518" i="1"/>
  <c r="BM1652" i="1"/>
  <c r="BM1598" i="1"/>
  <c r="BM1742" i="1"/>
  <c r="BM1359" i="1"/>
  <c r="BM1455" i="1"/>
  <c r="BM1610" i="1"/>
  <c r="BM1753" i="1"/>
  <c r="BM1162" i="1"/>
  <c r="BM1269" i="1"/>
  <c r="BM1569" i="1"/>
  <c r="BM1696" i="1"/>
  <c r="BM663" i="1"/>
  <c r="BM553" i="1"/>
  <c r="BM194" i="1"/>
  <c r="BM189" i="1"/>
  <c r="BM447" i="1"/>
  <c r="BM346" i="1"/>
  <c r="BM433" i="1"/>
  <c r="BM307" i="1"/>
  <c r="BM410" i="1"/>
  <c r="BM185" i="1"/>
  <c r="BM207" i="1"/>
  <c r="BM618" i="1"/>
  <c r="BM181" i="1"/>
  <c r="BM267" i="1"/>
  <c r="BM587" i="1"/>
  <c r="BM675" i="1"/>
  <c r="BM879" i="1"/>
  <c r="BM254" i="1"/>
  <c r="BM621" i="1"/>
  <c r="BM648" i="1"/>
  <c r="BM479" i="1"/>
  <c r="BM1544" i="1"/>
  <c r="BM910" i="1"/>
  <c r="BM317" i="1"/>
  <c r="BM837" i="1"/>
  <c r="BM1050" i="1"/>
  <c r="BM1752" i="1"/>
  <c r="BM947" i="1"/>
  <c r="BM1678" i="1"/>
  <c r="BM614" i="1"/>
  <c r="BM631" i="1"/>
  <c r="BM1547" i="1"/>
  <c r="BM584" i="1"/>
  <c r="BM784" i="1"/>
  <c r="BM1119" i="1"/>
  <c r="BM458" i="1"/>
  <c r="BM570" i="1"/>
  <c r="BM785" i="1"/>
  <c r="BM1223" i="1"/>
  <c r="BM443" i="1"/>
  <c r="BM617" i="1"/>
  <c r="BM893" i="1"/>
  <c r="BM1278" i="1"/>
  <c r="BM459" i="1"/>
  <c r="BM592" i="1"/>
  <c r="BM754" i="1"/>
  <c r="BM1226" i="1"/>
  <c r="BM812" i="1"/>
  <c r="BM941" i="1"/>
  <c r="BM1101" i="1"/>
  <c r="BM1400" i="1"/>
  <c r="BM819" i="1"/>
  <c r="BM986" i="1"/>
  <c r="BM1102" i="1"/>
  <c r="BM1353" i="1"/>
  <c r="BM868" i="1"/>
  <c r="BM1058" i="1"/>
  <c r="BM1355" i="1"/>
  <c r="BM717" i="1"/>
  <c r="BM834" i="1"/>
  <c r="BM968" i="1"/>
  <c r="BM1084" i="1"/>
  <c r="BM1358" i="1"/>
  <c r="BM665" i="1"/>
  <c r="BM780" i="1"/>
  <c r="BM920" i="1"/>
  <c r="BM1116" i="1"/>
  <c r="BM1432" i="1"/>
  <c r="BM711" i="1"/>
  <c r="BM835" i="1"/>
  <c r="BM953" i="1"/>
  <c r="BM1060" i="1"/>
  <c r="BM1251" i="1"/>
  <c r="BM1532" i="1"/>
  <c r="BM752" i="1"/>
  <c r="BM884" i="1"/>
  <c r="BM1117" i="1"/>
  <c r="BM1506" i="1"/>
  <c r="BM795" i="1"/>
  <c r="BM972" i="1"/>
  <c r="BM1077" i="1"/>
  <c r="BM1366" i="1"/>
  <c r="BM1214" i="1"/>
  <c r="BM1336" i="1"/>
  <c r="BM1550" i="1"/>
  <c r="BM1697" i="1"/>
  <c r="BM1277" i="1"/>
  <c r="BM1370" i="1"/>
  <c r="BM1487" i="1"/>
  <c r="BM1614" i="1"/>
  <c r="BM1766" i="1"/>
  <c r="BM1700" i="1"/>
  <c r="BM1517" i="1"/>
  <c r="BM1691" i="1"/>
  <c r="BM1181" i="1"/>
  <c r="BM1324" i="1"/>
  <c r="BM1584" i="1"/>
  <c r="BM1721" i="1"/>
  <c r="BM1218" i="1"/>
  <c r="BM1333" i="1"/>
  <c r="BM1436" i="1"/>
  <c r="BM1575" i="1"/>
  <c r="BM1712" i="1"/>
  <c r="BM1120" i="1"/>
  <c r="BM1219" i="1"/>
  <c r="BM1318" i="1"/>
  <c r="BM1413" i="1"/>
  <c r="BM1538" i="1"/>
  <c r="BM1674" i="1"/>
  <c r="BM1630" i="1"/>
  <c r="BM1771" i="1"/>
  <c r="BM1375" i="1"/>
  <c r="BM1469" i="1"/>
  <c r="BM1631" i="1"/>
  <c r="BM1772" i="1"/>
  <c r="BM1177" i="1"/>
  <c r="BM1282" i="1"/>
  <c r="BM1589" i="1"/>
  <c r="BM1725" i="1"/>
  <c r="BM518" i="1"/>
  <c r="BM550" i="1"/>
  <c r="BM764" i="1"/>
  <c r="BM1216" i="1"/>
  <c r="BM1051" i="1"/>
  <c r="BM1337" i="1"/>
  <c r="BM1411" i="1"/>
  <c r="BM1588" i="1"/>
  <c r="BM244" i="1"/>
  <c r="BM251" i="1"/>
  <c r="BM573" i="1"/>
  <c r="BM1099" i="1"/>
  <c r="BM438" i="1"/>
  <c r="BM1392" i="1"/>
  <c r="BM456" i="1"/>
  <c r="BM1262" i="1"/>
  <c r="BM571" i="1"/>
  <c r="BM321" i="1"/>
  <c r="BM610" i="1"/>
  <c r="BM262" i="1"/>
  <c r="BM337" i="1"/>
  <c r="BM80" i="1"/>
  <c r="BM60" i="1"/>
  <c r="BM252" i="1"/>
  <c r="BM469" i="1"/>
  <c r="BM165" i="1"/>
  <c r="BM537" i="1"/>
  <c r="BM283" i="1"/>
  <c r="BM483" i="1"/>
  <c r="BM515" i="1"/>
  <c r="BM462" i="1"/>
  <c r="BM811" i="1"/>
  <c r="BM955" i="1"/>
  <c r="BM369" i="1"/>
  <c r="BM605" i="1"/>
  <c r="BM457" i="1"/>
  <c r="BM1398" i="1"/>
  <c r="BM408" i="1"/>
  <c r="BM737" i="1"/>
  <c r="BM442" i="1"/>
  <c r="BM563" i="1"/>
  <c r="BM1186" i="1"/>
  <c r="BM435" i="1"/>
  <c r="BM1224" i="1"/>
  <c r="BM585" i="1"/>
  <c r="BM740" i="1"/>
  <c r="BM798" i="1"/>
  <c r="BM1082" i="1"/>
  <c r="BM805" i="1"/>
  <c r="BM1092" i="1"/>
  <c r="BM1756" i="1"/>
  <c r="BM709" i="1"/>
  <c r="BM959" i="1"/>
  <c r="BM1335" i="1"/>
  <c r="BM1708" i="1"/>
  <c r="BM905" i="1"/>
  <c r="BM1408" i="1"/>
  <c r="BM821" i="1"/>
  <c r="BM1052" i="1"/>
  <c r="BM1504" i="1"/>
  <c r="BM870" i="1"/>
  <c r="BM1481" i="1"/>
  <c r="BM962" i="1"/>
  <c r="BM1785" i="1"/>
  <c r="BM1541" i="1"/>
  <c r="BM1362" i="1"/>
  <c r="BM1604" i="1"/>
  <c r="BM1757" i="1"/>
  <c r="BM1489" i="1"/>
  <c r="BM1167" i="1"/>
  <c r="BM1574" i="1"/>
  <c r="BM1210" i="1"/>
  <c r="BM1428" i="1"/>
  <c r="BM1556" i="1"/>
  <c r="BM1112" i="1"/>
  <c r="BM1310" i="1"/>
  <c r="BM1528" i="1"/>
  <c r="BM1620" i="1"/>
  <c r="BM1462" i="1"/>
  <c r="BM1762" i="1"/>
  <c r="BM1170" i="1"/>
  <c r="BM1715" i="1"/>
  <c r="BM365" i="1"/>
  <c r="BM99" i="1"/>
  <c r="BM239" i="1"/>
  <c r="BM421" i="1"/>
  <c r="BM351" i="1"/>
  <c r="BM78" i="1"/>
  <c r="BM273" i="1"/>
  <c r="BM121" i="1"/>
  <c r="BM352" i="1"/>
  <c r="BM335" i="1"/>
  <c r="BM645" i="1"/>
  <c r="BM1443" i="1"/>
  <c r="BM193" i="1"/>
  <c r="BM761" i="1"/>
  <c r="BM491" i="1"/>
  <c r="BM100" i="1"/>
  <c r="BM41" i="1"/>
  <c r="BN41" i="1" s="1"/>
  <c r="BN42" i="1" s="1"/>
  <c r="BM205" i="1"/>
  <c r="BM31" i="1"/>
  <c r="BM97" i="1"/>
  <c r="BM265" i="1"/>
  <c r="BM538" i="1"/>
  <c r="BM353" i="1"/>
  <c r="BM629" i="1"/>
  <c r="BM830" i="1"/>
  <c r="BM657" i="1"/>
  <c r="BM983" i="1"/>
  <c r="BM284" i="1"/>
  <c r="BM376" i="1"/>
  <c r="BM487" i="1"/>
  <c r="BM865" i="1"/>
  <c r="BM1688" i="1"/>
  <c r="BM464" i="1"/>
  <c r="BM931" i="1"/>
  <c r="BM416" i="1"/>
  <c r="BM326" i="1"/>
  <c r="BM698" i="1"/>
  <c r="BM477" i="1"/>
  <c r="BM398" i="1"/>
  <c r="BM272" i="1"/>
  <c r="BM586" i="1"/>
  <c r="BM1440" i="1"/>
  <c r="BM387" i="1"/>
  <c r="BM112" i="1"/>
  <c r="BM90" i="1"/>
  <c r="BM208" i="1"/>
  <c r="BM280" i="1"/>
  <c r="BM714" i="1"/>
  <c r="BM186" i="1"/>
  <c r="BM59" i="1"/>
  <c r="BM58" i="1"/>
  <c r="BM214" i="1"/>
  <c r="BM373" i="1"/>
  <c r="BM809" i="1"/>
  <c r="BM478" i="1"/>
  <c r="BM104" i="1"/>
  <c r="BM354" i="1"/>
  <c r="BM673" i="1"/>
  <c r="BM65" i="1"/>
  <c r="BM81" i="1"/>
  <c r="BM199" i="1"/>
  <c r="BM269" i="1"/>
  <c r="BM859" i="1"/>
  <c r="BM258" i="1"/>
  <c r="BM536" i="1"/>
  <c r="BM218" i="1"/>
  <c r="BM52" i="1"/>
  <c r="BM51" i="1"/>
  <c r="BM259" i="1"/>
  <c r="BM601" i="1"/>
  <c r="BM202" i="1"/>
  <c r="BM82" i="1"/>
  <c r="BM108" i="1"/>
  <c r="BM211" i="1"/>
  <c r="BM329" i="1"/>
  <c r="BM1100" i="1"/>
  <c r="BM50" i="1"/>
  <c r="BM109" i="1"/>
  <c r="BM290" i="1"/>
  <c r="BM581" i="1"/>
  <c r="BM360" i="1"/>
  <c r="BM508" i="1"/>
  <c r="BM638" i="1"/>
  <c r="BM907" i="1"/>
  <c r="BM494" i="1"/>
  <c r="BM667" i="1"/>
  <c r="BM1009" i="1"/>
  <c r="BM289" i="1"/>
  <c r="BM384" i="1"/>
  <c r="BM495" i="1"/>
  <c r="BM639" i="1"/>
  <c r="BM886" i="1"/>
  <c r="BM324" i="1"/>
  <c r="BM503" i="1"/>
  <c r="BM640" i="1"/>
  <c r="BM957" i="1"/>
  <c r="BM1689" i="1"/>
  <c r="BM450" i="1"/>
  <c r="BM606" i="1"/>
  <c r="BM817" i="1"/>
  <c r="BM1222" i="1"/>
  <c r="BM333" i="1"/>
  <c r="BM473" i="1"/>
  <c r="BM577" i="1"/>
  <c r="BM803" i="1"/>
  <c r="BM1276" i="1"/>
  <c r="BM451" i="1"/>
  <c r="BM625" i="1"/>
  <c r="BM916" i="1"/>
  <c r="BM1419" i="1"/>
  <c r="BM474" i="1"/>
  <c r="BM599" i="1"/>
  <c r="BM772" i="1"/>
  <c r="BM1281" i="1"/>
  <c r="BM825" i="1"/>
  <c r="BM949" i="1"/>
  <c r="BM1133" i="1"/>
  <c r="BM1424" i="1"/>
  <c r="BM826" i="1"/>
  <c r="BM996" i="1"/>
  <c r="BM1113" i="1"/>
  <c r="BM1377" i="1"/>
  <c r="BM881" i="1"/>
  <c r="BM1066" i="1"/>
  <c r="BM1379" i="1"/>
  <c r="BM725" i="1"/>
  <c r="BM848" i="1"/>
  <c r="BM978" i="1"/>
  <c r="BM1093" i="1"/>
  <c r="BM1382" i="1"/>
  <c r="BM674" i="1"/>
  <c r="BM793" i="1"/>
  <c r="BM934" i="1"/>
  <c r="BM1126" i="1"/>
  <c r="BM1457" i="1"/>
  <c r="BM719" i="1"/>
  <c r="BM842" i="1"/>
  <c r="BM960" i="1"/>
  <c r="BM1068" i="1"/>
  <c r="BM1270" i="1"/>
  <c r="BM1562" i="1"/>
  <c r="BM760" i="1"/>
  <c r="BM921" i="1"/>
  <c r="BM1149" i="1"/>
  <c r="BM1534" i="1"/>
  <c r="BM802" i="1"/>
  <c r="BM981" i="1"/>
  <c r="BM1087" i="1"/>
  <c r="BM1390" i="1"/>
  <c r="BM1221" i="1"/>
  <c r="BM1344" i="1"/>
  <c r="BM1560" i="1"/>
  <c r="BM1706" i="1"/>
  <c r="BM1284" i="1"/>
  <c r="BM1378" i="1"/>
  <c r="BM1496" i="1"/>
  <c r="BM1636" i="1"/>
  <c r="BM1776" i="1"/>
  <c r="BM1719" i="1"/>
  <c r="BM1535" i="1"/>
  <c r="BM1701" i="1"/>
  <c r="BM1188" i="1"/>
  <c r="BM1332" i="1"/>
  <c r="BM1595" i="1"/>
  <c r="BM1730" i="1"/>
  <c r="BM1225" i="1"/>
  <c r="BM1341" i="1"/>
  <c r="BM1444" i="1"/>
  <c r="BM1585" i="1"/>
  <c r="BM1731" i="1"/>
  <c r="BM1128" i="1"/>
  <c r="BM1233" i="1"/>
  <c r="BM1326" i="1"/>
  <c r="BM1421" i="1"/>
  <c r="BM1546" i="1"/>
  <c r="BM1684" i="1"/>
  <c r="BM1641" i="1"/>
  <c r="BM1781" i="1"/>
  <c r="BM1383" i="1"/>
  <c r="BM1492" i="1"/>
  <c r="BM1642" i="1"/>
  <c r="BM1791" i="1"/>
  <c r="BM1184" i="1"/>
  <c r="BM1470" i="1"/>
  <c r="BM1600" i="1"/>
  <c r="BM1734" i="1"/>
  <c r="BM669" i="1"/>
  <c r="BM363" i="1"/>
  <c r="BM558" i="1"/>
  <c r="BM902" i="1"/>
  <c r="BM911" i="1"/>
  <c r="BM1645" i="1"/>
  <c r="BM742" i="1"/>
  <c r="BM787" i="1"/>
  <c r="BM1433" i="1"/>
  <c r="BM695" i="1"/>
  <c r="BM1603" i="1"/>
  <c r="BM1339" i="1"/>
  <c r="BM1718" i="1"/>
  <c r="BM1787" i="1"/>
  <c r="BM1182" i="1"/>
  <c r="BM1088" i="1"/>
  <c r="BM1499" i="1"/>
  <c r="BM1274" i="1"/>
  <c r="BM1249" i="1"/>
  <c r="BM790" i="1"/>
  <c r="BM163" i="1"/>
  <c r="BM162" i="1"/>
  <c r="BM151" i="1"/>
  <c r="BM150" i="1"/>
  <c r="BM10" i="1"/>
  <c r="BM1369" i="1"/>
  <c r="BM688" i="1"/>
  <c r="BM1374" i="1"/>
  <c r="BM885" i="1"/>
  <c r="BM568" i="1"/>
  <c r="BM1395" i="1"/>
  <c r="BM392" i="1"/>
  <c r="BM1155" i="1"/>
  <c r="BM35" i="1"/>
  <c r="BM277" i="1"/>
  <c r="BM286" i="1"/>
  <c r="BM197" i="1"/>
  <c r="BM619" i="1"/>
  <c r="BM302" i="1"/>
  <c r="BM620" i="1"/>
  <c r="BM188" i="1"/>
  <c r="BM226" i="1"/>
  <c r="BM1613" i="1"/>
  <c r="BM76" i="1"/>
  <c r="BN77" i="1" s="1"/>
  <c r="BM200" i="1"/>
  <c r="BM85" i="1"/>
  <c r="BM345" i="1"/>
  <c r="BM1542" i="1"/>
  <c r="BM279" i="1"/>
  <c r="BM847" i="1"/>
  <c r="BM622" i="1"/>
  <c r="BM569" i="1"/>
  <c r="BM1062" i="1"/>
  <c r="BM769" i="1"/>
  <c r="BM608" i="1"/>
  <c r="BM436" i="1"/>
  <c r="BM1123" i="1"/>
  <c r="BM932" i="1"/>
  <c r="BM1376" i="1"/>
  <c r="BM967" i="1"/>
  <c r="BM1330" i="1"/>
  <c r="BM1245" i="1"/>
  <c r="BM827" i="1"/>
  <c r="BM1075" i="1"/>
  <c r="BM766" i="1"/>
  <c r="BM1105" i="1"/>
  <c r="BM702" i="1"/>
  <c r="BM944" i="1"/>
  <c r="BM1207" i="1"/>
  <c r="BM744" i="1"/>
  <c r="BM1086" i="1"/>
  <c r="BM781" i="1"/>
  <c r="BM1069" i="1"/>
  <c r="BM1343" i="1"/>
  <c r="BM1328" i="1"/>
  <c r="BM1687" i="1"/>
  <c r="BM1271" i="1"/>
  <c r="BM1473" i="1"/>
  <c r="BM1690" i="1"/>
  <c r="BM1672" i="1"/>
  <c r="BM1316" i="1"/>
  <c r="BM1711" i="1"/>
  <c r="BM1325" i="1"/>
  <c r="BM1702" i="1"/>
  <c r="BM1211" i="1"/>
  <c r="BM1405" i="1"/>
  <c r="BM1663" i="1"/>
  <c r="BM1367" i="1"/>
  <c r="BM1621" i="1"/>
  <c r="BM1275" i="1"/>
  <c r="BM1579" i="1"/>
  <c r="BM139" i="1"/>
  <c r="BM420" i="1"/>
  <c r="BM203" i="1"/>
  <c r="BM644" i="1"/>
  <c r="BM48" i="1"/>
  <c r="BM198" i="1"/>
  <c r="BM715" i="1"/>
  <c r="BM338" i="1"/>
  <c r="BM257" i="1"/>
  <c r="BM242" i="1"/>
  <c r="BM579" i="1"/>
  <c r="BM96" i="1"/>
  <c r="BM319" i="1"/>
  <c r="BM501" i="1"/>
  <c r="BM15" i="1"/>
  <c r="BM14" i="1"/>
  <c r="BM439" i="1"/>
  <c r="BM201" i="1"/>
  <c r="BM544" i="1"/>
  <c r="BM565" i="1"/>
  <c r="BM1237" i="1"/>
  <c r="BM545" i="1"/>
  <c r="BM403" i="1"/>
  <c r="BM461" i="1"/>
  <c r="BM102" i="1"/>
  <c r="BM213" i="1"/>
  <c r="BM336" i="1"/>
  <c r="BM755" i="1"/>
  <c r="BM285" i="1"/>
  <c r="BM68" i="1"/>
  <c r="BM67" i="1"/>
  <c r="BM230" i="1"/>
  <c r="BM389" i="1"/>
  <c r="BM858" i="1"/>
  <c r="BM844" i="1"/>
  <c r="BM115" i="1"/>
  <c r="BM374" i="1"/>
  <c r="BM716" i="1"/>
  <c r="BM93" i="1"/>
  <c r="BM204" i="1"/>
  <c r="BM281" i="1"/>
  <c r="BM924" i="1"/>
  <c r="BM264" i="1"/>
  <c r="BM559" i="1"/>
  <c r="BM306" i="1"/>
  <c r="BM61" i="1"/>
  <c r="BM276" i="1"/>
  <c r="BM627" i="1"/>
  <c r="BM234" i="1"/>
  <c r="BM106" i="1"/>
  <c r="BM118" i="1"/>
  <c r="BM216" i="1"/>
  <c r="BM454" i="1"/>
  <c r="BM1199" i="1"/>
  <c r="BM70" i="1"/>
  <c r="BM119" i="1"/>
  <c r="BM297" i="1"/>
  <c r="BM602" i="1"/>
  <c r="BM375" i="1"/>
  <c r="BM523" i="1"/>
  <c r="BM647" i="1"/>
  <c r="BM954" i="1"/>
  <c r="BM509" i="1"/>
  <c r="BM678" i="1"/>
  <c r="BM1032" i="1"/>
  <c r="BM295" i="1"/>
  <c r="BM391" i="1"/>
  <c r="BM502" i="1"/>
  <c r="BM658" i="1"/>
  <c r="BM909" i="1"/>
  <c r="BM331" i="1"/>
  <c r="BM510" i="1"/>
  <c r="BM659" i="1"/>
  <c r="BM1010" i="1"/>
  <c r="BM325" i="1"/>
  <c r="BM465" i="1"/>
  <c r="BM616" i="1"/>
  <c r="BM833" i="1"/>
  <c r="BM1345" i="1"/>
  <c r="BM342" i="1"/>
  <c r="BM481" i="1"/>
  <c r="BM591" i="1"/>
  <c r="BM818" i="1"/>
  <c r="BM1346" i="1"/>
  <c r="BM466" i="1"/>
  <c r="BM642" i="1"/>
  <c r="BM939" i="1"/>
  <c r="BM1488" i="1"/>
  <c r="BM482" i="1"/>
  <c r="BM609" i="1"/>
  <c r="BM789" i="1"/>
  <c r="BM1350" i="1"/>
  <c r="BM839" i="1"/>
  <c r="BM966" i="1"/>
  <c r="BM1156" i="1"/>
  <c r="BM1448" i="1"/>
  <c r="BM840" i="1"/>
  <c r="BM1004" i="1"/>
  <c r="BM1124" i="1"/>
  <c r="BM1401" i="1"/>
  <c r="BM903" i="1"/>
  <c r="BM1074" i="1"/>
  <c r="BM1403" i="1"/>
  <c r="BM733" i="1"/>
  <c r="BM861" i="1"/>
  <c r="BM988" i="1"/>
  <c r="BM1125" i="1"/>
  <c r="BM1406" i="1"/>
  <c r="BM684" i="1"/>
  <c r="BM807" i="1"/>
  <c r="BM943" i="1"/>
  <c r="BM1137" i="1"/>
  <c r="BM1479" i="1"/>
  <c r="BM727" i="1"/>
  <c r="BM856" i="1"/>
  <c r="BM970" i="1"/>
  <c r="BM1076" i="1"/>
  <c r="BM1290" i="1"/>
  <c r="BM1591" i="1"/>
  <c r="BM767" i="1"/>
  <c r="BM936" i="1"/>
  <c r="BM1163" i="1"/>
  <c r="BM1564" i="1"/>
  <c r="BM816" i="1"/>
  <c r="BM991" i="1"/>
  <c r="BM1097" i="1"/>
  <c r="BM1414" i="1"/>
  <c r="BM1235" i="1"/>
  <c r="BM1456" i="1"/>
  <c r="BM1570" i="1"/>
  <c r="BM1716" i="1"/>
  <c r="BM1291" i="1"/>
  <c r="BM1386" i="1"/>
  <c r="BM1505" i="1"/>
  <c r="BM1647" i="1"/>
  <c r="BM1593" i="1"/>
  <c r="BM1729" i="1"/>
  <c r="BM1545" i="1"/>
  <c r="BM1710" i="1"/>
  <c r="BM1203" i="1"/>
  <c r="BM1340" i="1"/>
  <c r="BM1607" i="1"/>
  <c r="BM1740" i="1"/>
  <c r="BM1232" i="1"/>
  <c r="BM1356" i="1"/>
  <c r="BM1452" i="1"/>
  <c r="BM1596" i="1"/>
  <c r="BM1741" i="1"/>
  <c r="BM1136" i="1"/>
  <c r="BM1241" i="1"/>
  <c r="BM1334" i="1"/>
  <c r="BM1429" i="1"/>
  <c r="BM1557" i="1"/>
  <c r="BM1703" i="1"/>
  <c r="BM1653" i="1"/>
  <c r="BM1790" i="1"/>
  <c r="BM1391" i="1"/>
  <c r="BM1501" i="1"/>
  <c r="BM1654" i="1"/>
  <c r="BM1098" i="1"/>
  <c r="BM1198" i="1"/>
  <c r="BM1485" i="1"/>
  <c r="BM1611" i="1"/>
  <c r="BM1744" i="1"/>
  <c r="BM246" i="1"/>
  <c r="BM261" i="1"/>
  <c r="BM1002" i="1"/>
  <c r="BM310" i="1"/>
  <c r="BM128" i="1"/>
  <c r="BM1371" i="1"/>
  <c r="BM655" i="1"/>
  <c r="BM982" i="1"/>
  <c r="BM300" i="1"/>
  <c r="BM525" i="1"/>
  <c r="BM332" i="1"/>
  <c r="BM1416" i="1"/>
  <c r="BM852" i="1"/>
  <c r="BM651" i="1"/>
  <c r="BM349" i="1"/>
  <c r="BM1422" i="1"/>
  <c r="BM1179" i="1"/>
  <c r="BM1425" i="1"/>
  <c r="BM1427" i="1"/>
  <c r="BM997" i="1"/>
  <c r="BM701" i="1"/>
  <c r="BM1503" i="1"/>
  <c r="BM1085" i="1"/>
  <c r="BM945" i="1"/>
  <c r="BM1108" i="1"/>
  <c r="BM1243" i="1"/>
  <c r="BM1299" i="1"/>
  <c r="BM1658" i="1"/>
  <c r="BM1348" i="1"/>
  <c r="BM1206" i="1"/>
  <c r="BM330" i="1"/>
  <c r="BM123" i="1"/>
  <c r="BM1001" i="1"/>
  <c r="BM588" i="1"/>
  <c r="BM144" i="1"/>
  <c r="BM411" i="1"/>
  <c r="BM923" i="1"/>
  <c r="BM322" i="1"/>
  <c r="BM116" i="1"/>
  <c r="BM215" i="1"/>
  <c r="BM412" i="1"/>
  <c r="BM1072" i="1"/>
  <c r="BM282" i="1"/>
  <c r="BM626" i="1"/>
  <c r="BM566" i="1"/>
  <c r="BM318" i="1"/>
  <c r="BM687" i="1"/>
  <c r="BM522" i="1"/>
  <c r="BM11" i="1"/>
  <c r="BM137" i="1"/>
  <c r="BM227" i="1"/>
  <c r="BM492" i="1"/>
  <c r="BM1624" i="1"/>
  <c r="BN1625" i="1" s="1"/>
  <c r="BM145" i="1"/>
  <c r="BM148" i="1"/>
  <c r="BM320" i="1"/>
  <c r="BM731" i="1"/>
  <c r="BM397" i="1"/>
  <c r="BM539" i="1"/>
  <c r="BM666" i="1"/>
  <c r="BM1054" i="1"/>
  <c r="BM547" i="1"/>
  <c r="BM706" i="1"/>
  <c r="BM1079" i="1"/>
  <c r="BM305" i="1"/>
  <c r="BM406" i="1"/>
  <c r="BM524" i="1"/>
  <c r="BM679" i="1"/>
  <c r="BM956" i="1"/>
  <c r="BM370" i="1"/>
  <c r="BM533" i="1"/>
  <c r="BM692" i="1"/>
  <c r="BM1056" i="1"/>
  <c r="BM341" i="1"/>
  <c r="BM480" i="1"/>
  <c r="BM632" i="1"/>
  <c r="BM871" i="1"/>
  <c r="BM1571" i="1"/>
  <c r="BM378" i="1"/>
  <c r="BM497" i="1"/>
  <c r="BM624" i="1"/>
  <c r="BM872" i="1"/>
  <c r="BM1572" i="1"/>
  <c r="BM512" i="1"/>
  <c r="BM671" i="1"/>
  <c r="BM993" i="1"/>
  <c r="BM358" i="1"/>
  <c r="BM498" i="1"/>
  <c r="BM643" i="1"/>
  <c r="BM838" i="1"/>
  <c r="BM1491" i="1"/>
  <c r="BM860" i="1"/>
  <c r="BM985" i="1"/>
  <c r="BM1191" i="1"/>
  <c r="BM1551" i="1"/>
  <c r="BM867" i="1"/>
  <c r="BM1027" i="1"/>
  <c r="BM1145" i="1"/>
  <c r="BM1449" i="1"/>
  <c r="BM950" i="1"/>
  <c r="BM1115" i="1"/>
  <c r="BM1451" i="1"/>
  <c r="BM749" i="1"/>
  <c r="BM882" i="1"/>
  <c r="BM1005" i="1"/>
  <c r="BM1180" i="1"/>
  <c r="BM1454" i="1"/>
  <c r="BM710" i="1"/>
  <c r="BM828" i="1"/>
  <c r="BM969" i="1"/>
  <c r="BM1204" i="1"/>
  <c r="BM1531" i="1"/>
  <c r="BM743" i="1"/>
  <c r="BM883" i="1"/>
  <c r="BM989" i="1"/>
  <c r="BM1095" i="1"/>
  <c r="BM1338" i="1"/>
  <c r="BM676" i="1"/>
  <c r="BM788" i="1"/>
  <c r="BM961" i="1"/>
  <c r="BM1185" i="1"/>
  <c r="BM1668" i="1"/>
  <c r="BM843" i="1"/>
  <c r="BM1008" i="1"/>
  <c r="BM1118" i="1"/>
  <c r="BM1461" i="1"/>
  <c r="BM1257" i="1"/>
  <c r="BM1471" i="1"/>
  <c r="BM1601" i="1"/>
  <c r="BM1745" i="1"/>
  <c r="BM1307" i="1"/>
  <c r="BM1402" i="1"/>
  <c r="BM1525" i="1"/>
  <c r="BM1670" i="1"/>
  <c r="BM1615" i="1"/>
  <c r="BM1748" i="1"/>
  <c r="BM1583" i="1"/>
  <c r="BM1739" i="1"/>
  <c r="BM1253" i="1"/>
  <c r="BM1460" i="1"/>
  <c r="BM1628" i="1"/>
  <c r="BM1769" i="1"/>
  <c r="BM1254" i="1"/>
  <c r="BM1372" i="1"/>
  <c r="BM1475" i="1"/>
  <c r="BM1618" i="1"/>
  <c r="BM1760" i="1"/>
  <c r="BM1152" i="1"/>
  <c r="BM1255" i="1"/>
  <c r="BM1349" i="1"/>
  <c r="BM1445" i="1"/>
  <c r="BM1576" i="1"/>
  <c r="BM1722" i="1"/>
  <c r="BM1675" i="1"/>
  <c r="BM1212" i="1"/>
  <c r="BM1407" i="1"/>
  <c r="BM1539" i="1"/>
  <c r="BM1676" i="1"/>
  <c r="BM1114" i="1"/>
  <c r="BM1213" i="1"/>
  <c r="BM1511" i="1"/>
  <c r="BM1632" i="1"/>
  <c r="BM1773" i="1"/>
  <c r="BM534" i="1"/>
  <c r="BM1552" i="1"/>
  <c r="BM1146" i="1"/>
  <c r="BM228" i="1"/>
  <c r="BM1048" i="1"/>
  <c r="BM314" i="1"/>
  <c r="BM431" i="1"/>
  <c r="BM299" i="1"/>
  <c r="BM832" i="1"/>
  <c r="BM1131" i="1"/>
  <c r="BM423" i="1"/>
  <c r="BM219" i="1"/>
  <c r="BM79" i="1"/>
  <c r="BM270" i="1"/>
  <c r="BM600" i="1"/>
  <c r="BM313" i="1"/>
  <c r="BM383" i="1"/>
  <c r="BM516" i="1"/>
  <c r="BM668" i="1"/>
  <c r="BM680" i="1"/>
  <c r="BM623" i="1"/>
  <c r="BM356" i="1"/>
  <c r="BM1417" i="1"/>
  <c r="BM490" i="1"/>
  <c r="BM846" i="1"/>
  <c r="BM1523" i="1"/>
  <c r="BM1134" i="1"/>
  <c r="BM741" i="1"/>
  <c r="BM1430" i="1"/>
  <c r="BM1148" i="1"/>
  <c r="BM980" i="1"/>
  <c r="BM1173" i="1"/>
  <c r="BM1580" i="1"/>
  <c r="BM1738" i="1"/>
  <c r="BM1493" i="1"/>
  <c r="BM404" i="1"/>
  <c r="BM95" i="1"/>
  <c r="BM424" i="1"/>
  <c r="BM385" i="1"/>
  <c r="BM541" i="1"/>
  <c r="BM708" i="1"/>
  <c r="BM1081" i="1"/>
  <c r="BM347" i="1"/>
  <c r="BM488" i="1"/>
  <c r="BM641" i="1"/>
  <c r="BM892" i="1"/>
  <c r="BM1736" i="1"/>
  <c r="BM386" i="1"/>
  <c r="BM504" i="1"/>
  <c r="BM633" i="1"/>
  <c r="BM915" i="1"/>
  <c r="BM1737" i="1"/>
  <c r="BM527" i="1"/>
  <c r="BM682" i="1"/>
  <c r="BM1017" i="1"/>
  <c r="BM372" i="1"/>
  <c r="BM513" i="1"/>
  <c r="BM652" i="1"/>
  <c r="BM854" i="1"/>
  <c r="BM1577" i="1"/>
  <c r="BM873" i="1"/>
  <c r="BM995" i="1"/>
  <c r="BM1215" i="1"/>
  <c r="BM1581" i="1"/>
  <c r="BM874" i="1"/>
  <c r="BM1034" i="1"/>
  <c r="BM1169" i="1"/>
  <c r="BM1472" i="1"/>
  <c r="BM958" i="1"/>
  <c r="BM1135" i="1"/>
  <c r="BM1497" i="1"/>
  <c r="BM757" i="1"/>
  <c r="BM896" i="1"/>
  <c r="BM1020" i="1"/>
  <c r="BM1202" i="1"/>
  <c r="BM1477" i="1"/>
  <c r="BM718" i="1"/>
  <c r="BM841" i="1"/>
  <c r="BM979" i="1"/>
  <c r="BM1250" i="1"/>
  <c r="BM1561" i="1"/>
  <c r="BM751" i="1"/>
  <c r="BM890" i="1"/>
  <c r="BM999" i="1"/>
  <c r="BM1107" i="1"/>
  <c r="BM1361" i="1"/>
  <c r="BM694" i="1"/>
  <c r="BM801" i="1"/>
  <c r="BM971" i="1"/>
  <c r="BM1195" i="1"/>
  <c r="BM1726" i="1"/>
  <c r="BM850" i="1"/>
  <c r="BM1023" i="1"/>
  <c r="BM1129" i="1"/>
  <c r="BM1484" i="1"/>
  <c r="BM1283" i="1"/>
  <c r="BM1478" i="1"/>
  <c r="BM1612" i="1"/>
  <c r="BM1754" i="1"/>
  <c r="BM1315" i="1"/>
  <c r="BM1410" i="1"/>
  <c r="BM1533" i="1"/>
  <c r="BM1680" i="1"/>
  <c r="BM1626" i="1"/>
  <c r="BM1767" i="1"/>
  <c r="BM1594" i="1"/>
  <c r="BM1749" i="1"/>
  <c r="BM1266" i="1"/>
  <c r="BM1467" i="1"/>
  <c r="BM1638" i="1"/>
  <c r="BM1778" i="1"/>
  <c r="BM1260" i="1"/>
  <c r="BM1380" i="1"/>
  <c r="BM1482" i="1"/>
  <c r="BM1629" i="1"/>
  <c r="BM1779" i="1"/>
  <c r="BM1160" i="1"/>
  <c r="BM1261" i="1"/>
  <c r="BM1357" i="1"/>
  <c r="BM1453" i="1"/>
  <c r="BM1586" i="1"/>
  <c r="BM1732" i="1"/>
  <c r="BM1685" i="1"/>
  <c r="BM1227" i="1"/>
  <c r="BM1415" i="1"/>
  <c r="BM1548" i="1"/>
  <c r="BM1695" i="1"/>
  <c r="BM1122" i="1"/>
  <c r="BM1220" i="1"/>
  <c r="BM1521" i="1"/>
  <c r="BM1643" i="1"/>
  <c r="BM1782" i="1"/>
  <c r="BM417" i="1"/>
  <c r="BM770" i="1"/>
  <c r="BM683" i="1"/>
  <c r="BM1305" i="1"/>
  <c r="BM1065" i="1"/>
  <c r="BM786" i="1"/>
  <c r="BM1248" i="1"/>
  <c r="BM1013" i="1"/>
  <c r="BM1021" i="1"/>
  <c r="BM836" i="1"/>
  <c r="BM1045" i="1"/>
  <c r="BM1644" i="1"/>
  <c r="BM1563" i="1"/>
  <c r="BM1627" i="1"/>
  <c r="BM1673" i="1"/>
  <c r="BM1404" i="1"/>
  <c r="BM1183" i="1"/>
  <c r="BM1770" i="1"/>
  <c r="BM1549" i="1"/>
  <c r="BM187" i="1"/>
  <c r="BM973" i="1"/>
  <c r="BM241" i="1"/>
  <c r="BM222" i="1"/>
  <c r="BM604" i="1"/>
  <c r="BM1016" i="1"/>
  <c r="BM1046" i="1"/>
  <c r="BM1441" i="1"/>
  <c r="BM806" i="1"/>
  <c r="BM428" i="1"/>
  <c r="BM390" i="1"/>
  <c r="BM209" i="1"/>
  <c r="BM444" i="1"/>
  <c r="BM475" i="1"/>
  <c r="BM304" i="1"/>
  <c r="BM531" i="1"/>
  <c r="BM690" i="1"/>
  <c r="BM399" i="1"/>
  <c r="BM930" i="1"/>
  <c r="BM472" i="1"/>
  <c r="BM607" i="1"/>
  <c r="BM965" i="1"/>
  <c r="BM823" i="1"/>
  <c r="BM853" i="1"/>
  <c r="BM919" i="1"/>
  <c r="BM875" i="1"/>
  <c r="BM952" i="1"/>
  <c r="BM869" i="1"/>
  <c r="BM774" i="1"/>
  <c r="BM1000" i="1"/>
  <c r="BM1463" i="1"/>
  <c r="BM1394" i="1"/>
  <c r="BM1605" i="1"/>
  <c r="BM1720" i="1"/>
  <c r="BM1759" i="1"/>
  <c r="BM1364" i="1"/>
  <c r="BM1608" i="1"/>
  <c r="BM1144" i="1"/>
  <c r="BM1342" i="1"/>
  <c r="BM1566" i="1"/>
  <c r="BM1664" i="1"/>
  <c r="BM1399" i="1"/>
  <c r="BM1665" i="1"/>
  <c r="BM1622" i="1"/>
  <c r="BM364" i="1"/>
  <c r="BM131" i="1"/>
  <c r="BM974" i="1"/>
  <c r="BM224" i="1"/>
  <c r="BM664" i="1"/>
  <c r="BM446" i="1"/>
  <c r="BM521" i="1"/>
  <c r="BM86" i="1"/>
  <c r="BM132" i="1"/>
  <c r="BM229" i="1"/>
  <c r="BM114" i="1"/>
  <c r="BM467" i="1"/>
  <c r="BM429" i="1"/>
  <c r="BM1165" i="1"/>
  <c r="BM452" i="1"/>
  <c r="BM288" i="1"/>
  <c r="BM901" i="1"/>
  <c r="BM343" i="1"/>
  <c r="BM700" i="1"/>
  <c r="BM147" i="1"/>
  <c r="BM560" i="1"/>
  <c r="BM880" i="1"/>
  <c r="BM405" i="1"/>
  <c r="BM554" i="1"/>
  <c r="BM677" i="1"/>
  <c r="BM1078" i="1"/>
  <c r="BM747" i="1"/>
  <c r="BM1109" i="1"/>
  <c r="BM311" i="1"/>
  <c r="BM532" i="1"/>
  <c r="BM691" i="1"/>
  <c r="BM984" i="1"/>
  <c r="BM223" i="1"/>
  <c r="BM381" i="1"/>
  <c r="BM635" i="1"/>
  <c r="BM260" i="1"/>
  <c r="BM56" i="1"/>
  <c r="BM55" i="1"/>
  <c r="BM250" i="1"/>
  <c r="BM745" i="1"/>
  <c r="BM500" i="1"/>
  <c r="BM235" i="1"/>
  <c r="BM427" i="1"/>
  <c r="BM1164" i="1"/>
  <c r="BM46" i="1"/>
  <c r="BM124" i="1"/>
  <c r="BM287" i="1"/>
  <c r="BM484" i="1"/>
  <c r="BM1298" i="1"/>
  <c r="BM8" i="1"/>
  <c r="BM448" i="1"/>
  <c r="BM1516" i="1"/>
  <c r="BM39" i="1"/>
  <c r="BM135" i="1"/>
  <c r="BM225" i="1"/>
  <c r="BM468" i="1"/>
  <c r="BM1303" i="1"/>
  <c r="BM303" i="1"/>
  <c r="BM775" i="1"/>
  <c r="BM359" i="1"/>
  <c r="BM776" i="1"/>
  <c r="BM1132" i="1"/>
  <c r="BM33" i="1"/>
  <c r="BM167" i="1"/>
  <c r="BM166" i="1"/>
  <c r="BM237" i="1"/>
  <c r="BM580" i="1"/>
  <c r="BM26" i="1"/>
  <c r="BM13" i="1"/>
  <c r="BM12" i="1"/>
  <c r="BM380" i="1"/>
  <c r="BM948" i="1"/>
  <c r="BM414" i="1"/>
  <c r="BM561" i="1"/>
  <c r="BM689" i="1"/>
  <c r="BM1176" i="1"/>
  <c r="BM582" i="1"/>
  <c r="BM763" i="1"/>
  <c r="BM1141" i="1"/>
  <c r="BM316" i="1"/>
  <c r="BM432" i="1"/>
  <c r="BM540" i="1"/>
  <c r="BM707" i="1"/>
  <c r="BM1110" i="1"/>
  <c r="BM407" i="1"/>
  <c r="BM548" i="1"/>
  <c r="BM722" i="1"/>
  <c r="BM1111" i="1"/>
  <c r="BM355" i="1"/>
  <c r="BM496" i="1"/>
  <c r="BM649" i="1"/>
  <c r="BM914" i="1"/>
  <c r="BM291" i="1"/>
  <c r="BM401" i="1"/>
  <c r="BM519" i="1"/>
  <c r="BM650" i="1"/>
  <c r="BM938" i="1"/>
  <c r="BM348" i="1"/>
  <c r="BM535" i="1"/>
  <c r="BM739" i="1"/>
  <c r="BM1040" i="1"/>
  <c r="BM379" i="1"/>
  <c r="BM520" i="1"/>
  <c r="BM661" i="1"/>
  <c r="BM917" i="1"/>
  <c r="BM1746" i="1"/>
  <c r="BM887" i="1"/>
  <c r="BM1003" i="1"/>
  <c r="BM1228" i="1"/>
  <c r="BM1634" i="1"/>
  <c r="BM888" i="1"/>
  <c r="BM1049" i="1"/>
  <c r="BM1192" i="1"/>
  <c r="BM1495" i="1"/>
  <c r="BM977" i="1"/>
  <c r="BM1147" i="1"/>
  <c r="BM1554" i="1"/>
  <c r="BM765" i="1"/>
  <c r="BM904" i="1"/>
  <c r="BM1028" i="1"/>
  <c r="BM1217" i="1"/>
  <c r="BM1500" i="1"/>
  <c r="BM726" i="1"/>
  <c r="BM855" i="1"/>
  <c r="BM998" i="1"/>
  <c r="BM1289" i="1"/>
  <c r="BM1590" i="1"/>
  <c r="BM759" i="1"/>
  <c r="BM898" i="1"/>
  <c r="BM1007" i="1"/>
  <c r="BM1127" i="1"/>
  <c r="BM1385" i="1"/>
  <c r="BM703" i="1"/>
  <c r="BM815" i="1"/>
  <c r="BM990" i="1"/>
  <c r="BM1363" i="1"/>
  <c r="BM1784" i="1"/>
  <c r="BM864" i="1"/>
  <c r="BM1031" i="1"/>
  <c r="BM1140" i="1"/>
  <c r="BM1510" i="1"/>
  <c r="BM1288" i="1"/>
  <c r="BM1486" i="1"/>
  <c r="BM1623" i="1"/>
  <c r="BM1764" i="1"/>
  <c r="BM1323" i="1"/>
  <c r="BM1418" i="1"/>
  <c r="BM1543" i="1"/>
  <c r="BM1699" i="1"/>
  <c r="BM1637" i="1"/>
  <c r="BM1777" i="1"/>
  <c r="BM1606" i="1"/>
  <c r="BM1758" i="1"/>
  <c r="BM1272" i="1"/>
  <c r="BM1474" i="1"/>
  <c r="BM1650" i="1"/>
  <c r="BM1788" i="1"/>
  <c r="BM1267" i="1"/>
  <c r="BM1388" i="1"/>
  <c r="BM1490" i="1"/>
  <c r="BM1639" i="1"/>
  <c r="BM1789" i="1"/>
  <c r="BM1168" i="1"/>
  <c r="BM1273" i="1"/>
  <c r="BM1365" i="1"/>
  <c r="BM1476" i="1"/>
  <c r="BM1597" i="1"/>
  <c r="BM1751" i="1"/>
  <c r="BM1694" i="1"/>
  <c r="BM1263" i="1"/>
  <c r="BM1423" i="1"/>
  <c r="BM1568" i="1"/>
  <c r="BM1705" i="1"/>
  <c r="BM1130" i="1"/>
  <c r="BM1234" i="1"/>
  <c r="BM1530" i="1"/>
  <c r="BM1655" i="1"/>
  <c r="BM1792" i="1"/>
  <c r="B83" i="1"/>
  <c r="C83" i="1" s="1"/>
  <c r="D83" i="1" s="1"/>
  <c r="E83" i="1" s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AW8" i="1"/>
  <c r="AW9" i="1" s="1"/>
  <c r="AW10" i="1" s="1"/>
  <c r="BN113" i="1" l="1"/>
  <c r="BN221" i="1"/>
  <c r="BN222" i="1" s="1"/>
  <c r="BN223" i="1" s="1"/>
  <c r="BN224" i="1" s="1"/>
  <c r="BN225" i="1" s="1"/>
  <c r="BN226" i="1" s="1"/>
  <c r="BN227" i="1" s="1"/>
  <c r="BN228" i="1" s="1"/>
  <c r="BN229" i="1" s="1"/>
  <c r="BN230" i="1" s="1"/>
  <c r="BN231" i="1" s="1"/>
  <c r="BN232" i="1" s="1"/>
  <c r="BN233" i="1" s="1"/>
  <c r="BN234" i="1" s="1"/>
  <c r="BN235" i="1" s="1"/>
  <c r="BN236" i="1" s="1"/>
  <c r="BN237" i="1" s="1"/>
  <c r="BN238" i="1" s="1"/>
  <c r="BN239" i="1" s="1"/>
  <c r="BN240" i="1" s="1"/>
  <c r="BN241" i="1" s="1"/>
  <c r="BN242" i="1" s="1"/>
  <c r="BN243" i="1" s="1"/>
  <c r="BN244" i="1" s="1"/>
  <c r="BN245" i="1" s="1"/>
  <c r="BN246" i="1" s="1"/>
  <c r="BN247" i="1" s="1"/>
  <c r="BN248" i="1" s="1"/>
  <c r="BN249" i="1" s="1"/>
  <c r="BN250" i="1" s="1"/>
  <c r="BN251" i="1" s="1"/>
  <c r="BN252" i="1" s="1"/>
  <c r="BN253" i="1" s="1"/>
  <c r="BN254" i="1" s="1"/>
  <c r="BN255" i="1" s="1"/>
  <c r="BN256" i="1" s="1"/>
  <c r="BN1661" i="1"/>
  <c r="BN1301" i="1"/>
  <c r="BN1409" i="1"/>
  <c r="BN1121" i="1"/>
  <c r="BN1085" i="1"/>
  <c r="BN617" i="1"/>
  <c r="BN618" i="1" s="1"/>
  <c r="BN619" i="1" s="1"/>
  <c r="BN620" i="1" s="1"/>
  <c r="BN621" i="1" s="1"/>
  <c r="BN622" i="1" s="1"/>
  <c r="BN623" i="1" s="1"/>
  <c r="BN624" i="1" s="1"/>
  <c r="BN625" i="1" s="1"/>
  <c r="BN626" i="1" s="1"/>
  <c r="BN627" i="1" s="1"/>
  <c r="BN628" i="1" s="1"/>
  <c r="BN629" i="1" s="1"/>
  <c r="BN630" i="1" s="1"/>
  <c r="BN631" i="1" s="1"/>
  <c r="BN632" i="1" s="1"/>
  <c r="BN633" i="1" s="1"/>
  <c r="BN634" i="1" s="1"/>
  <c r="BN635" i="1" s="1"/>
  <c r="BN636" i="1" s="1"/>
  <c r="BN637" i="1" s="1"/>
  <c r="BN638" i="1" s="1"/>
  <c r="BN639" i="1" s="1"/>
  <c r="BN640" i="1" s="1"/>
  <c r="BN641" i="1" s="1"/>
  <c r="BN642" i="1" s="1"/>
  <c r="BN643" i="1" s="1"/>
  <c r="BN644" i="1" s="1"/>
  <c r="BN645" i="1" s="1"/>
  <c r="BN646" i="1" s="1"/>
  <c r="BN647" i="1" s="1"/>
  <c r="BN648" i="1" s="1"/>
  <c r="BN649" i="1" s="1"/>
  <c r="BN650" i="1" s="1"/>
  <c r="BN651" i="1" s="1"/>
  <c r="BN652" i="1" s="1"/>
  <c r="BN149" i="1"/>
  <c r="BN150" i="1" s="1"/>
  <c r="BN151" i="1" s="1"/>
  <c r="BN152" i="1" s="1"/>
  <c r="BN153" i="1" s="1"/>
  <c r="BN154" i="1" s="1"/>
  <c r="BN155" i="1" s="1"/>
  <c r="BN156" i="1" s="1"/>
  <c r="BN157" i="1" s="1"/>
  <c r="BN158" i="1" s="1"/>
  <c r="BN159" i="1" s="1"/>
  <c r="BN160" i="1" s="1"/>
  <c r="BN161" i="1" s="1"/>
  <c r="BN162" i="1" s="1"/>
  <c r="BN163" i="1" s="1"/>
  <c r="BN164" i="1" s="1"/>
  <c r="BN165" i="1" s="1"/>
  <c r="BN166" i="1" s="1"/>
  <c r="BN167" i="1" s="1"/>
  <c r="BN168" i="1" s="1"/>
  <c r="BN169" i="1" s="1"/>
  <c r="BN170" i="1" s="1"/>
  <c r="BN171" i="1" s="1"/>
  <c r="BN172" i="1" s="1"/>
  <c r="BN173" i="1" s="1"/>
  <c r="BN174" i="1" s="1"/>
  <c r="BN175" i="1" s="1"/>
  <c r="BN176" i="1" s="1"/>
  <c r="BN177" i="1" s="1"/>
  <c r="BN178" i="1" s="1"/>
  <c r="BN179" i="1" s="1"/>
  <c r="BN180" i="1" s="1"/>
  <c r="BN181" i="1" s="1"/>
  <c r="BN182" i="1" s="1"/>
  <c r="BN183" i="1" s="1"/>
  <c r="BN184" i="1" s="1"/>
  <c r="BN581" i="1"/>
  <c r="BN582" i="1" s="1"/>
  <c r="BN583" i="1" s="1"/>
  <c r="BN584" i="1" s="1"/>
  <c r="BN585" i="1" s="1"/>
  <c r="BN586" i="1" s="1"/>
  <c r="BN587" i="1" s="1"/>
  <c r="BN588" i="1" s="1"/>
  <c r="BN589" i="1" s="1"/>
  <c r="BN590" i="1" s="1"/>
  <c r="BN591" i="1" s="1"/>
  <c r="BN592" i="1" s="1"/>
  <c r="BN593" i="1" s="1"/>
  <c r="BN594" i="1" s="1"/>
  <c r="BN595" i="1" s="1"/>
  <c r="BN596" i="1" s="1"/>
  <c r="BN597" i="1" s="1"/>
  <c r="BN598" i="1" s="1"/>
  <c r="BN599" i="1" s="1"/>
  <c r="BN600" i="1" s="1"/>
  <c r="BN601" i="1" s="1"/>
  <c r="BN602" i="1" s="1"/>
  <c r="BN603" i="1" s="1"/>
  <c r="BN604" i="1" s="1"/>
  <c r="BN605" i="1" s="1"/>
  <c r="BN606" i="1" s="1"/>
  <c r="BN607" i="1" s="1"/>
  <c r="BN608" i="1" s="1"/>
  <c r="BN609" i="1" s="1"/>
  <c r="BN610" i="1" s="1"/>
  <c r="BN611" i="1" s="1"/>
  <c r="BN612" i="1" s="1"/>
  <c r="BN613" i="1" s="1"/>
  <c r="BN614" i="1" s="1"/>
  <c r="BN615" i="1" s="1"/>
  <c r="BN616" i="1" s="1"/>
  <c r="BN653" i="1"/>
  <c r="BN654" i="1" s="1"/>
  <c r="BN655" i="1" s="1"/>
  <c r="BN656" i="1" s="1"/>
  <c r="BN657" i="1" s="1"/>
  <c r="BN658" i="1" s="1"/>
  <c r="BN659" i="1" s="1"/>
  <c r="BN660" i="1" s="1"/>
  <c r="BN661" i="1" s="1"/>
  <c r="BN662" i="1" s="1"/>
  <c r="BN663" i="1" s="1"/>
  <c r="BN664" i="1" s="1"/>
  <c r="BN665" i="1" s="1"/>
  <c r="BN666" i="1" s="1"/>
  <c r="BN667" i="1" s="1"/>
  <c r="BN668" i="1" s="1"/>
  <c r="BN669" i="1" s="1"/>
  <c r="BN670" i="1" s="1"/>
  <c r="BN671" i="1" s="1"/>
  <c r="BN672" i="1" s="1"/>
  <c r="BN673" i="1" s="1"/>
  <c r="BN674" i="1" s="1"/>
  <c r="BN675" i="1" s="1"/>
  <c r="BN676" i="1" s="1"/>
  <c r="BN677" i="1" s="1"/>
  <c r="BN678" i="1" s="1"/>
  <c r="BN679" i="1" s="1"/>
  <c r="BN680" i="1" s="1"/>
  <c r="BN681" i="1" s="1"/>
  <c r="BN682" i="1" s="1"/>
  <c r="BN683" i="1" s="1"/>
  <c r="BN684" i="1" s="1"/>
  <c r="BN685" i="1" s="1"/>
  <c r="BN686" i="1" s="1"/>
  <c r="BN687" i="1" s="1"/>
  <c r="BN688" i="1" s="1"/>
  <c r="BN1445" i="1"/>
  <c r="BN1446" i="1" s="1"/>
  <c r="BN1447" i="1" s="1"/>
  <c r="BN1448" i="1" s="1"/>
  <c r="BN1449" i="1" s="1"/>
  <c r="BN1450" i="1" s="1"/>
  <c r="BN1451" i="1" s="1"/>
  <c r="BN1452" i="1" s="1"/>
  <c r="BN1453" i="1" s="1"/>
  <c r="BN1454" i="1" s="1"/>
  <c r="BN1455" i="1" s="1"/>
  <c r="BN1456" i="1" s="1"/>
  <c r="BN1457" i="1" s="1"/>
  <c r="BN1458" i="1" s="1"/>
  <c r="BN1459" i="1" s="1"/>
  <c r="BN1460" i="1" s="1"/>
  <c r="BN1461" i="1" s="1"/>
  <c r="BN1462" i="1" s="1"/>
  <c r="BN1463" i="1" s="1"/>
  <c r="BN1464" i="1" s="1"/>
  <c r="BN1465" i="1" s="1"/>
  <c r="BN1466" i="1" s="1"/>
  <c r="BN1467" i="1" s="1"/>
  <c r="BN1468" i="1" s="1"/>
  <c r="BN1469" i="1" s="1"/>
  <c r="BN1470" i="1" s="1"/>
  <c r="BN1471" i="1" s="1"/>
  <c r="BN1472" i="1" s="1"/>
  <c r="BN1473" i="1" s="1"/>
  <c r="BN1474" i="1" s="1"/>
  <c r="BN1475" i="1" s="1"/>
  <c r="BN1476" i="1" s="1"/>
  <c r="BN1477" i="1" s="1"/>
  <c r="BN1478" i="1" s="1"/>
  <c r="BN1479" i="1" s="1"/>
  <c r="BN1480" i="1" s="1"/>
  <c r="BN1410" i="1"/>
  <c r="BN1411" i="1" s="1"/>
  <c r="BN1412" i="1" s="1"/>
  <c r="BN1413" i="1" s="1"/>
  <c r="BN1414" i="1" s="1"/>
  <c r="BN1415" i="1" s="1"/>
  <c r="BN1416" i="1" s="1"/>
  <c r="BN1417" i="1" s="1"/>
  <c r="BN1418" i="1" s="1"/>
  <c r="BN1419" i="1" s="1"/>
  <c r="BN1420" i="1" s="1"/>
  <c r="BN1421" i="1" s="1"/>
  <c r="BN1422" i="1" s="1"/>
  <c r="BN1423" i="1" s="1"/>
  <c r="BN1424" i="1" s="1"/>
  <c r="BN1425" i="1" s="1"/>
  <c r="BN1426" i="1" s="1"/>
  <c r="BN1427" i="1" s="1"/>
  <c r="BN1428" i="1" s="1"/>
  <c r="BN1429" i="1" s="1"/>
  <c r="BN1430" i="1" s="1"/>
  <c r="BN1431" i="1" s="1"/>
  <c r="BN1432" i="1" s="1"/>
  <c r="BN1433" i="1" s="1"/>
  <c r="BN1434" i="1" s="1"/>
  <c r="BN1435" i="1" s="1"/>
  <c r="BN1436" i="1" s="1"/>
  <c r="BN1437" i="1" s="1"/>
  <c r="BN1438" i="1" s="1"/>
  <c r="BN1439" i="1" s="1"/>
  <c r="BN1440" i="1" s="1"/>
  <c r="BN1441" i="1" s="1"/>
  <c r="BN1442" i="1" s="1"/>
  <c r="BN1443" i="1" s="1"/>
  <c r="BN1444" i="1" s="1"/>
  <c r="BN1373" i="1"/>
  <c r="BN1374" i="1" s="1"/>
  <c r="BN1375" i="1" s="1"/>
  <c r="BN1376" i="1" s="1"/>
  <c r="BN1377" i="1" s="1"/>
  <c r="BN1378" i="1" s="1"/>
  <c r="BN1379" i="1" s="1"/>
  <c r="BN1380" i="1" s="1"/>
  <c r="BN1381" i="1" s="1"/>
  <c r="BN1382" i="1" s="1"/>
  <c r="BN1383" i="1" s="1"/>
  <c r="BN1384" i="1" s="1"/>
  <c r="BN1385" i="1" s="1"/>
  <c r="BN1386" i="1" s="1"/>
  <c r="BN1387" i="1" s="1"/>
  <c r="BN1388" i="1" s="1"/>
  <c r="BN1389" i="1" s="1"/>
  <c r="BN1390" i="1" s="1"/>
  <c r="BN1391" i="1" s="1"/>
  <c r="BN1392" i="1" s="1"/>
  <c r="BN1393" i="1" s="1"/>
  <c r="BN1394" i="1" s="1"/>
  <c r="BN1395" i="1" s="1"/>
  <c r="BN1396" i="1" s="1"/>
  <c r="BN1397" i="1" s="1"/>
  <c r="BN1398" i="1" s="1"/>
  <c r="BN1399" i="1" s="1"/>
  <c r="BN1400" i="1" s="1"/>
  <c r="BN1401" i="1" s="1"/>
  <c r="BN1402" i="1" s="1"/>
  <c r="BN1403" i="1" s="1"/>
  <c r="BN1404" i="1" s="1"/>
  <c r="BN1405" i="1" s="1"/>
  <c r="BN1406" i="1" s="1"/>
  <c r="BN1407" i="1" s="1"/>
  <c r="BN1408" i="1" s="1"/>
  <c r="BN1769" i="1"/>
  <c r="BN725" i="1"/>
  <c r="BN726" i="1" s="1"/>
  <c r="BN727" i="1" s="1"/>
  <c r="BN728" i="1" s="1"/>
  <c r="BN729" i="1" s="1"/>
  <c r="BN730" i="1" s="1"/>
  <c r="BN731" i="1" s="1"/>
  <c r="BN732" i="1" s="1"/>
  <c r="BN733" i="1" s="1"/>
  <c r="BN734" i="1" s="1"/>
  <c r="BN735" i="1" s="1"/>
  <c r="BN736" i="1" s="1"/>
  <c r="BN737" i="1" s="1"/>
  <c r="BN738" i="1" s="1"/>
  <c r="BN739" i="1" s="1"/>
  <c r="BN740" i="1" s="1"/>
  <c r="BN741" i="1" s="1"/>
  <c r="BN742" i="1" s="1"/>
  <c r="BN743" i="1" s="1"/>
  <c r="BN744" i="1" s="1"/>
  <c r="BN745" i="1" s="1"/>
  <c r="BN746" i="1" s="1"/>
  <c r="BN747" i="1" s="1"/>
  <c r="BN748" i="1" s="1"/>
  <c r="BN749" i="1" s="1"/>
  <c r="BN750" i="1" s="1"/>
  <c r="BN751" i="1" s="1"/>
  <c r="BN752" i="1" s="1"/>
  <c r="BN753" i="1" s="1"/>
  <c r="BN754" i="1" s="1"/>
  <c r="BN755" i="1" s="1"/>
  <c r="BN756" i="1" s="1"/>
  <c r="BN757" i="1" s="1"/>
  <c r="BN758" i="1" s="1"/>
  <c r="BN759" i="1" s="1"/>
  <c r="BN760" i="1" s="1"/>
  <c r="BN941" i="1"/>
  <c r="BN942" i="1" s="1"/>
  <c r="BN943" i="1" s="1"/>
  <c r="BN944" i="1" s="1"/>
  <c r="BN945" i="1" s="1"/>
  <c r="BN946" i="1" s="1"/>
  <c r="BN947" i="1" s="1"/>
  <c r="BN948" i="1" s="1"/>
  <c r="BN949" i="1" s="1"/>
  <c r="BN950" i="1" s="1"/>
  <c r="BN951" i="1" s="1"/>
  <c r="BN952" i="1" s="1"/>
  <c r="BN953" i="1" s="1"/>
  <c r="BN954" i="1" s="1"/>
  <c r="BN955" i="1" s="1"/>
  <c r="BN956" i="1" s="1"/>
  <c r="BN957" i="1" s="1"/>
  <c r="BN958" i="1" s="1"/>
  <c r="BN959" i="1" s="1"/>
  <c r="BN960" i="1" s="1"/>
  <c r="BN961" i="1" s="1"/>
  <c r="BN962" i="1" s="1"/>
  <c r="BN963" i="1" s="1"/>
  <c r="BN964" i="1" s="1"/>
  <c r="BN965" i="1" s="1"/>
  <c r="BN966" i="1" s="1"/>
  <c r="BN967" i="1" s="1"/>
  <c r="BN968" i="1" s="1"/>
  <c r="BN969" i="1" s="1"/>
  <c r="BN970" i="1" s="1"/>
  <c r="BN971" i="1" s="1"/>
  <c r="BN972" i="1" s="1"/>
  <c r="BN973" i="1" s="1"/>
  <c r="BN974" i="1" s="1"/>
  <c r="BN975" i="1" s="1"/>
  <c r="BN976" i="1" s="1"/>
  <c r="BN1013" i="1"/>
  <c r="BN1014" i="1" s="1"/>
  <c r="BN1015" i="1" s="1"/>
  <c r="BN1016" i="1" s="1"/>
  <c r="BN1017" i="1" s="1"/>
  <c r="BN1018" i="1" s="1"/>
  <c r="BN1019" i="1" s="1"/>
  <c r="BN1020" i="1" s="1"/>
  <c r="BN1021" i="1" s="1"/>
  <c r="BN1022" i="1" s="1"/>
  <c r="BN1023" i="1" s="1"/>
  <c r="BN1024" i="1" s="1"/>
  <c r="BN1025" i="1" s="1"/>
  <c r="BN1026" i="1" s="1"/>
  <c r="BN1027" i="1" s="1"/>
  <c r="BN1028" i="1" s="1"/>
  <c r="BN1029" i="1" s="1"/>
  <c r="BN1030" i="1" s="1"/>
  <c r="BN1031" i="1" s="1"/>
  <c r="BN1032" i="1" s="1"/>
  <c r="BN1033" i="1" s="1"/>
  <c r="BN1034" i="1" s="1"/>
  <c r="BN1035" i="1" s="1"/>
  <c r="BN1036" i="1" s="1"/>
  <c r="BN1037" i="1" s="1"/>
  <c r="BN1038" i="1" s="1"/>
  <c r="BN1039" i="1" s="1"/>
  <c r="BN1040" i="1" s="1"/>
  <c r="BN1041" i="1" s="1"/>
  <c r="BN1042" i="1" s="1"/>
  <c r="BN1043" i="1" s="1"/>
  <c r="BN1044" i="1" s="1"/>
  <c r="BN1045" i="1" s="1"/>
  <c r="BN1046" i="1" s="1"/>
  <c r="BN1047" i="1" s="1"/>
  <c r="BN1048" i="1" s="1"/>
  <c r="BN437" i="1"/>
  <c r="BN438" i="1" s="1"/>
  <c r="BN439" i="1" s="1"/>
  <c r="BN440" i="1" s="1"/>
  <c r="BN441" i="1" s="1"/>
  <c r="BN442" i="1" s="1"/>
  <c r="BN443" i="1" s="1"/>
  <c r="BN444" i="1" s="1"/>
  <c r="BN445" i="1" s="1"/>
  <c r="BN446" i="1" s="1"/>
  <c r="BN447" i="1" s="1"/>
  <c r="BN448" i="1" s="1"/>
  <c r="BN449" i="1" s="1"/>
  <c r="BN450" i="1" s="1"/>
  <c r="BN451" i="1" s="1"/>
  <c r="BN452" i="1" s="1"/>
  <c r="BN453" i="1" s="1"/>
  <c r="BN454" i="1" s="1"/>
  <c r="BN455" i="1" s="1"/>
  <c r="BN456" i="1" s="1"/>
  <c r="BN457" i="1" s="1"/>
  <c r="BN458" i="1" s="1"/>
  <c r="BN459" i="1" s="1"/>
  <c r="BN460" i="1" s="1"/>
  <c r="BN461" i="1" s="1"/>
  <c r="BN462" i="1" s="1"/>
  <c r="BN463" i="1" s="1"/>
  <c r="BN464" i="1" s="1"/>
  <c r="BN465" i="1" s="1"/>
  <c r="BN466" i="1" s="1"/>
  <c r="BN467" i="1" s="1"/>
  <c r="BN468" i="1" s="1"/>
  <c r="BN469" i="1" s="1"/>
  <c r="BN470" i="1" s="1"/>
  <c r="BN471" i="1" s="1"/>
  <c r="BN472" i="1" s="1"/>
  <c r="BN1265" i="1"/>
  <c r="BN1266" i="1" s="1"/>
  <c r="BN1267" i="1" s="1"/>
  <c r="BN1268" i="1" s="1"/>
  <c r="BN1269" i="1" s="1"/>
  <c r="BN1270" i="1" s="1"/>
  <c r="BN1271" i="1" s="1"/>
  <c r="BN1272" i="1" s="1"/>
  <c r="BN1273" i="1" s="1"/>
  <c r="BN1274" i="1" s="1"/>
  <c r="BN1275" i="1" s="1"/>
  <c r="BN1276" i="1" s="1"/>
  <c r="BN1277" i="1" s="1"/>
  <c r="BN1278" i="1" s="1"/>
  <c r="BN1279" i="1" s="1"/>
  <c r="BN1280" i="1" s="1"/>
  <c r="BN1281" i="1" s="1"/>
  <c r="BN1282" i="1" s="1"/>
  <c r="BN1283" i="1" s="1"/>
  <c r="BN1284" i="1" s="1"/>
  <c r="BN1285" i="1" s="1"/>
  <c r="BN1286" i="1" s="1"/>
  <c r="BN1287" i="1" s="1"/>
  <c r="BN1288" i="1" s="1"/>
  <c r="BN1289" i="1" s="1"/>
  <c r="BN1290" i="1" s="1"/>
  <c r="BN1291" i="1" s="1"/>
  <c r="BN1292" i="1" s="1"/>
  <c r="BN1293" i="1" s="1"/>
  <c r="BN1294" i="1" s="1"/>
  <c r="BN1295" i="1" s="1"/>
  <c r="BN1296" i="1" s="1"/>
  <c r="BN1297" i="1" s="1"/>
  <c r="BN1298" i="1" s="1"/>
  <c r="BN1299" i="1" s="1"/>
  <c r="BN1300" i="1" s="1"/>
  <c r="BN1193" i="1"/>
  <c r="BN833" i="1"/>
  <c r="BN834" i="1" s="1"/>
  <c r="BN835" i="1" s="1"/>
  <c r="BN836" i="1" s="1"/>
  <c r="BN837" i="1" s="1"/>
  <c r="BN838" i="1" s="1"/>
  <c r="BN839" i="1" s="1"/>
  <c r="BN840" i="1" s="1"/>
  <c r="BN841" i="1" s="1"/>
  <c r="BN842" i="1" s="1"/>
  <c r="BN843" i="1" s="1"/>
  <c r="BN844" i="1" s="1"/>
  <c r="BN845" i="1" s="1"/>
  <c r="BN846" i="1" s="1"/>
  <c r="BN847" i="1" s="1"/>
  <c r="BN848" i="1" s="1"/>
  <c r="BN849" i="1" s="1"/>
  <c r="BN850" i="1" s="1"/>
  <c r="BN851" i="1" s="1"/>
  <c r="BN852" i="1" s="1"/>
  <c r="BN853" i="1" s="1"/>
  <c r="BN854" i="1" s="1"/>
  <c r="BN855" i="1" s="1"/>
  <c r="BN856" i="1" s="1"/>
  <c r="BN857" i="1" s="1"/>
  <c r="BN858" i="1" s="1"/>
  <c r="BN859" i="1" s="1"/>
  <c r="BN860" i="1" s="1"/>
  <c r="BN861" i="1" s="1"/>
  <c r="BN862" i="1" s="1"/>
  <c r="BN863" i="1" s="1"/>
  <c r="BN864" i="1" s="1"/>
  <c r="BN865" i="1" s="1"/>
  <c r="BN866" i="1" s="1"/>
  <c r="BN867" i="1" s="1"/>
  <c r="BN868" i="1" s="1"/>
  <c r="BN1589" i="1"/>
  <c r="BN1590" i="1" s="1"/>
  <c r="BN1591" i="1"/>
  <c r="BN1592" i="1" s="1"/>
  <c r="BN1593" i="1" s="1"/>
  <c r="BN1594" i="1" s="1"/>
  <c r="BN1595" i="1" s="1"/>
  <c r="BN1596" i="1" s="1"/>
  <c r="BN1597" i="1" s="1"/>
  <c r="BN1598" i="1" s="1"/>
  <c r="BN1599" i="1" s="1"/>
  <c r="BN1600" i="1" s="1"/>
  <c r="BN1601" i="1" s="1"/>
  <c r="BN1602" i="1" s="1"/>
  <c r="BN1603" i="1" s="1"/>
  <c r="BN1604" i="1" s="1"/>
  <c r="BN1605" i="1" s="1"/>
  <c r="BN1606" i="1" s="1"/>
  <c r="BN1607" i="1" s="1"/>
  <c r="BN1608" i="1" s="1"/>
  <c r="BN1609" i="1" s="1"/>
  <c r="BN1610" i="1" s="1"/>
  <c r="BN1611" i="1" s="1"/>
  <c r="BN1612" i="1" s="1"/>
  <c r="BN1613" i="1" s="1"/>
  <c r="BN1614" i="1" s="1"/>
  <c r="BN1615" i="1" s="1"/>
  <c r="BN1616" i="1" s="1"/>
  <c r="BN1617" i="1" s="1"/>
  <c r="BN1618" i="1" s="1"/>
  <c r="BN1619" i="1" s="1"/>
  <c r="BN1620" i="1" s="1"/>
  <c r="BN1621" i="1" s="1"/>
  <c r="BN1622" i="1" s="1"/>
  <c r="BN1623" i="1" s="1"/>
  <c r="BN1624" i="1" s="1"/>
  <c r="BN869" i="1"/>
  <c r="BN870" i="1" s="1"/>
  <c r="BN871" i="1" s="1"/>
  <c r="BN872" i="1" s="1"/>
  <c r="BN873" i="1" s="1"/>
  <c r="BN874" i="1" s="1"/>
  <c r="BN875" i="1" s="1"/>
  <c r="BN876" i="1" s="1"/>
  <c r="BN877" i="1" s="1"/>
  <c r="BN878" i="1" s="1"/>
  <c r="BN879" i="1" s="1"/>
  <c r="BN880" i="1" s="1"/>
  <c r="BN881" i="1" s="1"/>
  <c r="BN882" i="1" s="1"/>
  <c r="BN883" i="1" s="1"/>
  <c r="BN884" i="1" s="1"/>
  <c r="BN885" i="1" s="1"/>
  <c r="BN886" i="1" s="1"/>
  <c r="BN887" i="1" s="1"/>
  <c r="BN888" i="1" s="1"/>
  <c r="BN889" i="1" s="1"/>
  <c r="BN890" i="1" s="1"/>
  <c r="BN891" i="1" s="1"/>
  <c r="BN892" i="1" s="1"/>
  <c r="BN893" i="1" s="1"/>
  <c r="BN894" i="1" s="1"/>
  <c r="BN895" i="1" s="1"/>
  <c r="BN896" i="1" s="1"/>
  <c r="BN897" i="1" s="1"/>
  <c r="BN898" i="1" s="1"/>
  <c r="BN899" i="1" s="1"/>
  <c r="BN900" i="1" s="1"/>
  <c r="BN901" i="1" s="1"/>
  <c r="BN902" i="1" s="1"/>
  <c r="BN903" i="1" s="1"/>
  <c r="BN904" i="1" s="1"/>
  <c r="BN1733" i="1"/>
  <c r="BN1734" i="1" s="1"/>
  <c r="BN1735" i="1" s="1"/>
  <c r="BN1736" i="1" s="1"/>
  <c r="BN1737" i="1" s="1"/>
  <c r="BN1738" i="1" s="1"/>
  <c r="BN1739" i="1" s="1"/>
  <c r="BN1740" i="1" s="1"/>
  <c r="BN1741" i="1" s="1"/>
  <c r="BN1742" i="1" s="1"/>
  <c r="BN1743" i="1" s="1"/>
  <c r="BN1744" i="1" s="1"/>
  <c r="BN1745" i="1" s="1"/>
  <c r="BN1746" i="1" s="1"/>
  <c r="BN1747" i="1" s="1"/>
  <c r="BN1748" i="1" s="1"/>
  <c r="BN1749" i="1" s="1"/>
  <c r="BN1750" i="1" s="1"/>
  <c r="BN1751" i="1" s="1"/>
  <c r="BN1752" i="1" s="1"/>
  <c r="BN1753" i="1" s="1"/>
  <c r="BN1754" i="1" s="1"/>
  <c r="BN1755" i="1" s="1"/>
  <c r="BN1756" i="1" s="1"/>
  <c r="BN1757" i="1" s="1"/>
  <c r="BN1758" i="1" s="1"/>
  <c r="BN1759" i="1" s="1"/>
  <c r="BN1760" i="1" s="1"/>
  <c r="BN1761" i="1" s="1"/>
  <c r="BN1762" i="1" s="1"/>
  <c r="BN1763" i="1" s="1"/>
  <c r="BN1764" i="1" s="1"/>
  <c r="BN1765" i="1" s="1"/>
  <c r="BN1766" i="1" s="1"/>
  <c r="BN1767" i="1" s="1"/>
  <c r="BN1768" i="1" s="1"/>
  <c r="BN1697" i="1"/>
  <c r="BN1698" i="1" s="1"/>
  <c r="BN1699" i="1" s="1"/>
  <c r="BN1700" i="1" s="1"/>
  <c r="BN1701" i="1" s="1"/>
  <c r="BN1702" i="1" s="1"/>
  <c r="BN1703" i="1" s="1"/>
  <c r="BN1704" i="1" s="1"/>
  <c r="BN1705" i="1" s="1"/>
  <c r="BN1706" i="1" s="1"/>
  <c r="BN1707" i="1" s="1"/>
  <c r="BN1708" i="1" s="1"/>
  <c r="BN1709" i="1" s="1"/>
  <c r="BN1710" i="1" s="1"/>
  <c r="BN1711" i="1" s="1"/>
  <c r="BN1712" i="1" s="1"/>
  <c r="BN1713" i="1" s="1"/>
  <c r="BN1714" i="1" s="1"/>
  <c r="BN1715" i="1" s="1"/>
  <c r="BN1716" i="1" s="1"/>
  <c r="BN1717" i="1" s="1"/>
  <c r="BN1718" i="1" s="1"/>
  <c r="BN1719" i="1" s="1"/>
  <c r="BN1720" i="1" s="1"/>
  <c r="BN1721" i="1" s="1"/>
  <c r="BN1722" i="1" s="1"/>
  <c r="BN1723" i="1" s="1"/>
  <c r="BN1724" i="1" s="1"/>
  <c r="BN1725" i="1" s="1"/>
  <c r="BN1726" i="1" s="1"/>
  <c r="BN1727" i="1" s="1"/>
  <c r="BN1728" i="1" s="1"/>
  <c r="BN1729" i="1" s="1"/>
  <c r="BN1730" i="1" s="1"/>
  <c r="BN1731" i="1" s="1"/>
  <c r="BN1732" i="1" s="1"/>
  <c r="BN545" i="1"/>
  <c r="BN546" i="1" s="1"/>
  <c r="BN547" i="1" s="1"/>
  <c r="BN548" i="1" s="1"/>
  <c r="BN549" i="1" s="1"/>
  <c r="BN550" i="1" s="1"/>
  <c r="BN551" i="1" s="1"/>
  <c r="BN552" i="1" s="1"/>
  <c r="BN553" i="1" s="1"/>
  <c r="BN554" i="1" s="1"/>
  <c r="BN555" i="1" s="1"/>
  <c r="BN556" i="1" s="1"/>
  <c r="BN557" i="1" s="1"/>
  <c r="BN558" i="1" s="1"/>
  <c r="BN559" i="1" s="1"/>
  <c r="BN560" i="1" s="1"/>
  <c r="BN561" i="1" s="1"/>
  <c r="BN562" i="1" s="1"/>
  <c r="BN563" i="1" s="1"/>
  <c r="BN564" i="1" s="1"/>
  <c r="BN565" i="1" s="1"/>
  <c r="BN566" i="1" s="1"/>
  <c r="BN567" i="1" s="1"/>
  <c r="BN568" i="1" s="1"/>
  <c r="BN569" i="1" s="1"/>
  <c r="BN570" i="1" s="1"/>
  <c r="BN571" i="1" s="1"/>
  <c r="BN572" i="1" s="1"/>
  <c r="BN573" i="1" s="1"/>
  <c r="BN574" i="1" s="1"/>
  <c r="BN575" i="1" s="1"/>
  <c r="BN576" i="1" s="1"/>
  <c r="BN577" i="1" s="1"/>
  <c r="BN578" i="1" s="1"/>
  <c r="BN579" i="1" s="1"/>
  <c r="BN580" i="1" s="1"/>
  <c r="BN1662" i="1"/>
  <c r="BN1663" i="1" s="1"/>
  <c r="BN1664" i="1" s="1"/>
  <c r="BN1665" i="1" s="1"/>
  <c r="BN1666" i="1" s="1"/>
  <c r="BN1667" i="1" s="1"/>
  <c r="BN1668" i="1" s="1"/>
  <c r="BN1669" i="1" s="1"/>
  <c r="BN1670" i="1" s="1"/>
  <c r="BN1671" i="1" s="1"/>
  <c r="BN1672" i="1" s="1"/>
  <c r="BN1673" i="1" s="1"/>
  <c r="BN1674" i="1" s="1"/>
  <c r="BN1675" i="1" s="1"/>
  <c r="BN1676" i="1" s="1"/>
  <c r="BN1677" i="1" s="1"/>
  <c r="BN1678" i="1" s="1"/>
  <c r="BN1679" i="1" s="1"/>
  <c r="BN1680" i="1" s="1"/>
  <c r="BN1681" i="1" s="1"/>
  <c r="BN1682" i="1" s="1"/>
  <c r="BN1683" i="1" s="1"/>
  <c r="BN1684" i="1" s="1"/>
  <c r="BN1685" i="1" s="1"/>
  <c r="BN1686" i="1" s="1"/>
  <c r="BN1687" i="1" s="1"/>
  <c r="BN1688" i="1" s="1"/>
  <c r="BN1689" i="1" s="1"/>
  <c r="BN1690" i="1" s="1"/>
  <c r="BN1691" i="1" s="1"/>
  <c r="BN1692" i="1" s="1"/>
  <c r="BN1693" i="1" s="1"/>
  <c r="BN1694" i="1" s="1"/>
  <c r="BN1695" i="1" s="1"/>
  <c r="BN1696" i="1" s="1"/>
  <c r="BN1553" i="1"/>
  <c r="BN1554" i="1" s="1"/>
  <c r="BN1555" i="1" s="1"/>
  <c r="BN1556" i="1" s="1"/>
  <c r="BN1557" i="1" s="1"/>
  <c r="BN1558" i="1" s="1"/>
  <c r="BN1559" i="1" s="1"/>
  <c r="BN1560" i="1" s="1"/>
  <c r="BN1561" i="1" s="1"/>
  <c r="BN1562" i="1" s="1"/>
  <c r="BN1563" i="1" s="1"/>
  <c r="BN1564" i="1" s="1"/>
  <c r="BN1565" i="1" s="1"/>
  <c r="BN1566" i="1" s="1"/>
  <c r="BN1567" i="1" s="1"/>
  <c r="BN1568" i="1" s="1"/>
  <c r="BN1569" i="1" s="1"/>
  <c r="BN1570" i="1" s="1"/>
  <c r="BN1571" i="1" s="1"/>
  <c r="BN1572" i="1" s="1"/>
  <c r="BN1573" i="1" s="1"/>
  <c r="BN1574" i="1" s="1"/>
  <c r="BN1575" i="1" s="1"/>
  <c r="BN1576" i="1" s="1"/>
  <c r="BN1577" i="1" s="1"/>
  <c r="BN1578" i="1" s="1"/>
  <c r="BN1579" i="1" s="1"/>
  <c r="BN1580" i="1" s="1"/>
  <c r="BN1581" i="1" s="1"/>
  <c r="BN1582" i="1" s="1"/>
  <c r="BN1583" i="1" s="1"/>
  <c r="BN1584" i="1" s="1"/>
  <c r="BN1585" i="1" s="1"/>
  <c r="BN1586" i="1" s="1"/>
  <c r="BN1587" i="1" s="1"/>
  <c r="BN1588" i="1" s="1"/>
  <c r="BN797" i="1"/>
  <c r="BN798" i="1" s="1"/>
  <c r="BN799" i="1" s="1"/>
  <c r="BN800" i="1" s="1"/>
  <c r="BN801" i="1" s="1"/>
  <c r="BN802" i="1" s="1"/>
  <c r="BN803" i="1" s="1"/>
  <c r="BN804" i="1" s="1"/>
  <c r="BN805" i="1" s="1"/>
  <c r="BN806" i="1" s="1"/>
  <c r="BN807" i="1" s="1"/>
  <c r="BN808" i="1" s="1"/>
  <c r="BN809" i="1" s="1"/>
  <c r="BN810" i="1" s="1"/>
  <c r="BN811" i="1" s="1"/>
  <c r="BN812" i="1" s="1"/>
  <c r="BN813" i="1" s="1"/>
  <c r="BN814" i="1" s="1"/>
  <c r="BN815" i="1" s="1"/>
  <c r="BN816" i="1" s="1"/>
  <c r="BN817" i="1" s="1"/>
  <c r="BN818" i="1" s="1"/>
  <c r="BN819" i="1" s="1"/>
  <c r="BN820" i="1" s="1"/>
  <c r="BN821" i="1" s="1"/>
  <c r="BN822" i="1" s="1"/>
  <c r="BN823" i="1" s="1"/>
  <c r="BN824" i="1" s="1"/>
  <c r="BN825" i="1" s="1"/>
  <c r="BN826" i="1" s="1"/>
  <c r="BN827" i="1" s="1"/>
  <c r="BN828" i="1" s="1"/>
  <c r="BN829" i="1" s="1"/>
  <c r="BN830" i="1" s="1"/>
  <c r="BN831" i="1" s="1"/>
  <c r="BN832" i="1" s="1"/>
  <c r="BN293" i="1"/>
  <c r="BN294" i="1" s="1"/>
  <c r="BN295" i="1" s="1"/>
  <c r="BN296" i="1" s="1"/>
  <c r="BN297" i="1" s="1"/>
  <c r="BN298" i="1" s="1"/>
  <c r="BN299" i="1" s="1"/>
  <c r="BN300" i="1" s="1"/>
  <c r="BN301" i="1" s="1"/>
  <c r="BN302" i="1" s="1"/>
  <c r="BN303" i="1" s="1"/>
  <c r="BN304" i="1" s="1"/>
  <c r="BN305" i="1" s="1"/>
  <c r="BN306" i="1" s="1"/>
  <c r="BN307" i="1" s="1"/>
  <c r="BN308" i="1" s="1"/>
  <c r="BN309" i="1" s="1"/>
  <c r="BN310" i="1" s="1"/>
  <c r="BN311" i="1" s="1"/>
  <c r="BN312" i="1" s="1"/>
  <c r="BN313" i="1" s="1"/>
  <c r="BN314" i="1" s="1"/>
  <c r="BN315" i="1" s="1"/>
  <c r="BN316" i="1" s="1"/>
  <c r="BN317" i="1" s="1"/>
  <c r="BN318" i="1" s="1"/>
  <c r="BN319" i="1" s="1"/>
  <c r="BN320" i="1" s="1"/>
  <c r="BN321" i="1" s="1"/>
  <c r="BN322" i="1" s="1"/>
  <c r="BN323" i="1" s="1"/>
  <c r="BN324" i="1" s="1"/>
  <c r="BN325" i="1" s="1"/>
  <c r="BN326" i="1" s="1"/>
  <c r="BN327" i="1" s="1"/>
  <c r="BN328" i="1" s="1"/>
  <c r="BN365" i="1"/>
  <c r="BN366" i="1" s="1"/>
  <c r="BN367" i="1" s="1"/>
  <c r="BN368" i="1" s="1"/>
  <c r="BN369" i="1" s="1"/>
  <c r="BN370" i="1" s="1"/>
  <c r="BN371" i="1" s="1"/>
  <c r="BN372" i="1" s="1"/>
  <c r="BN373" i="1" s="1"/>
  <c r="BN374" i="1" s="1"/>
  <c r="BN375" i="1" s="1"/>
  <c r="BN376" i="1" s="1"/>
  <c r="BN377" i="1" s="1"/>
  <c r="BN378" i="1" s="1"/>
  <c r="BN379" i="1" s="1"/>
  <c r="BN380" i="1" s="1"/>
  <c r="BN381" i="1" s="1"/>
  <c r="BN382" i="1" s="1"/>
  <c r="BN383" i="1" s="1"/>
  <c r="BN384" i="1" s="1"/>
  <c r="BN385" i="1" s="1"/>
  <c r="BN386" i="1" s="1"/>
  <c r="BN387" i="1" s="1"/>
  <c r="BN388" i="1" s="1"/>
  <c r="BN389" i="1" s="1"/>
  <c r="BN390" i="1" s="1"/>
  <c r="BN391" i="1" s="1"/>
  <c r="BN392" i="1" s="1"/>
  <c r="BN393" i="1" s="1"/>
  <c r="BN394" i="1" s="1"/>
  <c r="BN395" i="1" s="1"/>
  <c r="BN396" i="1" s="1"/>
  <c r="BN397" i="1" s="1"/>
  <c r="BN398" i="1" s="1"/>
  <c r="BN399" i="1" s="1"/>
  <c r="BN400" i="1" s="1"/>
  <c r="BN509" i="1"/>
  <c r="BN510" i="1" s="1"/>
  <c r="BN511" i="1" s="1"/>
  <c r="BN512" i="1" s="1"/>
  <c r="BN513" i="1" s="1"/>
  <c r="BN514" i="1" s="1"/>
  <c r="BN515" i="1" s="1"/>
  <c r="BN516" i="1" s="1"/>
  <c r="BN517" i="1" s="1"/>
  <c r="BN518" i="1" s="1"/>
  <c r="BN519" i="1" s="1"/>
  <c r="BN520" i="1" s="1"/>
  <c r="BN521" i="1" s="1"/>
  <c r="BN522" i="1" s="1"/>
  <c r="BN523" i="1" s="1"/>
  <c r="BN524" i="1" s="1"/>
  <c r="BN525" i="1" s="1"/>
  <c r="BN526" i="1" s="1"/>
  <c r="BN527" i="1" s="1"/>
  <c r="BN528" i="1" s="1"/>
  <c r="BN529" i="1" s="1"/>
  <c r="BN530" i="1" s="1"/>
  <c r="BN531" i="1" s="1"/>
  <c r="BN532" i="1" s="1"/>
  <c r="BN533" i="1" s="1"/>
  <c r="BN534" i="1" s="1"/>
  <c r="BN535" i="1" s="1"/>
  <c r="BN536" i="1" s="1"/>
  <c r="BN537" i="1" s="1"/>
  <c r="BN538" i="1" s="1"/>
  <c r="BN539" i="1" s="1"/>
  <c r="BN540" i="1" s="1"/>
  <c r="BN541" i="1" s="1"/>
  <c r="BN542" i="1" s="1"/>
  <c r="BN543" i="1" s="1"/>
  <c r="BN544" i="1" s="1"/>
  <c r="BN1086" i="1"/>
  <c r="BN1087" i="1" s="1"/>
  <c r="BN1088" i="1" s="1"/>
  <c r="BN1089" i="1" s="1"/>
  <c r="BN1090" i="1" s="1"/>
  <c r="BN1091" i="1" s="1"/>
  <c r="BN1092" i="1" s="1"/>
  <c r="BN1093" i="1" s="1"/>
  <c r="BN1094" i="1" s="1"/>
  <c r="BN1095" i="1" s="1"/>
  <c r="BN1096" i="1" s="1"/>
  <c r="BN1097" i="1" s="1"/>
  <c r="BN1098" i="1" s="1"/>
  <c r="BN1099" i="1" s="1"/>
  <c r="BN1100" i="1" s="1"/>
  <c r="BN1101" i="1" s="1"/>
  <c r="BN1102" i="1" s="1"/>
  <c r="BN1103" i="1" s="1"/>
  <c r="BN1104" i="1" s="1"/>
  <c r="BN1105" i="1" s="1"/>
  <c r="BN1106" i="1" s="1"/>
  <c r="BN1107" i="1" s="1"/>
  <c r="BN1108" i="1" s="1"/>
  <c r="BN1109" i="1" s="1"/>
  <c r="BN1110" i="1" s="1"/>
  <c r="BN1111" i="1" s="1"/>
  <c r="BN1112" i="1" s="1"/>
  <c r="BN1113" i="1" s="1"/>
  <c r="BN1114" i="1" s="1"/>
  <c r="BN1115" i="1" s="1"/>
  <c r="BN1116" i="1" s="1"/>
  <c r="BN1117" i="1" s="1"/>
  <c r="BN1118" i="1" s="1"/>
  <c r="BN1119" i="1" s="1"/>
  <c r="BN1120" i="1" s="1"/>
  <c r="BN1481" i="1"/>
  <c r="BN1482" i="1" s="1"/>
  <c r="BN1483" i="1" s="1"/>
  <c r="BN1484" i="1" s="1"/>
  <c r="BN1485" i="1" s="1"/>
  <c r="BN1486" i="1" s="1"/>
  <c r="BN1487" i="1" s="1"/>
  <c r="BN1488" i="1" s="1"/>
  <c r="BN1489" i="1" s="1"/>
  <c r="BN1490" i="1" s="1"/>
  <c r="BN1491" i="1" s="1"/>
  <c r="BN1492" i="1" s="1"/>
  <c r="BN1493" i="1" s="1"/>
  <c r="BN1494" i="1" s="1"/>
  <c r="BN1495" i="1" s="1"/>
  <c r="BN1496" i="1" s="1"/>
  <c r="BN1497" i="1" s="1"/>
  <c r="BN1498" i="1" s="1"/>
  <c r="BN1499" i="1" s="1"/>
  <c r="BN1500" i="1" s="1"/>
  <c r="BN1501" i="1" s="1"/>
  <c r="BN1502" i="1" s="1"/>
  <c r="BN1503" i="1" s="1"/>
  <c r="BN1504" i="1" s="1"/>
  <c r="BN1505" i="1" s="1"/>
  <c r="BN1506" i="1" s="1"/>
  <c r="BN1507" i="1" s="1"/>
  <c r="BN1508" i="1" s="1"/>
  <c r="BN1509" i="1" s="1"/>
  <c r="BN1510" i="1" s="1"/>
  <c r="BN1511" i="1" s="1"/>
  <c r="BN1512" i="1" s="1"/>
  <c r="BN1513" i="1" s="1"/>
  <c r="BN1514" i="1" s="1"/>
  <c r="BN1515" i="1" s="1"/>
  <c r="BN1516" i="1" s="1"/>
  <c r="BN43" i="1"/>
  <c r="BN44" i="1" s="1"/>
  <c r="BN45" i="1" s="1"/>
  <c r="BN46" i="1" s="1"/>
  <c r="BN47" i="1" s="1"/>
  <c r="BN48" i="1" s="1"/>
  <c r="BN49" i="1" s="1"/>
  <c r="BN50" i="1" s="1"/>
  <c r="BN51" i="1" s="1"/>
  <c r="BN52" i="1" s="1"/>
  <c r="BN53" i="1" s="1"/>
  <c r="BN54" i="1" s="1"/>
  <c r="BN55" i="1" s="1"/>
  <c r="BN56" i="1" s="1"/>
  <c r="BN57" i="1" s="1"/>
  <c r="BN58" i="1" s="1"/>
  <c r="BN59" i="1" s="1"/>
  <c r="BN60" i="1" s="1"/>
  <c r="BN61" i="1" s="1"/>
  <c r="BN62" i="1" s="1"/>
  <c r="BN63" i="1" s="1"/>
  <c r="BN64" i="1" s="1"/>
  <c r="BN65" i="1" s="1"/>
  <c r="BN66" i="1" s="1"/>
  <c r="BN67" i="1" s="1"/>
  <c r="BN68" i="1" s="1"/>
  <c r="BN69" i="1" s="1"/>
  <c r="BN70" i="1" s="1"/>
  <c r="BN71" i="1" s="1"/>
  <c r="BN72" i="1" s="1"/>
  <c r="BN73" i="1" s="1"/>
  <c r="BN74" i="1" s="1"/>
  <c r="BN75" i="1" s="1"/>
  <c r="BN76" i="1" s="1"/>
  <c r="BN1770" i="1"/>
  <c r="BN1771" i="1" s="1"/>
  <c r="BN1772" i="1" s="1"/>
  <c r="BN1773" i="1" s="1"/>
  <c r="BN1774" i="1" s="1"/>
  <c r="BN1775" i="1" s="1"/>
  <c r="BN1776" i="1" s="1"/>
  <c r="BN1777" i="1" s="1"/>
  <c r="BN1778" i="1" s="1"/>
  <c r="BN1779" i="1" s="1"/>
  <c r="BN1780" i="1" s="1"/>
  <c r="BN1781" i="1" s="1"/>
  <c r="BN1782" i="1" s="1"/>
  <c r="BN1783" i="1" s="1"/>
  <c r="BN1784" i="1" s="1"/>
  <c r="BN1785" i="1" s="1"/>
  <c r="BN1786" i="1" s="1"/>
  <c r="BN1787" i="1" s="1"/>
  <c r="BN1788" i="1" s="1"/>
  <c r="BN1789" i="1" s="1"/>
  <c r="BN1790" i="1" s="1"/>
  <c r="BN1791" i="1" s="1"/>
  <c r="BN1792" i="1" s="1"/>
  <c r="BN329" i="1"/>
  <c r="BN330" i="1" s="1"/>
  <c r="BN331" i="1" s="1"/>
  <c r="BN332" i="1" s="1"/>
  <c r="BN333" i="1" s="1"/>
  <c r="BN334" i="1" s="1"/>
  <c r="BN335" i="1" s="1"/>
  <c r="BN336" i="1" s="1"/>
  <c r="BN337" i="1" s="1"/>
  <c r="BN338" i="1" s="1"/>
  <c r="BN339" i="1" s="1"/>
  <c r="BN340" i="1" s="1"/>
  <c r="BN341" i="1" s="1"/>
  <c r="BN342" i="1" s="1"/>
  <c r="BN343" i="1" s="1"/>
  <c r="BN344" i="1" s="1"/>
  <c r="BN345" i="1" s="1"/>
  <c r="BN346" i="1" s="1"/>
  <c r="BN347" i="1" s="1"/>
  <c r="BN348" i="1" s="1"/>
  <c r="BN349" i="1" s="1"/>
  <c r="BN350" i="1" s="1"/>
  <c r="BN351" i="1" s="1"/>
  <c r="BN352" i="1" s="1"/>
  <c r="BN353" i="1" s="1"/>
  <c r="BN354" i="1" s="1"/>
  <c r="BN355" i="1" s="1"/>
  <c r="BN356" i="1" s="1"/>
  <c r="BN357" i="1" s="1"/>
  <c r="BN358" i="1" s="1"/>
  <c r="BN359" i="1" s="1"/>
  <c r="BN360" i="1" s="1"/>
  <c r="BN361" i="1" s="1"/>
  <c r="BN362" i="1" s="1"/>
  <c r="BN363" i="1" s="1"/>
  <c r="BN364" i="1" s="1"/>
  <c r="BN1229" i="1"/>
  <c r="BN1230" i="1" s="1"/>
  <c r="BN1231" i="1" s="1"/>
  <c r="BN1232" i="1" s="1"/>
  <c r="BN1233" i="1" s="1"/>
  <c r="BN1234" i="1" s="1"/>
  <c r="BN1235" i="1" s="1"/>
  <c r="BN1236" i="1" s="1"/>
  <c r="BN1237" i="1" s="1"/>
  <c r="BN1238" i="1" s="1"/>
  <c r="BN1239" i="1" s="1"/>
  <c r="BN1240" i="1" s="1"/>
  <c r="BN1241" i="1" s="1"/>
  <c r="BN1242" i="1" s="1"/>
  <c r="BN1243" i="1" s="1"/>
  <c r="BN1244" i="1" s="1"/>
  <c r="BN1245" i="1" s="1"/>
  <c r="BN1246" i="1" s="1"/>
  <c r="BN1247" i="1" s="1"/>
  <c r="BN1248" i="1" s="1"/>
  <c r="BN1249" i="1" s="1"/>
  <c r="BN1250" i="1" s="1"/>
  <c r="BN1251" i="1" s="1"/>
  <c r="BN1252" i="1" s="1"/>
  <c r="BN1253" i="1" s="1"/>
  <c r="BN1254" i="1" s="1"/>
  <c r="BN1255" i="1" s="1"/>
  <c r="BN1256" i="1" s="1"/>
  <c r="BN1257" i="1" s="1"/>
  <c r="BN1258" i="1" s="1"/>
  <c r="BN1259" i="1" s="1"/>
  <c r="BN1260" i="1" s="1"/>
  <c r="BN1261" i="1" s="1"/>
  <c r="BN1262" i="1" s="1"/>
  <c r="BN1263" i="1" s="1"/>
  <c r="BN1264" i="1" s="1"/>
  <c r="BN977" i="1"/>
  <c r="BN978" i="1" s="1"/>
  <c r="BN979" i="1" s="1"/>
  <c r="BN980" i="1" s="1"/>
  <c r="BN981" i="1" s="1"/>
  <c r="BN982" i="1" s="1"/>
  <c r="BN983" i="1" s="1"/>
  <c r="BN984" i="1" s="1"/>
  <c r="BN985" i="1" s="1"/>
  <c r="BN986" i="1" s="1"/>
  <c r="BN987" i="1" s="1"/>
  <c r="BN988" i="1" s="1"/>
  <c r="BN989" i="1" s="1"/>
  <c r="BN990" i="1" s="1"/>
  <c r="BN991" i="1" s="1"/>
  <c r="BN992" i="1" s="1"/>
  <c r="BN993" i="1" s="1"/>
  <c r="BN994" i="1" s="1"/>
  <c r="BN995" i="1" s="1"/>
  <c r="BN996" i="1" s="1"/>
  <c r="BN997" i="1" s="1"/>
  <c r="BN998" i="1" s="1"/>
  <c r="BN999" i="1" s="1"/>
  <c r="BN1000" i="1" s="1"/>
  <c r="BN1001" i="1" s="1"/>
  <c r="BN1002" i="1" s="1"/>
  <c r="BN1003" i="1" s="1"/>
  <c r="BN1004" i="1" s="1"/>
  <c r="BN1005" i="1" s="1"/>
  <c r="BN1006" i="1" s="1"/>
  <c r="BN1007" i="1" s="1"/>
  <c r="BN1008" i="1" s="1"/>
  <c r="BN1009" i="1" s="1"/>
  <c r="BN1010" i="1" s="1"/>
  <c r="BN1011" i="1" s="1"/>
  <c r="BN1012" i="1" s="1"/>
  <c r="BN1517" i="1"/>
  <c r="BN1518" i="1" s="1"/>
  <c r="BN1519" i="1" s="1"/>
  <c r="BN1520" i="1" s="1"/>
  <c r="BN1521" i="1" s="1"/>
  <c r="BN1522" i="1" s="1"/>
  <c r="BN1523" i="1" s="1"/>
  <c r="BN1524" i="1" s="1"/>
  <c r="BN1525" i="1" s="1"/>
  <c r="BN1526" i="1" s="1"/>
  <c r="BN1527" i="1" s="1"/>
  <c r="BN1528" i="1" s="1"/>
  <c r="BN1529" i="1" s="1"/>
  <c r="BN1530" i="1" s="1"/>
  <c r="BN1531" i="1" s="1"/>
  <c r="BN1532" i="1" s="1"/>
  <c r="BN1533" i="1" s="1"/>
  <c r="BN1534" i="1" s="1"/>
  <c r="BN1535" i="1" s="1"/>
  <c r="BN1536" i="1" s="1"/>
  <c r="BN1537" i="1" s="1"/>
  <c r="BN1538" i="1" s="1"/>
  <c r="BN1539" i="1" s="1"/>
  <c r="BN1540" i="1" s="1"/>
  <c r="BN1541" i="1" s="1"/>
  <c r="BN1542" i="1" s="1"/>
  <c r="BN1543" i="1" s="1"/>
  <c r="BN1544" i="1" s="1"/>
  <c r="BN1545" i="1" s="1"/>
  <c r="BN1546" i="1" s="1"/>
  <c r="BN1547" i="1" s="1"/>
  <c r="BN1548" i="1" s="1"/>
  <c r="BN1549" i="1" s="1"/>
  <c r="BN1550" i="1" s="1"/>
  <c r="BN1551" i="1" s="1"/>
  <c r="BN1552" i="1" s="1"/>
  <c r="BN1157" i="1"/>
  <c r="BN1158" i="1" s="1"/>
  <c r="BN1159" i="1" s="1"/>
  <c r="BN1160" i="1" s="1"/>
  <c r="BN1161" i="1" s="1"/>
  <c r="BN1162" i="1" s="1"/>
  <c r="BN1163" i="1" s="1"/>
  <c r="BN1164" i="1" s="1"/>
  <c r="BN1165" i="1" s="1"/>
  <c r="BN1166" i="1" s="1"/>
  <c r="BN1167" i="1" s="1"/>
  <c r="BN1168" i="1" s="1"/>
  <c r="BN1169" i="1" s="1"/>
  <c r="BN1170" i="1" s="1"/>
  <c r="BN1171" i="1" s="1"/>
  <c r="BN1172" i="1" s="1"/>
  <c r="BN1173" i="1" s="1"/>
  <c r="BN1174" i="1" s="1"/>
  <c r="BN1175" i="1" s="1"/>
  <c r="BN1176" i="1" s="1"/>
  <c r="BN1177" i="1" s="1"/>
  <c r="BN1178" i="1" s="1"/>
  <c r="BN1179" i="1" s="1"/>
  <c r="BN1180" i="1" s="1"/>
  <c r="BN1181" i="1" s="1"/>
  <c r="BN1182" i="1" s="1"/>
  <c r="BN1183" i="1" s="1"/>
  <c r="BN1184" i="1" s="1"/>
  <c r="BN1185" i="1" s="1"/>
  <c r="BN1186" i="1" s="1"/>
  <c r="BN1187" i="1" s="1"/>
  <c r="BN1188" i="1" s="1"/>
  <c r="BN1189" i="1" s="1"/>
  <c r="BN1190" i="1" s="1"/>
  <c r="BN1191" i="1" s="1"/>
  <c r="BN1192" i="1" s="1"/>
  <c r="BN1337" i="1"/>
  <c r="BN1338" i="1" s="1"/>
  <c r="BN1339" i="1" s="1"/>
  <c r="BN1340" i="1" s="1"/>
  <c r="BN1341" i="1" s="1"/>
  <c r="BN1342" i="1" s="1"/>
  <c r="BN1343" i="1" s="1"/>
  <c r="BN1344" i="1" s="1"/>
  <c r="BN1345" i="1" s="1"/>
  <c r="BN1346" i="1" s="1"/>
  <c r="BN1347" i="1" s="1"/>
  <c r="BN1348" i="1" s="1"/>
  <c r="BN1349" i="1" s="1"/>
  <c r="BN1350" i="1" s="1"/>
  <c r="BN1351" i="1" s="1"/>
  <c r="BN1352" i="1" s="1"/>
  <c r="BN1353" i="1" s="1"/>
  <c r="BN1354" i="1" s="1"/>
  <c r="BN1355" i="1" s="1"/>
  <c r="BN1356" i="1" s="1"/>
  <c r="BN1357" i="1" s="1"/>
  <c r="BN1358" i="1" s="1"/>
  <c r="BN1359" i="1" s="1"/>
  <c r="BN1360" i="1" s="1"/>
  <c r="BN1361" i="1" s="1"/>
  <c r="BN1362" i="1" s="1"/>
  <c r="BN1363" i="1" s="1"/>
  <c r="BN1364" i="1" s="1"/>
  <c r="BN1365" i="1" s="1"/>
  <c r="BN1366" i="1" s="1"/>
  <c r="BN1367" i="1" s="1"/>
  <c r="BN1368" i="1" s="1"/>
  <c r="BN1369" i="1" s="1"/>
  <c r="BN1370" i="1" s="1"/>
  <c r="BN1371" i="1" s="1"/>
  <c r="BN1372" i="1" s="1"/>
  <c r="BN905" i="1"/>
  <c r="BN906" i="1" s="1"/>
  <c r="BN907" i="1" s="1"/>
  <c r="BN908" i="1" s="1"/>
  <c r="BN909" i="1" s="1"/>
  <c r="BN910" i="1" s="1"/>
  <c r="BN911" i="1" s="1"/>
  <c r="BN912" i="1" s="1"/>
  <c r="BN913" i="1" s="1"/>
  <c r="BN914" i="1" s="1"/>
  <c r="BN915" i="1" s="1"/>
  <c r="BN916" i="1" s="1"/>
  <c r="BN917" i="1" s="1"/>
  <c r="BN918" i="1" s="1"/>
  <c r="BN919" i="1" s="1"/>
  <c r="BN920" i="1" s="1"/>
  <c r="BN921" i="1" s="1"/>
  <c r="BN922" i="1" s="1"/>
  <c r="BN923" i="1" s="1"/>
  <c r="BN924" i="1" s="1"/>
  <c r="BN925" i="1" s="1"/>
  <c r="BN926" i="1" s="1"/>
  <c r="BN927" i="1" s="1"/>
  <c r="BN928" i="1" s="1"/>
  <c r="BN929" i="1" s="1"/>
  <c r="BN930" i="1" s="1"/>
  <c r="BN931" i="1" s="1"/>
  <c r="BN932" i="1" s="1"/>
  <c r="BN933" i="1" s="1"/>
  <c r="BN934" i="1" s="1"/>
  <c r="BN935" i="1" s="1"/>
  <c r="BN936" i="1" s="1"/>
  <c r="BN937" i="1" s="1"/>
  <c r="BN938" i="1" s="1"/>
  <c r="BN939" i="1" s="1"/>
  <c r="BN940" i="1" s="1"/>
  <c r="BN1626" i="1"/>
  <c r="BN1627" i="1" s="1"/>
  <c r="BN1628" i="1" s="1"/>
  <c r="BN1629" i="1" s="1"/>
  <c r="BN1630" i="1" s="1"/>
  <c r="BN1631" i="1" s="1"/>
  <c r="BN1632" i="1" s="1"/>
  <c r="BN1633" i="1" s="1"/>
  <c r="BN1634" i="1" s="1"/>
  <c r="BN1635" i="1" s="1"/>
  <c r="BN1636" i="1" s="1"/>
  <c r="BN1637" i="1" s="1"/>
  <c r="BN1638" i="1" s="1"/>
  <c r="BN1639" i="1" s="1"/>
  <c r="BN1640" i="1" s="1"/>
  <c r="BN1641" i="1" s="1"/>
  <c r="BN1642" i="1" s="1"/>
  <c r="BN1643" i="1" s="1"/>
  <c r="BN1644" i="1" s="1"/>
  <c r="BN1645" i="1" s="1"/>
  <c r="BN1646" i="1" s="1"/>
  <c r="BN1647" i="1" s="1"/>
  <c r="BN1648" i="1" s="1"/>
  <c r="BN1649" i="1" s="1"/>
  <c r="BN1650" i="1" s="1"/>
  <c r="BN1651" i="1" s="1"/>
  <c r="BN1652" i="1" s="1"/>
  <c r="BN1653" i="1" s="1"/>
  <c r="BN1654" i="1" s="1"/>
  <c r="BN1655" i="1" s="1"/>
  <c r="BN1656" i="1" s="1"/>
  <c r="BN1657" i="1" s="1"/>
  <c r="BN1658" i="1" s="1"/>
  <c r="BN1659" i="1" s="1"/>
  <c r="BN1660" i="1" s="1"/>
  <c r="BN114" i="1"/>
  <c r="BN115" i="1" s="1"/>
  <c r="BN116" i="1" s="1"/>
  <c r="BN117" i="1" s="1"/>
  <c r="BN118" i="1" s="1"/>
  <c r="BN119" i="1" s="1"/>
  <c r="BN120" i="1" s="1"/>
  <c r="BN121" i="1" s="1"/>
  <c r="BN122" i="1" s="1"/>
  <c r="BN123" i="1" s="1"/>
  <c r="BN124" i="1" s="1"/>
  <c r="BN125" i="1" s="1"/>
  <c r="BN126" i="1" s="1"/>
  <c r="BN127" i="1" s="1"/>
  <c r="BN128" i="1" s="1"/>
  <c r="BN129" i="1" s="1"/>
  <c r="BN130" i="1" s="1"/>
  <c r="BN131" i="1" s="1"/>
  <c r="BN132" i="1" s="1"/>
  <c r="BN133" i="1" s="1"/>
  <c r="BN134" i="1" s="1"/>
  <c r="BN135" i="1" s="1"/>
  <c r="BN136" i="1" s="1"/>
  <c r="BN137" i="1" s="1"/>
  <c r="BN138" i="1" s="1"/>
  <c r="BN139" i="1" s="1"/>
  <c r="BN140" i="1" s="1"/>
  <c r="BN141" i="1" s="1"/>
  <c r="BN142" i="1" s="1"/>
  <c r="BN143" i="1" s="1"/>
  <c r="BN144" i="1" s="1"/>
  <c r="BN145" i="1" s="1"/>
  <c r="BN146" i="1" s="1"/>
  <c r="BN147" i="1" s="1"/>
  <c r="BN148" i="1" s="1"/>
  <c r="BN1122" i="1"/>
  <c r="BN1123" i="1" s="1"/>
  <c r="BN1124" i="1" s="1"/>
  <c r="BN1125" i="1" s="1"/>
  <c r="BN1126" i="1" s="1"/>
  <c r="BN1127" i="1" s="1"/>
  <c r="BN1128" i="1" s="1"/>
  <c r="BN1129" i="1" s="1"/>
  <c r="BN1130" i="1" s="1"/>
  <c r="BN1131" i="1" s="1"/>
  <c r="BN1132" i="1" s="1"/>
  <c r="BN1133" i="1" s="1"/>
  <c r="BN1134" i="1" s="1"/>
  <c r="BN1135" i="1" s="1"/>
  <c r="BN1136" i="1" s="1"/>
  <c r="BN1137" i="1" s="1"/>
  <c r="BN1138" i="1" s="1"/>
  <c r="BN1139" i="1" s="1"/>
  <c r="BN1140" i="1" s="1"/>
  <c r="BN1141" i="1" s="1"/>
  <c r="BN1142" i="1" s="1"/>
  <c r="BN1143" i="1" s="1"/>
  <c r="BN1144" i="1" s="1"/>
  <c r="BN1145" i="1" s="1"/>
  <c r="BN1146" i="1" s="1"/>
  <c r="BN1147" i="1" s="1"/>
  <c r="BN1148" i="1" s="1"/>
  <c r="BN1149" i="1" s="1"/>
  <c r="BN1150" i="1" s="1"/>
  <c r="BN1151" i="1" s="1"/>
  <c r="BN1152" i="1" s="1"/>
  <c r="BN1153" i="1" s="1"/>
  <c r="BN1154" i="1" s="1"/>
  <c r="BN1155" i="1" s="1"/>
  <c r="BN1156" i="1" s="1"/>
  <c r="BN1194" i="1"/>
  <c r="BN1195" i="1" s="1"/>
  <c r="BN1196" i="1" s="1"/>
  <c r="BN1197" i="1" s="1"/>
  <c r="BN1198" i="1" s="1"/>
  <c r="BN1199" i="1" s="1"/>
  <c r="BN1200" i="1" s="1"/>
  <c r="BN1201" i="1" s="1"/>
  <c r="BN1202" i="1" s="1"/>
  <c r="BN1203" i="1" s="1"/>
  <c r="BN1204" i="1" s="1"/>
  <c r="BN1205" i="1" s="1"/>
  <c r="BN1206" i="1" s="1"/>
  <c r="BN1207" i="1" s="1"/>
  <c r="BN1208" i="1" s="1"/>
  <c r="BN1209" i="1" s="1"/>
  <c r="BN1210" i="1" s="1"/>
  <c r="BN1211" i="1" s="1"/>
  <c r="BN1212" i="1" s="1"/>
  <c r="BN1213" i="1" s="1"/>
  <c r="BN1214" i="1" s="1"/>
  <c r="BN1215" i="1" s="1"/>
  <c r="BN1216" i="1" s="1"/>
  <c r="BN1217" i="1" s="1"/>
  <c r="BN1218" i="1" s="1"/>
  <c r="BN1219" i="1" s="1"/>
  <c r="BN1220" i="1" s="1"/>
  <c r="BN1221" i="1" s="1"/>
  <c r="BN1222" i="1" s="1"/>
  <c r="BN1223" i="1" s="1"/>
  <c r="BN1224" i="1" s="1"/>
  <c r="BN1225" i="1" s="1"/>
  <c r="BN1226" i="1" s="1"/>
  <c r="BN1227" i="1" s="1"/>
  <c r="BN1228" i="1" s="1"/>
  <c r="BN1049" i="1"/>
  <c r="BN1050" i="1" s="1"/>
  <c r="BN1051" i="1" s="1"/>
  <c r="BN1052" i="1" s="1"/>
  <c r="BN1053" i="1" s="1"/>
  <c r="BN1054" i="1" s="1"/>
  <c r="BN1055" i="1" s="1"/>
  <c r="BN1056" i="1" s="1"/>
  <c r="BN1057" i="1" s="1"/>
  <c r="BN1058" i="1" s="1"/>
  <c r="BN1059" i="1" s="1"/>
  <c r="BN1060" i="1" s="1"/>
  <c r="BN1061" i="1" s="1"/>
  <c r="BN1062" i="1" s="1"/>
  <c r="BN1063" i="1" s="1"/>
  <c r="BN1064" i="1" s="1"/>
  <c r="BN1065" i="1" s="1"/>
  <c r="BN1066" i="1" s="1"/>
  <c r="BN1067" i="1" s="1"/>
  <c r="BN1068" i="1" s="1"/>
  <c r="BN1069" i="1" s="1"/>
  <c r="BN1070" i="1" s="1"/>
  <c r="BN1071" i="1" s="1"/>
  <c r="BN1072" i="1" s="1"/>
  <c r="BN1073" i="1" s="1"/>
  <c r="BN1074" i="1" s="1"/>
  <c r="BN1075" i="1" s="1"/>
  <c r="BN1076" i="1" s="1"/>
  <c r="BN1077" i="1" s="1"/>
  <c r="BN1078" i="1" s="1"/>
  <c r="BN1079" i="1" s="1"/>
  <c r="BN1080" i="1" s="1"/>
  <c r="BN1081" i="1" s="1"/>
  <c r="BN1082" i="1" s="1"/>
  <c r="BN1083" i="1" s="1"/>
  <c r="BN1084" i="1" s="1"/>
  <c r="BN689" i="1"/>
  <c r="BN690" i="1" s="1"/>
  <c r="BN691" i="1" s="1"/>
  <c r="BN692" i="1" s="1"/>
  <c r="BN693" i="1" s="1"/>
  <c r="BN694" i="1" s="1"/>
  <c r="BN695" i="1" s="1"/>
  <c r="BN696" i="1" s="1"/>
  <c r="BN697" i="1" s="1"/>
  <c r="BN698" i="1" s="1"/>
  <c r="BN699" i="1" s="1"/>
  <c r="BN700" i="1" s="1"/>
  <c r="BN701" i="1" s="1"/>
  <c r="BN702" i="1" s="1"/>
  <c r="BN703" i="1" s="1"/>
  <c r="BN704" i="1" s="1"/>
  <c r="BN705" i="1" s="1"/>
  <c r="BN706" i="1" s="1"/>
  <c r="BN707" i="1" s="1"/>
  <c r="BN708" i="1" s="1"/>
  <c r="BN709" i="1" s="1"/>
  <c r="BN710" i="1" s="1"/>
  <c r="BN711" i="1" s="1"/>
  <c r="BN712" i="1" s="1"/>
  <c r="BN713" i="1" s="1"/>
  <c r="BN714" i="1" s="1"/>
  <c r="BN715" i="1" s="1"/>
  <c r="BN716" i="1" s="1"/>
  <c r="BN717" i="1" s="1"/>
  <c r="BN718" i="1" s="1"/>
  <c r="BN719" i="1" s="1"/>
  <c r="BN720" i="1" s="1"/>
  <c r="BN721" i="1" s="1"/>
  <c r="BN722" i="1" s="1"/>
  <c r="BN723" i="1" s="1"/>
  <c r="BN724" i="1" s="1"/>
  <c r="BN1302" i="1"/>
  <c r="BN1303" i="1" s="1"/>
  <c r="BN1304" i="1" s="1"/>
  <c r="BN1305" i="1" s="1"/>
  <c r="BN1306" i="1" s="1"/>
  <c r="BN1307" i="1" s="1"/>
  <c r="BN1308" i="1" s="1"/>
  <c r="BN1309" i="1" s="1"/>
  <c r="BN1310" i="1" s="1"/>
  <c r="BN1311" i="1" s="1"/>
  <c r="BN1312" i="1" s="1"/>
  <c r="BN1313" i="1" s="1"/>
  <c r="BN1314" i="1" s="1"/>
  <c r="BN1315" i="1" s="1"/>
  <c r="BN1316" i="1" s="1"/>
  <c r="BN1317" i="1" s="1"/>
  <c r="BN1318" i="1" s="1"/>
  <c r="BN1319" i="1" s="1"/>
  <c r="BN1320" i="1" s="1"/>
  <c r="BN1321" i="1" s="1"/>
  <c r="BN1322" i="1" s="1"/>
  <c r="BN1323" i="1" s="1"/>
  <c r="BN1324" i="1" s="1"/>
  <c r="BN1325" i="1" s="1"/>
  <c r="BN1326" i="1" s="1"/>
  <c r="BN1327" i="1" s="1"/>
  <c r="BN1328" i="1" s="1"/>
  <c r="BN1329" i="1" s="1"/>
  <c r="BN1330" i="1" s="1"/>
  <c r="BN1331" i="1" s="1"/>
  <c r="BN1332" i="1" s="1"/>
  <c r="BN1333" i="1" s="1"/>
  <c r="BN1334" i="1" s="1"/>
  <c r="BN1335" i="1" s="1"/>
  <c r="BN1336" i="1" s="1"/>
  <c r="BN257" i="1"/>
  <c r="BN258" i="1" s="1"/>
  <c r="BN259" i="1" s="1"/>
  <c r="BN260" i="1" s="1"/>
  <c r="BN261" i="1" s="1"/>
  <c r="BN262" i="1" s="1"/>
  <c r="BN263" i="1" s="1"/>
  <c r="BN264" i="1" s="1"/>
  <c r="BN265" i="1" s="1"/>
  <c r="BN266" i="1" s="1"/>
  <c r="BN267" i="1" s="1"/>
  <c r="BN268" i="1" s="1"/>
  <c r="BN269" i="1" s="1"/>
  <c r="BN270" i="1" s="1"/>
  <c r="BN271" i="1" s="1"/>
  <c r="BN272" i="1" s="1"/>
  <c r="BN273" i="1" s="1"/>
  <c r="BN274" i="1" s="1"/>
  <c r="BN275" i="1" s="1"/>
  <c r="BN276" i="1" s="1"/>
  <c r="BN277" i="1" s="1"/>
  <c r="BN278" i="1" s="1"/>
  <c r="BN279" i="1" s="1"/>
  <c r="BN280" i="1" s="1"/>
  <c r="BN281" i="1" s="1"/>
  <c r="BN282" i="1" s="1"/>
  <c r="BN283" i="1" s="1"/>
  <c r="BN284" i="1" s="1"/>
  <c r="BN285" i="1" s="1"/>
  <c r="BN286" i="1" s="1"/>
  <c r="BN287" i="1" s="1"/>
  <c r="BN288" i="1" s="1"/>
  <c r="BN289" i="1" s="1"/>
  <c r="BN290" i="1" s="1"/>
  <c r="BN291" i="1" s="1"/>
  <c r="BN292" i="1" s="1"/>
  <c r="BN185" i="1"/>
  <c r="BN186" i="1" s="1"/>
  <c r="BN187" i="1" s="1"/>
  <c r="BN188" i="1" s="1"/>
  <c r="BN189" i="1" s="1"/>
  <c r="BN190" i="1" s="1"/>
  <c r="BN191" i="1" s="1"/>
  <c r="BN192" i="1" s="1"/>
  <c r="BN193" i="1" s="1"/>
  <c r="BN194" i="1" s="1"/>
  <c r="BN195" i="1" s="1"/>
  <c r="BN196" i="1" s="1"/>
  <c r="BN197" i="1" s="1"/>
  <c r="BN198" i="1" s="1"/>
  <c r="BN199" i="1" s="1"/>
  <c r="BN200" i="1" s="1"/>
  <c r="BN201" i="1" s="1"/>
  <c r="BN202" i="1" s="1"/>
  <c r="BN203" i="1" s="1"/>
  <c r="BN204" i="1" s="1"/>
  <c r="BN205" i="1" s="1"/>
  <c r="BN206" i="1" s="1"/>
  <c r="BN207" i="1" s="1"/>
  <c r="BN208" i="1" s="1"/>
  <c r="BN209" i="1" s="1"/>
  <c r="BN210" i="1" s="1"/>
  <c r="BN211" i="1" s="1"/>
  <c r="BN212" i="1" s="1"/>
  <c r="BN213" i="1" s="1"/>
  <c r="BN214" i="1" s="1"/>
  <c r="BN215" i="1" s="1"/>
  <c r="BN216" i="1" s="1"/>
  <c r="BN217" i="1" s="1"/>
  <c r="BN218" i="1" s="1"/>
  <c r="BN219" i="1" s="1"/>
  <c r="BN220" i="1" s="1"/>
  <c r="BN78" i="1"/>
  <c r="BN79" i="1" s="1"/>
  <c r="BN80" i="1" s="1"/>
  <c r="BN81" i="1" s="1"/>
  <c r="BN82" i="1" s="1"/>
  <c r="BN83" i="1" s="1"/>
  <c r="BN84" i="1" s="1"/>
  <c r="BN85" i="1" s="1"/>
  <c r="BN86" i="1" s="1"/>
  <c r="BN87" i="1" s="1"/>
  <c r="BN88" i="1" s="1"/>
  <c r="BN89" i="1" s="1"/>
  <c r="BN90" i="1" s="1"/>
  <c r="BN91" i="1" s="1"/>
  <c r="BN92" i="1" s="1"/>
  <c r="BN93" i="1" s="1"/>
  <c r="BN94" i="1" s="1"/>
  <c r="BN95" i="1" s="1"/>
  <c r="BN96" i="1" s="1"/>
  <c r="BN97" i="1" s="1"/>
  <c r="BN98" i="1" s="1"/>
  <c r="BN99" i="1" s="1"/>
  <c r="BN100" i="1" s="1"/>
  <c r="BN101" i="1" s="1"/>
  <c r="BN102" i="1" s="1"/>
  <c r="BN103" i="1" s="1"/>
  <c r="BN104" i="1" s="1"/>
  <c r="BN105" i="1" s="1"/>
  <c r="BN106" i="1" s="1"/>
  <c r="BN107" i="1" s="1"/>
  <c r="BN108" i="1" s="1"/>
  <c r="BN109" i="1" s="1"/>
  <c r="BN110" i="1" s="1"/>
  <c r="BN111" i="1" s="1"/>
  <c r="BN112" i="1" s="1"/>
  <c r="BN761" i="1"/>
  <c r="BN762" i="1" s="1"/>
  <c r="BN763" i="1" s="1"/>
  <c r="BN764" i="1" s="1"/>
  <c r="BN765" i="1" s="1"/>
  <c r="BN766" i="1" s="1"/>
  <c r="BN767" i="1" s="1"/>
  <c r="BN768" i="1" s="1"/>
  <c r="BN769" i="1" s="1"/>
  <c r="BN770" i="1" s="1"/>
  <c r="BN771" i="1" s="1"/>
  <c r="BN772" i="1" s="1"/>
  <c r="BN773" i="1" s="1"/>
  <c r="BN774" i="1" s="1"/>
  <c r="BN775" i="1" s="1"/>
  <c r="BN776" i="1" s="1"/>
  <c r="BN777" i="1" s="1"/>
  <c r="BN778" i="1" s="1"/>
  <c r="BN779" i="1" s="1"/>
  <c r="BN780" i="1" s="1"/>
  <c r="BN781" i="1" s="1"/>
  <c r="BN782" i="1" s="1"/>
  <c r="BN783" i="1" s="1"/>
  <c r="BN784" i="1" s="1"/>
  <c r="BN785" i="1" s="1"/>
  <c r="BN786" i="1" s="1"/>
  <c r="BN787" i="1" s="1"/>
  <c r="BN788" i="1" s="1"/>
  <c r="BN789" i="1" s="1"/>
  <c r="BN790" i="1" s="1"/>
  <c r="BN791" i="1" s="1"/>
  <c r="BN792" i="1" s="1"/>
  <c r="BN793" i="1" s="1"/>
  <c r="BN794" i="1" s="1"/>
  <c r="BN795" i="1" s="1"/>
  <c r="BN796" i="1" s="1"/>
  <c r="BN473" i="1"/>
  <c r="BN474" i="1" s="1"/>
  <c r="BN475" i="1" s="1"/>
  <c r="BN476" i="1" s="1"/>
  <c r="BN477" i="1" s="1"/>
  <c r="BN478" i="1" s="1"/>
  <c r="BN479" i="1" s="1"/>
  <c r="BN480" i="1" s="1"/>
  <c r="BN481" i="1" s="1"/>
  <c r="BN482" i="1" s="1"/>
  <c r="BN483" i="1" s="1"/>
  <c r="BN484" i="1" s="1"/>
  <c r="BN485" i="1" s="1"/>
  <c r="BN486" i="1" s="1"/>
  <c r="BN487" i="1" s="1"/>
  <c r="BN488" i="1" s="1"/>
  <c r="BN489" i="1" s="1"/>
  <c r="BN490" i="1" s="1"/>
  <c r="BN491" i="1" s="1"/>
  <c r="BN492" i="1" s="1"/>
  <c r="BN493" i="1" s="1"/>
  <c r="BN494" i="1" s="1"/>
  <c r="BN495" i="1" s="1"/>
  <c r="BN496" i="1" s="1"/>
  <c r="BN497" i="1" s="1"/>
  <c r="BN498" i="1" s="1"/>
  <c r="BN499" i="1" s="1"/>
  <c r="BN500" i="1" s="1"/>
  <c r="BN501" i="1" s="1"/>
  <c r="BN502" i="1" s="1"/>
  <c r="BN503" i="1" s="1"/>
  <c r="BN504" i="1" s="1"/>
  <c r="BN505" i="1" s="1"/>
  <c r="BN506" i="1" s="1"/>
  <c r="BN507" i="1" s="1"/>
  <c r="BN508" i="1" s="1"/>
  <c r="BN401" i="1"/>
  <c r="BN402" i="1" s="1"/>
  <c r="BN403" i="1" s="1"/>
  <c r="BN404" i="1" s="1"/>
  <c r="BN405" i="1" s="1"/>
  <c r="BN406" i="1" s="1"/>
  <c r="BN407" i="1" s="1"/>
  <c r="BN408" i="1" s="1"/>
  <c r="BN409" i="1" s="1"/>
  <c r="BN410" i="1" s="1"/>
  <c r="BN411" i="1" s="1"/>
  <c r="BN412" i="1" s="1"/>
  <c r="BN413" i="1" s="1"/>
  <c r="BN414" i="1" s="1"/>
  <c r="BN415" i="1" s="1"/>
  <c r="BN416" i="1" s="1"/>
  <c r="BN417" i="1" s="1"/>
  <c r="BN418" i="1" s="1"/>
  <c r="BN419" i="1" s="1"/>
  <c r="BN420" i="1" s="1"/>
  <c r="BN421" i="1" s="1"/>
  <c r="BN422" i="1" s="1"/>
  <c r="BN423" i="1" s="1"/>
  <c r="BN424" i="1" s="1"/>
  <c r="BN425" i="1" s="1"/>
  <c r="BN426" i="1" s="1"/>
  <c r="BN427" i="1" s="1"/>
  <c r="BN428" i="1" s="1"/>
  <c r="BN429" i="1" s="1"/>
  <c r="BN430" i="1" s="1"/>
  <c r="BN431" i="1" s="1"/>
  <c r="BN432" i="1" s="1"/>
  <c r="BN433" i="1" s="1"/>
  <c r="BN434" i="1" s="1"/>
  <c r="BN435" i="1" s="1"/>
  <c r="BN436" i="1" s="1"/>
  <c r="AW11" i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l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l="1"/>
  <c r="AW37" i="1" s="1"/>
  <c r="AW38" i="1" s="1"/>
  <c r="AW39" i="1" s="1"/>
  <c r="AW40" i="1" s="1"/>
  <c r="AW41" i="1" s="1"/>
  <c r="AW42" i="1" s="1"/>
  <c r="BM7" i="1" l="1"/>
  <c r="BM6" i="1"/>
  <c r="BN6" i="1" l="1"/>
  <c r="BN7" i="1" s="1"/>
  <c r="BN8" i="1" s="1"/>
  <c r="BN9" i="1" s="1"/>
  <c r="BN10" i="1" s="1"/>
  <c r="BN11" i="1" s="1"/>
  <c r="BN12" i="1" s="1"/>
  <c r="BN13" i="1" s="1"/>
  <c r="BN14" i="1" s="1"/>
  <c r="BN15" i="1" s="1"/>
  <c r="BN16" i="1" s="1"/>
  <c r="BN17" i="1" s="1"/>
  <c r="BN18" i="1" s="1"/>
  <c r="BN19" i="1" s="1"/>
  <c r="BN20" i="1" s="1"/>
  <c r="BN21" i="1" s="1"/>
  <c r="BN22" i="1" s="1"/>
  <c r="BN23" i="1" s="1"/>
  <c r="BN24" i="1" s="1"/>
  <c r="BN25" i="1" s="1"/>
  <c r="BN26" i="1" s="1"/>
  <c r="BN27" i="1" s="1"/>
  <c r="BN28" i="1" s="1"/>
  <c r="BN29" i="1" s="1"/>
  <c r="BN30" i="1" s="1"/>
  <c r="BN31" i="1" s="1"/>
  <c r="BN32" i="1" s="1"/>
  <c r="BN33" i="1" s="1"/>
  <c r="BN34" i="1" s="1"/>
  <c r="BN35" i="1" s="1"/>
  <c r="BN36" i="1" s="1"/>
  <c r="BN37" i="1" s="1"/>
  <c r="BN38" i="1" s="1"/>
  <c r="BN39" i="1" s="1"/>
  <c r="BN40" i="1" s="1"/>
  <c r="W3" i="1" l="1"/>
  <c r="U3" i="1" l="1"/>
  <c r="Y3" i="1" s="1"/>
  <c r="BI3" i="1" l="1"/>
</calcChain>
</file>

<file path=xl/sharedStrings.xml><?xml version="1.0" encoding="utf-8"?>
<sst xmlns="http://schemas.openxmlformats.org/spreadsheetml/2006/main" count="376" uniqueCount="209">
  <si>
    <t>layer</t>
  </si>
  <si>
    <t>row</t>
  </si>
  <si>
    <t>col</t>
  </si>
  <si>
    <t>seg</t>
  </si>
  <si>
    <t>reach</t>
  </si>
  <si>
    <t>length</t>
  </si>
  <si>
    <t>SFR2</t>
  </si>
  <si>
    <t>(0, 0, 22)</t>
  </si>
  <si>
    <t>SEG1</t>
  </si>
  <si>
    <t>(0, 1, 22)</t>
  </si>
  <si>
    <t>(0, 1, 21)</t>
  </si>
  <si>
    <t>(0, 2, 20)</t>
  </si>
  <si>
    <t>(0, 3, 19)</t>
  </si>
  <si>
    <t>(0, 4, 19)</t>
  </si>
  <si>
    <t>(0, 16, 17)</t>
  </si>
  <si>
    <t>SEG2</t>
  </si>
  <si>
    <t>(0, 17, 17)</t>
  </si>
  <si>
    <t>(0, 18, 17)</t>
  </si>
  <si>
    <t>(0, 19, 16)</t>
  </si>
  <si>
    <t>(0, 20, 16)</t>
  </si>
  <si>
    <t>(0, 21, 16)</t>
  </si>
  <si>
    <t>(0, 22, 15)</t>
  </si>
  <si>
    <t>(0, 23, 15)</t>
  </si>
  <si>
    <t>(0, 24, 15)</t>
  </si>
  <si>
    <t>(0, 25, 15)</t>
  </si>
  <si>
    <t>(0, 26, 15)</t>
  </si>
  <si>
    <t>(0, 27, 14)</t>
  </si>
  <si>
    <t>(0, 17, 10)</t>
  </si>
  <si>
    <t>SEG3</t>
  </si>
  <si>
    <t>(0, 18, 10)</t>
  </si>
  <si>
    <t>(0, 18, 11)</t>
  </si>
  <si>
    <t>(0, 19, 11)</t>
  </si>
  <si>
    <t>(0, 20, 11)</t>
  </si>
  <si>
    <t>(0, 21, 12)</t>
  </si>
  <si>
    <t>(0, 22, 12)</t>
  </si>
  <si>
    <t>(0, 23, 12)</t>
  </si>
  <si>
    <t>(0, 23, 13)</t>
  </si>
  <si>
    <t>(0, 24, 13)</t>
  </si>
  <si>
    <t>(0, 25, 13)</t>
  </si>
  <si>
    <t>(0, 26, 13)</t>
  </si>
  <si>
    <t>(0, 28, 14)</t>
  </si>
  <si>
    <t>SEG4</t>
  </si>
  <si>
    <t>(0, 29, 14)</t>
  </si>
  <si>
    <t>(0, 30, 14)</t>
  </si>
  <si>
    <t>(0, 31, 14)</t>
  </si>
  <si>
    <t>(0, 32, 14)</t>
  </si>
  <si>
    <t>(0, 33, 14)</t>
  </si>
  <si>
    <t>(0, 34, 14)</t>
  </si>
  <si>
    <t>SFR1</t>
  </si>
  <si>
    <t>stream.csv</t>
  </si>
  <si>
    <t>CHD</t>
  </si>
  <si>
    <t>y</t>
  </si>
  <si>
    <t>x</t>
  </si>
  <si>
    <t>z</t>
  </si>
  <si>
    <t>-</t>
  </si>
  <si>
    <t>H</t>
  </si>
  <si>
    <t>_06_LAK.csv</t>
  </si>
  <si>
    <t>lake1</t>
  </si>
  <si>
    <t>lake2</t>
  </si>
  <si>
    <t>XY</t>
  </si>
  <si>
    <t>H?</t>
  </si>
  <si>
    <t>B!</t>
  </si>
  <si>
    <t>LAK0</t>
  </si>
  <si>
    <t>{0: 78, 1: 32}</t>
  </si>
  <si>
    <t>LAK1</t>
  </si>
  <si>
    <t>LAK2</t>
  </si>
  <si>
    <t>(0, 4, 18)</t>
  </si>
  <si>
    <t>horizontal</t>
  </si>
  <si>
    <t>(0, 5, 17)</t>
  </si>
  <si>
    <t>(1, 5, 18)</t>
  </si>
  <si>
    <t>vertical</t>
  </si>
  <si>
    <t>(0, 5, 20)</t>
  </si>
  <si>
    <t>(1, 5, 19)</t>
  </si>
  <si>
    <t>(0, 6, 16)</t>
  </si>
  <si>
    <t>(1, 6, 17)</t>
  </si>
  <si>
    <t>(1, 6, 18)</t>
  </si>
  <si>
    <t>(0, 6, 20)</t>
  </si>
  <si>
    <t>(1, 6, 19)</t>
  </si>
  <si>
    <t>(0, 6, 15)</t>
  </si>
  <si>
    <t>(0, 7, 14)</t>
  </si>
  <si>
    <t>(1, 7, 15)</t>
  </si>
  <si>
    <t>(1, 7, 16)</t>
  </si>
  <si>
    <t>(1, 7, 17)</t>
  </si>
  <si>
    <t>(1, 7, 18)</t>
  </si>
  <si>
    <t>(0, 7, 20)</t>
  </si>
  <si>
    <t>(1, 7, 19)</t>
  </si>
  <si>
    <t>(0, 8, 14)</t>
  </si>
  <si>
    <t>(1, 8, 15)</t>
  </si>
  <si>
    <t>(1, 8, 16)</t>
  </si>
  <si>
    <t>(1, 8, 17)</t>
  </si>
  <si>
    <t>(1, 8, 18)</t>
  </si>
  <si>
    <t>(1, 8, 19)</t>
  </si>
  <si>
    <t>(0, 8, 21)</t>
  </si>
  <si>
    <t>(1, 8, 20)</t>
  </si>
  <si>
    <t>(0, 9, 14)</t>
  </si>
  <si>
    <t>(0, 10, 15)</t>
  </si>
  <si>
    <t>(1, 9, 15)</t>
  </si>
  <si>
    <t>(1, 9, 16)</t>
  </si>
  <si>
    <t>(1, 9, 17)</t>
  </si>
  <si>
    <t>(1, 9, 18)</t>
  </si>
  <si>
    <t>(1, 9, 19)</t>
  </si>
  <si>
    <t>(0, 9, 21)</t>
  </si>
  <si>
    <t>(1, 9, 20)</t>
  </si>
  <si>
    <t>(1, 10, 16)</t>
  </si>
  <si>
    <t>(1, 10, 17)</t>
  </si>
  <si>
    <t>(1, 10, 18)</t>
  </si>
  <si>
    <t>(1, 10, 19)</t>
  </si>
  <si>
    <t>(0, 10, 21)</t>
  </si>
  <si>
    <t>(1, 10, 20)</t>
  </si>
  <si>
    <t>(0, 11, 15)</t>
  </si>
  <si>
    <t>(1, 11, 16)</t>
  </si>
  <si>
    <t>(1, 11, 17)</t>
  </si>
  <si>
    <t>(1, 11, 18)</t>
  </si>
  <si>
    <t>(1, 11, 19)</t>
  </si>
  <si>
    <t>(0, 11, 21)</t>
  </si>
  <si>
    <t>(0, 12, 20)</t>
  </si>
  <si>
    <t>(1, 11, 20)</t>
  </si>
  <si>
    <t>(0, 12, 15)</t>
  </si>
  <si>
    <t>(1, 12, 16)</t>
  </si>
  <si>
    <t>(1, 12, 17)</t>
  </si>
  <si>
    <t>(1, 12, 18)</t>
  </si>
  <si>
    <t>(1, 12, 19)</t>
  </si>
  <si>
    <t>(0, 13, 15)</t>
  </si>
  <si>
    <t>(1, 13, 16)</t>
  </si>
  <si>
    <t>(1, 13, 17)</t>
  </si>
  <si>
    <t>(1, 13, 18)</t>
  </si>
  <si>
    <t>(0, 13, 20)</t>
  </si>
  <si>
    <t>(0, 14, 19)</t>
  </si>
  <si>
    <t>(1, 13, 19)</t>
  </si>
  <si>
    <t>(0, 14, 15)</t>
  </si>
  <si>
    <t>(0, 15, 16)</t>
  </si>
  <si>
    <t>(1, 14, 16)</t>
  </si>
  <si>
    <t>(1, 14, 17)</t>
  </si>
  <si>
    <t>(0, 15, 18)</t>
  </si>
  <si>
    <t>(1, 14, 18)</t>
  </si>
  <si>
    <t>(1, 15, 17)</t>
  </si>
  <si>
    <t>(0, 17, 1)</t>
  </si>
  <si>
    <t>(0, 18, 2)</t>
  </si>
  <si>
    <t>(1, 18, 1)</t>
  </si>
  <si>
    <t>(0, 19, 2)</t>
  </si>
  <si>
    <t>(1, 19, 1)</t>
  </si>
  <si>
    <t>(0, 20, 2)</t>
  </si>
  <si>
    <t>(1, 20, 1)</t>
  </si>
  <si>
    <t>(1, 21, 1)</t>
  </si>
  <si>
    <t>(0, 21, 3)</t>
  </si>
  <si>
    <t>(1, 21, 2)</t>
  </si>
  <si>
    <t>(1, 22, 0)</t>
  </si>
  <si>
    <t>(1, 22, 1)</t>
  </si>
  <si>
    <t>(1, 22, 2)</t>
  </si>
  <si>
    <t>(0, 22, 4)</t>
  </si>
  <si>
    <t>(1, 22, 3)</t>
  </si>
  <si>
    <t>(1, 23, 0)</t>
  </si>
  <si>
    <t>(1, 23, 1)</t>
  </si>
  <si>
    <t>(0, 24, 2)</t>
  </si>
  <si>
    <t>(1, 23, 2)</t>
  </si>
  <si>
    <t>(0, 23, 4)</t>
  </si>
  <si>
    <t>(0, 24, 3)</t>
  </si>
  <si>
    <t>(1, 23, 3)</t>
  </si>
  <si>
    <t>(1, 24, 0)</t>
  </si>
  <si>
    <t>(1, 24, 1)</t>
  </si>
  <si>
    <t>(0, 26, 0)</t>
  </si>
  <si>
    <t>(1, 25, 0)</t>
  </si>
  <si>
    <t>(0, 25, 2)</t>
  </si>
  <si>
    <t>(0, 26, 1)</t>
  </si>
  <si>
    <t>(1, 25, 1)</t>
  </si>
  <si>
    <t>flow.bud</t>
  </si>
  <si>
    <t>flow.chd</t>
  </si>
  <si>
    <t>flow.dis</t>
  </si>
  <si>
    <t>flow.dis.grb</t>
  </si>
  <si>
    <t>flow.hds</t>
  </si>
  <si>
    <t>flow.ic</t>
  </si>
  <si>
    <t>flow.ims</t>
  </si>
  <si>
    <t>flow.lak</t>
  </si>
  <si>
    <t>flow.lak.bin</t>
  </si>
  <si>
    <t>flow.lak.bud</t>
  </si>
  <si>
    <t>flow.lst</t>
  </si>
  <si>
    <t>flow.mvr</t>
  </si>
  <si>
    <t>flow.mvr.bud</t>
  </si>
  <si>
    <t>flow.nam</t>
  </si>
  <si>
    <t>flow.npf</t>
  </si>
  <si>
    <t>flow.oc</t>
  </si>
  <si>
    <t>flow.rcha</t>
  </si>
  <si>
    <t>flow.sfr</t>
  </si>
  <si>
    <t>flow.sfr.bin</t>
  </si>
  <si>
    <t>flow.sfr.bud</t>
  </si>
  <si>
    <t>flow.sfr.obs</t>
  </si>
  <si>
    <t>flow.sfr.obs.csv</t>
  </si>
  <si>
    <t>flow.tdis</t>
  </si>
  <si>
    <t>mfsim.lst</t>
  </si>
  <si>
    <t>mfsim.nam</t>
  </si>
  <si>
    <t xml:space="preserve">  SFR-1  6  LAK-1  1  FACTOR       1.00000000</t>
  </si>
  <si>
    <t xml:space="preserve">  LAK-1  1  SFR-1  7  FACTOR       1.00000000</t>
  </si>
  <si>
    <t>SFR</t>
  </si>
  <si>
    <t>=</t>
  </si>
  <si>
    <t>LAK3</t>
  </si>
  <si>
    <t xml:space="preserve">[[0, 44.0, 78, 'lake1'], [1, 35.2, 32, 'lake2']]
</t>
  </si>
  <si>
    <t>:</t>
  </si>
  <si>
    <t>cond bot</t>
  </si>
  <si>
    <t>Connection</t>
  </si>
  <si>
    <t>top</t>
  </si>
  <si>
    <t>_06_Bot_0</t>
  </si>
  <si>
    <t>_08_idomain</t>
  </si>
  <si>
    <t>[[0, 0, -1, 'MANNING', 44.5, 3.36493214532915, 0.03, 0.0021875]]</t>
  </si>
  <si>
    <t>outlets</t>
  </si>
  <si>
    <t>GET_LAKE_CONNECTONS</t>
  </si>
  <si>
    <t>AUTO</t>
  </si>
  <si>
    <t>_05_LAK_lake_map</t>
  </si>
  <si>
    <t>0, 44.0, 78, 'lake1'</t>
  </si>
  <si>
    <t>1, 35.2, 32, 'lake2'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</si>
</sst>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5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4"/>
      <color theme="1"/>
      <name val="Calibri"/>
      <family val="2"/>
      <scheme val="minor"/>
    </font>
    <font>
      <sz val="7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sz val="7"/>
      <color rgb="FFFF0000"/>
      <name val="Calibri"/>
      <family val="2"/>
      <scheme val="minor"/>
    </font>
    <font>
      <sz val="6"/>
      <color theme="0"/>
      <name val="Calibri"/>
      <family val="2"/>
      <scheme val="minor"/>
    </font>
    <font>
      <sz val="8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5" fillId="10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7" fillId="15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6" fillId="11" borderId="0" xfId="0" applyFont="1" applyFill="1" applyAlignment="1">
      <alignment horizontal="right" vertical="center"/>
    </xf>
    <xf numFmtId="0" fontId="6" fillId="11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0" fillId="2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1" fontId="0" fillId="2" borderId="0" xfId="0" applyNumberFormat="1" applyFill="1" applyAlignment="1">
      <alignment vertical="center"/>
    </xf>
    <xf numFmtId="0" fontId="5" fillId="16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0" fillId="12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4" fillId="2" borderId="0" xfId="0" applyNumberFormat="1" applyFont="1" applyFill="1" applyAlignment="1">
      <alignment horizontal="right" vertical="center"/>
    </xf>
    <xf numFmtId="0" fontId="11" fillId="12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1" fontId="19" fillId="3" borderId="0" xfId="0" applyNumberFormat="1" applyFont="1" applyFill="1" applyAlignment="1">
      <alignment horizontal="left" vertical="center"/>
    </xf>
    <xf numFmtId="1" fontId="18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5"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66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'51'!$AC$5:$AC$42</c:f>
              <c:numCache>
                <c:formatCode>General</c:formatCode>
                <c:ptCount val="38"/>
                <c:pt idx="0">
                  <c:v>23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15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</c:numCache>
            </c:numRef>
          </c:xVal>
          <c:yVal>
            <c:numRef>
              <c:f>'51'!$AB$5:$AB$42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6C-49ED-9421-34FC9F359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929631"/>
        <c:axId val="907943551"/>
      </c:scatterChart>
      <c:valAx>
        <c:axId val="90792963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43551"/>
        <c:crosses val="autoZero"/>
        <c:crossBetween val="midCat"/>
      </c:valAx>
      <c:valAx>
        <c:axId val="907943551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2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46</xdr:row>
      <xdr:rowOff>132248</xdr:rowOff>
    </xdr:from>
    <xdr:to>
      <xdr:col>14</xdr:col>
      <xdr:colOff>54620</xdr:colOff>
      <xdr:row>60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E8D5BB-23EA-4653-949C-427E9DB08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1" r="49221" b="8927"/>
        <a:stretch>
          <a:fillRect/>
        </a:stretch>
      </xdr:blipFill>
      <xdr:spPr>
        <a:xfrm>
          <a:off x="647700" y="5190023"/>
          <a:ext cx="1692920" cy="1934677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5</xdr:col>
      <xdr:colOff>133350</xdr:colOff>
      <xdr:row>6</xdr:row>
      <xdr:rowOff>85726</xdr:rowOff>
    </xdr:from>
    <xdr:to>
      <xdr:col>13</xdr:col>
      <xdr:colOff>114300</xdr:colOff>
      <xdr:row>18</xdr:row>
      <xdr:rowOff>51942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F87066-5370-485F-AC1B-616B5831D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</xdr:colOff>
      <xdr:row>64</xdr:row>
      <xdr:rowOff>42224</xdr:rowOff>
    </xdr:from>
    <xdr:to>
      <xdr:col>22</xdr:col>
      <xdr:colOff>76200</xdr:colOff>
      <xdr:row>77</xdr:row>
      <xdr:rowOff>5605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5B431AA-1D27-48BA-8A86-2114384733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631" b="14290"/>
        <a:stretch>
          <a:fillRect/>
        </a:stretch>
      </xdr:blipFill>
      <xdr:spPr>
        <a:xfrm>
          <a:off x="2000250" y="7671749"/>
          <a:ext cx="1733550" cy="1820756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792"/>
  <sheetViews>
    <sheetView tabSelected="1" zoomScaleNormal="100" workbookViewId="0">
      <pane ySplit="12000" topLeftCell="A367"/>
      <selection activeCell="BK23" sqref="BK23"/>
      <selection pane="bottomLeft" activeCell="BG370" sqref="BG370"/>
    </sheetView>
  </sheetViews>
  <sheetFormatPr defaultRowHeight="11.25" customHeight="1" x14ac:dyDescent="0.25"/>
  <cols>
    <col min="1" max="1" width="3.85546875" style="36" customWidth="1"/>
    <col min="2" max="2" width="1.7109375" style="36" customWidth="1"/>
    <col min="3" max="25" width="2.28515625" style="36" customWidth="1"/>
    <col min="26" max="26" width="3.85546875" style="36" customWidth="1"/>
    <col min="27" max="28" width="3.28515625" style="2" customWidth="1"/>
    <col min="29" max="29" width="4.42578125" style="2" customWidth="1"/>
    <col min="30" max="31" width="3.28515625" style="2" customWidth="1"/>
    <col min="32" max="32" width="6.140625" style="2" customWidth="1"/>
    <col min="33" max="33" width="3.7109375" style="2" customWidth="1"/>
    <col min="34" max="34" width="3.85546875" style="2" customWidth="1"/>
    <col min="35" max="36" width="2.5703125" style="2" customWidth="1"/>
    <col min="37" max="37" width="5" style="2" customWidth="1"/>
    <col min="38" max="38" width="3.42578125" style="2" customWidth="1"/>
    <col min="39" max="39" width="2.5703125" style="2" customWidth="1"/>
    <col min="40" max="41" width="3.5703125" style="2" customWidth="1"/>
    <col min="42" max="42" width="2.5703125" style="2" customWidth="1"/>
    <col min="43" max="43" width="3.42578125" style="2" customWidth="1"/>
    <col min="44" max="44" width="2.5703125" style="2" customWidth="1"/>
    <col min="45" max="45" width="3.42578125" style="2" customWidth="1"/>
    <col min="46" max="47" width="2.5703125" style="2" customWidth="1"/>
    <col min="48" max="49" width="3.42578125" style="2" customWidth="1"/>
    <col min="50" max="50" width="3.85546875" style="2" customWidth="1"/>
    <col min="51" max="52" width="2.5703125" style="2" customWidth="1"/>
    <col min="53" max="53" width="2.85546875" style="2" bestFit="1" customWidth="1"/>
    <col min="54" max="54" width="4.7109375" style="2" bestFit="1" customWidth="1"/>
    <col min="55" max="55" width="2.42578125" style="2" bestFit="1" customWidth="1"/>
    <col min="56" max="56" width="2.42578125" style="2" customWidth="1"/>
    <col min="57" max="57" width="3.85546875" style="2" customWidth="1"/>
    <col min="58" max="60" width="2.85546875" style="2" customWidth="1"/>
    <col min="61" max="61" width="3.42578125" style="2" customWidth="1"/>
    <col min="62" max="62" width="5" style="36" customWidth="1"/>
    <col min="63" max="63" width="3.85546875" style="36" customWidth="1"/>
    <col min="64" max="64" width="4" style="36" hidden="1" customWidth="1"/>
    <col min="65" max="66" width="3.28515625" style="36" hidden="1" customWidth="1"/>
    <col min="67" max="67" width="1.7109375" style="36" hidden="1" customWidth="1"/>
    <col min="68" max="70" width="2.85546875" style="2" customWidth="1"/>
    <col min="71" max="71" width="6.28515625" style="2" customWidth="1"/>
    <col min="72" max="72" width="7.5703125" style="2" customWidth="1"/>
    <col min="73" max="73" width="3.28515625" style="2" customWidth="1"/>
    <col min="74" max="74" width="3.85546875" style="34" customWidth="1"/>
    <col min="75" max="75" width="3.85546875" style="2" customWidth="1"/>
    <col min="76" max="77" width="3.85546875" style="34" customWidth="1"/>
    <col min="78" max="78" width="3.85546875" style="36" customWidth="1"/>
    <col min="79" max="100" width="0.85546875" style="36" customWidth="1"/>
    <col min="101" max="101" width="3" style="36" customWidth="1"/>
    <col min="102" max="115" width="2.7109375" style="36" customWidth="1"/>
    <col min="116" max="16384" width="9.140625" style="36"/>
  </cols>
  <sheetData>
    <row r="1" spans="1:115" ht="11.25" customHeight="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35"/>
      <c r="BH1" s="35"/>
      <c r="BI1" s="35"/>
      <c r="BJ1" s="35"/>
      <c r="BK1" s="35"/>
      <c r="BL1" s="35"/>
      <c r="BM1" s="35"/>
      <c r="BN1" s="35"/>
      <c r="BO1" s="35"/>
      <c r="BP1" s="1"/>
      <c r="BQ1" s="1"/>
      <c r="BR1" s="1"/>
      <c r="BS1" s="1"/>
      <c r="BT1" s="1"/>
      <c r="BU1" s="1"/>
      <c r="BV1" s="32"/>
      <c r="BW1" s="1"/>
      <c r="BX1" s="32"/>
      <c r="BY1" s="61" t="s">
        <v>204</v>
      </c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14">
        <v>8</v>
      </c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</row>
    <row r="2" spans="1:115" ht="11.25" customHeight="1" x14ac:dyDescent="0.25">
      <c r="A2" s="35"/>
      <c r="B2" s="17" t="s">
        <v>54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7" t="s">
        <v>54</v>
      </c>
      <c r="BG2" s="1"/>
      <c r="BH2" s="1"/>
      <c r="BI2" s="1"/>
      <c r="BJ2" s="35">
        <v>-1</v>
      </c>
      <c r="BK2" s="35"/>
      <c r="BL2" s="35"/>
      <c r="BM2" s="35"/>
      <c r="BN2" s="35"/>
      <c r="BO2" s="35"/>
      <c r="BP2" s="62" t="s">
        <v>205</v>
      </c>
      <c r="BQ2" s="48"/>
      <c r="BR2" s="1">
        <f>BS2-BR3</f>
        <v>61</v>
      </c>
      <c r="BS2" s="49">
        <f>COUNTA(BS5:BS114)</f>
        <v>110</v>
      </c>
      <c r="BT2" s="50" t="s">
        <v>64</v>
      </c>
      <c r="BU2" s="50">
        <f t="shared" ref="BU2:BW3" si="0">AI49</f>
        <v>0</v>
      </c>
      <c r="BV2" s="50" t="str">
        <f t="shared" si="0"/>
        <v>:</v>
      </c>
      <c r="BW2" s="50">
        <f t="shared" si="0"/>
        <v>78</v>
      </c>
      <c r="BX2" s="32"/>
      <c r="BY2" s="32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14" t="s">
        <v>52</v>
      </c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</row>
    <row r="3" spans="1:115" ht="11.25" customHeight="1" x14ac:dyDescent="0.25">
      <c r="A3" s="35"/>
      <c r="B3" s="17" t="s">
        <v>50</v>
      </c>
      <c r="C3" s="17"/>
      <c r="D3" s="17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5">
        <f>COUNT(C40:Y40)</f>
        <v>23</v>
      </c>
      <c r="V3" s="65" t="s">
        <v>52</v>
      </c>
      <c r="W3" s="65">
        <f>COUNT(Y5:Y40)</f>
        <v>36</v>
      </c>
      <c r="X3" s="65" t="s">
        <v>193</v>
      </c>
      <c r="Y3" s="65">
        <f>W3*U3</f>
        <v>828</v>
      </c>
      <c r="Z3" s="35"/>
      <c r="AA3" s="20" t="s">
        <v>49</v>
      </c>
      <c r="AB3" s="3"/>
      <c r="AC3" s="3"/>
      <c r="AD3" s="3"/>
      <c r="AE3" s="3"/>
      <c r="AF3" s="1">
        <f>COUNT(AF5:AF43)</f>
        <v>38</v>
      </c>
      <c r="AG3" s="1"/>
      <c r="AH3" s="1"/>
      <c r="AI3" s="20" t="s">
        <v>48</v>
      </c>
      <c r="AJ3" s="3"/>
      <c r="AK3" s="3"/>
      <c r="AL3" s="3"/>
      <c r="AM3" s="3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20" t="s">
        <v>6</v>
      </c>
      <c r="AZ3" s="20"/>
      <c r="BA3" s="3"/>
      <c r="BB3" s="3"/>
      <c r="BC3" s="3"/>
      <c r="BD3" s="3"/>
      <c r="BE3" s="1"/>
      <c r="BF3" s="17" t="s">
        <v>50</v>
      </c>
      <c r="BG3" s="3"/>
      <c r="BH3" s="3"/>
      <c r="BI3" s="7">
        <f>COUNT(BI4:BI3205)</f>
        <v>361</v>
      </c>
      <c r="BJ3" s="18">
        <v>0</v>
      </c>
      <c r="BK3" s="35"/>
      <c r="BL3" s="6">
        <f>COUNT(BL5:BL10792)+ROW()+1</f>
        <v>828</v>
      </c>
      <c r="BM3" s="16" t="s">
        <v>51</v>
      </c>
      <c r="BN3" s="16" t="s">
        <v>52</v>
      </c>
      <c r="BO3" s="35"/>
      <c r="BP3" s="48" t="str">
        <f>AA51</f>
        <v>LAK2</v>
      </c>
      <c r="BQ3" s="48"/>
      <c r="BR3" s="1">
        <f>COUNTIF(BV5:BV114,"&lt;&gt;0")</f>
        <v>49</v>
      </c>
      <c r="BS3" s="48"/>
      <c r="BT3" s="1"/>
      <c r="BU3" s="50">
        <f t="shared" si="0"/>
        <v>1</v>
      </c>
      <c r="BV3" s="50" t="str">
        <f t="shared" si="0"/>
        <v>:</v>
      </c>
      <c r="BW3" s="50">
        <f t="shared" si="0"/>
        <v>32</v>
      </c>
      <c r="BX3" s="32"/>
      <c r="BY3" s="32"/>
      <c r="BZ3" s="35"/>
      <c r="CA3" s="17" t="s">
        <v>200</v>
      </c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35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31">
        <v>-15</v>
      </c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</row>
    <row r="4" spans="1:115" ht="11.25" customHeight="1" x14ac:dyDescent="0.25">
      <c r="A4" s="35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5"/>
      <c r="AA4" s="10" t="s">
        <v>0</v>
      </c>
      <c r="AB4" s="4" t="s">
        <v>1</v>
      </c>
      <c r="AC4" s="4" t="s">
        <v>2</v>
      </c>
      <c r="AD4" s="4" t="s">
        <v>3</v>
      </c>
      <c r="AE4" s="4" t="s">
        <v>4</v>
      </c>
      <c r="AF4" s="4" t="s">
        <v>5</v>
      </c>
      <c r="AG4" s="1"/>
      <c r="AH4" s="1"/>
      <c r="AI4" s="33"/>
      <c r="AJ4" s="33">
        <v>0</v>
      </c>
      <c r="AK4" s="33">
        <v>1</v>
      </c>
      <c r="AL4" s="33">
        <v>2</v>
      </c>
      <c r="AM4" s="33">
        <v>3</v>
      </c>
      <c r="AN4" s="33">
        <v>4</v>
      </c>
      <c r="AO4" s="33">
        <v>5</v>
      </c>
      <c r="AP4" s="33">
        <v>6</v>
      </c>
      <c r="AQ4" s="33">
        <v>7</v>
      </c>
      <c r="AR4" s="33">
        <v>8</v>
      </c>
      <c r="AS4" s="33">
        <v>9</v>
      </c>
      <c r="AT4" s="33">
        <v>10</v>
      </c>
      <c r="AU4" s="33">
        <v>11</v>
      </c>
      <c r="AV4" s="33">
        <v>12</v>
      </c>
      <c r="AW4" s="1"/>
      <c r="AX4" s="1"/>
      <c r="AY4" s="4"/>
      <c r="AZ4" s="4">
        <v>0</v>
      </c>
      <c r="BA4" s="4">
        <v>1</v>
      </c>
      <c r="BB4" s="4">
        <v>2</v>
      </c>
      <c r="BC4" s="4">
        <v>3</v>
      </c>
      <c r="BD4" s="4"/>
      <c r="BE4" s="1"/>
      <c r="BF4" s="4" t="s">
        <v>53</v>
      </c>
      <c r="BG4" s="6" t="s">
        <v>51</v>
      </c>
      <c r="BH4" s="6" t="s">
        <v>52</v>
      </c>
      <c r="BI4" s="22" t="s">
        <v>55</v>
      </c>
      <c r="BJ4" s="18">
        <v>5</v>
      </c>
      <c r="BK4" s="35"/>
      <c r="BL4" s="15">
        <f>BN4*BM4</f>
        <v>828</v>
      </c>
      <c r="BM4" s="5">
        <v>23</v>
      </c>
      <c r="BN4" s="38">
        <v>36</v>
      </c>
      <c r="BO4" s="35"/>
      <c r="BP4" s="33"/>
      <c r="BQ4" s="33">
        <v>0</v>
      </c>
      <c r="BR4" s="33">
        <v>1</v>
      </c>
      <c r="BS4" s="33">
        <v>2</v>
      </c>
      <c r="BT4" s="33">
        <v>3</v>
      </c>
      <c r="BU4" s="33">
        <v>4</v>
      </c>
      <c r="BV4" s="33">
        <v>5</v>
      </c>
      <c r="BW4" s="33">
        <v>6</v>
      </c>
      <c r="BX4" s="33">
        <v>7</v>
      </c>
      <c r="BY4" s="33">
        <v>8</v>
      </c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</row>
    <row r="5" spans="1:115" ht="8.1" customHeight="1" x14ac:dyDescent="0.25">
      <c r="A5" s="35"/>
      <c r="B5" s="37"/>
      <c r="C5" s="25">
        <f>IF(OR(C46=0,C46=1),$W$44,IF(ISNUMBER(MATCH(C85,$BJ$5:$BJ$40000,0)),INDEX($BI$5:$BI$1792,MATCH(C85,$BJ$5:$BJ$40000,0),1),IF(CA43=0,-1,$BJ$3)))</f>
        <v>70</v>
      </c>
      <c r="D5" s="25">
        <f>IF(OR(D46=0,D46=1),$W$44,IF(ISNUMBER(MATCH(D85,$BJ$5:$BJ$40000,0)),INDEX($BI$5:$BI$1792,MATCH(D85,$BJ$5:$BJ$40000,0),1),IF(CB43=0,-1,$BJ$3)))</f>
        <v>70</v>
      </c>
      <c r="E5" s="25">
        <f>IF(OR(E46=0,E46=1),$W$44,IF(ISNUMBER(MATCH(E85,$BJ$5:$BJ$40000,0)),INDEX($BI$5:$BI$1792,MATCH(E85,$BJ$5:$BJ$40000,0),1),IF(CC43=0,-1,$BJ$3)))</f>
        <v>70</v>
      </c>
      <c r="F5" s="25">
        <f>IF(OR(F46=0,F46=1),$W$44,IF(ISNUMBER(MATCH(F85,$BJ$5:$BJ$40000,0)),INDEX($BI$5:$BI$1792,MATCH(F85,$BJ$5:$BJ$40000,0),1),IF(CD43=0,-1,$BJ$3)))</f>
        <v>70</v>
      </c>
      <c r="G5" s="25">
        <f>IF(OR(G46=0,G46=1),$W$44,IF(ISNUMBER(MATCH(G85,$BJ$5:$BJ$40000,0)),INDEX($BI$5:$BI$1792,MATCH(G85,$BJ$5:$BJ$40000,0),1),IF(CE43=0,-1,$BJ$3)))</f>
        <v>70</v>
      </c>
      <c r="H5" s="25">
        <f>IF(OR(H46=0,H46=1),$W$44,IF(ISNUMBER(MATCH(H85,$BJ$5:$BJ$40000,0)),INDEX($BI$5:$BI$1792,MATCH(H85,$BJ$5:$BJ$40000,0),1),IF(CF43=0,-1,$BJ$3)))</f>
        <v>70</v>
      </c>
      <c r="I5" s="25">
        <f>IF(OR(I46=0,I46=1),$W$44,IF(ISNUMBER(MATCH(I85,$BJ$5:$BJ$40000,0)),INDEX($BI$5:$BI$1792,MATCH(I85,$BJ$5:$BJ$40000,0),1),IF(CG43=0,-1,$BJ$3)))</f>
        <v>70</v>
      </c>
      <c r="J5" s="25">
        <f>IF(OR(J46=0,J46=1),$W$44,IF(ISNUMBER(MATCH(J85,$BJ$5:$BJ$40000,0)),INDEX($BI$5:$BI$1792,MATCH(J85,$BJ$5:$BJ$40000,0),1),IF(CH43=0,-1,$BJ$3)))</f>
        <v>70</v>
      </c>
      <c r="K5" s="25">
        <f>IF(OR(K46=0,K46=1),$W$44,IF(ISNUMBER(MATCH(K85,$BJ$5:$BJ$40000,0)),INDEX($BI$5:$BI$1792,MATCH(K85,$BJ$5:$BJ$40000,0),1),IF(CI43=0,-1,$BJ$3)))</f>
        <v>70</v>
      </c>
      <c r="L5" s="25">
        <f>IF(OR(L46=0,L46=1),$W$44,IF(ISNUMBER(MATCH(L85,$BJ$5:$BJ$40000,0)),INDEX($BI$5:$BI$1792,MATCH(L85,$BJ$5:$BJ$40000,0),1),IF(CJ43=0,-1,$BJ$3)))</f>
        <v>70</v>
      </c>
      <c r="M5" s="25">
        <f>IF(OR(M46=0,M46=1),$W$44,IF(ISNUMBER(MATCH(M85,$BJ$5:$BJ$40000,0)),INDEX($BI$5:$BI$1792,MATCH(M85,$BJ$5:$BJ$40000,0),1),IF(CK43=0,-1,$BJ$3)))</f>
        <v>70</v>
      </c>
      <c r="N5" s="25">
        <f>IF(OR(N46=0,N46=1),$W$44,IF(ISNUMBER(MATCH(N85,$BJ$5:$BJ$40000,0)),INDEX($BI$5:$BI$1792,MATCH(N85,$BJ$5:$BJ$40000,0),1),IF(CL43=0,-1,$BJ$3)))</f>
        <v>70</v>
      </c>
      <c r="O5" s="25">
        <f>IF(OR(O46=0,O46=1),$W$44,IF(ISNUMBER(MATCH(O85,$BJ$5:$BJ$40000,0)),INDEX($BI$5:$BI$1792,MATCH(O85,$BJ$5:$BJ$40000,0),1),IF(CM43=0,-1,$BJ$3)))</f>
        <v>70</v>
      </c>
      <c r="P5" s="25">
        <f>IF(OR(P46=0,P46=1),$W$44,IF(ISNUMBER(MATCH(P85,$BJ$5:$BJ$40000,0)),INDEX($BI$5:$BI$1792,MATCH(P85,$BJ$5:$BJ$40000,0),1),IF(CN43=0,-1,$BJ$3)))</f>
        <v>70</v>
      </c>
      <c r="Q5" s="25">
        <f>IF(OR(Q46=0,Q46=1),$W$44,IF(ISNUMBER(MATCH(Q85,$BJ$5:$BJ$40000,0)),INDEX($BI$5:$BI$1792,MATCH(Q85,$BJ$5:$BJ$40000,0),1),IF(CO43=0,-1,$BJ$3)))</f>
        <v>70</v>
      </c>
      <c r="R5" s="25">
        <f>IF(OR(R46=0,R46=1),$W$44,IF(ISNUMBER(MATCH(R85,$BJ$5:$BJ$40000,0)),INDEX($BI$5:$BI$1792,MATCH(R85,$BJ$5:$BJ$40000,0),1),IF(CP43=0,-1,$BJ$3)))</f>
        <v>70</v>
      </c>
      <c r="S5" s="25">
        <f>IF(OR(S46=0,S46=1),$W$44,IF(ISNUMBER(MATCH(S85,$BJ$5:$BJ$40000,0)),INDEX($BI$5:$BI$1792,MATCH(S85,$BJ$5:$BJ$40000,0),1),IF(CQ43=0,-1,$BJ$3)))</f>
        <v>70</v>
      </c>
      <c r="T5" s="25">
        <f>IF(OR(T46=0,T46=1),$W$44,IF(ISNUMBER(MATCH(T85,$BJ$5:$BJ$40000,0)),INDEX($BI$5:$BI$1792,MATCH(T85,$BJ$5:$BJ$40000,0),1),IF(CR43=0,-1,$BJ$3)))</f>
        <v>70</v>
      </c>
      <c r="U5" s="25">
        <f>IF(OR(U46=0,U46=1),$W$44,IF(ISNUMBER(MATCH(U85,$BJ$5:$BJ$40000,0)),INDEX($BI$5:$BI$1792,MATCH(U85,$BJ$5:$BJ$40000,0),1),IF(CS43=0,-1,$BJ$3)))</f>
        <v>70</v>
      </c>
      <c r="V5" s="25">
        <f>IF(OR(V46=0,V46=1),$W$44,IF(ISNUMBER(MATCH(V85,$BJ$5:$BJ$40000,0)),INDEX($BI$5:$BI$1792,MATCH(V85,$BJ$5:$BJ$40000,0),1),IF(CT43=0,-1,$BJ$3)))</f>
        <v>70</v>
      </c>
      <c r="W5" s="25">
        <f>IF(OR(W46=0,W46=1),$W$44,IF(ISNUMBER(MATCH(W85,$BJ$5:$BJ$40000,0)),INDEX($BI$5:$BI$1792,MATCH(W85,$BJ$5:$BJ$40000,0),1),IF(CU43=0,-1,$BJ$3)))</f>
        <v>70</v>
      </c>
      <c r="X5" s="25">
        <f>IF(OR(X46=0,X46=1),$W$44,IF(ISNUMBER(MATCH(X85,$BJ$5:$BJ$40000,0)),INDEX($BI$5:$BI$1792,MATCH(X85,$BJ$5:$BJ$40000,0),1),IF(CV43=0,-1,$BJ$3)))</f>
        <v>70</v>
      </c>
      <c r="Y5" s="25">
        <f>IF(OR(Y46=0,Y46=1),$W$44,IF(ISNUMBER(MATCH(Y85,$BJ$5:$BJ$40000,0)),INDEX($BI$5:$BI$1792,MATCH(Y85,$BJ$5:$BJ$40000,0),1),IF(CW43=0,-1,$BJ$3)))</f>
        <v>70</v>
      </c>
      <c r="Z5" s="35"/>
      <c r="AA5" s="15">
        <v>1</v>
      </c>
      <c r="AB5" s="57">
        <v>1</v>
      </c>
      <c r="AC5" s="57">
        <v>23</v>
      </c>
      <c r="AD5" s="57">
        <v>1</v>
      </c>
      <c r="AE5" s="57">
        <v>1</v>
      </c>
      <c r="AF5" s="57">
        <v>400</v>
      </c>
      <c r="AG5" s="23" t="str">
        <f t="shared" ref="AG5:AG42" si="1">_xlfn.CONCAT(AC5,",",AB5)</f>
        <v>23,1</v>
      </c>
      <c r="AH5" s="1"/>
      <c r="AI5" s="15">
        <v>0</v>
      </c>
      <c r="AJ5" s="15">
        <v>0</v>
      </c>
      <c r="AK5" s="15" t="s">
        <v>7</v>
      </c>
      <c r="AL5" s="57">
        <v>400</v>
      </c>
      <c r="AM5" s="57">
        <v>5</v>
      </c>
      <c r="AN5" s="57">
        <v>1.8181818181818099E-3</v>
      </c>
      <c r="AO5" s="57">
        <v>48.636363636363598</v>
      </c>
      <c r="AP5" s="57">
        <v>1</v>
      </c>
      <c r="AQ5" s="57">
        <v>100</v>
      </c>
      <c r="AR5" s="57">
        <v>0.03</v>
      </c>
      <c r="AS5" s="57">
        <v>1</v>
      </c>
      <c r="AT5" s="57">
        <v>1</v>
      </c>
      <c r="AU5" s="57">
        <v>0</v>
      </c>
      <c r="AV5" s="57" t="s">
        <v>8</v>
      </c>
      <c r="AW5" s="58">
        <f>IF(AV4=AV5,AW4,MAX(AW4:AW$4)+1)</f>
        <v>1</v>
      </c>
      <c r="AX5" s="1"/>
      <c r="AY5" s="33">
        <v>0</v>
      </c>
      <c r="AZ5" s="33">
        <v>0</v>
      </c>
      <c r="BA5" s="11">
        <v>-1</v>
      </c>
      <c r="BB5" s="11"/>
      <c r="BC5" s="11"/>
      <c r="BD5" s="11">
        <f>IF(AND(ISNUMBER(BB5),ISNUMBER(BA5)),BD4+1,0)</f>
        <v>0</v>
      </c>
      <c r="BE5" s="1"/>
      <c r="BF5" s="4">
        <v>1</v>
      </c>
      <c r="BG5" s="57">
        <v>1</v>
      </c>
      <c r="BH5" s="57">
        <v>4</v>
      </c>
      <c r="BI5" s="57">
        <v>50</v>
      </c>
      <c r="BJ5" s="13" t="str">
        <f>_xlfn.CONCAT(BH5,",",BG5)</f>
        <v>4,1</v>
      </c>
      <c r="BK5" s="35"/>
      <c r="BL5" s="8">
        <f t="shared" ref="BL5:BL36" si="2">IF(ROW()&lt;=$BL$4,ROW()-ROW(BL$4),"")</f>
        <v>1</v>
      </c>
      <c r="BM5" s="9">
        <v>1</v>
      </c>
      <c r="BN5" s="6">
        <f>IF(BM4&lt;&gt;BM5,1,BN4+1)</f>
        <v>1</v>
      </c>
      <c r="BO5" s="35"/>
      <c r="BP5" s="15">
        <v>0</v>
      </c>
      <c r="BQ5" s="60">
        <v>0</v>
      </c>
      <c r="BR5" s="57">
        <v>0</v>
      </c>
      <c r="BS5" s="57" t="s">
        <v>66</v>
      </c>
      <c r="BT5" s="57" t="s">
        <v>67</v>
      </c>
      <c r="BU5" s="57">
        <v>1</v>
      </c>
      <c r="BV5" s="60">
        <v>30.879079999999998</v>
      </c>
      <c r="BW5" s="57">
        <v>100</v>
      </c>
      <c r="BX5" s="60">
        <v>201.858499999999</v>
      </c>
      <c r="BY5" s="60">
        <v>405.664999999999</v>
      </c>
      <c r="BZ5" s="35"/>
      <c r="CA5" s="52">
        <v>33.347070000000002</v>
      </c>
      <c r="CB5" s="52">
        <v>33.962229999999998</v>
      </c>
      <c r="CC5" s="52">
        <v>34.438589999999998</v>
      </c>
      <c r="CD5" s="52">
        <v>34.860169999999997</v>
      </c>
      <c r="CE5" s="52">
        <v>34.990270000000002</v>
      </c>
      <c r="CF5" s="52">
        <v>34.806080000000001</v>
      </c>
      <c r="CG5" s="52">
        <v>34.904359999999997</v>
      </c>
      <c r="CH5" s="52">
        <v>34.988630000000001</v>
      </c>
      <c r="CI5" s="52">
        <v>34.770580000000002</v>
      </c>
      <c r="CJ5" s="52">
        <v>34.74183</v>
      </c>
      <c r="CK5" s="53">
        <v>34.973039999999997</v>
      </c>
      <c r="CL5" s="53">
        <v>34.897790000000001</v>
      </c>
      <c r="CM5" s="53">
        <v>34.57696</v>
      </c>
      <c r="CN5" s="53">
        <v>34.505380000000002</v>
      </c>
      <c r="CO5" s="53">
        <v>34.797510000000003</v>
      </c>
      <c r="CP5" s="53">
        <v>34.98536</v>
      </c>
      <c r="CQ5" s="53">
        <v>34.587130000000002</v>
      </c>
      <c r="CR5" s="53">
        <v>34.420560000000002</v>
      </c>
      <c r="CS5" s="53">
        <v>34.945140000000002</v>
      </c>
      <c r="CT5" s="53">
        <v>34.737589999999997</v>
      </c>
      <c r="CU5" s="53">
        <v>34.672150000000002</v>
      </c>
      <c r="CV5" s="53">
        <v>34.940770000000001</v>
      </c>
      <c r="CW5" s="53">
        <v>34.639890000000001</v>
      </c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</row>
    <row r="6" spans="1:115" ht="8.1" customHeight="1" x14ac:dyDescent="0.25">
      <c r="A6" s="35"/>
      <c r="B6" s="37"/>
      <c r="C6" s="25">
        <f>IF(OR(C47=0,C47=1),$W$44,IF(ISNUMBER(MATCH(C86,$BJ$5:$BJ$40000,0)),INDEX($BI$5:$BI$1792,MATCH(C86,$BJ$5:$BJ$40000,0),1),IF(CA44=0,-1,$BJ$3)))</f>
        <v>-1</v>
      </c>
      <c r="D6" s="25">
        <f>IF(OR(D47=0,D47=1),$W$44,IF(ISNUMBER(MATCH(D86,$BJ$5:$BJ$40000,0)),INDEX($BI$5:$BI$1792,MATCH(D86,$BJ$5:$BJ$40000,0),1),IF(CB44=0,-1,$BJ$3)))</f>
        <v>-1</v>
      </c>
      <c r="E6" s="25">
        <f>IF(OR(E47=0,E47=1),$W$44,IF(ISNUMBER(MATCH(E86,$BJ$5:$BJ$40000,0)),INDEX($BI$5:$BI$1792,MATCH(E86,$BJ$5:$BJ$40000,0),1),IF(CC44=0,-1,$BJ$3)))</f>
        <v>0</v>
      </c>
      <c r="F6" s="25">
        <f>IF(OR(F47=0,F47=1),$W$44,IF(ISNUMBER(MATCH(F86,$BJ$5:$BJ$40000,0)),INDEX($BI$5:$BI$1792,MATCH(F86,$BJ$5:$BJ$40000,0),1),IF(CD44=0,-1,$BJ$3)))</f>
        <v>0</v>
      </c>
      <c r="G6" s="25">
        <f>IF(OR(G47=0,G47=1),$W$44,IF(ISNUMBER(MATCH(G86,$BJ$5:$BJ$40000,0)),INDEX($BI$5:$BI$1792,MATCH(G86,$BJ$5:$BJ$40000,0),1),IF(CE44=0,-1,$BJ$3)))</f>
        <v>0</v>
      </c>
      <c r="H6" s="25">
        <f>IF(OR(H47=0,H47=1),$W$44,IF(ISNUMBER(MATCH(H86,$BJ$5:$BJ$40000,0)),INDEX($BI$5:$BI$1792,MATCH(H86,$BJ$5:$BJ$40000,0),1),IF(CF44=0,-1,$BJ$3)))</f>
        <v>0</v>
      </c>
      <c r="I6" s="25">
        <f>IF(OR(I47=0,I47=1),$W$44,IF(ISNUMBER(MATCH(I86,$BJ$5:$BJ$40000,0)),INDEX($BI$5:$BI$1792,MATCH(I86,$BJ$5:$BJ$40000,0),1),IF(CG44=0,-1,$BJ$3)))</f>
        <v>0</v>
      </c>
      <c r="J6" s="25">
        <f>IF(OR(J47=0,J47=1),$W$44,IF(ISNUMBER(MATCH(J86,$BJ$5:$BJ$40000,0)),INDEX($BI$5:$BI$1792,MATCH(J86,$BJ$5:$BJ$40000,0),1),IF(CH44=0,-1,$BJ$3)))</f>
        <v>0</v>
      </c>
      <c r="K6" s="25">
        <f>IF(OR(K47=0,K47=1),$W$44,IF(ISNUMBER(MATCH(K86,$BJ$5:$BJ$40000,0)),INDEX($BI$5:$BI$1792,MATCH(K86,$BJ$5:$BJ$40000,0),1),IF(CI44=0,-1,$BJ$3)))</f>
        <v>0</v>
      </c>
      <c r="L6" s="25">
        <f>IF(OR(L47=0,L47=1),$W$44,IF(ISNUMBER(MATCH(L86,$BJ$5:$BJ$40000,0)),INDEX($BI$5:$BI$1792,MATCH(L86,$BJ$5:$BJ$40000,0),1),IF(CJ44=0,-1,$BJ$3)))</f>
        <v>0</v>
      </c>
      <c r="M6" s="25">
        <f>IF(OR(M47=0,M47=1),$W$44,IF(ISNUMBER(MATCH(M86,$BJ$5:$BJ$40000,0)),INDEX($BI$5:$BI$1792,MATCH(M86,$BJ$5:$BJ$40000,0),1),IF(CK44=0,-1,$BJ$3)))</f>
        <v>0</v>
      </c>
      <c r="N6" s="25">
        <f>IF(OR(N47=0,N47=1),$W$44,IF(ISNUMBER(MATCH(N86,$BJ$5:$BJ$40000,0)),INDEX($BI$5:$BI$1792,MATCH(N86,$BJ$5:$BJ$40000,0),1),IF(CL44=0,-1,$BJ$3)))</f>
        <v>0</v>
      </c>
      <c r="O6" s="25">
        <f>IF(OR(O47=0,O47=1),$W$44,IF(ISNUMBER(MATCH(O86,$BJ$5:$BJ$40000,0)),INDEX($BI$5:$BI$1792,MATCH(O86,$BJ$5:$BJ$40000,0),1),IF(CM44=0,-1,$BJ$3)))</f>
        <v>0</v>
      </c>
      <c r="P6" s="25">
        <f>IF(OR(P47=0,P47=1),$W$44,IF(ISNUMBER(MATCH(P86,$BJ$5:$BJ$40000,0)),INDEX($BI$5:$BI$1792,MATCH(P86,$BJ$5:$BJ$40000,0),1),IF(CN44=0,-1,$BJ$3)))</f>
        <v>0</v>
      </c>
      <c r="Q6" s="25">
        <f>IF(OR(Q47=0,Q47=1),$W$44,IF(ISNUMBER(MATCH(Q86,$BJ$5:$BJ$40000,0)),INDEX($BI$5:$BI$1792,MATCH(Q86,$BJ$5:$BJ$40000,0),1),IF(CO44=0,-1,$BJ$3)))</f>
        <v>0</v>
      </c>
      <c r="R6" s="25">
        <f>IF(OR(R47=0,R47=1),$W$44,IF(ISNUMBER(MATCH(R86,$BJ$5:$BJ$40000,0)),INDEX($BI$5:$BI$1792,MATCH(R86,$BJ$5:$BJ$40000,0),1),IF(CP44=0,-1,$BJ$3)))</f>
        <v>0</v>
      </c>
      <c r="S6" s="25">
        <f>IF(OR(S47=0,S47=1),$W$44,IF(ISNUMBER(MATCH(S86,$BJ$5:$BJ$40000,0)),INDEX($BI$5:$BI$1792,MATCH(S86,$BJ$5:$BJ$40000,0),1),IF(CQ44=0,-1,$BJ$3)))</f>
        <v>0</v>
      </c>
      <c r="T6" s="25">
        <f>IF(OR(T47=0,T47=1),$W$44,IF(ISNUMBER(MATCH(T86,$BJ$5:$BJ$40000,0)),INDEX($BI$5:$BI$1792,MATCH(T86,$BJ$5:$BJ$40000,0),1),IF(CR44=0,-1,$BJ$3)))</f>
        <v>0</v>
      </c>
      <c r="U6" s="25">
        <f>IF(OR(U47=0,U47=1),$W$44,IF(ISNUMBER(MATCH(U86,$BJ$5:$BJ$40000,0)),INDEX($BI$5:$BI$1792,MATCH(U86,$BJ$5:$BJ$40000,0),1),IF(CS44=0,-1,$BJ$3)))</f>
        <v>0</v>
      </c>
      <c r="V6" s="25">
        <f>IF(OR(V47=0,V47=1),$W$44,IF(ISNUMBER(MATCH(V86,$BJ$5:$BJ$40000,0)),INDEX($BI$5:$BI$1792,MATCH(V86,$BJ$5:$BJ$40000,0),1),IF(CT44=0,-1,$BJ$3)))</f>
        <v>0</v>
      </c>
      <c r="W6" s="25">
        <f>IF(OR(W47=0,W47=1),$W$44,IF(ISNUMBER(MATCH(W86,$BJ$5:$BJ$40000,0)),INDEX($BI$5:$BI$1792,MATCH(W86,$BJ$5:$BJ$40000,0),1),IF(CU44=0,-1,$BJ$3)))</f>
        <v>0</v>
      </c>
      <c r="X6" s="25">
        <f>IF(OR(X47=0,X47=1),$W$44,IF(ISNUMBER(MATCH(X86,$BJ$5:$BJ$40000,0)),INDEX($BI$5:$BI$1792,MATCH(X86,$BJ$5:$BJ$40000,0),1),IF(CV44=0,-1,$BJ$3)))</f>
        <v>3</v>
      </c>
      <c r="Y6" s="25">
        <f>IF(OR(Y47=0,Y47=1),$W$44,IF(ISNUMBER(MATCH(Y86,$BJ$5:$BJ$40000,0)),INDEX($BI$5:$BI$1792,MATCH(Y86,$BJ$5:$BJ$40000,0),1),IF(CW44=0,-1,$BJ$3)))</f>
        <v>2</v>
      </c>
      <c r="Z6" s="35"/>
      <c r="AA6" s="15">
        <v>1</v>
      </c>
      <c r="AB6" s="57">
        <v>2</v>
      </c>
      <c r="AC6" s="57">
        <v>23</v>
      </c>
      <c r="AD6" s="57">
        <v>1</v>
      </c>
      <c r="AE6" s="57">
        <v>2</v>
      </c>
      <c r="AF6" s="57">
        <v>200</v>
      </c>
      <c r="AG6" s="23" t="str">
        <f t="shared" si="1"/>
        <v>23,2</v>
      </c>
      <c r="AH6" s="1"/>
      <c r="AI6" s="15">
        <v>1</v>
      </c>
      <c r="AJ6" s="15">
        <v>1</v>
      </c>
      <c r="AK6" s="15" t="s">
        <v>9</v>
      </c>
      <c r="AL6" s="57">
        <v>200</v>
      </c>
      <c r="AM6" s="57">
        <v>5</v>
      </c>
      <c r="AN6" s="57">
        <v>1.8181818181818099E-3</v>
      </c>
      <c r="AO6" s="57">
        <v>48.090909090909001</v>
      </c>
      <c r="AP6" s="57">
        <v>1</v>
      </c>
      <c r="AQ6" s="57">
        <v>100</v>
      </c>
      <c r="AR6" s="57">
        <v>0.03</v>
      </c>
      <c r="AS6" s="57">
        <v>2</v>
      </c>
      <c r="AT6" s="57">
        <v>1</v>
      </c>
      <c r="AU6" s="57">
        <v>0</v>
      </c>
      <c r="AV6" s="57" t="s">
        <v>8</v>
      </c>
      <c r="AW6" s="58">
        <f>IF(AV5=AV6,AW5,MAX(AW$4:AW5)+1)</f>
        <v>1</v>
      </c>
      <c r="AX6" s="1"/>
      <c r="AY6" s="33">
        <v>1</v>
      </c>
      <c r="AZ6" s="33">
        <v>1</v>
      </c>
      <c r="BA6" s="11">
        <v>0</v>
      </c>
      <c r="BB6" s="11">
        <v>-2</v>
      </c>
      <c r="BC6" s="11"/>
      <c r="BD6" s="11">
        <f>IF(AND(ISNUMBER(BB6),ISNUMBER(BA6)),BD5+1,0)</f>
        <v>1</v>
      </c>
      <c r="BE6" s="1"/>
      <c r="BF6" s="56">
        <v>1</v>
      </c>
      <c r="BG6" s="57">
        <v>1</v>
      </c>
      <c r="BH6" s="57">
        <v>5</v>
      </c>
      <c r="BI6" s="57">
        <v>50</v>
      </c>
      <c r="BJ6" s="13" t="str">
        <f t="shared" ref="BJ6:BJ69" si="3">_xlfn.CONCAT(BH6,",",BG6)</f>
        <v>5,1</v>
      </c>
      <c r="BK6" s="35"/>
      <c r="BL6" s="8">
        <f t="shared" si="2"/>
        <v>2</v>
      </c>
      <c r="BM6" s="6">
        <f>IF(ISNUMBER(BL6),INT(BL5/$BN$4)+1,"")</f>
        <v>1</v>
      </c>
      <c r="BN6" s="6">
        <f>IF(ISNUMBER(BL6),IF(BM5&lt;&gt;BM6,1,BN5+1),"")</f>
        <v>2</v>
      </c>
      <c r="BO6" s="35"/>
      <c r="BP6" s="15">
        <v>1</v>
      </c>
      <c r="BQ6" s="60">
        <v>0</v>
      </c>
      <c r="BR6" s="57">
        <v>1</v>
      </c>
      <c r="BS6" s="57" t="s">
        <v>68</v>
      </c>
      <c r="BT6" s="57" t="s">
        <v>67</v>
      </c>
      <c r="BU6" s="57">
        <v>1</v>
      </c>
      <c r="BV6" s="60">
        <v>30.499490000000002</v>
      </c>
      <c r="BW6" s="57">
        <v>100</v>
      </c>
      <c r="BX6" s="60">
        <v>202.83249999999899</v>
      </c>
      <c r="BY6" s="60">
        <v>403.71699999999998</v>
      </c>
      <c r="BZ6" s="35"/>
      <c r="CA6" s="52">
        <v>32.751330000000003</v>
      </c>
      <c r="CB6" s="52">
        <v>33.697159999999997</v>
      </c>
      <c r="CC6" s="52">
        <v>34.177129999999998</v>
      </c>
      <c r="CD6" s="52">
        <v>34.594099999999997</v>
      </c>
      <c r="CE6" s="52">
        <v>34.720329999999997</v>
      </c>
      <c r="CF6" s="52">
        <v>34.618279999999999</v>
      </c>
      <c r="CG6" s="52">
        <v>34.702950000000001</v>
      </c>
      <c r="CH6" s="52">
        <v>34.763750000000002</v>
      </c>
      <c r="CI6" s="52">
        <v>34.597909999999999</v>
      </c>
      <c r="CJ6" s="52">
        <v>34.561489999999999</v>
      </c>
      <c r="CK6" s="53">
        <v>34.712220000000002</v>
      </c>
      <c r="CL6" s="53">
        <v>34.643430000000002</v>
      </c>
      <c r="CM6" s="53">
        <v>34.372790000000002</v>
      </c>
      <c r="CN6" s="53">
        <v>34.150799999999997</v>
      </c>
      <c r="CO6" s="53">
        <v>34.376139999999999</v>
      </c>
      <c r="CP6" s="53">
        <v>34.490029999999997</v>
      </c>
      <c r="CQ6" s="53">
        <v>34.12191</v>
      </c>
      <c r="CR6" s="53">
        <v>34.042630000000003</v>
      </c>
      <c r="CS6" s="53">
        <v>34.40146</v>
      </c>
      <c r="CT6" s="53">
        <v>34.16639</v>
      </c>
      <c r="CU6" s="53">
        <v>34.082239999999999</v>
      </c>
      <c r="CV6" s="53">
        <v>34.191659999999999</v>
      </c>
      <c r="CW6" s="53">
        <v>33.938960000000002</v>
      </c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</row>
    <row r="7" spans="1:115" ht="8.1" customHeight="1" x14ac:dyDescent="0.25">
      <c r="A7" s="35"/>
      <c r="B7" s="37"/>
      <c r="C7" s="25">
        <f>IF(OR(C48=0,C48=1),$W$44,IF(ISNUMBER(MATCH(C87,$BJ$5:$BJ$40000,0)),INDEX($BI$5:$BI$1792,MATCH(C87,$BJ$5:$BJ$40000,0),1),IF(CA45=0,-1,$BJ$3)))</f>
        <v>-1</v>
      </c>
      <c r="D7" s="25">
        <f>IF(OR(D48=0,D48=1),$W$44,IF(ISNUMBER(MATCH(D87,$BJ$5:$BJ$40000,0)),INDEX($BI$5:$BI$1792,MATCH(D87,$BJ$5:$BJ$40000,0),1),IF(CB45=0,-1,$BJ$3)))</f>
        <v>-1</v>
      </c>
      <c r="E7" s="25">
        <f>IF(OR(E48=0,E48=1),$W$44,IF(ISNUMBER(MATCH(E87,$BJ$5:$BJ$40000,0)),INDEX($BI$5:$BI$1792,MATCH(E87,$BJ$5:$BJ$40000,0),1),IF(CC45=0,-1,$BJ$3)))</f>
        <v>0</v>
      </c>
      <c r="F7" s="25">
        <f>IF(OR(F48=0,F48=1),$W$44,IF(ISNUMBER(MATCH(F87,$BJ$5:$BJ$40000,0)),INDEX($BI$5:$BI$1792,MATCH(F87,$BJ$5:$BJ$40000,0),1),IF(CD45=0,-1,$BJ$3)))</f>
        <v>0</v>
      </c>
      <c r="G7" s="25">
        <f>IF(OR(G48=0,G48=1),$W$44,IF(ISNUMBER(MATCH(G87,$BJ$5:$BJ$40000,0)),INDEX($BI$5:$BI$1792,MATCH(G87,$BJ$5:$BJ$40000,0),1),IF(CE45=0,-1,$BJ$3)))</f>
        <v>0</v>
      </c>
      <c r="H7" s="25">
        <f>IF(OR(H48=0,H48=1),$W$44,IF(ISNUMBER(MATCH(H87,$BJ$5:$BJ$40000,0)),INDEX($BI$5:$BI$1792,MATCH(H87,$BJ$5:$BJ$40000,0),1),IF(CF45=0,-1,$BJ$3)))</f>
        <v>0</v>
      </c>
      <c r="I7" s="25">
        <f>IF(OR(I48=0,I48=1),$W$44,IF(ISNUMBER(MATCH(I87,$BJ$5:$BJ$40000,0)),INDEX($BI$5:$BI$1792,MATCH(I87,$BJ$5:$BJ$40000,0),1),IF(CG45=0,-1,$BJ$3)))</f>
        <v>0</v>
      </c>
      <c r="J7" s="25">
        <f>IF(OR(J48=0,J48=1),$W$44,IF(ISNUMBER(MATCH(J87,$BJ$5:$BJ$40000,0)),INDEX($BI$5:$BI$1792,MATCH(J87,$BJ$5:$BJ$40000,0),1),IF(CH45=0,-1,$BJ$3)))</f>
        <v>0</v>
      </c>
      <c r="K7" s="25">
        <f>IF(OR(K48=0,K48=1),$W$44,IF(ISNUMBER(MATCH(K87,$BJ$5:$BJ$40000,0)),INDEX($BI$5:$BI$1792,MATCH(K87,$BJ$5:$BJ$40000,0),1),IF(CI45=0,-1,$BJ$3)))</f>
        <v>0</v>
      </c>
      <c r="L7" s="25">
        <f>IF(OR(L48=0,L48=1),$W$44,IF(ISNUMBER(MATCH(L87,$BJ$5:$BJ$40000,0)),INDEX($BI$5:$BI$1792,MATCH(L87,$BJ$5:$BJ$40000,0),1),IF(CJ45=0,-1,$BJ$3)))</f>
        <v>0</v>
      </c>
      <c r="M7" s="25">
        <f>IF(OR(M48=0,M48=1),$W$44,IF(ISNUMBER(MATCH(M87,$BJ$5:$BJ$40000,0)),INDEX($BI$5:$BI$1792,MATCH(M87,$BJ$5:$BJ$40000,0),1),IF(CK45=0,-1,$BJ$3)))</f>
        <v>0</v>
      </c>
      <c r="N7" s="25">
        <f>IF(OR(N48=0,N48=1),$W$44,IF(ISNUMBER(MATCH(N87,$BJ$5:$BJ$40000,0)),INDEX($BI$5:$BI$1792,MATCH(N87,$BJ$5:$BJ$40000,0),1),IF(CL45=0,-1,$BJ$3)))</f>
        <v>0</v>
      </c>
      <c r="O7" s="25">
        <f>IF(OR(O48=0,O48=1),$W$44,IF(ISNUMBER(MATCH(O87,$BJ$5:$BJ$40000,0)),INDEX($BI$5:$BI$1792,MATCH(O87,$BJ$5:$BJ$40000,0),1),IF(CM45=0,-1,$BJ$3)))</f>
        <v>0</v>
      </c>
      <c r="P7" s="25">
        <f>IF(OR(P48=0,P48=1),$W$44,IF(ISNUMBER(MATCH(P87,$BJ$5:$BJ$40000,0)),INDEX($BI$5:$BI$1792,MATCH(P87,$BJ$5:$BJ$40000,0),1),IF(CN45=0,-1,$BJ$3)))</f>
        <v>0</v>
      </c>
      <c r="Q7" s="25">
        <f>IF(OR(Q48=0,Q48=1),$W$44,IF(ISNUMBER(MATCH(Q87,$BJ$5:$BJ$40000,0)),INDEX($BI$5:$BI$1792,MATCH(Q87,$BJ$5:$BJ$40000,0),1),IF(CO45=0,-1,$BJ$3)))</f>
        <v>0</v>
      </c>
      <c r="R7" s="25">
        <f>IF(OR(R48=0,R48=1),$W$44,IF(ISNUMBER(MATCH(R87,$BJ$5:$BJ$40000,0)),INDEX($BI$5:$BI$1792,MATCH(R87,$BJ$5:$BJ$40000,0),1),IF(CP45=0,-1,$BJ$3)))</f>
        <v>0</v>
      </c>
      <c r="S7" s="25">
        <f>IF(OR(S48=0,S48=1),$W$44,IF(ISNUMBER(MATCH(S87,$BJ$5:$BJ$40000,0)),INDEX($BI$5:$BI$1792,MATCH(S87,$BJ$5:$BJ$40000,0),1),IF(CQ45=0,-1,$BJ$3)))</f>
        <v>0</v>
      </c>
      <c r="T7" s="25">
        <f>IF(OR(T48=0,T48=1),$W$44,IF(ISNUMBER(MATCH(T87,$BJ$5:$BJ$40000,0)),INDEX($BI$5:$BI$1792,MATCH(T87,$BJ$5:$BJ$40000,0),1),IF(CR45=0,-1,$BJ$3)))</f>
        <v>0</v>
      </c>
      <c r="U7" s="25">
        <f>IF(OR(U48=0,U48=1),$W$44,IF(ISNUMBER(MATCH(U87,$BJ$5:$BJ$40000,0)),INDEX($BI$5:$BI$1792,MATCH(U87,$BJ$5:$BJ$40000,0),1),IF(CS45=0,-1,$BJ$3)))</f>
        <v>0</v>
      </c>
      <c r="V7" s="25">
        <f>IF(OR(V48=0,V48=1),$W$44,IF(ISNUMBER(MATCH(V87,$BJ$5:$BJ$40000,0)),INDEX($BI$5:$BI$1792,MATCH(V87,$BJ$5:$BJ$40000,0),1),IF(CT45=0,-1,$BJ$3)))</f>
        <v>0</v>
      </c>
      <c r="W7" s="25">
        <f>IF(OR(W48=0,W48=1),$W$44,IF(ISNUMBER(MATCH(W87,$BJ$5:$BJ$40000,0)),INDEX($BI$5:$BI$1792,MATCH(W87,$BJ$5:$BJ$40000,0),1),IF(CU45=0,-1,$BJ$3)))</f>
        <v>4</v>
      </c>
      <c r="X7" s="25">
        <f>IF(OR(X48=0,X48=1),$W$44,IF(ISNUMBER(MATCH(X87,$BJ$5:$BJ$40000,0)),INDEX($BI$5:$BI$1792,MATCH(X87,$BJ$5:$BJ$40000,0),1),IF(CV45=0,-1,$BJ$3)))</f>
        <v>0</v>
      </c>
      <c r="Y7" s="25">
        <f>IF(OR(Y48=0,Y48=1),$W$44,IF(ISNUMBER(MATCH(Y87,$BJ$5:$BJ$40000,0)),INDEX($BI$5:$BI$1792,MATCH(Y87,$BJ$5:$BJ$40000,0),1),IF(CW45=0,-1,$BJ$3)))</f>
        <v>0</v>
      </c>
      <c r="Z7" s="35"/>
      <c r="AA7" s="15">
        <v>1</v>
      </c>
      <c r="AB7" s="57">
        <v>2</v>
      </c>
      <c r="AC7" s="57">
        <v>22</v>
      </c>
      <c r="AD7" s="57">
        <v>1</v>
      </c>
      <c r="AE7" s="57">
        <v>3</v>
      </c>
      <c r="AF7" s="57">
        <v>400</v>
      </c>
      <c r="AG7" s="23" t="str">
        <f t="shared" si="1"/>
        <v>22,2</v>
      </c>
      <c r="AH7" s="1"/>
      <c r="AI7" s="15">
        <v>2</v>
      </c>
      <c r="AJ7" s="15">
        <v>2</v>
      </c>
      <c r="AK7" s="15" t="s">
        <v>10</v>
      </c>
      <c r="AL7" s="57">
        <v>400</v>
      </c>
      <c r="AM7" s="57">
        <v>5</v>
      </c>
      <c r="AN7" s="57">
        <v>1.8181818181818099E-3</v>
      </c>
      <c r="AO7" s="57">
        <v>47.545454545454497</v>
      </c>
      <c r="AP7" s="57">
        <v>1</v>
      </c>
      <c r="AQ7" s="57">
        <v>100</v>
      </c>
      <c r="AR7" s="57">
        <v>0.03</v>
      </c>
      <c r="AS7" s="57">
        <v>2</v>
      </c>
      <c r="AT7" s="57">
        <v>1</v>
      </c>
      <c r="AU7" s="57">
        <v>0</v>
      </c>
      <c r="AV7" s="57" t="s">
        <v>8</v>
      </c>
      <c r="AW7" s="58">
        <f>IF(AV6=AV7,AW6,MAX(AW$4:AW6)+1)</f>
        <v>1</v>
      </c>
      <c r="AX7" s="1"/>
      <c r="AY7" s="33">
        <v>2</v>
      </c>
      <c r="AZ7" s="33">
        <v>2</v>
      </c>
      <c r="BA7" s="11">
        <v>1</v>
      </c>
      <c r="BB7" s="11">
        <v>-3</v>
      </c>
      <c r="BC7" s="11"/>
      <c r="BD7" s="11">
        <f t="shared" ref="BD7:BD42" si="4">IF(AND(ISNUMBER(BB7),ISNUMBER(BA7)),BD6+1,0)</f>
        <v>2</v>
      </c>
      <c r="BE7" s="1"/>
      <c r="BF7" s="56">
        <v>1</v>
      </c>
      <c r="BG7" s="57">
        <v>1</v>
      </c>
      <c r="BH7" s="57">
        <v>6</v>
      </c>
      <c r="BI7" s="57">
        <v>50</v>
      </c>
      <c r="BJ7" s="13" t="str">
        <f t="shared" si="3"/>
        <v>6,1</v>
      </c>
      <c r="BK7" s="35"/>
      <c r="BL7" s="8">
        <f t="shared" si="2"/>
        <v>3</v>
      </c>
      <c r="BM7" s="6">
        <f>IF(ISNUMBER(BL7),INT(BL6/$BN$4)+1,"")</f>
        <v>1</v>
      </c>
      <c r="BN7" s="6">
        <f t="shared" ref="BN7" si="5">IF(ISNUMBER(BL7),IF(BM6&lt;&gt;BM7,1,BN6+1),"")</f>
        <v>3</v>
      </c>
      <c r="BO7" s="35"/>
      <c r="BP7" s="15">
        <v>2</v>
      </c>
      <c r="BQ7" s="60">
        <v>0</v>
      </c>
      <c r="BR7" s="57">
        <v>2</v>
      </c>
      <c r="BS7" s="57" t="s">
        <v>69</v>
      </c>
      <c r="BT7" s="57" t="s">
        <v>70</v>
      </c>
      <c r="BU7" s="57">
        <v>1</v>
      </c>
      <c r="BV7" s="60">
        <v>0</v>
      </c>
      <c r="BW7" s="57">
        <v>0</v>
      </c>
      <c r="BX7" s="60">
        <v>0</v>
      </c>
      <c r="BY7" s="60">
        <v>0</v>
      </c>
      <c r="BZ7" s="35"/>
      <c r="CA7" s="52">
        <v>32.257629999999999</v>
      </c>
      <c r="CB7" s="52">
        <v>32.755659999999999</v>
      </c>
      <c r="CC7" s="52">
        <v>33.599989999999998</v>
      </c>
      <c r="CD7" s="52">
        <v>33.946080000000002</v>
      </c>
      <c r="CE7" s="52">
        <v>34.1006</v>
      </c>
      <c r="CF7" s="52">
        <v>34.19247</v>
      </c>
      <c r="CG7" s="52">
        <v>34.27281</v>
      </c>
      <c r="CH7" s="52">
        <v>34.281419999999997</v>
      </c>
      <c r="CI7" s="52">
        <v>34.125329999999998</v>
      </c>
      <c r="CJ7" s="52">
        <v>34.071579999999997</v>
      </c>
      <c r="CK7" s="53">
        <v>34.092889999999997</v>
      </c>
      <c r="CL7" s="53">
        <v>34.00967</v>
      </c>
      <c r="CM7" s="53">
        <v>33.96358</v>
      </c>
      <c r="CN7" s="53">
        <v>33.678460000000001</v>
      </c>
      <c r="CO7" s="53">
        <v>33.713979999999999</v>
      </c>
      <c r="CP7" s="53">
        <v>33.519970000000001</v>
      </c>
      <c r="CQ7" s="53">
        <v>33.495489999999997</v>
      </c>
      <c r="CR7" s="53">
        <v>33.360489999999999</v>
      </c>
      <c r="CS7" s="53">
        <v>33.169269999999997</v>
      </c>
      <c r="CT7" s="53">
        <v>32.976610000000001</v>
      </c>
      <c r="CU7" s="53">
        <v>32.760249999999999</v>
      </c>
      <c r="CV7" s="53">
        <v>32.618580000000001</v>
      </c>
      <c r="CW7" s="53">
        <v>32.463369999999998</v>
      </c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</row>
    <row r="8" spans="1:115" ht="8.1" customHeight="1" x14ac:dyDescent="0.25">
      <c r="A8" s="35"/>
      <c r="B8" s="37"/>
      <c r="C8" s="25">
        <f>IF(OR(C49=0,C49=1),$W$44,IF(ISNUMBER(MATCH(C88,$BJ$5:$BJ$40000,0)),INDEX($BI$5:$BI$1792,MATCH(C88,$BJ$5:$BJ$40000,0),1),IF(CA46=0,-1,$BJ$3)))</f>
        <v>-1</v>
      </c>
      <c r="D8" s="25">
        <f>IF(OR(D49=0,D49=1),$W$44,IF(ISNUMBER(MATCH(D88,$BJ$5:$BJ$40000,0)),INDEX($BI$5:$BI$1792,MATCH(D88,$BJ$5:$BJ$40000,0),1),IF(CB46=0,-1,$BJ$3)))</f>
        <v>-1</v>
      </c>
      <c r="E8" s="25">
        <f>IF(OR(E49=0,E49=1),$W$44,IF(ISNUMBER(MATCH(E88,$BJ$5:$BJ$40000,0)),INDEX($BI$5:$BI$1792,MATCH(E88,$BJ$5:$BJ$40000,0),1),IF(CC46=0,-1,$BJ$3)))</f>
        <v>0</v>
      </c>
      <c r="F8" s="25">
        <f>IF(OR(F49=0,F49=1),$W$44,IF(ISNUMBER(MATCH(F88,$BJ$5:$BJ$40000,0)),INDEX($BI$5:$BI$1792,MATCH(F88,$BJ$5:$BJ$40000,0),1),IF(CD46=0,-1,$BJ$3)))</f>
        <v>0</v>
      </c>
      <c r="G8" s="25">
        <f>IF(OR(G49=0,G49=1),$W$44,IF(ISNUMBER(MATCH(G88,$BJ$5:$BJ$40000,0)),INDEX($BI$5:$BI$1792,MATCH(G88,$BJ$5:$BJ$40000,0),1),IF(CE46=0,-1,$BJ$3)))</f>
        <v>0</v>
      </c>
      <c r="H8" s="25">
        <f>IF(OR(H49=0,H49=1),$W$44,IF(ISNUMBER(MATCH(H88,$BJ$5:$BJ$40000,0)),INDEX($BI$5:$BI$1792,MATCH(H88,$BJ$5:$BJ$40000,0),1),IF(CF46=0,-1,$BJ$3)))</f>
        <v>0</v>
      </c>
      <c r="I8" s="25">
        <f>IF(OR(I49=0,I49=1),$W$44,IF(ISNUMBER(MATCH(I88,$BJ$5:$BJ$40000,0)),INDEX($BI$5:$BI$1792,MATCH(I88,$BJ$5:$BJ$40000,0),1),IF(CG46=0,-1,$BJ$3)))</f>
        <v>0</v>
      </c>
      <c r="J8" s="25">
        <f>IF(OR(J49=0,J49=1),$W$44,IF(ISNUMBER(MATCH(J88,$BJ$5:$BJ$40000,0)),INDEX($BI$5:$BI$1792,MATCH(J88,$BJ$5:$BJ$40000,0),1),IF(CH46=0,-1,$BJ$3)))</f>
        <v>0</v>
      </c>
      <c r="K8" s="25">
        <f>IF(OR(K49=0,K49=1),$W$44,IF(ISNUMBER(MATCH(K88,$BJ$5:$BJ$40000,0)),INDEX($BI$5:$BI$1792,MATCH(K88,$BJ$5:$BJ$40000,0),1),IF(CI46=0,-1,$BJ$3)))</f>
        <v>0</v>
      </c>
      <c r="L8" s="25">
        <f>IF(OR(L49=0,L49=1),$W$44,IF(ISNUMBER(MATCH(L88,$BJ$5:$BJ$40000,0)),INDEX($BI$5:$BI$1792,MATCH(L88,$BJ$5:$BJ$40000,0),1),IF(CJ46=0,-1,$BJ$3)))</f>
        <v>0</v>
      </c>
      <c r="M8" s="25">
        <f>IF(OR(M49=0,M49=1),$W$44,IF(ISNUMBER(MATCH(M88,$BJ$5:$BJ$40000,0)),INDEX($BI$5:$BI$1792,MATCH(M88,$BJ$5:$BJ$40000,0),1),IF(CK46=0,-1,$BJ$3)))</f>
        <v>0</v>
      </c>
      <c r="N8" s="25">
        <f>IF(OR(N49=0,N49=1),$W$44,IF(ISNUMBER(MATCH(N88,$BJ$5:$BJ$40000,0)),INDEX($BI$5:$BI$1792,MATCH(N88,$BJ$5:$BJ$40000,0),1),IF(CL46=0,-1,$BJ$3)))</f>
        <v>0</v>
      </c>
      <c r="O8" s="25">
        <f>IF(OR(O49=0,O49=1),$W$44,IF(ISNUMBER(MATCH(O88,$BJ$5:$BJ$40000,0)),INDEX($BI$5:$BI$1792,MATCH(O88,$BJ$5:$BJ$40000,0),1),IF(CM46=0,-1,$BJ$3)))</f>
        <v>0</v>
      </c>
      <c r="P8" s="25">
        <f>IF(OR(P49=0,P49=1),$W$44,IF(ISNUMBER(MATCH(P88,$BJ$5:$BJ$40000,0)),INDEX($BI$5:$BI$1792,MATCH(P88,$BJ$5:$BJ$40000,0),1),IF(CN46=0,-1,$BJ$3)))</f>
        <v>0</v>
      </c>
      <c r="Q8" s="25">
        <f>IF(OR(Q49=0,Q49=1),$W$44,IF(ISNUMBER(MATCH(Q88,$BJ$5:$BJ$40000,0)),INDEX($BI$5:$BI$1792,MATCH(Q88,$BJ$5:$BJ$40000,0),1),IF(CO46=0,-1,$BJ$3)))</f>
        <v>0</v>
      </c>
      <c r="R8" s="25">
        <f>IF(OR(R49=0,R49=1),$W$44,IF(ISNUMBER(MATCH(R88,$BJ$5:$BJ$40000,0)),INDEX($BI$5:$BI$1792,MATCH(R88,$BJ$5:$BJ$40000,0),1),IF(CP46=0,-1,$BJ$3)))</f>
        <v>0</v>
      </c>
      <c r="S8" s="25">
        <f>IF(OR(S49=0,S49=1),$W$44,IF(ISNUMBER(MATCH(S88,$BJ$5:$BJ$40000,0)),INDEX($BI$5:$BI$1792,MATCH(S88,$BJ$5:$BJ$40000,0),1),IF(CQ46=0,-1,$BJ$3)))</f>
        <v>0</v>
      </c>
      <c r="T8" s="25">
        <f>IF(OR(T49=0,T49=1),$W$44,IF(ISNUMBER(MATCH(T88,$BJ$5:$BJ$40000,0)),INDEX($BI$5:$BI$1792,MATCH(T88,$BJ$5:$BJ$40000,0),1),IF(CR46=0,-1,$BJ$3)))</f>
        <v>0</v>
      </c>
      <c r="U8" s="25">
        <f>IF(OR(U49=0,U49=1),$W$44,IF(ISNUMBER(MATCH(U88,$BJ$5:$BJ$40000,0)),INDEX($BI$5:$BI$1792,MATCH(U88,$BJ$5:$BJ$40000,0),1),IF(CS46=0,-1,$BJ$3)))</f>
        <v>0</v>
      </c>
      <c r="V8" s="25">
        <f>IF(OR(V49=0,V49=1),$W$44,IF(ISNUMBER(MATCH(V88,$BJ$5:$BJ$40000,0)),INDEX($BI$5:$BI$1792,MATCH(V88,$BJ$5:$BJ$40000,0),1),IF(CT46=0,-1,$BJ$3)))</f>
        <v>5</v>
      </c>
      <c r="W8" s="25">
        <f>IF(OR(W49=0,W49=1),$W$44,IF(ISNUMBER(MATCH(W88,$BJ$5:$BJ$40000,0)),INDEX($BI$5:$BI$1792,MATCH(W88,$BJ$5:$BJ$40000,0),1),IF(CU46=0,-1,$BJ$3)))</f>
        <v>0</v>
      </c>
      <c r="X8" s="25">
        <f>IF(OR(X49=0,X49=1),$W$44,IF(ISNUMBER(MATCH(X88,$BJ$5:$BJ$40000,0)),INDEX($BI$5:$BI$1792,MATCH(X88,$BJ$5:$BJ$40000,0),1),IF(CV46=0,-1,$BJ$3)))</f>
        <v>0</v>
      </c>
      <c r="Y8" s="25">
        <f>IF(OR(Y49=0,Y49=1),$W$44,IF(ISNUMBER(MATCH(Y88,$BJ$5:$BJ$40000,0)),INDEX($BI$5:$BI$1792,MATCH(Y88,$BJ$5:$BJ$40000,0),1),IF(CW46=0,-1,$BJ$3)))</f>
        <v>0</v>
      </c>
      <c r="Z8" s="35"/>
      <c r="AA8" s="15">
        <v>1</v>
      </c>
      <c r="AB8" s="57">
        <v>3</v>
      </c>
      <c r="AC8" s="57">
        <v>21</v>
      </c>
      <c r="AD8" s="57">
        <v>1</v>
      </c>
      <c r="AE8" s="57">
        <v>4</v>
      </c>
      <c r="AF8" s="57">
        <v>400</v>
      </c>
      <c r="AG8" s="23" t="str">
        <f t="shared" si="1"/>
        <v>21,3</v>
      </c>
      <c r="AH8" s="1"/>
      <c r="AI8" s="15">
        <v>3</v>
      </c>
      <c r="AJ8" s="15">
        <v>3</v>
      </c>
      <c r="AK8" s="15" t="s">
        <v>11</v>
      </c>
      <c r="AL8" s="57">
        <v>400</v>
      </c>
      <c r="AM8" s="57">
        <v>5</v>
      </c>
      <c r="AN8" s="57">
        <v>1.8181818181818099E-3</v>
      </c>
      <c r="AO8" s="57">
        <v>46.818181818181799</v>
      </c>
      <c r="AP8" s="57">
        <v>1</v>
      </c>
      <c r="AQ8" s="57">
        <v>100</v>
      </c>
      <c r="AR8" s="57">
        <v>0.03</v>
      </c>
      <c r="AS8" s="57">
        <v>2</v>
      </c>
      <c r="AT8" s="57">
        <v>1</v>
      </c>
      <c r="AU8" s="57">
        <v>0</v>
      </c>
      <c r="AV8" s="57" t="s">
        <v>8</v>
      </c>
      <c r="AW8" s="58">
        <f>IF(AV7=AV8,AW7,MAX(AW$4:AW7)+1)</f>
        <v>1</v>
      </c>
      <c r="AX8" s="1"/>
      <c r="AY8" s="33">
        <v>3</v>
      </c>
      <c r="AZ8" s="33">
        <v>3</v>
      </c>
      <c r="BA8" s="11">
        <v>2</v>
      </c>
      <c r="BB8" s="11">
        <v>-4</v>
      </c>
      <c r="BC8" s="11"/>
      <c r="BD8" s="11">
        <f t="shared" si="4"/>
        <v>3</v>
      </c>
      <c r="BE8" s="1"/>
      <c r="BF8" s="56">
        <v>1</v>
      </c>
      <c r="BG8" s="57">
        <v>1</v>
      </c>
      <c r="BH8" s="57">
        <v>7</v>
      </c>
      <c r="BI8" s="57">
        <v>50</v>
      </c>
      <c r="BJ8" s="13" t="str">
        <f t="shared" si="3"/>
        <v>7,1</v>
      </c>
      <c r="BK8" s="35"/>
      <c r="BL8" s="8">
        <f t="shared" si="2"/>
        <v>4</v>
      </c>
      <c r="BM8" s="6">
        <f t="shared" ref="BM8:BM71" si="6">IF(ISNUMBER(BL8),INT(BL7/$BN$4)+1,"")</f>
        <v>1</v>
      </c>
      <c r="BN8" s="6">
        <f t="shared" ref="BN8:BN71" si="7">IF(ISNUMBER(BL8),IF(BM7&lt;&gt;BM8,1,BN7+1),"")</f>
        <v>4</v>
      </c>
      <c r="BO8" s="35"/>
      <c r="BP8" s="15">
        <v>3</v>
      </c>
      <c r="BQ8" s="60">
        <v>0</v>
      </c>
      <c r="BR8" s="57">
        <v>3</v>
      </c>
      <c r="BS8" s="57" t="s">
        <v>13</v>
      </c>
      <c r="BT8" s="57" t="s">
        <v>67</v>
      </c>
      <c r="BU8" s="57">
        <v>1</v>
      </c>
      <c r="BV8" s="60">
        <v>30.352429999999998</v>
      </c>
      <c r="BW8" s="57">
        <v>100</v>
      </c>
      <c r="BX8" s="60">
        <v>201.858499999999</v>
      </c>
      <c r="BY8" s="60">
        <v>405.664999999999</v>
      </c>
      <c r="BZ8" s="35"/>
      <c r="CA8" s="52">
        <v>31.62912</v>
      </c>
      <c r="CB8" s="52">
        <v>31.979089999999999</v>
      </c>
      <c r="CC8" s="52">
        <v>32.513100000000001</v>
      </c>
      <c r="CD8" s="52">
        <v>33.05341</v>
      </c>
      <c r="CE8" s="52">
        <v>33.264090000000003</v>
      </c>
      <c r="CF8" s="52">
        <v>33.535040000000002</v>
      </c>
      <c r="CG8" s="52">
        <v>33.657490000000003</v>
      </c>
      <c r="CH8" s="52">
        <v>33.581270000000004</v>
      </c>
      <c r="CI8" s="52">
        <v>33.509419999999999</v>
      </c>
      <c r="CJ8" s="52">
        <v>33.440829999999998</v>
      </c>
      <c r="CK8" s="53">
        <v>33.398380000000003</v>
      </c>
      <c r="CL8" s="53">
        <v>33.328249999999997</v>
      </c>
      <c r="CM8" s="53">
        <v>33.175260000000002</v>
      </c>
      <c r="CN8" s="53">
        <v>33.058610000000002</v>
      </c>
      <c r="CO8" s="53">
        <v>32.71687</v>
      </c>
      <c r="CP8" s="53">
        <v>32.627279999999999</v>
      </c>
      <c r="CQ8" s="53">
        <v>32.411320000000003</v>
      </c>
      <c r="CR8" s="53">
        <v>32.212139999999998</v>
      </c>
      <c r="CS8" s="53">
        <v>32.009659999999997</v>
      </c>
      <c r="CT8" s="53">
        <v>31.66526</v>
      </c>
      <c r="CU8" s="53">
        <v>31.274539999999998</v>
      </c>
      <c r="CV8" s="53">
        <v>31.041039999999999</v>
      </c>
      <c r="CW8" s="53">
        <v>30.769559999999998</v>
      </c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</row>
    <row r="9" spans="1:115" ht="8.1" customHeight="1" x14ac:dyDescent="0.25">
      <c r="A9" s="35"/>
      <c r="B9" s="37"/>
      <c r="C9" s="25">
        <f>IF(OR(C50=0,C50=1),$W$44,IF(ISNUMBER(MATCH(C89,$BJ$5:$BJ$40000,0)),INDEX($BI$5:$BI$1792,MATCH(C89,$BJ$5:$BJ$40000,0),1),IF(CA47=0,-1,$BJ$3)))</f>
        <v>-1</v>
      </c>
      <c r="D9" s="25">
        <f>IF(OR(D50=0,D50=1),$W$44,IF(ISNUMBER(MATCH(D89,$BJ$5:$BJ$40000,0)),INDEX($BI$5:$BI$1792,MATCH(D89,$BJ$5:$BJ$40000,0),1),IF(CB47=0,-1,$BJ$3)))</f>
        <v>-1</v>
      </c>
      <c r="E9" s="25">
        <f>IF(OR(E50=0,E50=1),$W$44,IF(ISNUMBER(MATCH(E89,$BJ$5:$BJ$40000,0)),INDEX($BI$5:$BI$1792,MATCH(E89,$BJ$5:$BJ$40000,0),1),IF(CC47=0,-1,$BJ$3)))</f>
        <v>0</v>
      </c>
      <c r="F9" s="25">
        <f>IF(OR(F50=0,F50=1),$W$44,IF(ISNUMBER(MATCH(F89,$BJ$5:$BJ$40000,0)),INDEX($BI$5:$BI$1792,MATCH(F89,$BJ$5:$BJ$40000,0),1),IF(CD47=0,-1,$BJ$3)))</f>
        <v>0</v>
      </c>
      <c r="G9" s="25">
        <f>IF(OR(G50=0,G50=1),$W$44,IF(ISNUMBER(MATCH(G89,$BJ$5:$BJ$40000,0)),INDEX($BI$5:$BI$1792,MATCH(G89,$BJ$5:$BJ$40000,0),1),IF(CE47=0,-1,$BJ$3)))</f>
        <v>0</v>
      </c>
      <c r="H9" s="25">
        <f>IF(OR(H50=0,H50=1),$W$44,IF(ISNUMBER(MATCH(H89,$BJ$5:$BJ$40000,0)),INDEX($BI$5:$BI$1792,MATCH(H89,$BJ$5:$BJ$40000,0),1),IF(CF47=0,-1,$BJ$3)))</f>
        <v>0</v>
      </c>
      <c r="I9" s="25">
        <f>IF(OR(I50=0,I50=1),$W$44,IF(ISNUMBER(MATCH(I89,$BJ$5:$BJ$40000,0)),INDEX($BI$5:$BI$1792,MATCH(I89,$BJ$5:$BJ$40000,0),1),IF(CG47=0,-1,$BJ$3)))</f>
        <v>0</v>
      </c>
      <c r="J9" s="25">
        <f>IF(OR(J50=0,J50=1),$W$44,IF(ISNUMBER(MATCH(J89,$BJ$5:$BJ$40000,0)),INDEX($BI$5:$BI$1792,MATCH(J89,$BJ$5:$BJ$40000,0),1),IF(CH47=0,-1,$BJ$3)))</f>
        <v>0</v>
      </c>
      <c r="K9" s="25">
        <f>IF(OR(K50=0,K50=1),$W$44,IF(ISNUMBER(MATCH(K89,$BJ$5:$BJ$40000,0)),INDEX($BI$5:$BI$1792,MATCH(K89,$BJ$5:$BJ$40000,0),1),IF(CI47=0,-1,$BJ$3)))</f>
        <v>0</v>
      </c>
      <c r="L9" s="25">
        <f>IF(OR(L50=0,L50=1),$W$44,IF(ISNUMBER(MATCH(L89,$BJ$5:$BJ$40000,0)),INDEX($BI$5:$BI$1792,MATCH(L89,$BJ$5:$BJ$40000,0),1),IF(CJ47=0,-1,$BJ$3)))</f>
        <v>0</v>
      </c>
      <c r="M9" s="25">
        <f>IF(OR(M50=0,M50=1),$W$44,IF(ISNUMBER(MATCH(M89,$BJ$5:$BJ$40000,0)),INDEX($BI$5:$BI$1792,MATCH(M89,$BJ$5:$BJ$40000,0),1),IF(CK47=0,-1,$BJ$3)))</f>
        <v>0</v>
      </c>
      <c r="N9" s="25">
        <f>IF(OR(N50=0,N50=1),$W$44,IF(ISNUMBER(MATCH(N89,$BJ$5:$BJ$40000,0)),INDEX($BI$5:$BI$1792,MATCH(N89,$BJ$5:$BJ$40000,0),1),IF(CL47=0,-1,$BJ$3)))</f>
        <v>0</v>
      </c>
      <c r="O9" s="25">
        <f>IF(OR(O50=0,O50=1),$W$44,IF(ISNUMBER(MATCH(O89,$BJ$5:$BJ$40000,0)),INDEX($BI$5:$BI$1792,MATCH(O89,$BJ$5:$BJ$40000,0),1),IF(CM47=0,-1,$BJ$3)))</f>
        <v>0</v>
      </c>
      <c r="P9" s="25">
        <f>IF(OR(P50=0,P50=1),$W$44,IF(ISNUMBER(MATCH(P89,$BJ$5:$BJ$40000,0)),INDEX($BI$5:$BI$1792,MATCH(P89,$BJ$5:$BJ$40000,0),1),IF(CN47=0,-1,$BJ$3)))</f>
        <v>0</v>
      </c>
      <c r="Q9" s="25">
        <f>IF(OR(Q50=0,Q50=1),$W$44,IF(ISNUMBER(MATCH(Q89,$BJ$5:$BJ$40000,0)),INDEX($BI$5:$BI$1792,MATCH(Q89,$BJ$5:$BJ$40000,0),1),IF(CO47=0,-1,$BJ$3)))</f>
        <v>0</v>
      </c>
      <c r="R9" s="25">
        <f>IF(OR(R50=0,R50=1),$W$44,IF(ISNUMBER(MATCH(R89,$BJ$5:$BJ$40000,0)),INDEX($BI$5:$BI$1792,MATCH(R89,$BJ$5:$BJ$40000,0),1),IF(CP47=0,-1,$BJ$3)))</f>
        <v>0</v>
      </c>
      <c r="S9" s="25">
        <f>IF(OR(S50=0,S50=1),$W$44,IF(ISNUMBER(MATCH(S89,$BJ$5:$BJ$40000,0)),INDEX($BI$5:$BI$1792,MATCH(S89,$BJ$5:$BJ$40000,0),1),IF(CQ47=0,-1,$BJ$3)))</f>
        <v>0</v>
      </c>
      <c r="T9" s="25">
        <f>IF(OR(T50=0,T50=1),$W$44,IF(ISNUMBER(MATCH(T89,$BJ$5:$BJ$40000,0)),INDEX($BI$5:$BI$1792,MATCH(T89,$BJ$5:$BJ$40000,0),1),IF(CR47=0,-1,$BJ$3)))</f>
        <v>0</v>
      </c>
      <c r="U9" s="25">
        <f>IF(OR(U50=0,U50=1),$W$44,IF(ISNUMBER(MATCH(U89,$BJ$5:$BJ$40000,0)),INDEX($BI$5:$BI$1792,MATCH(U89,$BJ$5:$BJ$40000,0),1),IF(CS47=0,-1,$BJ$3)))</f>
        <v>0</v>
      </c>
      <c r="V9" s="25">
        <f>IF(OR(V50=0,V50=1),$W$44,IF(ISNUMBER(MATCH(V89,$BJ$5:$BJ$40000,0)),INDEX($BI$5:$BI$1792,MATCH(V89,$BJ$5:$BJ$40000,0),1),IF(CT47=0,-1,$BJ$3)))</f>
        <v>6</v>
      </c>
      <c r="W9" s="25">
        <f>IF(OR(W50=0,W50=1),$W$44,IF(ISNUMBER(MATCH(W89,$BJ$5:$BJ$40000,0)),INDEX($BI$5:$BI$1792,MATCH(W89,$BJ$5:$BJ$40000,0),1),IF(CU47=0,-1,$BJ$3)))</f>
        <v>0</v>
      </c>
      <c r="X9" s="25">
        <f>IF(OR(X50=0,X50=1),$W$44,IF(ISNUMBER(MATCH(X89,$BJ$5:$BJ$40000,0)),INDEX($BI$5:$BI$1792,MATCH(X89,$BJ$5:$BJ$40000,0),1),IF(CV47=0,-1,$BJ$3)))</f>
        <v>0</v>
      </c>
      <c r="Y9" s="25">
        <f>IF(OR(Y50=0,Y50=1),$W$44,IF(ISNUMBER(MATCH(Y89,$BJ$5:$BJ$40000,0)),INDEX($BI$5:$BI$1792,MATCH(Y89,$BJ$5:$BJ$40000,0),1),IF(CW47=0,-1,$BJ$3)))</f>
        <v>0</v>
      </c>
      <c r="Z9" s="35"/>
      <c r="AA9" s="15">
        <v>1</v>
      </c>
      <c r="AB9" s="57">
        <v>4</v>
      </c>
      <c r="AC9" s="57">
        <v>20</v>
      </c>
      <c r="AD9" s="57">
        <v>1</v>
      </c>
      <c r="AE9" s="57">
        <v>5</v>
      </c>
      <c r="AF9" s="57">
        <v>400</v>
      </c>
      <c r="AG9" s="23" t="str">
        <f t="shared" si="1"/>
        <v>20,4</v>
      </c>
      <c r="AH9" s="1"/>
      <c r="AI9" s="15">
        <v>4</v>
      </c>
      <c r="AJ9" s="15">
        <v>4</v>
      </c>
      <c r="AK9" s="15" t="s">
        <v>12</v>
      </c>
      <c r="AL9" s="57">
        <v>400</v>
      </c>
      <c r="AM9" s="57">
        <v>5</v>
      </c>
      <c r="AN9" s="57">
        <v>1.8181818181818099E-3</v>
      </c>
      <c r="AO9" s="57">
        <v>46.090909090909001</v>
      </c>
      <c r="AP9" s="57">
        <v>1</v>
      </c>
      <c r="AQ9" s="57">
        <v>100</v>
      </c>
      <c r="AR9" s="57">
        <v>0.03</v>
      </c>
      <c r="AS9" s="57">
        <v>2</v>
      </c>
      <c r="AT9" s="57">
        <v>1</v>
      </c>
      <c r="AU9" s="57">
        <v>0</v>
      </c>
      <c r="AV9" s="57" t="s">
        <v>8</v>
      </c>
      <c r="AW9" s="58">
        <f>IF(AV8=AV9,AW8,MAX(AW$4:AW8)+1)</f>
        <v>1</v>
      </c>
      <c r="AX9" s="1"/>
      <c r="AY9" s="33">
        <v>4</v>
      </c>
      <c r="AZ9" s="33">
        <v>4</v>
      </c>
      <c r="BA9" s="11">
        <v>3</v>
      </c>
      <c r="BB9" s="11">
        <v>-5</v>
      </c>
      <c r="BC9" s="11"/>
      <c r="BD9" s="11">
        <f t="shared" si="4"/>
        <v>4</v>
      </c>
      <c r="BE9" s="1"/>
      <c r="BF9" s="56">
        <v>1</v>
      </c>
      <c r="BG9" s="57">
        <v>1</v>
      </c>
      <c r="BH9" s="57">
        <v>8</v>
      </c>
      <c r="BI9" s="57">
        <v>50</v>
      </c>
      <c r="BJ9" s="13" t="str">
        <f t="shared" si="3"/>
        <v>8,1</v>
      </c>
      <c r="BK9" s="35"/>
      <c r="BL9" s="8">
        <f t="shared" si="2"/>
        <v>5</v>
      </c>
      <c r="BM9" s="6">
        <f t="shared" si="6"/>
        <v>1</v>
      </c>
      <c r="BN9" s="6">
        <f t="shared" si="7"/>
        <v>5</v>
      </c>
      <c r="BO9" s="35"/>
      <c r="BP9" s="15">
        <v>4</v>
      </c>
      <c r="BQ9" s="60">
        <v>0</v>
      </c>
      <c r="BR9" s="57">
        <v>4</v>
      </c>
      <c r="BS9" s="57" t="s">
        <v>71</v>
      </c>
      <c r="BT9" s="57" t="s">
        <v>67</v>
      </c>
      <c r="BU9" s="57">
        <v>1</v>
      </c>
      <c r="BV9" s="60">
        <v>29.796700000000001</v>
      </c>
      <c r="BW9" s="57">
        <v>100</v>
      </c>
      <c r="BX9" s="60">
        <v>202.83249999999899</v>
      </c>
      <c r="BY9" s="60">
        <v>403.71699999999998</v>
      </c>
      <c r="BZ9" s="35"/>
      <c r="CA9" s="52">
        <v>30.959299999999999</v>
      </c>
      <c r="CB9" s="52">
        <v>31.141749999999998</v>
      </c>
      <c r="CC9" s="52">
        <v>31.338840000000001</v>
      </c>
      <c r="CD9" s="52">
        <v>31.748139999999999</v>
      </c>
      <c r="CE9" s="52">
        <v>32.282940000000004</v>
      </c>
      <c r="CF9" s="52">
        <v>32.73977</v>
      </c>
      <c r="CG9" s="52">
        <v>32.916890000000002</v>
      </c>
      <c r="CH9" s="52">
        <v>32.84066</v>
      </c>
      <c r="CI9" s="52">
        <v>32.749220000000001</v>
      </c>
      <c r="CJ9" s="52">
        <v>32.64922</v>
      </c>
      <c r="CK9" s="53">
        <v>32.59395</v>
      </c>
      <c r="CL9" s="53">
        <v>32.568080000000002</v>
      </c>
      <c r="CM9" s="53">
        <v>32.233179999999997</v>
      </c>
      <c r="CN9" s="53">
        <v>32.101370000000003</v>
      </c>
      <c r="CO9" s="53">
        <v>31.947009999999999</v>
      </c>
      <c r="CP9" s="53">
        <v>31.795380000000002</v>
      </c>
      <c r="CQ9" s="53">
        <v>31.3018</v>
      </c>
      <c r="CR9" s="53">
        <v>31.114049999999999</v>
      </c>
      <c r="CS9" s="53">
        <v>30.879079999999998</v>
      </c>
      <c r="CT9" s="53">
        <v>30.352429999999998</v>
      </c>
      <c r="CU9" s="53">
        <v>30.102740000000001</v>
      </c>
      <c r="CV9" s="53">
        <v>30.04617</v>
      </c>
      <c r="CW9" s="53">
        <v>29.815100000000001</v>
      </c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</row>
    <row r="10" spans="1:115" ht="8.1" customHeight="1" x14ac:dyDescent="0.25">
      <c r="A10" s="35"/>
      <c r="B10" s="37"/>
      <c r="C10" s="25">
        <f>IF(OR(C51=0,C51=1),$W$44,IF(ISNUMBER(MATCH(C90,$BJ$5:$BJ$40000,0)),INDEX($BI$5:$BI$1792,MATCH(C90,$BJ$5:$BJ$40000,0),1),IF(CA48=0,-1,$BJ$3)))</f>
        <v>-1</v>
      </c>
      <c r="D10" s="25">
        <f>IF(OR(D51=0,D51=1),$W$44,IF(ISNUMBER(MATCH(D90,$BJ$5:$BJ$40000,0)),INDEX($BI$5:$BI$1792,MATCH(D90,$BJ$5:$BJ$40000,0),1),IF(CB48=0,-1,$BJ$3)))</f>
        <v>-1</v>
      </c>
      <c r="E10" s="25">
        <f>IF(OR(E51=0,E51=1),$W$44,IF(ISNUMBER(MATCH(E90,$BJ$5:$BJ$40000,0)),INDEX($BI$5:$BI$1792,MATCH(E90,$BJ$5:$BJ$40000,0),1),IF(CC48=0,-1,$BJ$3)))</f>
        <v>0</v>
      </c>
      <c r="F10" s="25">
        <f>IF(OR(F51=0,F51=1),$W$44,IF(ISNUMBER(MATCH(F90,$BJ$5:$BJ$40000,0)),INDEX($BI$5:$BI$1792,MATCH(F90,$BJ$5:$BJ$40000,0),1),IF(CD48=0,-1,$BJ$3)))</f>
        <v>0</v>
      </c>
      <c r="G10" s="25">
        <f>IF(OR(G51=0,G51=1),$W$44,IF(ISNUMBER(MATCH(G90,$BJ$5:$BJ$40000,0)),INDEX($BI$5:$BI$1792,MATCH(G90,$BJ$5:$BJ$40000,0),1),IF(CE48=0,-1,$BJ$3)))</f>
        <v>0</v>
      </c>
      <c r="H10" s="25">
        <f>IF(OR(H51=0,H51=1),$W$44,IF(ISNUMBER(MATCH(H90,$BJ$5:$BJ$40000,0)),INDEX($BI$5:$BI$1792,MATCH(H90,$BJ$5:$BJ$40000,0),1),IF(CF48=0,-1,$BJ$3)))</f>
        <v>0</v>
      </c>
      <c r="I10" s="25">
        <f>IF(OR(I51=0,I51=1),$W$44,IF(ISNUMBER(MATCH(I90,$BJ$5:$BJ$40000,0)),INDEX($BI$5:$BI$1792,MATCH(I90,$BJ$5:$BJ$40000,0),1),IF(CG48=0,-1,$BJ$3)))</f>
        <v>0</v>
      </c>
      <c r="J10" s="25">
        <f>IF(OR(J51=0,J51=1),$W$44,IF(ISNUMBER(MATCH(J90,$BJ$5:$BJ$40000,0)),INDEX($BI$5:$BI$1792,MATCH(J90,$BJ$5:$BJ$40000,0),1),IF(CH48=0,-1,$BJ$3)))</f>
        <v>0</v>
      </c>
      <c r="K10" s="25">
        <f>IF(OR(K51=0,K51=1),$W$44,IF(ISNUMBER(MATCH(K90,$BJ$5:$BJ$40000,0)),INDEX($BI$5:$BI$1792,MATCH(K90,$BJ$5:$BJ$40000,0),1),IF(CI48=0,-1,$BJ$3)))</f>
        <v>0</v>
      </c>
      <c r="L10" s="25">
        <f>IF(OR(L51=0,L51=1),$W$44,IF(ISNUMBER(MATCH(L90,$BJ$5:$BJ$40000,0)),INDEX($BI$5:$BI$1792,MATCH(L90,$BJ$5:$BJ$40000,0),1),IF(CJ48=0,-1,$BJ$3)))</f>
        <v>0</v>
      </c>
      <c r="M10" s="25">
        <f>IF(OR(M51=0,M51=1),$W$44,IF(ISNUMBER(MATCH(M90,$BJ$5:$BJ$40000,0)),INDEX($BI$5:$BI$1792,MATCH(M90,$BJ$5:$BJ$40000,0),1),IF(CK48=0,-1,$BJ$3)))</f>
        <v>0</v>
      </c>
      <c r="N10" s="25">
        <f>IF(OR(N51=0,N51=1),$W$44,IF(ISNUMBER(MATCH(N90,$BJ$5:$BJ$40000,0)),INDEX($BI$5:$BI$1792,MATCH(N90,$BJ$5:$BJ$40000,0),1),IF(CL48=0,-1,$BJ$3)))</f>
        <v>0</v>
      </c>
      <c r="O10" s="25">
        <f>IF(OR(O51=0,O51=1),$W$44,IF(ISNUMBER(MATCH(O90,$BJ$5:$BJ$40000,0)),INDEX($BI$5:$BI$1792,MATCH(O90,$BJ$5:$BJ$40000,0),1),IF(CM48=0,-1,$BJ$3)))</f>
        <v>0</v>
      </c>
      <c r="P10" s="25">
        <f>IF(OR(P51=0,P51=1),$W$44,IF(ISNUMBER(MATCH(P90,$BJ$5:$BJ$40000,0)),INDEX($BI$5:$BI$1792,MATCH(P90,$BJ$5:$BJ$40000,0),1),IF(CN48=0,-1,$BJ$3)))</f>
        <v>0</v>
      </c>
      <c r="Q10" s="25">
        <f>IF(OR(Q51=0,Q51=1),$W$44,IF(ISNUMBER(MATCH(Q90,$BJ$5:$BJ$40000,0)),INDEX($BI$5:$BI$1792,MATCH(Q90,$BJ$5:$BJ$40000,0),1),IF(CO48=0,-1,$BJ$3)))</f>
        <v>0</v>
      </c>
      <c r="R10" s="25">
        <f>IF(OR(R51=0,R51=1),$W$44,IF(ISNUMBER(MATCH(R90,$BJ$5:$BJ$40000,0)),INDEX($BI$5:$BI$1792,MATCH(R90,$BJ$5:$BJ$40000,0),1),IF(CP48=0,-1,$BJ$3)))</f>
        <v>0</v>
      </c>
      <c r="S10" s="25">
        <f>IF(OR(S51=0,S51=1),$W$44,IF(ISNUMBER(MATCH(S90,$BJ$5:$BJ$40000,0)),INDEX($BI$5:$BI$1792,MATCH(S90,$BJ$5:$BJ$40000,0),1),IF(CQ48=0,-1,$BJ$3)))</f>
        <v>0</v>
      </c>
      <c r="T10" s="25">
        <f>IF(OR(T51=0,T51=1),$W$44,IF(ISNUMBER(MATCH(T90,$BJ$5:$BJ$40000,0)),INDEX($BI$5:$BI$1792,MATCH(T90,$BJ$5:$BJ$40000,0),1),IF(CR48=0,-1,$BJ$3)))</f>
        <v>0</v>
      </c>
      <c r="U10" s="25">
        <f>IF(OR(U51=0,U51=1),$W$44,IF(ISNUMBER(MATCH(U90,$BJ$5:$BJ$40000,0)),INDEX($BI$5:$BI$1792,MATCH(U90,$BJ$5:$BJ$40000,0),1),IF(CS48=0,-1,$BJ$3)))</f>
        <v>70</v>
      </c>
      <c r="V10" s="25">
        <f>IF(OR(V51=0,V51=1),$W$44,IF(ISNUMBER(MATCH(V90,$BJ$5:$BJ$40000,0)),INDEX($BI$5:$BI$1792,MATCH(V90,$BJ$5:$BJ$40000,0),1),IF(CT48=0,-1,$BJ$3)))</f>
        <v>70</v>
      </c>
      <c r="W10" s="25">
        <f>IF(OR(W51=0,W51=1),$W$44,IF(ISNUMBER(MATCH(W90,$BJ$5:$BJ$40000,0)),INDEX($BI$5:$BI$1792,MATCH(W90,$BJ$5:$BJ$40000,0),1),IF(CU48=0,-1,$BJ$3)))</f>
        <v>0</v>
      </c>
      <c r="X10" s="25">
        <f>IF(OR(X51=0,X51=1),$W$44,IF(ISNUMBER(MATCH(X90,$BJ$5:$BJ$40000,0)),INDEX($BI$5:$BI$1792,MATCH(X90,$BJ$5:$BJ$40000,0),1),IF(CV48=0,-1,$BJ$3)))</f>
        <v>0</v>
      </c>
      <c r="Y10" s="25">
        <f>IF(OR(Y51=0,Y51=1),$W$44,IF(ISNUMBER(MATCH(Y90,$BJ$5:$BJ$40000,0)),INDEX($BI$5:$BI$1792,MATCH(Y90,$BJ$5:$BJ$40000,0),1),IF(CW48=0,-1,$BJ$3)))</f>
        <v>0</v>
      </c>
      <c r="Z10" s="35"/>
      <c r="AA10" s="15">
        <v>1</v>
      </c>
      <c r="AB10" s="57">
        <v>5</v>
      </c>
      <c r="AC10" s="57">
        <v>20</v>
      </c>
      <c r="AD10" s="57">
        <v>1</v>
      </c>
      <c r="AE10" s="57">
        <v>6</v>
      </c>
      <c r="AF10" s="57">
        <v>400</v>
      </c>
      <c r="AG10" s="23" t="str">
        <f t="shared" si="1"/>
        <v>20,5</v>
      </c>
      <c r="AH10" s="1"/>
      <c r="AI10" s="15">
        <v>5</v>
      </c>
      <c r="AJ10" s="15">
        <v>5</v>
      </c>
      <c r="AK10" s="15" t="s">
        <v>13</v>
      </c>
      <c r="AL10" s="57">
        <v>400</v>
      </c>
      <c r="AM10" s="57">
        <v>5</v>
      </c>
      <c r="AN10" s="57">
        <v>1.8181818181818099E-3</v>
      </c>
      <c r="AO10" s="57">
        <v>45.363636363636303</v>
      </c>
      <c r="AP10" s="57">
        <v>1</v>
      </c>
      <c r="AQ10" s="57">
        <v>100</v>
      </c>
      <c r="AR10" s="57">
        <v>0.03</v>
      </c>
      <c r="AS10" s="57">
        <v>1</v>
      </c>
      <c r="AT10" s="57">
        <v>1</v>
      </c>
      <c r="AU10" s="57">
        <v>0</v>
      </c>
      <c r="AV10" s="57" t="s">
        <v>8</v>
      </c>
      <c r="AW10" s="58">
        <f>IF(AV9=AV10,AW9,MAX(AW$4:AW9)+1)</f>
        <v>1</v>
      </c>
      <c r="AX10" s="1"/>
      <c r="AY10" s="33">
        <v>5</v>
      </c>
      <c r="AZ10" s="33">
        <v>5</v>
      </c>
      <c r="BA10" s="11">
        <v>4</v>
      </c>
      <c r="BB10" s="11"/>
      <c r="BC10" s="11"/>
      <c r="BD10" s="11">
        <f t="shared" si="4"/>
        <v>0</v>
      </c>
      <c r="BE10" s="1"/>
      <c r="BF10" s="56">
        <v>1</v>
      </c>
      <c r="BG10" s="57">
        <v>1</v>
      </c>
      <c r="BH10" s="57">
        <v>9</v>
      </c>
      <c r="BI10" s="57">
        <v>50</v>
      </c>
      <c r="BJ10" s="13" t="str">
        <f t="shared" si="3"/>
        <v>9,1</v>
      </c>
      <c r="BK10" s="35"/>
      <c r="BL10" s="8">
        <f t="shared" si="2"/>
        <v>6</v>
      </c>
      <c r="BM10" s="6">
        <f t="shared" si="6"/>
        <v>1</v>
      </c>
      <c r="BN10" s="6">
        <f t="shared" si="7"/>
        <v>6</v>
      </c>
      <c r="BO10" s="35"/>
      <c r="BP10" s="15">
        <v>5</v>
      </c>
      <c r="BQ10" s="60">
        <v>0</v>
      </c>
      <c r="BR10" s="57">
        <v>5</v>
      </c>
      <c r="BS10" s="57" t="s">
        <v>72</v>
      </c>
      <c r="BT10" s="57" t="s">
        <v>70</v>
      </c>
      <c r="BU10" s="57">
        <v>1</v>
      </c>
      <c r="BV10" s="60">
        <v>0</v>
      </c>
      <c r="BW10" s="57">
        <v>0</v>
      </c>
      <c r="BX10" s="60">
        <v>0</v>
      </c>
      <c r="BY10" s="60">
        <v>0</v>
      </c>
      <c r="BZ10" s="35"/>
      <c r="CA10" s="52">
        <v>30.359120000000001</v>
      </c>
      <c r="CB10" s="52">
        <v>30.407910000000001</v>
      </c>
      <c r="CC10" s="52">
        <v>30.441459999999999</v>
      </c>
      <c r="CD10" s="52">
        <v>30.90915</v>
      </c>
      <c r="CE10" s="52">
        <v>31.264050000000001</v>
      </c>
      <c r="CF10" s="52">
        <v>31.603729999999999</v>
      </c>
      <c r="CG10" s="52">
        <v>32.0364</v>
      </c>
      <c r="CH10" s="52">
        <v>32.08052</v>
      </c>
      <c r="CI10" s="52">
        <v>31.906929999999999</v>
      </c>
      <c r="CJ10" s="52">
        <v>31.735849999999999</v>
      </c>
      <c r="CK10" s="53">
        <v>31.698910000000001</v>
      </c>
      <c r="CL10" s="53">
        <v>31.773700000000002</v>
      </c>
      <c r="CM10" s="53">
        <v>31.560880000000001</v>
      </c>
      <c r="CN10" s="53">
        <v>31.462</v>
      </c>
      <c r="CO10" s="53">
        <v>31.042660000000001</v>
      </c>
      <c r="CP10" s="53">
        <v>30.849399999999999</v>
      </c>
      <c r="CQ10" s="53">
        <v>30.665410000000001</v>
      </c>
      <c r="CR10" s="53">
        <v>30.499490000000002</v>
      </c>
      <c r="CS10" s="53">
        <v>30.159600000000001</v>
      </c>
      <c r="CT10" s="53">
        <v>30.020720000000001</v>
      </c>
      <c r="CU10" s="53">
        <v>29.796700000000001</v>
      </c>
      <c r="CV10" s="53">
        <v>29.837050000000001</v>
      </c>
      <c r="CW10" s="53">
        <v>29.875979999999998</v>
      </c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</row>
    <row r="11" spans="1:115" ht="8.1" customHeight="1" x14ac:dyDescent="0.25">
      <c r="A11" s="35"/>
      <c r="B11" s="37"/>
      <c r="C11" s="25">
        <f>IF(OR(C52=0,C52=1),$W$44,IF(ISNUMBER(MATCH(C91,$BJ$5:$BJ$40000,0)),INDEX($BI$5:$BI$1792,MATCH(C91,$BJ$5:$BJ$40000,0),1),IF(CA49=0,-1,$BJ$3)))</f>
        <v>-1</v>
      </c>
      <c r="D11" s="25">
        <f>IF(OR(D52=0,D52=1),$W$44,IF(ISNUMBER(MATCH(D91,$BJ$5:$BJ$40000,0)),INDEX($BI$5:$BI$1792,MATCH(D91,$BJ$5:$BJ$40000,0),1),IF(CB49=0,-1,$BJ$3)))</f>
        <v>-1</v>
      </c>
      <c r="E11" s="25">
        <f>IF(OR(E52=0,E52=1),$W$44,IF(ISNUMBER(MATCH(E91,$BJ$5:$BJ$40000,0)),INDEX($BI$5:$BI$1792,MATCH(E91,$BJ$5:$BJ$40000,0),1),IF(CC49=0,-1,$BJ$3)))</f>
        <v>0</v>
      </c>
      <c r="F11" s="25">
        <f>IF(OR(F52=0,F52=1),$W$44,IF(ISNUMBER(MATCH(F91,$BJ$5:$BJ$40000,0)),INDEX($BI$5:$BI$1792,MATCH(F91,$BJ$5:$BJ$40000,0),1),IF(CD49=0,-1,$BJ$3)))</f>
        <v>0</v>
      </c>
      <c r="G11" s="25">
        <f>IF(OR(G52=0,G52=1),$W$44,IF(ISNUMBER(MATCH(G91,$BJ$5:$BJ$40000,0)),INDEX($BI$5:$BI$1792,MATCH(G91,$BJ$5:$BJ$40000,0),1),IF(CE49=0,-1,$BJ$3)))</f>
        <v>0</v>
      </c>
      <c r="H11" s="25">
        <f>IF(OR(H52=0,H52=1),$W$44,IF(ISNUMBER(MATCH(H91,$BJ$5:$BJ$40000,0)),INDEX($BI$5:$BI$1792,MATCH(H91,$BJ$5:$BJ$40000,0),1),IF(CF49=0,-1,$BJ$3)))</f>
        <v>0</v>
      </c>
      <c r="I11" s="25">
        <f>IF(OR(I52=0,I52=1),$W$44,IF(ISNUMBER(MATCH(I91,$BJ$5:$BJ$40000,0)),INDEX($BI$5:$BI$1792,MATCH(I91,$BJ$5:$BJ$40000,0),1),IF(CG49=0,-1,$BJ$3)))</f>
        <v>0</v>
      </c>
      <c r="J11" s="25">
        <f>IF(OR(J52=0,J52=1),$W$44,IF(ISNUMBER(MATCH(J91,$BJ$5:$BJ$40000,0)),INDEX($BI$5:$BI$1792,MATCH(J91,$BJ$5:$BJ$40000,0),1),IF(CH49=0,-1,$BJ$3)))</f>
        <v>0</v>
      </c>
      <c r="K11" s="25">
        <f>IF(OR(K52=0,K52=1),$W$44,IF(ISNUMBER(MATCH(K91,$BJ$5:$BJ$40000,0)),INDEX($BI$5:$BI$1792,MATCH(K91,$BJ$5:$BJ$40000,0),1),IF(CI49=0,-1,$BJ$3)))</f>
        <v>0</v>
      </c>
      <c r="L11" s="25">
        <f>IF(OR(L52=0,L52=1),$W$44,IF(ISNUMBER(MATCH(L91,$BJ$5:$BJ$40000,0)),INDEX($BI$5:$BI$1792,MATCH(L91,$BJ$5:$BJ$40000,0),1),IF(CJ49=0,-1,$BJ$3)))</f>
        <v>0</v>
      </c>
      <c r="M11" s="25">
        <f>IF(OR(M52=0,M52=1),$W$44,IF(ISNUMBER(MATCH(M91,$BJ$5:$BJ$40000,0)),INDEX($BI$5:$BI$1792,MATCH(M91,$BJ$5:$BJ$40000,0),1),IF(CK49=0,-1,$BJ$3)))</f>
        <v>0</v>
      </c>
      <c r="N11" s="25">
        <f>IF(OR(N52=0,N52=1),$W$44,IF(ISNUMBER(MATCH(N91,$BJ$5:$BJ$40000,0)),INDEX($BI$5:$BI$1792,MATCH(N91,$BJ$5:$BJ$40000,0),1),IF(CL49=0,-1,$BJ$3)))</f>
        <v>0</v>
      </c>
      <c r="O11" s="25">
        <f>IF(OR(O52=0,O52=1),$W$44,IF(ISNUMBER(MATCH(O91,$BJ$5:$BJ$40000,0)),INDEX($BI$5:$BI$1792,MATCH(O91,$BJ$5:$BJ$40000,0),1),IF(CM49=0,-1,$BJ$3)))</f>
        <v>0</v>
      </c>
      <c r="P11" s="25">
        <f>IF(OR(P52=0,P52=1),$W$44,IF(ISNUMBER(MATCH(P91,$BJ$5:$BJ$40000,0)),INDEX($BI$5:$BI$1792,MATCH(P91,$BJ$5:$BJ$40000,0),1),IF(CN49=0,-1,$BJ$3)))</f>
        <v>0</v>
      </c>
      <c r="Q11" s="25">
        <f>IF(OR(Q52=0,Q52=1),$W$44,IF(ISNUMBER(MATCH(Q91,$BJ$5:$BJ$40000,0)),INDEX($BI$5:$BI$1792,MATCH(Q91,$BJ$5:$BJ$40000,0),1),IF(CO49=0,-1,$BJ$3)))</f>
        <v>0</v>
      </c>
      <c r="R11" s="25">
        <f>IF(OR(R52=0,R52=1),$W$44,IF(ISNUMBER(MATCH(R91,$BJ$5:$BJ$40000,0)),INDEX($BI$5:$BI$1792,MATCH(R91,$BJ$5:$BJ$40000,0),1),IF(CP49=0,-1,$BJ$3)))</f>
        <v>0</v>
      </c>
      <c r="S11" s="25">
        <f>IF(OR(S52=0,S52=1),$W$44,IF(ISNUMBER(MATCH(S91,$BJ$5:$BJ$40000,0)),INDEX($BI$5:$BI$1792,MATCH(S91,$BJ$5:$BJ$40000,0),1),IF(CQ49=0,-1,$BJ$3)))</f>
        <v>0</v>
      </c>
      <c r="T11" s="25">
        <f>IF(OR(T52=0,T52=1),$W$44,IF(ISNUMBER(MATCH(T91,$BJ$5:$BJ$40000,0)),INDEX($BI$5:$BI$1792,MATCH(T91,$BJ$5:$BJ$40000,0),1),IF(CR49=0,-1,$BJ$3)))</f>
        <v>70</v>
      </c>
      <c r="U11" s="25">
        <f>IF(OR(U52=0,U52=1),$W$44,IF(ISNUMBER(MATCH(U91,$BJ$5:$BJ$40000,0)),INDEX($BI$5:$BI$1792,MATCH(U91,$BJ$5:$BJ$40000,0),1),IF(CS49=0,-1,$BJ$3)))</f>
        <v>70</v>
      </c>
      <c r="V11" s="25">
        <f>IF(OR(V52=0,V52=1),$W$44,IF(ISNUMBER(MATCH(V91,$BJ$5:$BJ$40000,0)),INDEX($BI$5:$BI$1792,MATCH(V91,$BJ$5:$BJ$40000,0),1),IF(CT49=0,-1,$BJ$3)))</f>
        <v>70</v>
      </c>
      <c r="W11" s="25">
        <f>IF(OR(W52=0,W52=1),$W$44,IF(ISNUMBER(MATCH(W91,$BJ$5:$BJ$40000,0)),INDEX($BI$5:$BI$1792,MATCH(W91,$BJ$5:$BJ$40000,0),1),IF(CU49=0,-1,$BJ$3)))</f>
        <v>0</v>
      </c>
      <c r="X11" s="25">
        <f>IF(OR(X52=0,X52=1),$W$44,IF(ISNUMBER(MATCH(X91,$BJ$5:$BJ$40000,0)),INDEX($BI$5:$BI$1792,MATCH(X91,$BJ$5:$BJ$40000,0),1),IF(CV49=0,-1,$BJ$3)))</f>
        <v>0</v>
      </c>
      <c r="Y11" s="25">
        <f>IF(OR(Y52=0,Y52=1),$W$44,IF(ISNUMBER(MATCH(Y91,$BJ$5:$BJ$40000,0)),INDEX($BI$5:$BI$1792,MATCH(Y91,$BJ$5:$BJ$40000,0),1),IF(CW49=0,-1,$BJ$3)))</f>
        <v>0</v>
      </c>
      <c r="Z11" s="35"/>
      <c r="AA11" s="15">
        <v>1</v>
      </c>
      <c r="AB11" s="57">
        <v>17</v>
      </c>
      <c r="AC11" s="57">
        <v>18</v>
      </c>
      <c r="AD11" s="57">
        <v>2</v>
      </c>
      <c r="AE11" s="57">
        <v>1</v>
      </c>
      <c r="AF11" s="57">
        <v>400</v>
      </c>
      <c r="AG11" s="23" t="str">
        <f t="shared" si="1"/>
        <v>18,17</v>
      </c>
      <c r="AH11" s="1"/>
      <c r="AI11" s="15">
        <v>6</v>
      </c>
      <c r="AJ11" s="15">
        <v>6</v>
      </c>
      <c r="AK11" s="15" t="s">
        <v>14</v>
      </c>
      <c r="AL11" s="57">
        <v>400</v>
      </c>
      <c r="AM11" s="57">
        <v>5</v>
      </c>
      <c r="AN11" s="57">
        <v>2.1875000000000002E-3</v>
      </c>
      <c r="AO11" s="57">
        <v>44.0625</v>
      </c>
      <c r="AP11" s="57">
        <v>1</v>
      </c>
      <c r="AQ11" s="57">
        <v>100</v>
      </c>
      <c r="AR11" s="57">
        <v>0.03</v>
      </c>
      <c r="AS11" s="57">
        <v>1</v>
      </c>
      <c r="AT11" s="57">
        <v>1</v>
      </c>
      <c r="AU11" s="57">
        <v>0</v>
      </c>
      <c r="AV11" s="57" t="s">
        <v>15</v>
      </c>
      <c r="AW11" s="58">
        <f>IF(AV10=AV11,AW10,MAX(AW$4:AW10)+1)</f>
        <v>2</v>
      </c>
      <c r="AX11" s="1"/>
      <c r="AY11" s="33">
        <v>6</v>
      </c>
      <c r="AZ11" s="33">
        <v>6</v>
      </c>
      <c r="BA11" s="11">
        <v>-7</v>
      </c>
      <c r="BB11" s="11"/>
      <c r="BC11" s="11"/>
      <c r="BD11" s="11">
        <f t="shared" si="4"/>
        <v>0</v>
      </c>
      <c r="BE11" s="1"/>
      <c r="BF11" s="56">
        <v>1</v>
      </c>
      <c r="BG11" s="57">
        <v>1</v>
      </c>
      <c r="BH11" s="57">
        <v>10</v>
      </c>
      <c r="BI11" s="57">
        <v>50</v>
      </c>
      <c r="BJ11" s="13" t="str">
        <f t="shared" si="3"/>
        <v>10,1</v>
      </c>
      <c r="BK11" s="35"/>
      <c r="BL11" s="8">
        <f t="shared" si="2"/>
        <v>7</v>
      </c>
      <c r="BM11" s="6">
        <f t="shared" si="6"/>
        <v>1</v>
      </c>
      <c r="BN11" s="6">
        <f t="shared" si="7"/>
        <v>7</v>
      </c>
      <c r="BO11" s="35"/>
      <c r="BP11" s="15">
        <v>6</v>
      </c>
      <c r="BQ11" s="60">
        <v>0</v>
      </c>
      <c r="BR11" s="57">
        <v>6</v>
      </c>
      <c r="BS11" s="57" t="s">
        <v>68</v>
      </c>
      <c r="BT11" s="57" t="s">
        <v>67</v>
      </c>
      <c r="BU11" s="57">
        <v>1</v>
      </c>
      <c r="BV11" s="60">
        <v>30.499490000000002</v>
      </c>
      <c r="BW11" s="57">
        <v>100</v>
      </c>
      <c r="BX11" s="60">
        <v>201.85849999999999</v>
      </c>
      <c r="BY11" s="60">
        <v>405.664999999999</v>
      </c>
      <c r="BZ11" s="35"/>
      <c r="CA11" s="52">
        <v>29.607980000000001</v>
      </c>
      <c r="CB11" s="52">
        <v>29.739100000000001</v>
      </c>
      <c r="CC11" s="52">
        <v>29.877859999999998</v>
      </c>
      <c r="CD11" s="52">
        <v>29.96001</v>
      </c>
      <c r="CE11" s="52">
        <v>30.467199999999998</v>
      </c>
      <c r="CF11" s="52">
        <v>30.91235</v>
      </c>
      <c r="CG11" s="52">
        <v>31.119879999999998</v>
      </c>
      <c r="CH11" s="52">
        <v>31.406220000000001</v>
      </c>
      <c r="CI11" s="52">
        <v>31.080850000000002</v>
      </c>
      <c r="CJ11" s="52">
        <v>30.676089999999999</v>
      </c>
      <c r="CK11" s="53">
        <v>30.655750000000001</v>
      </c>
      <c r="CL11" s="53">
        <v>30.848459999999999</v>
      </c>
      <c r="CM11" s="53">
        <v>31.006969999999999</v>
      </c>
      <c r="CN11" s="53">
        <v>30.72307</v>
      </c>
      <c r="CO11" s="53">
        <v>30.570270000000001</v>
      </c>
      <c r="CP11" s="53">
        <v>30.201750000000001</v>
      </c>
      <c r="CQ11" s="53">
        <v>30.088059999999999</v>
      </c>
      <c r="CR11" s="53">
        <v>29.839659999999999</v>
      </c>
      <c r="CS11" s="53">
        <v>29.812139999999999</v>
      </c>
      <c r="CT11" s="53">
        <v>29.85417</v>
      </c>
      <c r="CU11" s="53">
        <v>29.731670000000001</v>
      </c>
      <c r="CV11" s="53">
        <v>29.83982</v>
      </c>
      <c r="CW11" s="53">
        <v>29.890640000000001</v>
      </c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</row>
    <row r="12" spans="1:115" ht="8.1" customHeight="1" x14ac:dyDescent="0.25">
      <c r="A12" s="35"/>
      <c r="B12" s="37"/>
      <c r="C12" s="25">
        <f>IF(OR(C53=0,C53=1),$W$44,IF(ISNUMBER(MATCH(C92,$BJ$5:$BJ$40000,0)),INDEX($BI$5:$BI$1792,MATCH(C92,$BJ$5:$BJ$40000,0),1),IF(CA50=0,-1,$BJ$3)))</f>
        <v>-1</v>
      </c>
      <c r="D12" s="25">
        <f>IF(OR(D53=0,D53=1),$W$44,IF(ISNUMBER(MATCH(D92,$BJ$5:$BJ$40000,0)),INDEX($BI$5:$BI$1792,MATCH(D92,$BJ$5:$BJ$40000,0),1),IF(CB50=0,-1,$BJ$3)))</f>
        <v>-1</v>
      </c>
      <c r="E12" s="25">
        <f>IF(OR(E53=0,E53=1),$W$44,IF(ISNUMBER(MATCH(E92,$BJ$5:$BJ$40000,0)),INDEX($BI$5:$BI$1792,MATCH(E92,$BJ$5:$BJ$40000,0),1),IF(CC50=0,-1,$BJ$3)))</f>
        <v>0</v>
      </c>
      <c r="F12" s="25">
        <f>IF(OR(F53=0,F53=1),$W$44,IF(ISNUMBER(MATCH(F92,$BJ$5:$BJ$40000,0)),INDEX($BI$5:$BI$1792,MATCH(F92,$BJ$5:$BJ$40000,0),1),IF(CD50=0,-1,$BJ$3)))</f>
        <v>0</v>
      </c>
      <c r="G12" s="25">
        <f>IF(OR(G53=0,G53=1),$W$44,IF(ISNUMBER(MATCH(G92,$BJ$5:$BJ$40000,0)),INDEX($BI$5:$BI$1792,MATCH(G92,$BJ$5:$BJ$40000,0),1),IF(CE50=0,-1,$BJ$3)))</f>
        <v>0</v>
      </c>
      <c r="H12" s="25">
        <f>IF(OR(H53=0,H53=1),$W$44,IF(ISNUMBER(MATCH(H92,$BJ$5:$BJ$40000,0)),INDEX($BI$5:$BI$1792,MATCH(H92,$BJ$5:$BJ$40000,0),1),IF(CF50=0,-1,$BJ$3)))</f>
        <v>0</v>
      </c>
      <c r="I12" s="25">
        <f>IF(OR(I53=0,I53=1),$W$44,IF(ISNUMBER(MATCH(I92,$BJ$5:$BJ$40000,0)),INDEX($BI$5:$BI$1792,MATCH(I92,$BJ$5:$BJ$40000,0),1),IF(CG50=0,-1,$BJ$3)))</f>
        <v>0</v>
      </c>
      <c r="J12" s="25">
        <f>IF(OR(J53=0,J53=1),$W$44,IF(ISNUMBER(MATCH(J92,$BJ$5:$BJ$40000,0)),INDEX($BI$5:$BI$1792,MATCH(J92,$BJ$5:$BJ$40000,0),1),IF(CH50=0,-1,$BJ$3)))</f>
        <v>0</v>
      </c>
      <c r="K12" s="25">
        <f>IF(OR(K53=0,K53=1),$W$44,IF(ISNUMBER(MATCH(K92,$BJ$5:$BJ$40000,0)),INDEX($BI$5:$BI$1792,MATCH(K92,$BJ$5:$BJ$40000,0),1),IF(CI50=0,-1,$BJ$3)))</f>
        <v>0</v>
      </c>
      <c r="L12" s="25">
        <f>IF(OR(L53=0,L53=1),$W$44,IF(ISNUMBER(MATCH(L92,$BJ$5:$BJ$40000,0)),INDEX($BI$5:$BI$1792,MATCH(L92,$BJ$5:$BJ$40000,0),1),IF(CJ50=0,-1,$BJ$3)))</f>
        <v>0</v>
      </c>
      <c r="M12" s="25">
        <f>IF(OR(M53=0,M53=1),$W$44,IF(ISNUMBER(MATCH(M92,$BJ$5:$BJ$40000,0)),INDEX($BI$5:$BI$1792,MATCH(M92,$BJ$5:$BJ$40000,0),1),IF(CK50=0,-1,$BJ$3)))</f>
        <v>0</v>
      </c>
      <c r="N12" s="25">
        <f>IF(OR(N53=0,N53=1),$W$44,IF(ISNUMBER(MATCH(N92,$BJ$5:$BJ$40000,0)),INDEX($BI$5:$BI$1792,MATCH(N92,$BJ$5:$BJ$40000,0),1),IF(CL50=0,-1,$BJ$3)))</f>
        <v>0</v>
      </c>
      <c r="O12" s="25">
        <f>IF(OR(O53=0,O53=1),$W$44,IF(ISNUMBER(MATCH(O92,$BJ$5:$BJ$40000,0)),INDEX($BI$5:$BI$1792,MATCH(O92,$BJ$5:$BJ$40000,0),1),IF(CM50=0,-1,$BJ$3)))</f>
        <v>0</v>
      </c>
      <c r="P12" s="25">
        <f>IF(OR(P53=0,P53=1),$W$44,IF(ISNUMBER(MATCH(P92,$BJ$5:$BJ$40000,0)),INDEX($BI$5:$BI$1792,MATCH(P92,$BJ$5:$BJ$40000,0),1),IF(CN50=0,-1,$BJ$3)))</f>
        <v>0</v>
      </c>
      <c r="Q12" s="25">
        <f>IF(OR(Q53=0,Q53=1),$W$44,IF(ISNUMBER(MATCH(Q92,$BJ$5:$BJ$40000,0)),INDEX($BI$5:$BI$1792,MATCH(Q92,$BJ$5:$BJ$40000,0),1),IF(CO50=0,-1,$BJ$3)))</f>
        <v>0</v>
      </c>
      <c r="R12" s="25">
        <f>IF(OR(R53=0,R53=1),$W$44,IF(ISNUMBER(MATCH(R92,$BJ$5:$BJ$40000,0)),INDEX($BI$5:$BI$1792,MATCH(R92,$BJ$5:$BJ$40000,0),1),IF(CP50=0,-1,$BJ$3)))</f>
        <v>70</v>
      </c>
      <c r="S12" s="25">
        <f>IF(OR(S53=0,S53=1),$W$44,IF(ISNUMBER(MATCH(S92,$BJ$5:$BJ$40000,0)),INDEX($BI$5:$BI$1792,MATCH(S92,$BJ$5:$BJ$40000,0),1),IF(CQ50=0,-1,$BJ$3)))</f>
        <v>70</v>
      </c>
      <c r="T12" s="25">
        <f>IF(OR(T53=0,T53=1),$W$44,IF(ISNUMBER(MATCH(T92,$BJ$5:$BJ$40000,0)),INDEX($BI$5:$BI$1792,MATCH(T92,$BJ$5:$BJ$40000,0),1),IF(CR50=0,-1,$BJ$3)))</f>
        <v>70</v>
      </c>
      <c r="U12" s="25">
        <f>IF(OR(U53=0,U53=1),$W$44,IF(ISNUMBER(MATCH(U92,$BJ$5:$BJ$40000,0)),INDEX($BI$5:$BI$1792,MATCH(U92,$BJ$5:$BJ$40000,0),1),IF(CS50=0,-1,$BJ$3)))</f>
        <v>70</v>
      </c>
      <c r="V12" s="25">
        <f>IF(OR(V53=0,V53=1),$W$44,IF(ISNUMBER(MATCH(V92,$BJ$5:$BJ$40000,0)),INDEX($BI$5:$BI$1792,MATCH(V92,$BJ$5:$BJ$40000,0),1),IF(CT50=0,-1,$BJ$3)))</f>
        <v>70</v>
      </c>
      <c r="W12" s="25">
        <f>IF(OR(W53=0,W53=1),$W$44,IF(ISNUMBER(MATCH(W92,$BJ$5:$BJ$40000,0)),INDEX($BI$5:$BI$1792,MATCH(W92,$BJ$5:$BJ$40000,0),1),IF(CU50=0,-1,$BJ$3)))</f>
        <v>0</v>
      </c>
      <c r="X12" s="25">
        <f>IF(OR(X53=0,X53=1),$W$44,IF(ISNUMBER(MATCH(X92,$BJ$5:$BJ$40000,0)),INDEX($BI$5:$BI$1792,MATCH(X92,$BJ$5:$BJ$40000,0),1),IF(CV50=0,-1,$BJ$3)))</f>
        <v>0</v>
      </c>
      <c r="Y12" s="25">
        <f>IF(OR(Y53=0,Y53=1),$W$44,IF(ISNUMBER(MATCH(Y92,$BJ$5:$BJ$40000,0)),INDEX($BI$5:$BI$1792,MATCH(Y92,$BJ$5:$BJ$40000,0),1),IF(CW50=0,-1,$BJ$3)))</f>
        <v>0</v>
      </c>
      <c r="Z12" s="35"/>
      <c r="AA12" s="15">
        <v>1</v>
      </c>
      <c r="AB12" s="57">
        <v>18</v>
      </c>
      <c r="AC12" s="57">
        <v>18</v>
      </c>
      <c r="AD12" s="57">
        <v>2</v>
      </c>
      <c r="AE12" s="57">
        <v>2</v>
      </c>
      <c r="AF12" s="57">
        <v>400</v>
      </c>
      <c r="AG12" s="23" t="str">
        <f t="shared" si="1"/>
        <v>18,18</v>
      </c>
      <c r="AH12" s="1"/>
      <c r="AI12" s="15">
        <v>7</v>
      </c>
      <c r="AJ12" s="15">
        <v>7</v>
      </c>
      <c r="AK12" s="15" t="s">
        <v>16</v>
      </c>
      <c r="AL12" s="57">
        <v>400</v>
      </c>
      <c r="AM12" s="57">
        <v>5</v>
      </c>
      <c r="AN12" s="57">
        <v>2.1875000000000002E-3</v>
      </c>
      <c r="AO12" s="57">
        <v>43.1875</v>
      </c>
      <c r="AP12" s="57">
        <v>1</v>
      </c>
      <c r="AQ12" s="57">
        <v>100</v>
      </c>
      <c r="AR12" s="57">
        <v>0.03</v>
      </c>
      <c r="AS12" s="57">
        <v>2</v>
      </c>
      <c r="AT12" s="57">
        <v>1</v>
      </c>
      <c r="AU12" s="57">
        <v>0</v>
      </c>
      <c r="AV12" s="57" t="s">
        <v>15</v>
      </c>
      <c r="AW12" s="58">
        <f>IF(AV11=AV12,AW11,MAX(AW$4:AW11)+1)</f>
        <v>2</v>
      </c>
      <c r="AX12" s="1"/>
      <c r="AY12" s="33">
        <v>7</v>
      </c>
      <c r="AZ12" s="33">
        <v>7</v>
      </c>
      <c r="BA12" s="11">
        <v>6</v>
      </c>
      <c r="BB12" s="11">
        <v>-8</v>
      </c>
      <c r="BC12" s="11"/>
      <c r="BD12" s="11">
        <f t="shared" si="4"/>
        <v>1</v>
      </c>
      <c r="BE12" s="1"/>
      <c r="BF12" s="56">
        <v>1</v>
      </c>
      <c r="BG12" s="57">
        <v>1</v>
      </c>
      <c r="BH12" s="57">
        <v>11</v>
      </c>
      <c r="BI12" s="57">
        <v>50</v>
      </c>
      <c r="BJ12" s="13" t="str">
        <f t="shared" si="3"/>
        <v>11,1</v>
      </c>
      <c r="BK12" s="35"/>
      <c r="BL12" s="8">
        <f t="shared" si="2"/>
        <v>8</v>
      </c>
      <c r="BM12" s="6">
        <f t="shared" si="6"/>
        <v>1</v>
      </c>
      <c r="BN12" s="6">
        <f t="shared" si="7"/>
        <v>8</v>
      </c>
      <c r="BO12" s="35"/>
      <c r="BP12" s="15">
        <v>7</v>
      </c>
      <c r="BQ12" s="60">
        <v>0</v>
      </c>
      <c r="BR12" s="57">
        <v>7</v>
      </c>
      <c r="BS12" s="57" t="s">
        <v>73</v>
      </c>
      <c r="BT12" s="57" t="s">
        <v>67</v>
      </c>
      <c r="BU12" s="57">
        <v>1</v>
      </c>
      <c r="BV12" s="60">
        <v>30.088059999999999</v>
      </c>
      <c r="BW12" s="57">
        <v>100</v>
      </c>
      <c r="BX12" s="60">
        <v>202.83249999999899</v>
      </c>
      <c r="BY12" s="60">
        <v>403.71699999999998</v>
      </c>
      <c r="BZ12" s="35"/>
      <c r="CA12" s="52">
        <v>29.495249999999999</v>
      </c>
      <c r="CB12" s="52">
        <v>29.654</v>
      </c>
      <c r="CC12" s="52">
        <v>29.701309999999999</v>
      </c>
      <c r="CD12" s="52">
        <v>29.708169999999999</v>
      </c>
      <c r="CE12" s="52">
        <v>29.858180000000001</v>
      </c>
      <c r="CF12" s="52">
        <v>30.270610000000001</v>
      </c>
      <c r="CG12" s="52">
        <v>30.682449999999999</v>
      </c>
      <c r="CH12" s="52">
        <v>30.58897</v>
      </c>
      <c r="CI12" s="52">
        <v>30.37623</v>
      </c>
      <c r="CJ12" s="52">
        <v>29.96988</v>
      </c>
      <c r="CK12" s="53">
        <v>29.985779999999998</v>
      </c>
      <c r="CL12" s="53">
        <v>30.23742</v>
      </c>
      <c r="CM12" s="53">
        <v>30.441299999999998</v>
      </c>
      <c r="CN12" s="53">
        <v>30.21641</v>
      </c>
      <c r="CO12" s="53">
        <v>30.217289999999998</v>
      </c>
      <c r="CP12" s="53">
        <v>29.946870000000001</v>
      </c>
      <c r="CQ12" s="53">
        <v>29.7</v>
      </c>
      <c r="CR12" s="53">
        <v>29.74128</v>
      </c>
      <c r="CS12" s="53">
        <v>29.7</v>
      </c>
      <c r="CT12" s="53">
        <v>29.7</v>
      </c>
      <c r="CU12" s="53">
        <v>29.7</v>
      </c>
      <c r="CV12" s="53">
        <v>29.7</v>
      </c>
      <c r="CW12" s="53">
        <v>29.7</v>
      </c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</row>
    <row r="13" spans="1:115" ht="8.1" customHeight="1" x14ac:dyDescent="0.25">
      <c r="A13" s="35"/>
      <c r="B13" s="37"/>
      <c r="C13" s="25">
        <f>IF(OR(C54=0,C54=1),$W$44,IF(ISNUMBER(MATCH(C93,$BJ$5:$BJ$40000,0)),INDEX($BI$5:$BI$1792,MATCH(C93,$BJ$5:$BJ$40000,0),1),IF(CA51=0,-1,$BJ$3)))</f>
        <v>-1</v>
      </c>
      <c r="D13" s="25">
        <f>IF(OR(D54=0,D54=1),$W$44,IF(ISNUMBER(MATCH(D93,$BJ$5:$BJ$40000,0)),INDEX($BI$5:$BI$1792,MATCH(D93,$BJ$5:$BJ$40000,0),1),IF(CB51=0,-1,$BJ$3)))</f>
        <v>-1</v>
      </c>
      <c r="E13" s="25">
        <f>IF(OR(E54=0,E54=1),$W$44,IF(ISNUMBER(MATCH(E93,$BJ$5:$BJ$40000,0)),INDEX($BI$5:$BI$1792,MATCH(E93,$BJ$5:$BJ$40000,0),1),IF(CC51=0,-1,$BJ$3)))</f>
        <v>0</v>
      </c>
      <c r="F13" s="25">
        <f>IF(OR(F54=0,F54=1),$W$44,IF(ISNUMBER(MATCH(F93,$BJ$5:$BJ$40000,0)),INDEX($BI$5:$BI$1792,MATCH(F93,$BJ$5:$BJ$40000,0),1),IF(CD51=0,-1,$BJ$3)))</f>
        <v>0</v>
      </c>
      <c r="G13" s="25">
        <f>IF(OR(G54=0,G54=1),$W$44,IF(ISNUMBER(MATCH(G93,$BJ$5:$BJ$40000,0)),INDEX($BI$5:$BI$1792,MATCH(G93,$BJ$5:$BJ$40000,0),1),IF(CE51=0,-1,$BJ$3)))</f>
        <v>0</v>
      </c>
      <c r="H13" s="25">
        <f>IF(OR(H54=0,H54=1),$W$44,IF(ISNUMBER(MATCH(H93,$BJ$5:$BJ$40000,0)),INDEX($BI$5:$BI$1792,MATCH(H93,$BJ$5:$BJ$40000,0),1),IF(CF51=0,-1,$BJ$3)))</f>
        <v>0</v>
      </c>
      <c r="I13" s="25">
        <f>IF(OR(I54=0,I54=1),$W$44,IF(ISNUMBER(MATCH(I93,$BJ$5:$BJ$40000,0)),INDEX($BI$5:$BI$1792,MATCH(I93,$BJ$5:$BJ$40000,0),1),IF(CG51=0,-1,$BJ$3)))</f>
        <v>0</v>
      </c>
      <c r="J13" s="25">
        <f>IF(OR(J54=0,J54=1),$W$44,IF(ISNUMBER(MATCH(J93,$BJ$5:$BJ$40000,0)),INDEX($BI$5:$BI$1792,MATCH(J93,$BJ$5:$BJ$40000,0),1),IF(CH51=0,-1,$BJ$3)))</f>
        <v>0</v>
      </c>
      <c r="K13" s="25">
        <f>IF(OR(K54=0,K54=1),$W$44,IF(ISNUMBER(MATCH(K93,$BJ$5:$BJ$40000,0)),INDEX($BI$5:$BI$1792,MATCH(K93,$BJ$5:$BJ$40000,0),1),IF(CI51=0,-1,$BJ$3)))</f>
        <v>0</v>
      </c>
      <c r="L13" s="25">
        <f>IF(OR(L54=0,L54=1),$W$44,IF(ISNUMBER(MATCH(L93,$BJ$5:$BJ$40000,0)),INDEX($BI$5:$BI$1792,MATCH(L93,$BJ$5:$BJ$40000,0),1),IF(CJ51=0,-1,$BJ$3)))</f>
        <v>0</v>
      </c>
      <c r="M13" s="25">
        <f>IF(OR(M54=0,M54=1),$W$44,IF(ISNUMBER(MATCH(M93,$BJ$5:$BJ$40000,0)),INDEX($BI$5:$BI$1792,MATCH(M93,$BJ$5:$BJ$40000,0),1),IF(CK51=0,-1,$BJ$3)))</f>
        <v>0</v>
      </c>
      <c r="N13" s="25">
        <f>IF(OR(N54=0,N54=1),$W$44,IF(ISNUMBER(MATCH(N93,$BJ$5:$BJ$40000,0)),INDEX($BI$5:$BI$1792,MATCH(N93,$BJ$5:$BJ$40000,0),1),IF(CL51=0,-1,$BJ$3)))</f>
        <v>0</v>
      </c>
      <c r="O13" s="25">
        <f>IF(OR(O54=0,O54=1),$W$44,IF(ISNUMBER(MATCH(O93,$BJ$5:$BJ$40000,0)),INDEX($BI$5:$BI$1792,MATCH(O93,$BJ$5:$BJ$40000,0),1),IF(CM51=0,-1,$BJ$3)))</f>
        <v>0</v>
      </c>
      <c r="P13" s="25">
        <f>IF(OR(P54=0,P54=1),$W$44,IF(ISNUMBER(MATCH(P93,$BJ$5:$BJ$40000,0)),INDEX($BI$5:$BI$1792,MATCH(P93,$BJ$5:$BJ$40000,0),1),IF(CN51=0,-1,$BJ$3)))</f>
        <v>0</v>
      </c>
      <c r="Q13" s="25">
        <f>IF(OR(Q54=0,Q54=1),$W$44,IF(ISNUMBER(MATCH(Q93,$BJ$5:$BJ$40000,0)),INDEX($BI$5:$BI$1792,MATCH(Q93,$BJ$5:$BJ$40000,0),1),IF(CO51=0,-1,$BJ$3)))</f>
        <v>0</v>
      </c>
      <c r="R13" s="25">
        <f>IF(OR(R54=0,R54=1),$W$44,IF(ISNUMBER(MATCH(R93,$BJ$5:$BJ$40000,0)),INDEX($BI$5:$BI$1792,MATCH(R93,$BJ$5:$BJ$40000,0),1),IF(CP51=0,-1,$BJ$3)))</f>
        <v>70</v>
      </c>
      <c r="S13" s="25">
        <f>IF(OR(S54=0,S54=1),$W$44,IF(ISNUMBER(MATCH(S93,$BJ$5:$BJ$40000,0)),INDEX($BI$5:$BI$1792,MATCH(S93,$BJ$5:$BJ$40000,0),1),IF(CQ51=0,-1,$BJ$3)))</f>
        <v>70</v>
      </c>
      <c r="T13" s="25">
        <f>IF(OR(T54=0,T54=1),$W$44,IF(ISNUMBER(MATCH(T93,$BJ$5:$BJ$40000,0)),INDEX($BI$5:$BI$1792,MATCH(T93,$BJ$5:$BJ$40000,0),1),IF(CR51=0,-1,$BJ$3)))</f>
        <v>70</v>
      </c>
      <c r="U13" s="25">
        <f>IF(OR(U54=0,U54=1),$W$44,IF(ISNUMBER(MATCH(U93,$BJ$5:$BJ$40000,0)),INDEX($BI$5:$BI$1792,MATCH(U93,$BJ$5:$BJ$40000,0),1),IF(CS51=0,-1,$BJ$3)))</f>
        <v>70</v>
      </c>
      <c r="V13" s="25">
        <f>IF(OR(V54=0,V54=1),$W$44,IF(ISNUMBER(MATCH(V93,$BJ$5:$BJ$40000,0)),INDEX($BI$5:$BI$1792,MATCH(V93,$BJ$5:$BJ$40000,0),1),IF(CT51=0,-1,$BJ$3)))</f>
        <v>70</v>
      </c>
      <c r="W13" s="25">
        <f>IF(OR(W54=0,W54=1),$W$44,IF(ISNUMBER(MATCH(W93,$BJ$5:$BJ$40000,0)),INDEX($BI$5:$BI$1792,MATCH(W93,$BJ$5:$BJ$40000,0),1),IF(CU51=0,-1,$BJ$3)))</f>
        <v>70</v>
      </c>
      <c r="X13" s="25">
        <f>IF(OR(X54=0,X54=1),$W$44,IF(ISNUMBER(MATCH(X93,$BJ$5:$BJ$40000,0)),INDEX($BI$5:$BI$1792,MATCH(X93,$BJ$5:$BJ$40000,0),1),IF(CV51=0,-1,$BJ$3)))</f>
        <v>0</v>
      </c>
      <c r="Y13" s="25">
        <f>IF(OR(Y54=0,Y54=1),$W$44,IF(ISNUMBER(MATCH(Y93,$BJ$5:$BJ$40000,0)),INDEX($BI$5:$BI$1792,MATCH(Y93,$BJ$5:$BJ$40000,0),1),IF(CW51=0,-1,$BJ$3)))</f>
        <v>0</v>
      </c>
      <c r="Z13" s="35"/>
      <c r="AA13" s="15">
        <v>1</v>
      </c>
      <c r="AB13" s="57">
        <v>19</v>
      </c>
      <c r="AC13" s="57">
        <v>18</v>
      </c>
      <c r="AD13" s="57">
        <v>2</v>
      </c>
      <c r="AE13" s="57">
        <v>3</v>
      </c>
      <c r="AF13" s="57">
        <v>400</v>
      </c>
      <c r="AG13" s="23" t="str">
        <f t="shared" si="1"/>
        <v>18,19</v>
      </c>
      <c r="AH13" s="1"/>
      <c r="AI13" s="15">
        <v>8</v>
      </c>
      <c r="AJ13" s="15">
        <v>8</v>
      </c>
      <c r="AK13" s="15" t="s">
        <v>17</v>
      </c>
      <c r="AL13" s="57">
        <v>400</v>
      </c>
      <c r="AM13" s="57">
        <v>5</v>
      </c>
      <c r="AN13" s="57">
        <v>2.1875000000000002E-3</v>
      </c>
      <c r="AO13" s="57">
        <v>42.3125</v>
      </c>
      <c r="AP13" s="57">
        <v>1</v>
      </c>
      <c r="AQ13" s="57">
        <v>100</v>
      </c>
      <c r="AR13" s="57">
        <v>0.03</v>
      </c>
      <c r="AS13" s="57">
        <v>2</v>
      </c>
      <c r="AT13" s="57">
        <v>1</v>
      </c>
      <c r="AU13" s="57">
        <v>0</v>
      </c>
      <c r="AV13" s="57" t="s">
        <v>15</v>
      </c>
      <c r="AW13" s="58">
        <f>IF(AV12=AV13,AW12,MAX(AW$4:AW12)+1)</f>
        <v>2</v>
      </c>
      <c r="AX13" s="1"/>
      <c r="AY13" s="33">
        <v>8</v>
      </c>
      <c r="AZ13" s="33">
        <v>8</v>
      </c>
      <c r="BA13" s="11">
        <v>7</v>
      </c>
      <c r="BB13" s="11">
        <v>-9</v>
      </c>
      <c r="BC13" s="11"/>
      <c r="BD13" s="11">
        <f t="shared" si="4"/>
        <v>2</v>
      </c>
      <c r="BE13" s="1"/>
      <c r="BF13" s="56">
        <v>1</v>
      </c>
      <c r="BG13" s="57">
        <v>1</v>
      </c>
      <c r="BH13" s="57">
        <v>12</v>
      </c>
      <c r="BI13" s="57">
        <v>50.1</v>
      </c>
      <c r="BJ13" s="13" t="str">
        <f t="shared" si="3"/>
        <v>12,1</v>
      </c>
      <c r="BK13" s="35"/>
      <c r="BL13" s="8">
        <f t="shared" si="2"/>
        <v>9</v>
      </c>
      <c r="BM13" s="6">
        <f t="shared" si="6"/>
        <v>1</v>
      </c>
      <c r="BN13" s="6">
        <f t="shared" si="7"/>
        <v>9</v>
      </c>
      <c r="BO13" s="35"/>
      <c r="BP13" s="15">
        <v>8</v>
      </c>
      <c r="BQ13" s="60">
        <v>0</v>
      </c>
      <c r="BR13" s="57">
        <v>8</v>
      </c>
      <c r="BS13" s="57" t="s">
        <v>74</v>
      </c>
      <c r="BT13" s="57" t="s">
        <v>70</v>
      </c>
      <c r="BU13" s="57">
        <v>1</v>
      </c>
      <c r="BV13" s="60">
        <v>0</v>
      </c>
      <c r="BW13" s="57">
        <v>0</v>
      </c>
      <c r="BX13" s="60">
        <v>0</v>
      </c>
      <c r="BY13" s="60">
        <v>0</v>
      </c>
      <c r="BZ13" s="35"/>
      <c r="CA13" s="52">
        <v>29.144600000000001</v>
      </c>
      <c r="CB13" s="52">
        <v>29.32761</v>
      </c>
      <c r="CC13" s="52">
        <v>29.58849</v>
      </c>
      <c r="CD13" s="52">
        <v>29.616530000000001</v>
      </c>
      <c r="CE13" s="52">
        <v>29.520980000000002</v>
      </c>
      <c r="CF13" s="52">
        <v>29.679089999999999</v>
      </c>
      <c r="CG13" s="52">
        <v>30.136479999999999</v>
      </c>
      <c r="CH13" s="52">
        <v>30.323029999999999</v>
      </c>
      <c r="CI13" s="52">
        <v>30.14969</v>
      </c>
      <c r="CJ13" s="52">
        <v>29.759630000000001</v>
      </c>
      <c r="CK13" s="53">
        <v>29.764810000000001</v>
      </c>
      <c r="CL13" s="53">
        <v>30.063649999999999</v>
      </c>
      <c r="CM13" s="53">
        <v>30.103960000000001</v>
      </c>
      <c r="CN13" s="53">
        <v>29.890160000000002</v>
      </c>
      <c r="CO13" s="53">
        <v>29.822769999999998</v>
      </c>
      <c r="CP13" s="53">
        <v>29.7</v>
      </c>
      <c r="CQ13" s="53">
        <v>29.7</v>
      </c>
      <c r="CR13" s="53">
        <v>29.7</v>
      </c>
      <c r="CS13" s="53">
        <v>29.7</v>
      </c>
      <c r="CT13" s="53">
        <v>29.7</v>
      </c>
      <c r="CU13" s="53">
        <v>29.7</v>
      </c>
      <c r="CV13" s="53">
        <v>29.7</v>
      </c>
      <c r="CW13" s="53">
        <v>29.7</v>
      </c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</row>
    <row r="14" spans="1:115" ht="8.1" customHeight="1" x14ac:dyDescent="0.25">
      <c r="A14" s="35"/>
      <c r="B14" s="37"/>
      <c r="C14" s="25">
        <f>IF(OR(C55=0,C55=1),$W$44,IF(ISNUMBER(MATCH(C94,$BJ$5:$BJ$40000,0)),INDEX($BI$5:$BI$1792,MATCH(C94,$BJ$5:$BJ$40000,0),1),IF(CA52=0,-1,$BJ$3)))</f>
        <v>-1</v>
      </c>
      <c r="D14" s="25">
        <f>IF(OR(D55=0,D55=1),$W$44,IF(ISNUMBER(MATCH(D94,$BJ$5:$BJ$40000,0)),INDEX($BI$5:$BI$1792,MATCH(D94,$BJ$5:$BJ$40000,0),1),IF(CB52=0,-1,$BJ$3)))</f>
        <v>-1</v>
      </c>
      <c r="E14" s="25">
        <f>IF(OR(E55=0,E55=1),$W$44,IF(ISNUMBER(MATCH(E94,$BJ$5:$BJ$40000,0)),INDEX($BI$5:$BI$1792,MATCH(E94,$BJ$5:$BJ$40000,0),1),IF(CC52=0,-1,$BJ$3)))</f>
        <v>0</v>
      </c>
      <c r="F14" s="25">
        <f>IF(OR(F55=0,F55=1),$W$44,IF(ISNUMBER(MATCH(F94,$BJ$5:$BJ$40000,0)),INDEX($BI$5:$BI$1792,MATCH(F94,$BJ$5:$BJ$40000,0),1),IF(CD52=0,-1,$BJ$3)))</f>
        <v>0</v>
      </c>
      <c r="G14" s="25">
        <f>IF(OR(G55=0,G55=1),$W$44,IF(ISNUMBER(MATCH(G94,$BJ$5:$BJ$40000,0)),INDEX($BI$5:$BI$1792,MATCH(G94,$BJ$5:$BJ$40000,0),1),IF(CE52=0,-1,$BJ$3)))</f>
        <v>0</v>
      </c>
      <c r="H14" s="25">
        <f>IF(OR(H55=0,H55=1),$W$44,IF(ISNUMBER(MATCH(H94,$BJ$5:$BJ$40000,0)),INDEX($BI$5:$BI$1792,MATCH(H94,$BJ$5:$BJ$40000,0),1),IF(CF52=0,-1,$BJ$3)))</f>
        <v>0</v>
      </c>
      <c r="I14" s="25">
        <f>IF(OR(I55=0,I55=1),$W$44,IF(ISNUMBER(MATCH(I94,$BJ$5:$BJ$40000,0)),INDEX($BI$5:$BI$1792,MATCH(I94,$BJ$5:$BJ$40000,0),1),IF(CG52=0,-1,$BJ$3)))</f>
        <v>0</v>
      </c>
      <c r="J14" s="25">
        <f>IF(OR(J55=0,J55=1),$W$44,IF(ISNUMBER(MATCH(J94,$BJ$5:$BJ$40000,0)),INDEX($BI$5:$BI$1792,MATCH(J94,$BJ$5:$BJ$40000,0),1),IF(CH52=0,-1,$BJ$3)))</f>
        <v>0</v>
      </c>
      <c r="K14" s="25">
        <f>IF(OR(K55=0,K55=1),$W$44,IF(ISNUMBER(MATCH(K94,$BJ$5:$BJ$40000,0)),INDEX($BI$5:$BI$1792,MATCH(K94,$BJ$5:$BJ$40000,0),1),IF(CI52=0,-1,$BJ$3)))</f>
        <v>0</v>
      </c>
      <c r="L14" s="25">
        <f>IF(OR(L55=0,L55=1),$W$44,IF(ISNUMBER(MATCH(L94,$BJ$5:$BJ$40000,0)),INDEX($BI$5:$BI$1792,MATCH(L94,$BJ$5:$BJ$40000,0),1),IF(CJ52=0,-1,$BJ$3)))</f>
        <v>0</v>
      </c>
      <c r="M14" s="25">
        <f>IF(OR(M55=0,M55=1),$W$44,IF(ISNUMBER(MATCH(M94,$BJ$5:$BJ$40000,0)),INDEX($BI$5:$BI$1792,MATCH(M94,$BJ$5:$BJ$40000,0),1),IF(CK52=0,-1,$BJ$3)))</f>
        <v>0</v>
      </c>
      <c r="N14" s="25">
        <f>IF(OR(N55=0,N55=1),$W$44,IF(ISNUMBER(MATCH(N94,$BJ$5:$BJ$40000,0)),INDEX($BI$5:$BI$1792,MATCH(N94,$BJ$5:$BJ$40000,0),1),IF(CL52=0,-1,$BJ$3)))</f>
        <v>0</v>
      </c>
      <c r="O14" s="25">
        <f>IF(OR(O55=0,O55=1),$W$44,IF(ISNUMBER(MATCH(O94,$BJ$5:$BJ$40000,0)),INDEX($BI$5:$BI$1792,MATCH(O94,$BJ$5:$BJ$40000,0),1),IF(CM52=0,-1,$BJ$3)))</f>
        <v>0</v>
      </c>
      <c r="P14" s="25">
        <f>IF(OR(P55=0,P55=1),$W$44,IF(ISNUMBER(MATCH(P94,$BJ$5:$BJ$40000,0)),INDEX($BI$5:$BI$1792,MATCH(P94,$BJ$5:$BJ$40000,0),1),IF(CN52=0,-1,$BJ$3)))</f>
        <v>0</v>
      </c>
      <c r="Q14" s="25">
        <f>IF(OR(Q55=0,Q55=1),$W$44,IF(ISNUMBER(MATCH(Q94,$BJ$5:$BJ$40000,0)),INDEX($BI$5:$BI$1792,MATCH(Q94,$BJ$5:$BJ$40000,0),1),IF(CO52=0,-1,$BJ$3)))</f>
        <v>0</v>
      </c>
      <c r="R14" s="25">
        <f>IF(OR(R55=0,R55=1),$W$44,IF(ISNUMBER(MATCH(R94,$BJ$5:$BJ$40000,0)),INDEX($BI$5:$BI$1792,MATCH(R94,$BJ$5:$BJ$40000,0),1),IF(CP52=0,-1,$BJ$3)))</f>
        <v>70</v>
      </c>
      <c r="S14" s="25">
        <f>IF(OR(S55=0,S55=1),$W$44,IF(ISNUMBER(MATCH(S94,$BJ$5:$BJ$40000,0)),INDEX($BI$5:$BI$1792,MATCH(S94,$BJ$5:$BJ$40000,0),1),IF(CQ52=0,-1,$BJ$3)))</f>
        <v>70</v>
      </c>
      <c r="T14" s="25">
        <f>IF(OR(T55=0,T55=1),$W$44,IF(ISNUMBER(MATCH(T94,$BJ$5:$BJ$40000,0)),INDEX($BI$5:$BI$1792,MATCH(T94,$BJ$5:$BJ$40000,0),1),IF(CR52=0,-1,$BJ$3)))</f>
        <v>70</v>
      </c>
      <c r="U14" s="25">
        <f>IF(OR(U55=0,U55=1),$W$44,IF(ISNUMBER(MATCH(U94,$BJ$5:$BJ$40000,0)),INDEX($BI$5:$BI$1792,MATCH(U94,$BJ$5:$BJ$40000,0),1),IF(CS52=0,-1,$BJ$3)))</f>
        <v>70</v>
      </c>
      <c r="V14" s="25">
        <f>IF(OR(V55=0,V55=1),$W$44,IF(ISNUMBER(MATCH(V94,$BJ$5:$BJ$40000,0)),INDEX($BI$5:$BI$1792,MATCH(V94,$BJ$5:$BJ$40000,0),1),IF(CT52=0,-1,$BJ$3)))</f>
        <v>70</v>
      </c>
      <c r="W14" s="25">
        <f>IF(OR(W55=0,W55=1),$W$44,IF(ISNUMBER(MATCH(W94,$BJ$5:$BJ$40000,0)),INDEX($BI$5:$BI$1792,MATCH(W94,$BJ$5:$BJ$40000,0),1),IF(CU52=0,-1,$BJ$3)))</f>
        <v>70</v>
      </c>
      <c r="X14" s="25">
        <f>IF(OR(X55=0,X55=1),$W$44,IF(ISNUMBER(MATCH(X94,$BJ$5:$BJ$40000,0)),INDEX($BI$5:$BI$1792,MATCH(X94,$BJ$5:$BJ$40000,0),1),IF(CV52=0,-1,$BJ$3)))</f>
        <v>0</v>
      </c>
      <c r="Y14" s="25">
        <f>IF(OR(Y55=0,Y55=1),$W$44,IF(ISNUMBER(MATCH(Y94,$BJ$5:$BJ$40000,0)),INDEX($BI$5:$BI$1792,MATCH(Y94,$BJ$5:$BJ$40000,0),1),IF(CW52=0,-1,$BJ$3)))</f>
        <v>0</v>
      </c>
      <c r="Z14" s="35"/>
      <c r="AA14" s="15">
        <v>1</v>
      </c>
      <c r="AB14" s="57">
        <v>20</v>
      </c>
      <c r="AC14" s="57">
        <v>17</v>
      </c>
      <c r="AD14" s="57">
        <v>2</v>
      </c>
      <c r="AE14" s="57">
        <v>4</v>
      </c>
      <c r="AF14" s="57">
        <v>400</v>
      </c>
      <c r="AG14" s="23" t="str">
        <f t="shared" si="1"/>
        <v>17,20</v>
      </c>
      <c r="AH14" s="1"/>
      <c r="AI14" s="15">
        <v>9</v>
      </c>
      <c r="AJ14" s="15">
        <v>9</v>
      </c>
      <c r="AK14" s="15" t="s">
        <v>18</v>
      </c>
      <c r="AL14" s="57">
        <v>400</v>
      </c>
      <c r="AM14" s="57">
        <v>5</v>
      </c>
      <c r="AN14" s="57">
        <v>2.1875000000000002E-3</v>
      </c>
      <c r="AO14" s="57">
        <v>41.4375</v>
      </c>
      <c r="AP14" s="57">
        <v>1</v>
      </c>
      <c r="AQ14" s="57">
        <v>100</v>
      </c>
      <c r="AR14" s="57">
        <v>0.03</v>
      </c>
      <c r="AS14" s="57">
        <v>2</v>
      </c>
      <c r="AT14" s="57">
        <v>1</v>
      </c>
      <c r="AU14" s="57">
        <v>0</v>
      </c>
      <c r="AV14" s="57" t="s">
        <v>15</v>
      </c>
      <c r="AW14" s="58">
        <f>IF(AV13=AV14,AW13,MAX(AW$4:AW13)+1)</f>
        <v>2</v>
      </c>
      <c r="AX14" s="1"/>
      <c r="AY14" s="33">
        <v>9</v>
      </c>
      <c r="AZ14" s="33">
        <v>9</v>
      </c>
      <c r="BA14" s="11">
        <v>8</v>
      </c>
      <c r="BB14" s="11">
        <v>-10</v>
      </c>
      <c r="BC14" s="11"/>
      <c r="BD14" s="11">
        <f t="shared" si="4"/>
        <v>3</v>
      </c>
      <c r="BE14" s="1"/>
      <c r="BF14" s="56">
        <v>1</v>
      </c>
      <c r="BG14" s="57">
        <v>1</v>
      </c>
      <c r="BH14" s="57">
        <v>13</v>
      </c>
      <c r="BI14" s="57">
        <v>50.15</v>
      </c>
      <c r="BJ14" s="13" t="str">
        <f t="shared" si="3"/>
        <v>13,1</v>
      </c>
      <c r="BK14" s="35"/>
      <c r="BL14" s="8">
        <f t="shared" si="2"/>
        <v>10</v>
      </c>
      <c r="BM14" s="6">
        <f t="shared" si="6"/>
        <v>1</v>
      </c>
      <c r="BN14" s="6">
        <f t="shared" si="7"/>
        <v>10</v>
      </c>
      <c r="BO14" s="35"/>
      <c r="BP14" s="15">
        <v>9</v>
      </c>
      <c r="BQ14" s="60">
        <v>0</v>
      </c>
      <c r="BR14" s="57">
        <v>9</v>
      </c>
      <c r="BS14" s="57" t="s">
        <v>75</v>
      </c>
      <c r="BT14" s="57" t="s">
        <v>70</v>
      </c>
      <c r="BU14" s="57">
        <v>1</v>
      </c>
      <c r="BV14" s="60">
        <v>0</v>
      </c>
      <c r="BW14" s="57">
        <v>0</v>
      </c>
      <c r="BX14" s="60">
        <v>0</v>
      </c>
      <c r="BY14" s="60">
        <v>0</v>
      </c>
      <c r="BZ14" s="35"/>
      <c r="CA14" s="52">
        <v>28.056049999999999</v>
      </c>
      <c r="CB14" s="52">
        <v>28.750810000000001</v>
      </c>
      <c r="CC14" s="52">
        <v>28.95383</v>
      </c>
      <c r="CD14" s="52">
        <v>29.176480000000002</v>
      </c>
      <c r="CE14" s="52">
        <v>29.094950000000001</v>
      </c>
      <c r="CF14" s="52">
        <v>29.050170000000001</v>
      </c>
      <c r="CG14" s="52">
        <v>29.70411</v>
      </c>
      <c r="CH14" s="52">
        <v>29.771940000000001</v>
      </c>
      <c r="CI14" s="52">
        <v>29.94323</v>
      </c>
      <c r="CJ14" s="52">
        <v>29.92371</v>
      </c>
      <c r="CK14" s="53">
        <v>29.862469999999998</v>
      </c>
      <c r="CL14" s="53">
        <v>29.848680000000002</v>
      </c>
      <c r="CM14" s="53">
        <v>29.8827</v>
      </c>
      <c r="CN14" s="53">
        <v>29.7</v>
      </c>
      <c r="CO14" s="53">
        <v>29.7</v>
      </c>
      <c r="CP14" s="53">
        <v>29.7</v>
      </c>
      <c r="CQ14" s="53">
        <v>29.7</v>
      </c>
      <c r="CR14" s="53">
        <v>29.7</v>
      </c>
      <c r="CS14" s="53">
        <v>29.7</v>
      </c>
      <c r="CT14" s="53">
        <v>29.7</v>
      </c>
      <c r="CU14" s="53">
        <v>29.7</v>
      </c>
      <c r="CV14" s="53">
        <v>29.7</v>
      </c>
      <c r="CW14" s="53">
        <v>29.7</v>
      </c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</row>
    <row r="15" spans="1:115" ht="8.1" customHeight="1" x14ac:dyDescent="0.25">
      <c r="A15" s="35"/>
      <c r="B15" s="37"/>
      <c r="C15" s="25">
        <f>IF(OR(C56=0,C56=1),$W$44,IF(ISNUMBER(MATCH(C95,$BJ$5:$BJ$40000,0)),INDEX($BI$5:$BI$1792,MATCH(C95,$BJ$5:$BJ$40000,0),1),IF(CA53=0,-1,$BJ$3)))</f>
        <v>-1</v>
      </c>
      <c r="D15" s="25">
        <f>IF(OR(D56=0,D56=1),$W$44,IF(ISNUMBER(MATCH(D95,$BJ$5:$BJ$40000,0)),INDEX($BI$5:$BI$1792,MATCH(D95,$BJ$5:$BJ$40000,0),1),IF(CB53=0,-1,$BJ$3)))</f>
        <v>-1</v>
      </c>
      <c r="E15" s="25">
        <f>IF(OR(E56=0,E56=1),$W$44,IF(ISNUMBER(MATCH(E95,$BJ$5:$BJ$40000,0)),INDEX($BI$5:$BI$1792,MATCH(E95,$BJ$5:$BJ$40000,0),1),IF(CC53=0,-1,$BJ$3)))</f>
        <v>0</v>
      </c>
      <c r="F15" s="25">
        <f>IF(OR(F56=0,F56=1),$W$44,IF(ISNUMBER(MATCH(F95,$BJ$5:$BJ$40000,0)),INDEX($BI$5:$BI$1792,MATCH(F95,$BJ$5:$BJ$40000,0),1),IF(CD53=0,-1,$BJ$3)))</f>
        <v>0</v>
      </c>
      <c r="G15" s="25">
        <f>IF(OR(G56=0,G56=1),$W$44,IF(ISNUMBER(MATCH(G95,$BJ$5:$BJ$40000,0)),INDEX($BI$5:$BI$1792,MATCH(G95,$BJ$5:$BJ$40000,0),1),IF(CE53=0,-1,$BJ$3)))</f>
        <v>0</v>
      </c>
      <c r="H15" s="25">
        <f>IF(OR(H56=0,H56=1),$W$44,IF(ISNUMBER(MATCH(H95,$BJ$5:$BJ$40000,0)),INDEX($BI$5:$BI$1792,MATCH(H95,$BJ$5:$BJ$40000,0),1),IF(CF53=0,-1,$BJ$3)))</f>
        <v>0</v>
      </c>
      <c r="I15" s="25">
        <f>IF(OR(I56=0,I56=1),$W$44,IF(ISNUMBER(MATCH(I95,$BJ$5:$BJ$40000,0)),INDEX($BI$5:$BI$1792,MATCH(I95,$BJ$5:$BJ$40000,0),1),IF(CG53=0,-1,$BJ$3)))</f>
        <v>0</v>
      </c>
      <c r="J15" s="25">
        <f>IF(OR(J56=0,J56=1),$W$44,IF(ISNUMBER(MATCH(J95,$BJ$5:$BJ$40000,0)),INDEX($BI$5:$BI$1792,MATCH(J95,$BJ$5:$BJ$40000,0),1),IF(CH53=0,-1,$BJ$3)))</f>
        <v>0</v>
      </c>
      <c r="K15" s="25">
        <f>IF(OR(K56=0,K56=1),$W$44,IF(ISNUMBER(MATCH(K95,$BJ$5:$BJ$40000,0)),INDEX($BI$5:$BI$1792,MATCH(K95,$BJ$5:$BJ$40000,0),1),IF(CI53=0,-1,$BJ$3)))</f>
        <v>0</v>
      </c>
      <c r="L15" s="25">
        <f>IF(OR(L56=0,L56=1),$W$44,IF(ISNUMBER(MATCH(L95,$BJ$5:$BJ$40000,0)),INDEX($BI$5:$BI$1792,MATCH(L95,$BJ$5:$BJ$40000,0),1),IF(CJ53=0,-1,$BJ$3)))</f>
        <v>0</v>
      </c>
      <c r="M15" s="25">
        <f>IF(OR(M56=0,M56=1),$W$44,IF(ISNUMBER(MATCH(M95,$BJ$5:$BJ$40000,0)),INDEX($BI$5:$BI$1792,MATCH(M95,$BJ$5:$BJ$40000,0),1),IF(CK53=0,-1,$BJ$3)))</f>
        <v>0</v>
      </c>
      <c r="N15" s="25">
        <f>IF(OR(N56=0,N56=1),$W$44,IF(ISNUMBER(MATCH(N95,$BJ$5:$BJ$40000,0)),INDEX($BI$5:$BI$1792,MATCH(N95,$BJ$5:$BJ$40000,0),1),IF(CL53=0,-1,$BJ$3)))</f>
        <v>0</v>
      </c>
      <c r="O15" s="25">
        <f>IF(OR(O56=0,O56=1),$W$44,IF(ISNUMBER(MATCH(O95,$BJ$5:$BJ$40000,0)),INDEX($BI$5:$BI$1792,MATCH(O95,$BJ$5:$BJ$40000,0),1),IF(CM53=0,-1,$BJ$3)))</f>
        <v>0</v>
      </c>
      <c r="P15" s="25">
        <f>IF(OR(P56=0,P56=1),$W$44,IF(ISNUMBER(MATCH(P95,$BJ$5:$BJ$40000,0)),INDEX($BI$5:$BI$1792,MATCH(P95,$BJ$5:$BJ$40000,0),1),IF(CN53=0,-1,$BJ$3)))</f>
        <v>0</v>
      </c>
      <c r="Q15" s="25">
        <f>IF(OR(Q56=0,Q56=1),$W$44,IF(ISNUMBER(MATCH(Q95,$BJ$5:$BJ$40000,0)),INDEX($BI$5:$BI$1792,MATCH(Q95,$BJ$5:$BJ$40000,0),1),IF(CO53=0,-1,$BJ$3)))</f>
        <v>0</v>
      </c>
      <c r="R15" s="25">
        <f>IF(OR(R56=0,R56=1),$W$44,IF(ISNUMBER(MATCH(R95,$BJ$5:$BJ$40000,0)),INDEX($BI$5:$BI$1792,MATCH(R95,$BJ$5:$BJ$40000,0),1),IF(CP53=0,-1,$BJ$3)))</f>
        <v>0</v>
      </c>
      <c r="S15" s="25">
        <f>IF(OR(S56=0,S56=1),$W$44,IF(ISNUMBER(MATCH(S95,$BJ$5:$BJ$40000,0)),INDEX($BI$5:$BI$1792,MATCH(S95,$BJ$5:$BJ$40000,0),1),IF(CQ53=0,-1,$BJ$3)))</f>
        <v>70</v>
      </c>
      <c r="T15" s="25">
        <f>IF(OR(T56=0,T56=1),$W$44,IF(ISNUMBER(MATCH(T95,$BJ$5:$BJ$40000,0)),INDEX($BI$5:$BI$1792,MATCH(T95,$BJ$5:$BJ$40000,0),1),IF(CR53=0,-1,$BJ$3)))</f>
        <v>70</v>
      </c>
      <c r="U15" s="25">
        <f>IF(OR(U56=0,U56=1),$W$44,IF(ISNUMBER(MATCH(U95,$BJ$5:$BJ$40000,0)),INDEX($BI$5:$BI$1792,MATCH(U95,$BJ$5:$BJ$40000,0),1),IF(CS53=0,-1,$BJ$3)))</f>
        <v>70</v>
      </c>
      <c r="V15" s="25">
        <f>IF(OR(V56=0,V56=1),$W$44,IF(ISNUMBER(MATCH(V95,$BJ$5:$BJ$40000,0)),INDEX($BI$5:$BI$1792,MATCH(V95,$BJ$5:$BJ$40000,0),1),IF(CT53=0,-1,$BJ$3)))</f>
        <v>70</v>
      </c>
      <c r="W15" s="25">
        <f>IF(OR(W56=0,W56=1),$W$44,IF(ISNUMBER(MATCH(W95,$BJ$5:$BJ$40000,0)),INDEX($BI$5:$BI$1792,MATCH(W95,$BJ$5:$BJ$40000,0),1),IF(CU53=0,-1,$BJ$3)))</f>
        <v>70</v>
      </c>
      <c r="X15" s="25">
        <f>IF(OR(X56=0,X56=1),$W$44,IF(ISNUMBER(MATCH(X95,$BJ$5:$BJ$40000,0)),INDEX($BI$5:$BI$1792,MATCH(X95,$BJ$5:$BJ$40000,0),1),IF(CV53=0,-1,$BJ$3)))</f>
        <v>0</v>
      </c>
      <c r="Y15" s="25">
        <f>IF(OR(Y56=0,Y56=1),$W$44,IF(ISNUMBER(MATCH(Y95,$BJ$5:$BJ$40000,0)),INDEX($BI$5:$BI$1792,MATCH(Y95,$BJ$5:$BJ$40000,0),1),IF(CW53=0,-1,$BJ$3)))</f>
        <v>0</v>
      </c>
      <c r="Z15" s="35"/>
      <c r="AA15" s="15">
        <v>1</v>
      </c>
      <c r="AB15" s="57">
        <v>21</v>
      </c>
      <c r="AC15" s="57">
        <v>17</v>
      </c>
      <c r="AD15" s="57">
        <v>2</v>
      </c>
      <c r="AE15" s="57">
        <v>5</v>
      </c>
      <c r="AF15" s="57">
        <v>400</v>
      </c>
      <c r="AG15" s="23" t="str">
        <f t="shared" si="1"/>
        <v>17,21</v>
      </c>
      <c r="AH15" s="1"/>
      <c r="AI15" s="15">
        <v>10</v>
      </c>
      <c r="AJ15" s="15">
        <v>10</v>
      </c>
      <c r="AK15" s="15" t="s">
        <v>19</v>
      </c>
      <c r="AL15" s="57">
        <v>400</v>
      </c>
      <c r="AM15" s="57">
        <v>5</v>
      </c>
      <c r="AN15" s="57">
        <v>2.1875000000000002E-3</v>
      </c>
      <c r="AO15" s="57">
        <v>40.5625</v>
      </c>
      <c r="AP15" s="57">
        <v>1</v>
      </c>
      <c r="AQ15" s="57">
        <v>100</v>
      </c>
      <c r="AR15" s="57">
        <v>0.03</v>
      </c>
      <c r="AS15" s="57">
        <v>2</v>
      </c>
      <c r="AT15" s="57">
        <v>1</v>
      </c>
      <c r="AU15" s="57">
        <v>0</v>
      </c>
      <c r="AV15" s="57" t="s">
        <v>15</v>
      </c>
      <c r="AW15" s="58">
        <f>IF(AV14=AV15,AW14,MAX(AW$4:AW14)+1)</f>
        <v>2</v>
      </c>
      <c r="AX15" s="1"/>
      <c r="AY15" s="33">
        <v>10</v>
      </c>
      <c r="AZ15" s="33">
        <v>10</v>
      </c>
      <c r="BA15" s="11">
        <v>9</v>
      </c>
      <c r="BB15" s="11">
        <v>-11</v>
      </c>
      <c r="BC15" s="11"/>
      <c r="BD15" s="11">
        <f t="shared" si="4"/>
        <v>4</v>
      </c>
      <c r="BE15" s="1"/>
      <c r="BF15" s="56">
        <v>1</v>
      </c>
      <c r="BG15" s="57">
        <v>1</v>
      </c>
      <c r="BH15" s="57">
        <v>14</v>
      </c>
      <c r="BI15" s="57">
        <v>50.15</v>
      </c>
      <c r="BJ15" s="13" t="str">
        <f t="shared" si="3"/>
        <v>14,1</v>
      </c>
      <c r="BK15" s="35"/>
      <c r="BL15" s="8">
        <f t="shared" si="2"/>
        <v>11</v>
      </c>
      <c r="BM15" s="6">
        <f t="shared" si="6"/>
        <v>1</v>
      </c>
      <c r="BN15" s="6">
        <f t="shared" si="7"/>
        <v>11</v>
      </c>
      <c r="BO15" s="35"/>
      <c r="BP15" s="15">
        <v>10</v>
      </c>
      <c r="BQ15" s="60">
        <v>0</v>
      </c>
      <c r="BR15" s="57">
        <v>10</v>
      </c>
      <c r="BS15" s="57" t="s">
        <v>76</v>
      </c>
      <c r="BT15" s="57" t="s">
        <v>67</v>
      </c>
      <c r="BU15" s="57">
        <v>1</v>
      </c>
      <c r="BV15" s="60">
        <v>29.731670000000001</v>
      </c>
      <c r="BW15" s="57">
        <v>100</v>
      </c>
      <c r="BX15" s="60">
        <v>202.83249999999899</v>
      </c>
      <c r="BY15" s="60">
        <v>403.71699999999998</v>
      </c>
      <c r="BZ15" s="35"/>
      <c r="CA15" s="52">
        <v>26.484970000000001</v>
      </c>
      <c r="CB15" s="52">
        <v>27.049209999999999</v>
      </c>
      <c r="CC15" s="52">
        <v>27.462479999999999</v>
      </c>
      <c r="CD15" s="52">
        <v>28.02036</v>
      </c>
      <c r="CE15" s="52">
        <v>27.84806</v>
      </c>
      <c r="CF15" s="52">
        <v>28.415600000000001</v>
      </c>
      <c r="CG15" s="52">
        <v>28.591429999999999</v>
      </c>
      <c r="CH15" s="52">
        <v>29.504809999999999</v>
      </c>
      <c r="CI15" s="52">
        <v>29.91873</v>
      </c>
      <c r="CJ15" s="52">
        <v>29.77177</v>
      </c>
      <c r="CK15" s="53">
        <v>30.002189999999999</v>
      </c>
      <c r="CL15" s="53">
        <v>29.86919</v>
      </c>
      <c r="CM15" s="53">
        <v>29.7</v>
      </c>
      <c r="CN15" s="53">
        <v>29.7</v>
      </c>
      <c r="CO15" s="53">
        <v>29.7</v>
      </c>
      <c r="CP15" s="53">
        <v>29.7</v>
      </c>
      <c r="CQ15" s="53">
        <v>29.7</v>
      </c>
      <c r="CR15" s="53">
        <v>29.7</v>
      </c>
      <c r="CS15" s="53">
        <v>29.7</v>
      </c>
      <c r="CT15" s="53">
        <v>29.7</v>
      </c>
      <c r="CU15" s="53">
        <v>29.7</v>
      </c>
      <c r="CV15" s="53">
        <v>29.7</v>
      </c>
      <c r="CW15" s="53">
        <v>29.7</v>
      </c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</row>
    <row r="16" spans="1:115" ht="8.1" customHeight="1" x14ac:dyDescent="0.25">
      <c r="A16" s="35"/>
      <c r="B16" s="37"/>
      <c r="C16" s="25">
        <f>IF(OR(C57=0,C57=1),$W$44,IF(ISNUMBER(MATCH(C96,$BJ$5:$BJ$40000,0)),INDEX($BI$5:$BI$1792,MATCH(C96,$BJ$5:$BJ$40000,0),1),IF(CA54=0,-1,$BJ$3)))</f>
        <v>-1</v>
      </c>
      <c r="D16" s="25">
        <f>IF(OR(D57=0,D57=1),$W$44,IF(ISNUMBER(MATCH(D96,$BJ$5:$BJ$40000,0)),INDEX($BI$5:$BI$1792,MATCH(D96,$BJ$5:$BJ$40000,0),1),IF(CB54=0,-1,$BJ$3)))</f>
        <v>0</v>
      </c>
      <c r="E16" s="25">
        <f>IF(OR(E57=0,E57=1),$W$44,IF(ISNUMBER(MATCH(E96,$BJ$5:$BJ$40000,0)),INDEX($BI$5:$BI$1792,MATCH(E96,$BJ$5:$BJ$40000,0),1),IF(CC54=0,-1,$BJ$3)))</f>
        <v>0</v>
      </c>
      <c r="F16" s="25">
        <f>IF(OR(F57=0,F57=1),$W$44,IF(ISNUMBER(MATCH(F96,$BJ$5:$BJ$40000,0)),INDEX($BI$5:$BI$1792,MATCH(F96,$BJ$5:$BJ$40000,0),1),IF(CD54=0,-1,$BJ$3)))</f>
        <v>0</v>
      </c>
      <c r="G16" s="25">
        <f>IF(OR(G57=0,G57=1),$W$44,IF(ISNUMBER(MATCH(G96,$BJ$5:$BJ$40000,0)),INDEX($BI$5:$BI$1792,MATCH(G96,$BJ$5:$BJ$40000,0),1),IF(CE54=0,-1,$BJ$3)))</f>
        <v>0</v>
      </c>
      <c r="H16" s="25">
        <f>IF(OR(H57=0,H57=1),$W$44,IF(ISNUMBER(MATCH(H96,$BJ$5:$BJ$40000,0)),INDEX($BI$5:$BI$1792,MATCH(H96,$BJ$5:$BJ$40000,0),1),IF(CF54=0,-1,$BJ$3)))</f>
        <v>0</v>
      </c>
      <c r="I16" s="25">
        <f>IF(OR(I57=0,I57=1),$W$44,IF(ISNUMBER(MATCH(I96,$BJ$5:$BJ$40000,0)),INDEX($BI$5:$BI$1792,MATCH(I96,$BJ$5:$BJ$40000,0),1),IF(CG54=0,-1,$BJ$3)))</f>
        <v>0</v>
      </c>
      <c r="J16" s="25">
        <f>IF(OR(J57=0,J57=1),$W$44,IF(ISNUMBER(MATCH(J96,$BJ$5:$BJ$40000,0)),INDEX($BI$5:$BI$1792,MATCH(J96,$BJ$5:$BJ$40000,0),1),IF(CH54=0,-1,$BJ$3)))</f>
        <v>0</v>
      </c>
      <c r="K16" s="25">
        <f>IF(OR(K57=0,K57=1),$W$44,IF(ISNUMBER(MATCH(K96,$BJ$5:$BJ$40000,0)),INDEX($BI$5:$BI$1792,MATCH(K96,$BJ$5:$BJ$40000,0),1),IF(CI54=0,-1,$BJ$3)))</f>
        <v>0</v>
      </c>
      <c r="L16" s="25">
        <f>IF(OR(L57=0,L57=1),$W$44,IF(ISNUMBER(MATCH(L96,$BJ$5:$BJ$40000,0)),INDEX($BI$5:$BI$1792,MATCH(L96,$BJ$5:$BJ$40000,0),1),IF(CJ54=0,-1,$BJ$3)))</f>
        <v>0</v>
      </c>
      <c r="M16" s="25">
        <f>IF(OR(M57=0,M57=1),$W$44,IF(ISNUMBER(MATCH(M96,$BJ$5:$BJ$40000,0)),INDEX($BI$5:$BI$1792,MATCH(M96,$BJ$5:$BJ$40000,0),1),IF(CK54=0,-1,$BJ$3)))</f>
        <v>0</v>
      </c>
      <c r="N16" s="25">
        <f>IF(OR(N57=0,N57=1),$W$44,IF(ISNUMBER(MATCH(N96,$BJ$5:$BJ$40000,0)),INDEX($BI$5:$BI$1792,MATCH(N96,$BJ$5:$BJ$40000,0),1),IF(CL54=0,-1,$BJ$3)))</f>
        <v>0</v>
      </c>
      <c r="O16" s="25">
        <f>IF(OR(O57=0,O57=1),$W$44,IF(ISNUMBER(MATCH(O96,$BJ$5:$BJ$40000,0)),INDEX($BI$5:$BI$1792,MATCH(O96,$BJ$5:$BJ$40000,0),1),IF(CM54=0,-1,$BJ$3)))</f>
        <v>0</v>
      </c>
      <c r="P16" s="25">
        <f>IF(OR(P57=0,P57=1),$W$44,IF(ISNUMBER(MATCH(P96,$BJ$5:$BJ$40000,0)),INDEX($BI$5:$BI$1792,MATCH(P96,$BJ$5:$BJ$40000,0),1),IF(CN54=0,-1,$BJ$3)))</f>
        <v>0</v>
      </c>
      <c r="Q16" s="25">
        <f>IF(OR(Q57=0,Q57=1),$W$44,IF(ISNUMBER(MATCH(Q96,$BJ$5:$BJ$40000,0)),INDEX($BI$5:$BI$1792,MATCH(Q96,$BJ$5:$BJ$40000,0),1),IF(CO54=0,-1,$BJ$3)))</f>
        <v>0</v>
      </c>
      <c r="R16" s="25">
        <f>IF(OR(R57=0,R57=1),$W$44,IF(ISNUMBER(MATCH(R96,$BJ$5:$BJ$40000,0)),INDEX($BI$5:$BI$1792,MATCH(R96,$BJ$5:$BJ$40000,0),1),IF(CP54=0,-1,$BJ$3)))</f>
        <v>0</v>
      </c>
      <c r="S16" s="25">
        <f>IF(OR(S57=0,S57=1),$W$44,IF(ISNUMBER(MATCH(S96,$BJ$5:$BJ$40000,0)),INDEX($BI$5:$BI$1792,MATCH(S96,$BJ$5:$BJ$40000,0),1),IF(CQ54=0,-1,$BJ$3)))</f>
        <v>70</v>
      </c>
      <c r="T16" s="25">
        <f>IF(OR(T57=0,T57=1),$W$44,IF(ISNUMBER(MATCH(T96,$BJ$5:$BJ$40000,0)),INDEX($BI$5:$BI$1792,MATCH(T96,$BJ$5:$BJ$40000,0),1),IF(CR54=0,-1,$BJ$3)))</f>
        <v>70</v>
      </c>
      <c r="U16" s="25">
        <f>IF(OR(U57=0,U57=1),$W$44,IF(ISNUMBER(MATCH(U96,$BJ$5:$BJ$40000,0)),INDEX($BI$5:$BI$1792,MATCH(U96,$BJ$5:$BJ$40000,0),1),IF(CS54=0,-1,$BJ$3)))</f>
        <v>70</v>
      </c>
      <c r="V16" s="25">
        <f>IF(OR(V57=0,V57=1),$W$44,IF(ISNUMBER(MATCH(V96,$BJ$5:$BJ$40000,0)),INDEX($BI$5:$BI$1792,MATCH(V96,$BJ$5:$BJ$40000,0),1),IF(CT54=0,-1,$BJ$3)))</f>
        <v>70</v>
      </c>
      <c r="W16" s="25">
        <f>IF(OR(W57=0,W57=1),$W$44,IF(ISNUMBER(MATCH(W96,$BJ$5:$BJ$40000,0)),INDEX($BI$5:$BI$1792,MATCH(W96,$BJ$5:$BJ$40000,0),1),IF(CU54=0,-1,$BJ$3)))</f>
        <v>70</v>
      </c>
      <c r="X16" s="25">
        <f>IF(OR(X57=0,X57=1),$W$44,IF(ISNUMBER(MATCH(X96,$BJ$5:$BJ$40000,0)),INDEX($BI$5:$BI$1792,MATCH(X96,$BJ$5:$BJ$40000,0),1),IF(CV54=0,-1,$BJ$3)))</f>
        <v>0</v>
      </c>
      <c r="Y16" s="25">
        <f>IF(OR(Y57=0,Y57=1),$W$44,IF(ISNUMBER(MATCH(Y96,$BJ$5:$BJ$40000,0)),INDEX($BI$5:$BI$1792,MATCH(Y96,$BJ$5:$BJ$40000,0),1),IF(CW54=0,-1,$BJ$3)))</f>
        <v>0</v>
      </c>
      <c r="Z16" s="35"/>
      <c r="AA16" s="15">
        <v>1</v>
      </c>
      <c r="AB16" s="57">
        <v>22</v>
      </c>
      <c r="AC16" s="57">
        <v>17</v>
      </c>
      <c r="AD16" s="57">
        <v>2</v>
      </c>
      <c r="AE16" s="57">
        <v>6</v>
      </c>
      <c r="AF16" s="57">
        <v>400</v>
      </c>
      <c r="AG16" s="23" t="str">
        <f t="shared" si="1"/>
        <v>17,22</v>
      </c>
      <c r="AH16" s="1"/>
      <c r="AI16" s="15">
        <v>11</v>
      </c>
      <c r="AJ16" s="15">
        <v>11</v>
      </c>
      <c r="AK16" s="15" t="s">
        <v>20</v>
      </c>
      <c r="AL16" s="57">
        <v>400</v>
      </c>
      <c r="AM16" s="57">
        <v>5</v>
      </c>
      <c r="AN16" s="57">
        <v>2.1875000000000002E-3</v>
      </c>
      <c r="AO16" s="57">
        <v>39.6875</v>
      </c>
      <c r="AP16" s="57">
        <v>1</v>
      </c>
      <c r="AQ16" s="57">
        <v>100</v>
      </c>
      <c r="AR16" s="57">
        <v>0.03</v>
      </c>
      <c r="AS16" s="57">
        <v>2</v>
      </c>
      <c r="AT16" s="57">
        <v>1</v>
      </c>
      <c r="AU16" s="57">
        <v>0</v>
      </c>
      <c r="AV16" s="57" t="s">
        <v>15</v>
      </c>
      <c r="AW16" s="58">
        <f>IF(AV15=AV16,AW15,MAX(AW$4:AW15)+1)</f>
        <v>2</v>
      </c>
      <c r="AX16" s="1"/>
      <c r="AY16" s="33">
        <v>11</v>
      </c>
      <c r="AZ16" s="33">
        <v>11</v>
      </c>
      <c r="BA16" s="11">
        <v>10</v>
      </c>
      <c r="BB16" s="11">
        <v>-12</v>
      </c>
      <c r="BC16" s="11"/>
      <c r="BD16" s="11">
        <f t="shared" si="4"/>
        <v>5</v>
      </c>
      <c r="BE16" s="1"/>
      <c r="BF16" s="56">
        <v>1</v>
      </c>
      <c r="BG16" s="57">
        <v>1</v>
      </c>
      <c r="BH16" s="57">
        <v>15</v>
      </c>
      <c r="BI16" s="57">
        <v>50.1</v>
      </c>
      <c r="BJ16" s="13" t="str">
        <f t="shared" si="3"/>
        <v>15,1</v>
      </c>
      <c r="BK16" s="35"/>
      <c r="BL16" s="8">
        <f t="shared" si="2"/>
        <v>12</v>
      </c>
      <c r="BM16" s="6">
        <f t="shared" si="6"/>
        <v>1</v>
      </c>
      <c r="BN16" s="6">
        <f t="shared" si="7"/>
        <v>12</v>
      </c>
      <c r="BO16" s="35"/>
      <c r="BP16" s="15">
        <v>11</v>
      </c>
      <c r="BQ16" s="60">
        <v>0</v>
      </c>
      <c r="BR16" s="57">
        <v>11</v>
      </c>
      <c r="BS16" s="57" t="s">
        <v>77</v>
      </c>
      <c r="BT16" s="57" t="s">
        <v>70</v>
      </c>
      <c r="BU16" s="57">
        <v>1</v>
      </c>
      <c r="BV16" s="60">
        <v>0</v>
      </c>
      <c r="BW16" s="57">
        <v>0</v>
      </c>
      <c r="BX16" s="60">
        <v>0</v>
      </c>
      <c r="BY16" s="60">
        <v>0</v>
      </c>
      <c r="BZ16" s="35"/>
      <c r="CA16" s="52">
        <v>24.582540000000002</v>
      </c>
      <c r="CB16" s="52">
        <v>25.018789999999999</v>
      </c>
      <c r="CC16" s="52">
        <v>25.189050000000002</v>
      </c>
      <c r="CD16" s="52">
        <v>26.201090000000001</v>
      </c>
      <c r="CE16" s="52">
        <v>26.714510000000001</v>
      </c>
      <c r="CF16" s="52">
        <v>26.886980000000001</v>
      </c>
      <c r="CG16" s="52">
        <v>27.14997</v>
      </c>
      <c r="CH16" s="52">
        <v>27.70956</v>
      </c>
      <c r="CI16" s="52">
        <v>28.543410000000002</v>
      </c>
      <c r="CJ16" s="52">
        <v>29.097729999999999</v>
      </c>
      <c r="CK16" s="53">
        <v>29.7</v>
      </c>
      <c r="CL16" s="53">
        <v>29.7</v>
      </c>
      <c r="CM16" s="53">
        <v>29.7</v>
      </c>
      <c r="CN16" s="53">
        <v>29.7</v>
      </c>
      <c r="CO16" s="53">
        <v>29.7</v>
      </c>
      <c r="CP16" s="53">
        <v>29.7</v>
      </c>
      <c r="CQ16" s="53">
        <v>29.7</v>
      </c>
      <c r="CR16" s="53">
        <v>29.7</v>
      </c>
      <c r="CS16" s="53">
        <v>29.7</v>
      </c>
      <c r="CT16" s="53">
        <v>29.7</v>
      </c>
      <c r="CU16" s="53">
        <v>29.7</v>
      </c>
      <c r="CV16" s="53">
        <v>29.7</v>
      </c>
      <c r="CW16" s="53">
        <v>29.7</v>
      </c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</row>
    <row r="17" spans="1:115" ht="8.1" customHeight="1" x14ac:dyDescent="0.25">
      <c r="A17" s="35"/>
      <c r="B17" s="37"/>
      <c r="C17" s="25">
        <f>IF(OR(C58=0,C58=1),$W$44,IF(ISNUMBER(MATCH(C97,$BJ$5:$BJ$40000,0)),INDEX($BI$5:$BI$1792,MATCH(C97,$BJ$5:$BJ$40000,0),1),IF(CA55=0,-1,$BJ$3)))</f>
        <v>-1</v>
      </c>
      <c r="D17" s="25">
        <f>IF(OR(D58=0,D58=1),$W$44,IF(ISNUMBER(MATCH(D97,$BJ$5:$BJ$40000,0)),INDEX($BI$5:$BI$1792,MATCH(D97,$BJ$5:$BJ$40000,0),1),IF(CB55=0,-1,$BJ$3)))</f>
        <v>0</v>
      </c>
      <c r="E17" s="25">
        <f>IF(OR(E58=0,E58=1),$W$44,IF(ISNUMBER(MATCH(E97,$BJ$5:$BJ$40000,0)),INDEX($BI$5:$BI$1792,MATCH(E97,$BJ$5:$BJ$40000,0),1),IF(CC55=0,-1,$BJ$3)))</f>
        <v>0</v>
      </c>
      <c r="F17" s="25">
        <f>IF(OR(F58=0,F58=1),$W$44,IF(ISNUMBER(MATCH(F97,$BJ$5:$BJ$40000,0)),INDEX($BI$5:$BI$1792,MATCH(F97,$BJ$5:$BJ$40000,0),1),IF(CD55=0,-1,$BJ$3)))</f>
        <v>0</v>
      </c>
      <c r="G17" s="25">
        <f>IF(OR(G58=0,G58=1),$W$44,IF(ISNUMBER(MATCH(G97,$BJ$5:$BJ$40000,0)),INDEX($BI$5:$BI$1792,MATCH(G97,$BJ$5:$BJ$40000,0),1),IF(CE55=0,-1,$BJ$3)))</f>
        <v>0</v>
      </c>
      <c r="H17" s="25">
        <f>IF(OR(H58=0,H58=1),$W$44,IF(ISNUMBER(MATCH(H97,$BJ$5:$BJ$40000,0)),INDEX($BI$5:$BI$1792,MATCH(H97,$BJ$5:$BJ$40000,0),1),IF(CF55=0,-1,$BJ$3)))</f>
        <v>0</v>
      </c>
      <c r="I17" s="25">
        <f>IF(OR(I58=0,I58=1),$W$44,IF(ISNUMBER(MATCH(I97,$BJ$5:$BJ$40000,0)),INDEX($BI$5:$BI$1792,MATCH(I97,$BJ$5:$BJ$40000,0),1),IF(CG55=0,-1,$BJ$3)))</f>
        <v>0</v>
      </c>
      <c r="J17" s="25">
        <f>IF(OR(J58=0,J58=1),$W$44,IF(ISNUMBER(MATCH(J97,$BJ$5:$BJ$40000,0)),INDEX($BI$5:$BI$1792,MATCH(J97,$BJ$5:$BJ$40000,0),1),IF(CH55=0,-1,$BJ$3)))</f>
        <v>0</v>
      </c>
      <c r="K17" s="25">
        <f>IF(OR(K58=0,K58=1),$W$44,IF(ISNUMBER(MATCH(K97,$BJ$5:$BJ$40000,0)),INDEX($BI$5:$BI$1792,MATCH(K97,$BJ$5:$BJ$40000,0),1),IF(CI55=0,-1,$BJ$3)))</f>
        <v>0</v>
      </c>
      <c r="L17" s="25">
        <f>IF(OR(L58=0,L58=1),$W$44,IF(ISNUMBER(MATCH(L97,$BJ$5:$BJ$40000,0)),INDEX($BI$5:$BI$1792,MATCH(L97,$BJ$5:$BJ$40000,0),1),IF(CJ55=0,-1,$BJ$3)))</f>
        <v>0</v>
      </c>
      <c r="M17" s="25">
        <f>IF(OR(M58=0,M58=1),$W$44,IF(ISNUMBER(MATCH(M97,$BJ$5:$BJ$40000,0)),INDEX($BI$5:$BI$1792,MATCH(M97,$BJ$5:$BJ$40000,0),1),IF(CK55=0,-1,$BJ$3)))</f>
        <v>0</v>
      </c>
      <c r="N17" s="25">
        <f>IF(OR(N58=0,N58=1),$W$44,IF(ISNUMBER(MATCH(N97,$BJ$5:$BJ$40000,0)),INDEX($BI$5:$BI$1792,MATCH(N97,$BJ$5:$BJ$40000,0),1),IF(CL55=0,-1,$BJ$3)))</f>
        <v>0</v>
      </c>
      <c r="O17" s="25">
        <f>IF(OR(O58=0,O58=1),$W$44,IF(ISNUMBER(MATCH(O97,$BJ$5:$BJ$40000,0)),INDEX($BI$5:$BI$1792,MATCH(O97,$BJ$5:$BJ$40000,0),1),IF(CM55=0,-1,$BJ$3)))</f>
        <v>0</v>
      </c>
      <c r="P17" s="25">
        <f>IF(OR(P58=0,P58=1),$W$44,IF(ISNUMBER(MATCH(P97,$BJ$5:$BJ$40000,0)),INDEX($BI$5:$BI$1792,MATCH(P97,$BJ$5:$BJ$40000,0),1),IF(CN55=0,-1,$BJ$3)))</f>
        <v>0</v>
      </c>
      <c r="Q17" s="25">
        <f>IF(OR(Q58=0,Q58=1),$W$44,IF(ISNUMBER(MATCH(Q97,$BJ$5:$BJ$40000,0)),INDEX($BI$5:$BI$1792,MATCH(Q97,$BJ$5:$BJ$40000,0),1),IF(CO55=0,-1,$BJ$3)))</f>
        <v>0</v>
      </c>
      <c r="R17" s="25">
        <f>IF(OR(R58=0,R58=1),$W$44,IF(ISNUMBER(MATCH(R97,$BJ$5:$BJ$40000,0)),INDEX($BI$5:$BI$1792,MATCH(R97,$BJ$5:$BJ$40000,0),1),IF(CP55=0,-1,$BJ$3)))</f>
        <v>0</v>
      </c>
      <c r="S17" s="25">
        <f>IF(OR(S58=0,S58=1),$W$44,IF(ISNUMBER(MATCH(S97,$BJ$5:$BJ$40000,0)),INDEX($BI$5:$BI$1792,MATCH(S97,$BJ$5:$BJ$40000,0),1),IF(CQ55=0,-1,$BJ$3)))</f>
        <v>70</v>
      </c>
      <c r="T17" s="25">
        <f>IF(OR(T58=0,T58=1),$W$44,IF(ISNUMBER(MATCH(T97,$BJ$5:$BJ$40000,0)),INDEX($BI$5:$BI$1792,MATCH(T97,$BJ$5:$BJ$40000,0),1),IF(CR55=0,-1,$BJ$3)))</f>
        <v>70</v>
      </c>
      <c r="U17" s="25">
        <f>IF(OR(U58=0,U58=1),$W$44,IF(ISNUMBER(MATCH(U97,$BJ$5:$BJ$40000,0)),INDEX($BI$5:$BI$1792,MATCH(U97,$BJ$5:$BJ$40000,0),1),IF(CS55=0,-1,$BJ$3)))</f>
        <v>70</v>
      </c>
      <c r="V17" s="25">
        <f>IF(OR(V58=0,V58=1),$W$44,IF(ISNUMBER(MATCH(V97,$BJ$5:$BJ$40000,0)),INDEX($BI$5:$BI$1792,MATCH(V97,$BJ$5:$BJ$40000,0),1),IF(CT55=0,-1,$BJ$3)))</f>
        <v>70</v>
      </c>
      <c r="W17" s="25">
        <f>IF(OR(W58=0,W58=1),$W$44,IF(ISNUMBER(MATCH(W97,$BJ$5:$BJ$40000,0)),INDEX($BI$5:$BI$1792,MATCH(W97,$BJ$5:$BJ$40000,0),1),IF(CU55=0,-1,$BJ$3)))</f>
        <v>0</v>
      </c>
      <c r="X17" s="25">
        <f>IF(OR(X58=0,X58=1),$W$44,IF(ISNUMBER(MATCH(X97,$BJ$5:$BJ$40000,0)),INDEX($BI$5:$BI$1792,MATCH(X97,$BJ$5:$BJ$40000,0),1),IF(CV55=0,-1,$BJ$3)))</f>
        <v>0</v>
      </c>
      <c r="Y17" s="25">
        <f>IF(OR(Y58=0,Y58=1),$W$44,IF(ISNUMBER(MATCH(Y97,$BJ$5:$BJ$40000,0)),INDEX($BI$5:$BI$1792,MATCH(Y97,$BJ$5:$BJ$40000,0),1),IF(CW55=0,-1,$BJ$3)))</f>
        <v>0</v>
      </c>
      <c r="Z17" s="35"/>
      <c r="AA17" s="15">
        <v>1</v>
      </c>
      <c r="AB17" s="57">
        <v>23</v>
      </c>
      <c r="AC17" s="57">
        <v>16</v>
      </c>
      <c r="AD17" s="57">
        <v>2</v>
      </c>
      <c r="AE17" s="57">
        <v>7</v>
      </c>
      <c r="AF17" s="57">
        <v>400</v>
      </c>
      <c r="AG17" s="23" t="str">
        <f t="shared" si="1"/>
        <v>16,23</v>
      </c>
      <c r="AH17" s="1"/>
      <c r="AI17" s="15">
        <v>12</v>
      </c>
      <c r="AJ17" s="15">
        <v>12</v>
      </c>
      <c r="AK17" s="15" t="s">
        <v>21</v>
      </c>
      <c r="AL17" s="57">
        <v>400</v>
      </c>
      <c r="AM17" s="57">
        <v>5</v>
      </c>
      <c r="AN17" s="57">
        <v>2.1875000000000002E-3</v>
      </c>
      <c r="AO17" s="57">
        <v>38.8125</v>
      </c>
      <c r="AP17" s="57">
        <v>1</v>
      </c>
      <c r="AQ17" s="57">
        <v>100</v>
      </c>
      <c r="AR17" s="57">
        <v>0.03</v>
      </c>
      <c r="AS17" s="57">
        <v>2</v>
      </c>
      <c r="AT17" s="57">
        <v>1</v>
      </c>
      <c r="AU17" s="57">
        <v>0</v>
      </c>
      <c r="AV17" s="57" t="s">
        <v>15</v>
      </c>
      <c r="AW17" s="58">
        <f>IF(AV16=AV17,AW16,MAX(AW$4:AW16)+1)</f>
        <v>2</v>
      </c>
      <c r="AX17" s="1"/>
      <c r="AY17" s="33">
        <v>12</v>
      </c>
      <c r="AZ17" s="33">
        <v>12</v>
      </c>
      <c r="BA17" s="11">
        <v>11</v>
      </c>
      <c r="BB17" s="11">
        <v>-13</v>
      </c>
      <c r="BC17" s="11"/>
      <c r="BD17" s="11">
        <f t="shared" si="4"/>
        <v>6</v>
      </c>
      <c r="BE17" s="1"/>
      <c r="BF17" s="56">
        <v>1</v>
      </c>
      <c r="BG17" s="57">
        <v>1</v>
      </c>
      <c r="BH17" s="57">
        <v>16</v>
      </c>
      <c r="BI17" s="57">
        <v>50</v>
      </c>
      <c r="BJ17" s="13" t="str">
        <f t="shared" si="3"/>
        <v>16,1</v>
      </c>
      <c r="BK17" s="35"/>
      <c r="BL17" s="8">
        <f t="shared" si="2"/>
        <v>13</v>
      </c>
      <c r="BM17" s="6">
        <f t="shared" si="6"/>
        <v>1</v>
      </c>
      <c r="BN17" s="6">
        <f t="shared" si="7"/>
        <v>13</v>
      </c>
      <c r="BO17" s="35"/>
      <c r="BP17" s="15">
        <v>12</v>
      </c>
      <c r="BQ17" s="60">
        <v>0</v>
      </c>
      <c r="BR17" s="57">
        <v>12</v>
      </c>
      <c r="BS17" s="57" t="s">
        <v>78</v>
      </c>
      <c r="BT17" s="57" t="s">
        <v>67</v>
      </c>
      <c r="BU17" s="57">
        <v>1</v>
      </c>
      <c r="BV17" s="60">
        <v>30.201750000000001</v>
      </c>
      <c r="BW17" s="57">
        <v>100</v>
      </c>
      <c r="BX17" s="60">
        <v>201.85849999999999</v>
      </c>
      <c r="BY17" s="60">
        <v>405.664999999999</v>
      </c>
      <c r="BZ17" s="35"/>
      <c r="CA17" s="52">
        <v>22.751080000000002</v>
      </c>
      <c r="CB17" s="52">
        <v>23.031829999999999</v>
      </c>
      <c r="CC17" s="52">
        <v>23.312169999999998</v>
      </c>
      <c r="CD17" s="52">
        <v>23.55771</v>
      </c>
      <c r="CE17" s="52">
        <v>23.764050000000001</v>
      </c>
      <c r="CF17" s="52">
        <v>24.25329</v>
      </c>
      <c r="CG17" s="52">
        <v>24.78199</v>
      </c>
      <c r="CH17" s="52">
        <v>26.15136</v>
      </c>
      <c r="CI17" s="52">
        <v>27.129460000000002</v>
      </c>
      <c r="CJ17" s="52">
        <v>28.02421</v>
      </c>
      <c r="CK17" s="53">
        <v>29.7</v>
      </c>
      <c r="CL17" s="53">
        <v>29.7</v>
      </c>
      <c r="CM17" s="53">
        <v>29.7</v>
      </c>
      <c r="CN17" s="53">
        <v>29.7</v>
      </c>
      <c r="CO17" s="53">
        <v>29.7</v>
      </c>
      <c r="CP17" s="53">
        <v>29.7</v>
      </c>
      <c r="CQ17" s="53">
        <v>29.7</v>
      </c>
      <c r="CR17" s="53">
        <v>29.7</v>
      </c>
      <c r="CS17" s="53">
        <v>29.7</v>
      </c>
      <c r="CT17" s="53">
        <v>29.7</v>
      </c>
      <c r="CU17" s="53">
        <v>29.7</v>
      </c>
      <c r="CV17" s="53">
        <v>29.7</v>
      </c>
      <c r="CW17" s="53">
        <v>29.7</v>
      </c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</row>
    <row r="18" spans="1:115" ht="8.1" customHeight="1" x14ac:dyDescent="0.25">
      <c r="A18" s="35"/>
      <c r="B18" s="37"/>
      <c r="C18" s="25">
        <f>IF(OR(C59=0,C59=1),$W$44,IF(ISNUMBER(MATCH(C98,$BJ$5:$BJ$40000,0)),INDEX($BI$5:$BI$1792,MATCH(C98,$BJ$5:$BJ$40000,0),1),IF(CA56=0,-1,$BJ$3)))</f>
        <v>-1</v>
      </c>
      <c r="D18" s="25">
        <f>IF(OR(D59=0,D59=1),$W$44,IF(ISNUMBER(MATCH(D98,$BJ$5:$BJ$40000,0)),INDEX($BI$5:$BI$1792,MATCH(D98,$BJ$5:$BJ$40000,0),1),IF(CB56=0,-1,$BJ$3)))</f>
        <v>0</v>
      </c>
      <c r="E18" s="25">
        <f>IF(OR(E59=0,E59=1),$W$44,IF(ISNUMBER(MATCH(E98,$BJ$5:$BJ$40000,0)),INDEX($BI$5:$BI$1792,MATCH(E98,$BJ$5:$BJ$40000,0),1),IF(CC56=0,-1,$BJ$3)))</f>
        <v>0</v>
      </c>
      <c r="F18" s="25">
        <f>IF(OR(F59=0,F59=1),$W$44,IF(ISNUMBER(MATCH(F98,$BJ$5:$BJ$40000,0)),INDEX($BI$5:$BI$1792,MATCH(F98,$BJ$5:$BJ$40000,0),1),IF(CD56=0,-1,$BJ$3)))</f>
        <v>0</v>
      </c>
      <c r="G18" s="25">
        <f>IF(OR(G59=0,G59=1),$W$44,IF(ISNUMBER(MATCH(G98,$BJ$5:$BJ$40000,0)),INDEX($BI$5:$BI$1792,MATCH(G98,$BJ$5:$BJ$40000,0),1),IF(CE56=0,-1,$BJ$3)))</f>
        <v>0</v>
      </c>
      <c r="H18" s="25">
        <f>IF(OR(H59=0,H59=1),$W$44,IF(ISNUMBER(MATCH(H98,$BJ$5:$BJ$40000,0)),INDEX($BI$5:$BI$1792,MATCH(H98,$BJ$5:$BJ$40000,0),1),IF(CF56=0,-1,$BJ$3)))</f>
        <v>0</v>
      </c>
      <c r="I18" s="25">
        <f>IF(OR(I59=0,I59=1),$W$44,IF(ISNUMBER(MATCH(I98,$BJ$5:$BJ$40000,0)),INDEX($BI$5:$BI$1792,MATCH(I98,$BJ$5:$BJ$40000,0),1),IF(CG56=0,-1,$BJ$3)))</f>
        <v>0</v>
      </c>
      <c r="J18" s="25">
        <f>IF(OR(J59=0,J59=1),$W$44,IF(ISNUMBER(MATCH(J98,$BJ$5:$BJ$40000,0)),INDEX($BI$5:$BI$1792,MATCH(J98,$BJ$5:$BJ$40000,0),1),IF(CH56=0,-1,$BJ$3)))</f>
        <v>0</v>
      </c>
      <c r="K18" s="25">
        <f>IF(OR(K59=0,K59=1),$W$44,IF(ISNUMBER(MATCH(K98,$BJ$5:$BJ$40000,0)),INDEX($BI$5:$BI$1792,MATCH(K98,$BJ$5:$BJ$40000,0),1),IF(CI56=0,-1,$BJ$3)))</f>
        <v>0</v>
      </c>
      <c r="L18" s="25">
        <f>IF(OR(L59=0,L59=1),$W$44,IF(ISNUMBER(MATCH(L98,$BJ$5:$BJ$40000,0)),INDEX($BI$5:$BI$1792,MATCH(L98,$BJ$5:$BJ$40000,0),1),IF(CJ56=0,-1,$BJ$3)))</f>
        <v>0</v>
      </c>
      <c r="M18" s="25">
        <f>IF(OR(M59=0,M59=1),$W$44,IF(ISNUMBER(MATCH(M98,$BJ$5:$BJ$40000,0)),INDEX($BI$5:$BI$1792,MATCH(M98,$BJ$5:$BJ$40000,0),1),IF(CK56=0,-1,$BJ$3)))</f>
        <v>0</v>
      </c>
      <c r="N18" s="25">
        <f>IF(OR(N59=0,N59=1),$W$44,IF(ISNUMBER(MATCH(N98,$BJ$5:$BJ$40000,0)),INDEX($BI$5:$BI$1792,MATCH(N98,$BJ$5:$BJ$40000,0),1),IF(CL56=0,-1,$BJ$3)))</f>
        <v>0</v>
      </c>
      <c r="O18" s="25">
        <f>IF(OR(O59=0,O59=1),$W$44,IF(ISNUMBER(MATCH(O98,$BJ$5:$BJ$40000,0)),INDEX($BI$5:$BI$1792,MATCH(O98,$BJ$5:$BJ$40000,0),1),IF(CM56=0,-1,$BJ$3)))</f>
        <v>0</v>
      </c>
      <c r="P18" s="25">
        <f>IF(OR(P59=0,P59=1),$W$44,IF(ISNUMBER(MATCH(P98,$BJ$5:$BJ$40000,0)),INDEX($BI$5:$BI$1792,MATCH(P98,$BJ$5:$BJ$40000,0),1),IF(CN56=0,-1,$BJ$3)))</f>
        <v>0</v>
      </c>
      <c r="Q18" s="25">
        <f>IF(OR(Q59=0,Q59=1),$W$44,IF(ISNUMBER(MATCH(Q98,$BJ$5:$BJ$40000,0)),INDEX($BI$5:$BI$1792,MATCH(Q98,$BJ$5:$BJ$40000,0),1),IF(CO56=0,-1,$BJ$3)))</f>
        <v>0</v>
      </c>
      <c r="R18" s="25">
        <f>IF(OR(R59=0,R59=1),$W$44,IF(ISNUMBER(MATCH(R98,$BJ$5:$BJ$40000,0)),INDEX($BI$5:$BI$1792,MATCH(R98,$BJ$5:$BJ$40000,0),1),IF(CP56=0,-1,$BJ$3)))</f>
        <v>0</v>
      </c>
      <c r="S18" s="25">
        <f>IF(OR(S59=0,S59=1),$W$44,IF(ISNUMBER(MATCH(S98,$BJ$5:$BJ$40000,0)),INDEX($BI$5:$BI$1792,MATCH(S98,$BJ$5:$BJ$40000,0),1),IF(CQ56=0,-1,$BJ$3)))</f>
        <v>70</v>
      </c>
      <c r="T18" s="25">
        <f>IF(OR(T59=0,T59=1),$W$44,IF(ISNUMBER(MATCH(T98,$BJ$5:$BJ$40000,0)),INDEX($BI$5:$BI$1792,MATCH(T98,$BJ$5:$BJ$40000,0),1),IF(CR56=0,-1,$BJ$3)))</f>
        <v>70</v>
      </c>
      <c r="U18" s="25">
        <f>IF(OR(U59=0,U59=1),$W$44,IF(ISNUMBER(MATCH(U98,$BJ$5:$BJ$40000,0)),INDEX($BI$5:$BI$1792,MATCH(U98,$BJ$5:$BJ$40000,0),1),IF(CS56=0,-1,$BJ$3)))</f>
        <v>70</v>
      </c>
      <c r="V18" s="25">
        <f>IF(OR(V59=0,V59=1),$W$44,IF(ISNUMBER(MATCH(V98,$BJ$5:$BJ$40000,0)),INDEX($BI$5:$BI$1792,MATCH(V98,$BJ$5:$BJ$40000,0),1),IF(CT56=0,-1,$BJ$3)))</f>
        <v>70</v>
      </c>
      <c r="W18" s="25">
        <f>IF(OR(W59=0,W59=1),$W$44,IF(ISNUMBER(MATCH(W98,$BJ$5:$BJ$40000,0)),INDEX($BI$5:$BI$1792,MATCH(W98,$BJ$5:$BJ$40000,0),1),IF(CU56=0,-1,$BJ$3)))</f>
        <v>0</v>
      </c>
      <c r="X18" s="25">
        <f>IF(OR(X59=0,X59=1),$W$44,IF(ISNUMBER(MATCH(X98,$BJ$5:$BJ$40000,0)),INDEX($BI$5:$BI$1792,MATCH(X98,$BJ$5:$BJ$40000,0),1),IF(CV56=0,-1,$BJ$3)))</f>
        <v>0</v>
      </c>
      <c r="Y18" s="25">
        <f>IF(OR(Y59=0,Y59=1),$W$44,IF(ISNUMBER(MATCH(Y98,$BJ$5:$BJ$40000,0)),INDEX($BI$5:$BI$1792,MATCH(Y98,$BJ$5:$BJ$40000,0),1),IF(CW56=0,-1,$BJ$3)))</f>
        <v>0</v>
      </c>
      <c r="Z18" s="35"/>
      <c r="AA18" s="15">
        <v>1</v>
      </c>
      <c r="AB18" s="57">
        <v>24</v>
      </c>
      <c r="AC18" s="57">
        <v>16</v>
      </c>
      <c r="AD18" s="57">
        <v>2</v>
      </c>
      <c r="AE18" s="57">
        <v>8</v>
      </c>
      <c r="AF18" s="57">
        <v>400</v>
      </c>
      <c r="AG18" s="23" t="str">
        <f t="shared" si="1"/>
        <v>16,24</v>
      </c>
      <c r="AH18" s="1"/>
      <c r="AI18" s="15">
        <v>13</v>
      </c>
      <c r="AJ18" s="15">
        <v>13</v>
      </c>
      <c r="AK18" s="15" t="s">
        <v>22</v>
      </c>
      <c r="AL18" s="57">
        <v>400</v>
      </c>
      <c r="AM18" s="57">
        <v>5</v>
      </c>
      <c r="AN18" s="57">
        <v>2.1875000000000002E-3</v>
      </c>
      <c r="AO18" s="57">
        <v>37.9375</v>
      </c>
      <c r="AP18" s="57">
        <v>1</v>
      </c>
      <c r="AQ18" s="57">
        <v>100</v>
      </c>
      <c r="AR18" s="57">
        <v>0.03</v>
      </c>
      <c r="AS18" s="57">
        <v>2</v>
      </c>
      <c r="AT18" s="57">
        <v>1</v>
      </c>
      <c r="AU18" s="57">
        <v>0</v>
      </c>
      <c r="AV18" s="57" t="s">
        <v>15</v>
      </c>
      <c r="AW18" s="58">
        <f>IF(AV17=AV18,AW17,MAX(AW$4:AW17)+1)</f>
        <v>2</v>
      </c>
      <c r="AX18" s="1"/>
      <c r="AY18" s="33">
        <v>13</v>
      </c>
      <c r="AZ18" s="33">
        <v>13</v>
      </c>
      <c r="BA18" s="11">
        <v>12</v>
      </c>
      <c r="BB18" s="11">
        <v>-14</v>
      </c>
      <c r="BC18" s="11"/>
      <c r="BD18" s="11">
        <f t="shared" si="4"/>
        <v>7</v>
      </c>
      <c r="BE18" s="1"/>
      <c r="BF18" s="56">
        <v>1</v>
      </c>
      <c r="BG18" s="57">
        <v>1</v>
      </c>
      <c r="BH18" s="57">
        <v>17</v>
      </c>
      <c r="BI18" s="57">
        <v>50</v>
      </c>
      <c r="BJ18" s="13" t="str">
        <f t="shared" si="3"/>
        <v>17,1</v>
      </c>
      <c r="BK18" s="35"/>
      <c r="BL18" s="8">
        <f t="shared" si="2"/>
        <v>14</v>
      </c>
      <c r="BM18" s="6">
        <f t="shared" si="6"/>
        <v>1</v>
      </c>
      <c r="BN18" s="6">
        <f t="shared" si="7"/>
        <v>14</v>
      </c>
      <c r="BO18" s="35"/>
      <c r="BP18" s="15">
        <v>13</v>
      </c>
      <c r="BQ18" s="60">
        <v>0</v>
      </c>
      <c r="BR18" s="57">
        <v>13</v>
      </c>
      <c r="BS18" s="57" t="s">
        <v>79</v>
      </c>
      <c r="BT18" s="57" t="s">
        <v>67</v>
      </c>
      <c r="BU18" s="57">
        <v>1</v>
      </c>
      <c r="BV18" s="60">
        <v>30.217289999999998</v>
      </c>
      <c r="BW18" s="57">
        <v>100</v>
      </c>
      <c r="BX18" s="60">
        <v>202.83249999999899</v>
      </c>
      <c r="BY18" s="60">
        <v>403.71699999999998</v>
      </c>
      <c r="BZ18" s="35"/>
      <c r="CA18" s="52">
        <v>21.86225</v>
      </c>
      <c r="CB18" s="52">
        <v>22.014479999999999</v>
      </c>
      <c r="CC18" s="52">
        <v>22.215689999999999</v>
      </c>
      <c r="CD18" s="52">
        <v>22.450240000000001</v>
      </c>
      <c r="CE18" s="52">
        <v>22.695740000000001</v>
      </c>
      <c r="CF18" s="52">
        <v>22.955300000000001</v>
      </c>
      <c r="CG18" s="52">
        <v>23.784230000000001</v>
      </c>
      <c r="CH18" s="52">
        <v>24.738980000000002</v>
      </c>
      <c r="CI18" s="52">
        <v>25.778020000000001</v>
      </c>
      <c r="CJ18" s="52">
        <v>26.86196</v>
      </c>
      <c r="CK18" s="53">
        <v>28.477879999999999</v>
      </c>
      <c r="CL18" s="53">
        <v>29.7</v>
      </c>
      <c r="CM18" s="53">
        <v>29.7</v>
      </c>
      <c r="CN18" s="53">
        <v>29.7</v>
      </c>
      <c r="CO18" s="53">
        <v>29.7</v>
      </c>
      <c r="CP18" s="53">
        <v>29.7</v>
      </c>
      <c r="CQ18" s="53">
        <v>29.7</v>
      </c>
      <c r="CR18" s="53">
        <v>29.7</v>
      </c>
      <c r="CS18" s="53">
        <v>29.7</v>
      </c>
      <c r="CT18" s="53">
        <v>29.7</v>
      </c>
      <c r="CU18" s="53">
        <v>29.7</v>
      </c>
      <c r="CV18" s="53">
        <v>29.7</v>
      </c>
      <c r="CW18" s="53">
        <v>29.7</v>
      </c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</row>
    <row r="19" spans="1:115" ht="8.1" customHeight="1" x14ac:dyDescent="0.25">
      <c r="A19" s="35"/>
      <c r="B19" s="37"/>
      <c r="C19" s="25">
        <f>IF(OR(C60=0,C60=1),$W$44,IF(ISNUMBER(MATCH(C99,$BJ$5:$BJ$40000,0)),INDEX($BI$5:$BI$1792,MATCH(C99,$BJ$5:$BJ$40000,0),1),IF(CA57=0,-1,$BJ$3)))</f>
        <v>-1</v>
      </c>
      <c r="D19" s="25">
        <f>IF(OR(D60=0,D60=1),$W$44,IF(ISNUMBER(MATCH(D99,$BJ$5:$BJ$40000,0)),INDEX($BI$5:$BI$1792,MATCH(D99,$BJ$5:$BJ$40000,0),1),IF(CB57=0,-1,$BJ$3)))</f>
        <v>0</v>
      </c>
      <c r="E19" s="25">
        <f>IF(OR(E60=0,E60=1),$W$44,IF(ISNUMBER(MATCH(E99,$BJ$5:$BJ$40000,0)),INDEX($BI$5:$BI$1792,MATCH(E99,$BJ$5:$BJ$40000,0),1),IF(CC57=0,-1,$BJ$3)))</f>
        <v>0</v>
      </c>
      <c r="F19" s="25">
        <f>IF(OR(F60=0,F60=1),$W$44,IF(ISNUMBER(MATCH(F99,$BJ$5:$BJ$40000,0)),INDEX($BI$5:$BI$1792,MATCH(F99,$BJ$5:$BJ$40000,0),1),IF(CD57=0,-1,$BJ$3)))</f>
        <v>0</v>
      </c>
      <c r="G19" s="25">
        <f>IF(OR(G60=0,G60=1),$W$44,IF(ISNUMBER(MATCH(G99,$BJ$5:$BJ$40000,0)),INDEX($BI$5:$BI$1792,MATCH(G99,$BJ$5:$BJ$40000,0),1),IF(CE57=0,-1,$BJ$3)))</f>
        <v>0</v>
      </c>
      <c r="H19" s="25">
        <f>IF(OR(H60=0,H60=1),$W$44,IF(ISNUMBER(MATCH(H99,$BJ$5:$BJ$40000,0)),INDEX($BI$5:$BI$1792,MATCH(H99,$BJ$5:$BJ$40000,0),1),IF(CF57=0,-1,$BJ$3)))</f>
        <v>0</v>
      </c>
      <c r="I19" s="25">
        <f>IF(OR(I60=0,I60=1),$W$44,IF(ISNUMBER(MATCH(I99,$BJ$5:$BJ$40000,0)),INDEX($BI$5:$BI$1792,MATCH(I99,$BJ$5:$BJ$40000,0),1),IF(CG57=0,-1,$BJ$3)))</f>
        <v>0</v>
      </c>
      <c r="J19" s="25">
        <f>IF(OR(J60=0,J60=1),$W$44,IF(ISNUMBER(MATCH(J99,$BJ$5:$BJ$40000,0)),INDEX($BI$5:$BI$1792,MATCH(J99,$BJ$5:$BJ$40000,0),1),IF(CH57=0,-1,$BJ$3)))</f>
        <v>0</v>
      </c>
      <c r="K19" s="25">
        <f>IF(OR(K60=0,K60=1),$W$44,IF(ISNUMBER(MATCH(K99,$BJ$5:$BJ$40000,0)),INDEX($BI$5:$BI$1792,MATCH(K99,$BJ$5:$BJ$40000,0),1),IF(CI57=0,-1,$BJ$3)))</f>
        <v>0</v>
      </c>
      <c r="L19" s="25">
        <f>IF(OR(L60=0,L60=1),$W$44,IF(ISNUMBER(MATCH(L99,$BJ$5:$BJ$40000,0)),INDEX($BI$5:$BI$1792,MATCH(L99,$BJ$5:$BJ$40000,0),1),IF(CJ57=0,-1,$BJ$3)))</f>
        <v>0</v>
      </c>
      <c r="M19" s="25">
        <f>IF(OR(M60=0,M60=1),$W$44,IF(ISNUMBER(MATCH(M99,$BJ$5:$BJ$40000,0)),INDEX($BI$5:$BI$1792,MATCH(M99,$BJ$5:$BJ$40000,0),1),IF(CK57=0,-1,$BJ$3)))</f>
        <v>0</v>
      </c>
      <c r="N19" s="25">
        <f>IF(OR(N60=0,N60=1),$W$44,IF(ISNUMBER(MATCH(N99,$BJ$5:$BJ$40000,0)),INDEX($BI$5:$BI$1792,MATCH(N99,$BJ$5:$BJ$40000,0),1),IF(CL57=0,-1,$BJ$3)))</f>
        <v>0</v>
      </c>
      <c r="O19" s="25">
        <f>IF(OR(O60=0,O60=1),$W$44,IF(ISNUMBER(MATCH(O99,$BJ$5:$BJ$40000,0)),INDEX($BI$5:$BI$1792,MATCH(O99,$BJ$5:$BJ$40000,0),1),IF(CM57=0,-1,$BJ$3)))</f>
        <v>0</v>
      </c>
      <c r="P19" s="25">
        <f>IF(OR(P60=0,P60=1),$W$44,IF(ISNUMBER(MATCH(P99,$BJ$5:$BJ$40000,0)),INDEX($BI$5:$BI$1792,MATCH(P99,$BJ$5:$BJ$40000,0),1),IF(CN57=0,-1,$BJ$3)))</f>
        <v>0</v>
      </c>
      <c r="Q19" s="25">
        <f>IF(OR(Q60=0,Q60=1),$W$44,IF(ISNUMBER(MATCH(Q99,$BJ$5:$BJ$40000,0)),INDEX($BI$5:$BI$1792,MATCH(Q99,$BJ$5:$BJ$40000,0),1),IF(CO57=0,-1,$BJ$3)))</f>
        <v>0</v>
      </c>
      <c r="R19" s="25">
        <f>IF(OR(R60=0,R60=1),$W$44,IF(ISNUMBER(MATCH(R99,$BJ$5:$BJ$40000,0)),INDEX($BI$5:$BI$1792,MATCH(R99,$BJ$5:$BJ$40000,0),1),IF(CP57=0,-1,$BJ$3)))</f>
        <v>0</v>
      </c>
      <c r="S19" s="25">
        <f>IF(OR(S60=0,S60=1),$W$44,IF(ISNUMBER(MATCH(S99,$BJ$5:$BJ$40000,0)),INDEX($BI$5:$BI$1792,MATCH(S99,$BJ$5:$BJ$40000,0),1),IF(CQ57=0,-1,$BJ$3)))</f>
        <v>70</v>
      </c>
      <c r="T19" s="25">
        <f>IF(OR(T60=0,T60=1),$W$44,IF(ISNUMBER(MATCH(T99,$BJ$5:$BJ$40000,0)),INDEX($BI$5:$BI$1792,MATCH(T99,$BJ$5:$BJ$40000,0),1),IF(CR57=0,-1,$BJ$3)))</f>
        <v>70</v>
      </c>
      <c r="U19" s="25">
        <f>IF(OR(U60=0,U60=1),$W$44,IF(ISNUMBER(MATCH(U99,$BJ$5:$BJ$40000,0)),INDEX($BI$5:$BI$1792,MATCH(U99,$BJ$5:$BJ$40000,0),1),IF(CS57=0,-1,$BJ$3)))</f>
        <v>70</v>
      </c>
      <c r="V19" s="25">
        <f>IF(OR(V60=0,V60=1),$W$44,IF(ISNUMBER(MATCH(V99,$BJ$5:$BJ$40000,0)),INDEX($BI$5:$BI$1792,MATCH(V99,$BJ$5:$BJ$40000,0),1),IF(CT57=0,-1,$BJ$3)))</f>
        <v>0</v>
      </c>
      <c r="W19" s="25">
        <f>IF(OR(W60=0,W60=1),$W$44,IF(ISNUMBER(MATCH(W99,$BJ$5:$BJ$40000,0)),INDEX($BI$5:$BI$1792,MATCH(W99,$BJ$5:$BJ$40000,0),1),IF(CU57=0,-1,$BJ$3)))</f>
        <v>0</v>
      </c>
      <c r="X19" s="25">
        <f>IF(OR(X60=0,X60=1),$W$44,IF(ISNUMBER(MATCH(X99,$BJ$5:$BJ$40000,0)),INDEX($BI$5:$BI$1792,MATCH(X99,$BJ$5:$BJ$40000,0),1),IF(CV57=0,-1,$BJ$3)))</f>
        <v>0</v>
      </c>
      <c r="Y19" s="25">
        <f>IF(OR(Y60=0,Y60=1),$W$44,IF(ISNUMBER(MATCH(Y99,$BJ$5:$BJ$40000,0)),INDEX($BI$5:$BI$1792,MATCH(Y99,$BJ$5:$BJ$40000,0),1),IF(CW57=0,-1,$BJ$3)))</f>
        <v>0</v>
      </c>
      <c r="Z19" s="35"/>
      <c r="AA19" s="15">
        <v>1</v>
      </c>
      <c r="AB19" s="57">
        <v>25</v>
      </c>
      <c r="AC19" s="57">
        <v>16</v>
      </c>
      <c r="AD19" s="57">
        <v>2</v>
      </c>
      <c r="AE19" s="57">
        <v>9</v>
      </c>
      <c r="AF19" s="57">
        <v>400</v>
      </c>
      <c r="AG19" s="23" t="str">
        <f t="shared" si="1"/>
        <v>16,25</v>
      </c>
      <c r="AH19" s="1"/>
      <c r="AI19" s="15">
        <v>14</v>
      </c>
      <c r="AJ19" s="15">
        <v>14</v>
      </c>
      <c r="AK19" s="15" t="s">
        <v>23</v>
      </c>
      <c r="AL19" s="57">
        <v>400</v>
      </c>
      <c r="AM19" s="57">
        <v>5</v>
      </c>
      <c r="AN19" s="57">
        <v>2.1875000000000002E-3</v>
      </c>
      <c r="AO19" s="57">
        <v>37.0625</v>
      </c>
      <c r="AP19" s="57">
        <v>1</v>
      </c>
      <c r="AQ19" s="57">
        <v>100</v>
      </c>
      <c r="AR19" s="57">
        <v>0.03</v>
      </c>
      <c r="AS19" s="57">
        <v>2</v>
      </c>
      <c r="AT19" s="57">
        <v>1</v>
      </c>
      <c r="AU19" s="57">
        <v>0</v>
      </c>
      <c r="AV19" s="57" t="s">
        <v>15</v>
      </c>
      <c r="AW19" s="58">
        <f>IF(AV18=AV19,AW18,MAX(AW$4:AW18)+1)</f>
        <v>2</v>
      </c>
      <c r="AX19" s="1"/>
      <c r="AY19" s="33">
        <v>14</v>
      </c>
      <c r="AZ19" s="33">
        <v>14</v>
      </c>
      <c r="BA19" s="11">
        <v>13</v>
      </c>
      <c r="BB19" s="11">
        <v>-15</v>
      </c>
      <c r="BC19" s="11"/>
      <c r="BD19" s="11">
        <f t="shared" si="4"/>
        <v>8</v>
      </c>
      <c r="BE19" s="1"/>
      <c r="BF19" s="56">
        <v>1</v>
      </c>
      <c r="BG19" s="57">
        <v>1</v>
      </c>
      <c r="BH19" s="57">
        <v>18</v>
      </c>
      <c r="BI19" s="57">
        <v>50</v>
      </c>
      <c r="BJ19" s="13" t="str">
        <f t="shared" si="3"/>
        <v>18,1</v>
      </c>
      <c r="BK19" s="35"/>
      <c r="BL19" s="8">
        <f t="shared" si="2"/>
        <v>15</v>
      </c>
      <c r="BM19" s="6">
        <f t="shared" si="6"/>
        <v>1</v>
      </c>
      <c r="BN19" s="6">
        <f t="shared" si="7"/>
        <v>15</v>
      </c>
      <c r="BO19" s="35"/>
      <c r="BP19" s="15">
        <v>14</v>
      </c>
      <c r="BQ19" s="60">
        <v>0</v>
      </c>
      <c r="BR19" s="57">
        <v>14</v>
      </c>
      <c r="BS19" s="57" t="s">
        <v>80</v>
      </c>
      <c r="BT19" s="57" t="s">
        <v>70</v>
      </c>
      <c r="BU19" s="57">
        <v>1</v>
      </c>
      <c r="BV19" s="60">
        <v>0</v>
      </c>
      <c r="BW19" s="57">
        <v>0</v>
      </c>
      <c r="BX19" s="60">
        <v>0</v>
      </c>
      <c r="BY19" s="60">
        <v>0</v>
      </c>
      <c r="BZ19" s="35"/>
      <c r="CA19" s="52">
        <v>20.908650000000002</v>
      </c>
      <c r="CB19" s="52">
        <v>20.944500000000001</v>
      </c>
      <c r="CC19" s="52">
        <v>21.421589999999998</v>
      </c>
      <c r="CD19" s="52">
        <v>21.634309999999999</v>
      </c>
      <c r="CE19" s="52">
        <v>21.875450000000001</v>
      </c>
      <c r="CF19" s="52">
        <v>22.13364</v>
      </c>
      <c r="CG19" s="52">
        <v>22.399640000000002</v>
      </c>
      <c r="CH19" s="52">
        <v>23.269500000000001</v>
      </c>
      <c r="CI19" s="52">
        <v>24.331759999999999</v>
      </c>
      <c r="CJ19" s="52">
        <v>25.44293</v>
      </c>
      <c r="CK19" s="53">
        <v>26.700189999999999</v>
      </c>
      <c r="CL19" s="53">
        <v>28.367180000000001</v>
      </c>
      <c r="CM19" s="53">
        <v>29.160499999999999</v>
      </c>
      <c r="CN19" s="53">
        <v>29.7</v>
      </c>
      <c r="CO19" s="53">
        <v>29.7</v>
      </c>
      <c r="CP19" s="53">
        <v>29.7</v>
      </c>
      <c r="CQ19" s="53">
        <v>29.7</v>
      </c>
      <c r="CR19" s="53">
        <v>29.7</v>
      </c>
      <c r="CS19" s="53">
        <v>29.7</v>
      </c>
      <c r="CT19" s="53">
        <v>29.7</v>
      </c>
      <c r="CU19" s="53">
        <v>29.7</v>
      </c>
      <c r="CV19" s="53">
        <v>29.7</v>
      </c>
      <c r="CW19" s="53">
        <v>29.7</v>
      </c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</row>
    <row r="20" spans="1:115" ht="8.1" customHeight="1" x14ac:dyDescent="0.25">
      <c r="A20" s="35"/>
      <c r="B20" s="37"/>
      <c r="C20" s="25">
        <f>IF(OR(C61=0,C61=1),$W$44,IF(ISNUMBER(MATCH(C100,$BJ$5:$BJ$40000,0)),INDEX($BI$5:$BI$1792,MATCH(C100,$BJ$5:$BJ$40000,0),1),IF(CA58=0,-1,$BJ$3)))</f>
        <v>-1</v>
      </c>
      <c r="D20" s="25">
        <f>IF(OR(D61=0,D61=1),$W$44,IF(ISNUMBER(MATCH(D100,$BJ$5:$BJ$40000,0)),INDEX($BI$5:$BI$1792,MATCH(D100,$BJ$5:$BJ$40000,0),1),IF(CB58=0,-1,$BJ$3)))</f>
        <v>0</v>
      </c>
      <c r="E20" s="25">
        <f>IF(OR(E61=0,E61=1),$W$44,IF(ISNUMBER(MATCH(E100,$BJ$5:$BJ$40000,0)),INDEX($BI$5:$BI$1792,MATCH(E100,$BJ$5:$BJ$40000,0),1),IF(CC58=0,-1,$BJ$3)))</f>
        <v>0</v>
      </c>
      <c r="F20" s="25">
        <f>IF(OR(F61=0,F61=1),$W$44,IF(ISNUMBER(MATCH(F100,$BJ$5:$BJ$40000,0)),INDEX($BI$5:$BI$1792,MATCH(F100,$BJ$5:$BJ$40000,0),1),IF(CD58=0,-1,$BJ$3)))</f>
        <v>0</v>
      </c>
      <c r="G20" s="25">
        <f>IF(OR(G61=0,G61=1),$W$44,IF(ISNUMBER(MATCH(G100,$BJ$5:$BJ$40000,0)),INDEX($BI$5:$BI$1792,MATCH(G100,$BJ$5:$BJ$40000,0),1),IF(CE58=0,-1,$BJ$3)))</f>
        <v>0</v>
      </c>
      <c r="H20" s="25">
        <f>IF(OR(H61=0,H61=1),$W$44,IF(ISNUMBER(MATCH(H100,$BJ$5:$BJ$40000,0)),INDEX($BI$5:$BI$1792,MATCH(H100,$BJ$5:$BJ$40000,0),1),IF(CF58=0,-1,$BJ$3)))</f>
        <v>0</v>
      </c>
      <c r="I20" s="25">
        <f>IF(OR(I61=0,I61=1),$W$44,IF(ISNUMBER(MATCH(I100,$BJ$5:$BJ$40000,0)),INDEX($BI$5:$BI$1792,MATCH(I100,$BJ$5:$BJ$40000,0),1),IF(CG58=0,-1,$BJ$3)))</f>
        <v>0</v>
      </c>
      <c r="J20" s="25">
        <f>IF(OR(J61=0,J61=1),$W$44,IF(ISNUMBER(MATCH(J100,$BJ$5:$BJ$40000,0)),INDEX($BI$5:$BI$1792,MATCH(J100,$BJ$5:$BJ$40000,0),1),IF(CH58=0,-1,$BJ$3)))</f>
        <v>0</v>
      </c>
      <c r="K20" s="25">
        <f>IF(OR(K61=0,K61=1),$W$44,IF(ISNUMBER(MATCH(K100,$BJ$5:$BJ$40000,0)),INDEX($BI$5:$BI$1792,MATCH(K100,$BJ$5:$BJ$40000,0),1),IF(CI58=0,-1,$BJ$3)))</f>
        <v>0</v>
      </c>
      <c r="L20" s="25">
        <f>IF(OR(L61=0,L61=1),$W$44,IF(ISNUMBER(MATCH(L100,$BJ$5:$BJ$40000,0)),INDEX($BI$5:$BI$1792,MATCH(L100,$BJ$5:$BJ$40000,0),1),IF(CJ58=0,-1,$BJ$3)))</f>
        <v>0</v>
      </c>
      <c r="M20" s="25">
        <f>IF(OR(M61=0,M61=1),$W$44,IF(ISNUMBER(MATCH(M100,$BJ$5:$BJ$40000,0)),INDEX($BI$5:$BI$1792,MATCH(M100,$BJ$5:$BJ$40000,0),1),IF(CK58=0,-1,$BJ$3)))</f>
        <v>0</v>
      </c>
      <c r="N20" s="25">
        <f>IF(OR(N61=0,N61=1),$W$44,IF(ISNUMBER(MATCH(N100,$BJ$5:$BJ$40000,0)),INDEX($BI$5:$BI$1792,MATCH(N100,$BJ$5:$BJ$40000,0),1),IF(CL58=0,-1,$BJ$3)))</f>
        <v>0</v>
      </c>
      <c r="O20" s="25">
        <f>IF(OR(O61=0,O61=1),$W$44,IF(ISNUMBER(MATCH(O100,$BJ$5:$BJ$40000,0)),INDEX($BI$5:$BI$1792,MATCH(O100,$BJ$5:$BJ$40000,0),1),IF(CM58=0,-1,$BJ$3)))</f>
        <v>0</v>
      </c>
      <c r="P20" s="25">
        <f>IF(OR(P61=0,P61=1),$W$44,IF(ISNUMBER(MATCH(P100,$BJ$5:$BJ$40000,0)),INDEX($BI$5:$BI$1792,MATCH(P100,$BJ$5:$BJ$40000,0),1),IF(CN58=0,-1,$BJ$3)))</f>
        <v>0</v>
      </c>
      <c r="Q20" s="25">
        <f>IF(OR(Q61=0,Q61=1),$W$44,IF(ISNUMBER(MATCH(Q100,$BJ$5:$BJ$40000,0)),INDEX($BI$5:$BI$1792,MATCH(Q100,$BJ$5:$BJ$40000,0),1),IF(CO58=0,-1,$BJ$3)))</f>
        <v>0</v>
      </c>
      <c r="R20" s="25">
        <f>IF(OR(R61=0,R61=1),$W$44,IF(ISNUMBER(MATCH(R100,$BJ$5:$BJ$40000,0)),INDEX($BI$5:$BI$1792,MATCH(R100,$BJ$5:$BJ$40000,0),1),IF(CP58=0,-1,$BJ$3)))</f>
        <v>0</v>
      </c>
      <c r="S20" s="25">
        <f>IF(OR(S61=0,S61=1),$W$44,IF(ISNUMBER(MATCH(S100,$BJ$5:$BJ$40000,0)),INDEX($BI$5:$BI$1792,MATCH(S100,$BJ$5:$BJ$40000,0),1),IF(CQ58=0,-1,$BJ$3)))</f>
        <v>0</v>
      </c>
      <c r="T20" s="25">
        <f>IF(OR(T61=0,T61=1),$W$44,IF(ISNUMBER(MATCH(T100,$BJ$5:$BJ$40000,0)),INDEX($BI$5:$BI$1792,MATCH(T100,$BJ$5:$BJ$40000,0),1),IF(CR58=0,-1,$BJ$3)))</f>
        <v>70</v>
      </c>
      <c r="U20" s="25">
        <f>IF(OR(U61=0,U61=1),$W$44,IF(ISNUMBER(MATCH(U100,$BJ$5:$BJ$40000,0)),INDEX($BI$5:$BI$1792,MATCH(U100,$BJ$5:$BJ$40000,0),1),IF(CS58=0,-1,$BJ$3)))</f>
        <v>0</v>
      </c>
      <c r="V20" s="25">
        <f>IF(OR(V61=0,V61=1),$W$44,IF(ISNUMBER(MATCH(V100,$BJ$5:$BJ$40000,0)),INDEX($BI$5:$BI$1792,MATCH(V100,$BJ$5:$BJ$40000,0),1),IF(CT58=0,-1,$BJ$3)))</f>
        <v>0</v>
      </c>
      <c r="W20" s="25">
        <f>IF(OR(W61=0,W61=1),$W$44,IF(ISNUMBER(MATCH(W100,$BJ$5:$BJ$40000,0)),INDEX($BI$5:$BI$1792,MATCH(W100,$BJ$5:$BJ$40000,0),1),IF(CU58=0,-1,$BJ$3)))</f>
        <v>0</v>
      </c>
      <c r="X20" s="25">
        <f>IF(OR(X61=0,X61=1),$W$44,IF(ISNUMBER(MATCH(X100,$BJ$5:$BJ$40000,0)),INDEX($BI$5:$BI$1792,MATCH(X100,$BJ$5:$BJ$40000,0),1),IF(CV58=0,-1,$BJ$3)))</f>
        <v>0</v>
      </c>
      <c r="Y20" s="25">
        <f>IF(OR(Y61=0,Y61=1),$W$44,IF(ISNUMBER(MATCH(Y100,$BJ$5:$BJ$40000,0)),INDEX($BI$5:$BI$1792,MATCH(Y100,$BJ$5:$BJ$40000,0),1),IF(CW58=0,-1,$BJ$3)))</f>
        <v>0</v>
      </c>
      <c r="Z20" s="35"/>
      <c r="AA20" s="15">
        <v>1</v>
      </c>
      <c r="AB20" s="57">
        <v>26</v>
      </c>
      <c r="AC20" s="57">
        <v>16</v>
      </c>
      <c r="AD20" s="57">
        <v>2</v>
      </c>
      <c r="AE20" s="57">
        <v>10</v>
      </c>
      <c r="AF20" s="57">
        <v>400</v>
      </c>
      <c r="AG20" s="23" t="str">
        <f t="shared" si="1"/>
        <v>16,26</v>
      </c>
      <c r="AH20" s="1"/>
      <c r="AI20" s="15">
        <v>15</v>
      </c>
      <c r="AJ20" s="15">
        <v>15</v>
      </c>
      <c r="AK20" s="15" t="s">
        <v>24</v>
      </c>
      <c r="AL20" s="57">
        <v>400</v>
      </c>
      <c r="AM20" s="57">
        <v>5</v>
      </c>
      <c r="AN20" s="57">
        <v>2.1875000000000002E-3</v>
      </c>
      <c r="AO20" s="57">
        <v>36.1875</v>
      </c>
      <c r="AP20" s="57">
        <v>1</v>
      </c>
      <c r="AQ20" s="57">
        <v>100</v>
      </c>
      <c r="AR20" s="57">
        <v>0.03</v>
      </c>
      <c r="AS20" s="57">
        <v>2</v>
      </c>
      <c r="AT20" s="57">
        <v>1</v>
      </c>
      <c r="AU20" s="57">
        <v>0</v>
      </c>
      <c r="AV20" s="57" t="s">
        <v>15</v>
      </c>
      <c r="AW20" s="58">
        <f>IF(AV19=AV20,AW19,MAX(AW$4:AW19)+1)</f>
        <v>2</v>
      </c>
      <c r="AX20" s="1"/>
      <c r="AY20" s="33">
        <v>15</v>
      </c>
      <c r="AZ20" s="33">
        <v>15</v>
      </c>
      <c r="BA20" s="11">
        <v>14</v>
      </c>
      <c r="BB20" s="11">
        <v>-16</v>
      </c>
      <c r="BC20" s="11"/>
      <c r="BD20" s="11">
        <f t="shared" si="4"/>
        <v>9</v>
      </c>
      <c r="BE20" s="1"/>
      <c r="BF20" s="56">
        <v>1</v>
      </c>
      <c r="BG20" s="57">
        <v>1</v>
      </c>
      <c r="BH20" s="57">
        <v>19</v>
      </c>
      <c r="BI20" s="57">
        <v>50</v>
      </c>
      <c r="BJ20" s="13" t="str">
        <f t="shared" si="3"/>
        <v>19,1</v>
      </c>
      <c r="BK20" s="35"/>
      <c r="BL20" s="8">
        <f t="shared" si="2"/>
        <v>16</v>
      </c>
      <c r="BM20" s="6">
        <f t="shared" si="6"/>
        <v>1</v>
      </c>
      <c r="BN20" s="6">
        <f t="shared" si="7"/>
        <v>16</v>
      </c>
      <c r="BO20" s="35"/>
      <c r="BP20" s="15">
        <v>15</v>
      </c>
      <c r="BQ20" s="60">
        <v>0</v>
      </c>
      <c r="BR20" s="57">
        <v>15</v>
      </c>
      <c r="BS20" s="57" t="s">
        <v>73</v>
      </c>
      <c r="BT20" s="57" t="s">
        <v>67</v>
      </c>
      <c r="BU20" s="57">
        <v>1</v>
      </c>
      <c r="BV20" s="60">
        <v>30.088059999999999</v>
      </c>
      <c r="BW20" s="57">
        <v>100</v>
      </c>
      <c r="BX20" s="60">
        <v>201.85849999999999</v>
      </c>
      <c r="BY20" s="60">
        <v>405.664999999999</v>
      </c>
      <c r="BZ20" s="35"/>
      <c r="CA20" s="52">
        <v>20.559460000000001</v>
      </c>
      <c r="CB20" s="52">
        <v>20.56268</v>
      </c>
      <c r="CC20" s="52">
        <v>20.627389999999998</v>
      </c>
      <c r="CD20" s="52">
        <v>20.723089999999999</v>
      </c>
      <c r="CE20" s="52">
        <v>21.28952</v>
      </c>
      <c r="CF20" s="52">
        <v>21.52148</v>
      </c>
      <c r="CG20" s="52">
        <v>21.75356</v>
      </c>
      <c r="CH20" s="52">
        <v>21.97391</v>
      </c>
      <c r="CI20" s="52">
        <v>22.880669999999999</v>
      </c>
      <c r="CJ20" s="52">
        <v>24.01558</v>
      </c>
      <c r="CK20" s="53">
        <v>25.384989999999998</v>
      </c>
      <c r="CL20" s="53">
        <v>27.30865</v>
      </c>
      <c r="CM20" s="53">
        <v>28.295079999999999</v>
      </c>
      <c r="CN20" s="53">
        <v>28.613679999999999</v>
      </c>
      <c r="CO20" s="53">
        <v>29.231829999999999</v>
      </c>
      <c r="CP20" s="53">
        <v>29.7</v>
      </c>
      <c r="CQ20" s="53">
        <v>29.7</v>
      </c>
      <c r="CR20" s="53">
        <v>29.7</v>
      </c>
      <c r="CS20" s="53">
        <v>29.7</v>
      </c>
      <c r="CT20" s="53">
        <v>29.7</v>
      </c>
      <c r="CU20" s="53">
        <v>29.7</v>
      </c>
      <c r="CV20" s="53">
        <v>29.7</v>
      </c>
      <c r="CW20" s="53">
        <v>29.7</v>
      </c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</row>
    <row r="21" spans="1:115" ht="8.1" customHeight="1" x14ac:dyDescent="0.25">
      <c r="A21" s="35"/>
      <c r="B21" s="37"/>
      <c r="C21" s="25">
        <f>IF(OR(C62=0,C62=1),$W$44,IF(ISNUMBER(MATCH(C101,$BJ$5:$BJ$40000,0)),INDEX($BI$5:$BI$1792,MATCH(C101,$BJ$5:$BJ$40000,0),1),IF(CA59=0,-1,$BJ$3)))</f>
        <v>-1</v>
      </c>
      <c r="D21" s="25">
        <f>IF(OR(D62=0,D62=1),$W$44,IF(ISNUMBER(MATCH(D101,$BJ$5:$BJ$40000,0)),INDEX($BI$5:$BI$1792,MATCH(D101,$BJ$5:$BJ$40000,0),1),IF(CB59=0,-1,$BJ$3)))</f>
        <v>0</v>
      </c>
      <c r="E21" s="25">
        <f>IF(OR(E62=0,E62=1),$W$44,IF(ISNUMBER(MATCH(E101,$BJ$5:$BJ$40000,0)),INDEX($BI$5:$BI$1792,MATCH(E101,$BJ$5:$BJ$40000,0),1),IF(CC59=0,-1,$BJ$3)))</f>
        <v>0</v>
      </c>
      <c r="F21" s="25">
        <f>IF(OR(F62=0,F62=1),$W$44,IF(ISNUMBER(MATCH(F101,$BJ$5:$BJ$40000,0)),INDEX($BI$5:$BI$1792,MATCH(F101,$BJ$5:$BJ$40000,0),1),IF(CD59=0,-1,$BJ$3)))</f>
        <v>0</v>
      </c>
      <c r="G21" s="25">
        <f>IF(OR(G62=0,G62=1),$W$44,IF(ISNUMBER(MATCH(G101,$BJ$5:$BJ$40000,0)),INDEX($BI$5:$BI$1792,MATCH(G101,$BJ$5:$BJ$40000,0),1),IF(CE59=0,-1,$BJ$3)))</f>
        <v>0</v>
      </c>
      <c r="H21" s="25">
        <f>IF(OR(H62=0,H62=1),$W$44,IF(ISNUMBER(MATCH(H101,$BJ$5:$BJ$40000,0)),INDEX($BI$5:$BI$1792,MATCH(H101,$BJ$5:$BJ$40000,0),1),IF(CF59=0,-1,$BJ$3)))</f>
        <v>0</v>
      </c>
      <c r="I21" s="25">
        <f>IF(OR(I62=0,I62=1),$W$44,IF(ISNUMBER(MATCH(I101,$BJ$5:$BJ$40000,0)),INDEX($BI$5:$BI$1792,MATCH(I101,$BJ$5:$BJ$40000,0),1),IF(CG59=0,-1,$BJ$3)))</f>
        <v>0</v>
      </c>
      <c r="J21" s="25">
        <f>IF(OR(J62=0,J62=1),$W$44,IF(ISNUMBER(MATCH(J101,$BJ$5:$BJ$40000,0)),INDEX($BI$5:$BI$1792,MATCH(J101,$BJ$5:$BJ$40000,0),1),IF(CH59=0,-1,$BJ$3)))</f>
        <v>0</v>
      </c>
      <c r="K21" s="25">
        <f>IF(OR(K62=0,K62=1),$W$44,IF(ISNUMBER(MATCH(K101,$BJ$5:$BJ$40000,0)),INDEX($BI$5:$BI$1792,MATCH(K101,$BJ$5:$BJ$40000,0),1),IF(CI59=0,-1,$BJ$3)))</f>
        <v>0</v>
      </c>
      <c r="L21" s="25">
        <f>IF(OR(L62=0,L62=1),$W$44,IF(ISNUMBER(MATCH(L101,$BJ$5:$BJ$40000,0)),INDEX($BI$5:$BI$1792,MATCH(L101,$BJ$5:$BJ$40000,0),1),IF(CJ59=0,-1,$BJ$3)))</f>
        <v>0</v>
      </c>
      <c r="M21" s="25">
        <f>IF(OR(M62=0,M62=1),$W$44,IF(ISNUMBER(MATCH(M101,$BJ$5:$BJ$40000,0)),INDEX($BI$5:$BI$1792,MATCH(M101,$BJ$5:$BJ$40000,0),1),IF(CK59=0,-1,$BJ$3)))</f>
        <v>0</v>
      </c>
      <c r="N21" s="25">
        <f>IF(OR(N62=0,N62=1),$W$44,IF(ISNUMBER(MATCH(N101,$BJ$5:$BJ$40000,0)),INDEX($BI$5:$BI$1792,MATCH(N101,$BJ$5:$BJ$40000,0),1),IF(CL59=0,-1,$BJ$3)))</f>
        <v>0</v>
      </c>
      <c r="O21" s="25">
        <f>IF(OR(O62=0,O62=1),$W$44,IF(ISNUMBER(MATCH(O101,$BJ$5:$BJ$40000,0)),INDEX($BI$5:$BI$1792,MATCH(O101,$BJ$5:$BJ$40000,0),1),IF(CM59=0,-1,$BJ$3)))</f>
        <v>0</v>
      </c>
      <c r="P21" s="25">
        <f>IF(OR(P62=0,P62=1),$W$44,IF(ISNUMBER(MATCH(P101,$BJ$5:$BJ$40000,0)),INDEX($BI$5:$BI$1792,MATCH(P101,$BJ$5:$BJ$40000,0),1),IF(CN59=0,-1,$BJ$3)))</f>
        <v>0</v>
      </c>
      <c r="Q21" s="25">
        <f>IF(OR(Q62=0,Q62=1),$W$44,IF(ISNUMBER(MATCH(Q101,$BJ$5:$BJ$40000,0)),INDEX($BI$5:$BI$1792,MATCH(Q101,$BJ$5:$BJ$40000,0),1),IF(CO59=0,-1,$BJ$3)))</f>
        <v>0</v>
      </c>
      <c r="R21" s="25">
        <f>IF(OR(R62=0,R62=1),$W$44,IF(ISNUMBER(MATCH(R101,$BJ$5:$BJ$40000,0)),INDEX($BI$5:$BI$1792,MATCH(R101,$BJ$5:$BJ$40000,0),1),IF(CP59=0,-1,$BJ$3)))</f>
        <v>0</v>
      </c>
      <c r="S21" s="25">
        <f>IF(OR(S62=0,S62=1),$W$44,IF(ISNUMBER(MATCH(S101,$BJ$5:$BJ$40000,0)),INDEX($BI$5:$BI$1792,MATCH(S101,$BJ$5:$BJ$40000,0),1),IF(CQ59=0,-1,$BJ$3)))</f>
        <v>0</v>
      </c>
      <c r="T21" s="25">
        <f>IF(OR(T62=0,T62=1),$W$44,IF(ISNUMBER(MATCH(T101,$BJ$5:$BJ$40000,0)),INDEX($BI$5:$BI$1792,MATCH(T101,$BJ$5:$BJ$40000,0),1),IF(CR59=0,-1,$BJ$3)))</f>
        <v>7</v>
      </c>
      <c r="U21" s="25">
        <f>IF(OR(U62=0,U62=1),$W$44,IF(ISNUMBER(MATCH(U101,$BJ$5:$BJ$40000,0)),INDEX($BI$5:$BI$1792,MATCH(U101,$BJ$5:$BJ$40000,0),1),IF(CS59=0,-1,$BJ$3)))</f>
        <v>0</v>
      </c>
      <c r="V21" s="25">
        <f>IF(OR(V62=0,V62=1),$W$44,IF(ISNUMBER(MATCH(V101,$BJ$5:$BJ$40000,0)),INDEX($BI$5:$BI$1792,MATCH(V101,$BJ$5:$BJ$40000,0),1),IF(CT59=0,-1,$BJ$3)))</f>
        <v>0</v>
      </c>
      <c r="W21" s="25">
        <f>IF(OR(W62=0,W62=1),$W$44,IF(ISNUMBER(MATCH(W101,$BJ$5:$BJ$40000,0)),INDEX($BI$5:$BI$1792,MATCH(W101,$BJ$5:$BJ$40000,0),1),IF(CU59=0,-1,$BJ$3)))</f>
        <v>0</v>
      </c>
      <c r="X21" s="25">
        <f>IF(OR(X62=0,X62=1),$W$44,IF(ISNUMBER(MATCH(X101,$BJ$5:$BJ$40000,0)),INDEX($BI$5:$BI$1792,MATCH(X101,$BJ$5:$BJ$40000,0),1),IF(CV59=0,-1,$BJ$3)))</f>
        <v>0</v>
      </c>
      <c r="Y21" s="25">
        <f>IF(OR(Y62=0,Y62=1),$W$44,IF(ISNUMBER(MATCH(Y101,$BJ$5:$BJ$40000,0)),INDEX($BI$5:$BI$1792,MATCH(Y101,$BJ$5:$BJ$40000,0),1),IF(CW59=0,-1,$BJ$3)))</f>
        <v>0</v>
      </c>
      <c r="Z21" s="35"/>
      <c r="AA21" s="15">
        <v>1</v>
      </c>
      <c r="AB21" s="57">
        <v>27</v>
      </c>
      <c r="AC21" s="57">
        <v>16</v>
      </c>
      <c r="AD21" s="57">
        <v>2</v>
      </c>
      <c r="AE21" s="57">
        <v>11</v>
      </c>
      <c r="AF21" s="57">
        <v>400</v>
      </c>
      <c r="AG21" s="23" t="str">
        <f t="shared" si="1"/>
        <v>16,27</v>
      </c>
      <c r="AH21" s="1"/>
      <c r="AI21" s="15">
        <v>16</v>
      </c>
      <c r="AJ21" s="15">
        <v>16</v>
      </c>
      <c r="AK21" s="15" t="s">
        <v>25</v>
      </c>
      <c r="AL21" s="57">
        <v>400</v>
      </c>
      <c r="AM21" s="57">
        <v>5</v>
      </c>
      <c r="AN21" s="57">
        <v>2.1875000000000002E-3</v>
      </c>
      <c r="AO21" s="57">
        <v>35.3125</v>
      </c>
      <c r="AP21" s="57">
        <v>1</v>
      </c>
      <c r="AQ21" s="57">
        <v>100</v>
      </c>
      <c r="AR21" s="57">
        <v>0.03</v>
      </c>
      <c r="AS21" s="57">
        <v>2</v>
      </c>
      <c r="AT21" s="57">
        <v>1</v>
      </c>
      <c r="AU21" s="57">
        <v>0</v>
      </c>
      <c r="AV21" s="57" t="s">
        <v>15</v>
      </c>
      <c r="AW21" s="58">
        <f>IF(AV20=AV21,AW20,MAX(AW$4:AW20)+1)</f>
        <v>2</v>
      </c>
      <c r="AX21" s="1"/>
      <c r="AY21" s="33">
        <v>16</v>
      </c>
      <c r="AZ21" s="33">
        <v>16</v>
      </c>
      <c r="BA21" s="11">
        <v>15</v>
      </c>
      <c r="BB21" s="11">
        <v>-17</v>
      </c>
      <c r="BC21" s="11"/>
      <c r="BD21" s="11">
        <f t="shared" si="4"/>
        <v>10</v>
      </c>
      <c r="BE21" s="1"/>
      <c r="BF21" s="56">
        <v>1</v>
      </c>
      <c r="BG21" s="57">
        <v>1</v>
      </c>
      <c r="BH21" s="57">
        <v>20</v>
      </c>
      <c r="BI21" s="57">
        <v>50</v>
      </c>
      <c r="BJ21" s="13" t="str">
        <f t="shared" si="3"/>
        <v>20,1</v>
      </c>
      <c r="BK21" s="35"/>
      <c r="BL21" s="8">
        <f t="shared" si="2"/>
        <v>17</v>
      </c>
      <c r="BM21" s="6">
        <f t="shared" si="6"/>
        <v>1</v>
      </c>
      <c r="BN21" s="6">
        <f t="shared" si="7"/>
        <v>17</v>
      </c>
      <c r="BO21" s="35"/>
      <c r="BP21" s="15">
        <v>16</v>
      </c>
      <c r="BQ21" s="60">
        <v>0</v>
      </c>
      <c r="BR21" s="57">
        <v>16</v>
      </c>
      <c r="BS21" s="57" t="s">
        <v>81</v>
      </c>
      <c r="BT21" s="57" t="s">
        <v>70</v>
      </c>
      <c r="BU21" s="57">
        <v>1</v>
      </c>
      <c r="BV21" s="60">
        <v>0</v>
      </c>
      <c r="BW21" s="57">
        <v>0</v>
      </c>
      <c r="BX21" s="60">
        <v>0</v>
      </c>
      <c r="BY21" s="60">
        <v>0</v>
      </c>
      <c r="BZ21" s="35"/>
      <c r="CA21" s="52">
        <v>20.344650000000001</v>
      </c>
      <c r="CB21" s="52">
        <v>20.3278</v>
      </c>
      <c r="CC21" s="52">
        <v>20.398700000000002</v>
      </c>
      <c r="CD21" s="52">
        <v>20.492930000000001</v>
      </c>
      <c r="CE21" s="52">
        <v>20.579429999999999</v>
      </c>
      <c r="CF21" s="52">
        <v>20.651800000000001</v>
      </c>
      <c r="CG21" s="52">
        <v>20.771270000000001</v>
      </c>
      <c r="CH21" s="52">
        <v>20.920809999999999</v>
      </c>
      <c r="CI21" s="52">
        <v>21.702639999999999</v>
      </c>
      <c r="CJ21" s="52">
        <v>22.73104</v>
      </c>
      <c r="CK21" s="53">
        <v>23.23864</v>
      </c>
      <c r="CL21" s="53">
        <v>26.731580000000001</v>
      </c>
      <c r="CM21" s="53">
        <v>27.888909999999999</v>
      </c>
      <c r="CN21" s="53">
        <v>28.206659999999999</v>
      </c>
      <c r="CO21" s="53">
        <v>28.613779999999998</v>
      </c>
      <c r="CP21" s="53">
        <v>29.240279999999998</v>
      </c>
      <c r="CQ21" s="53">
        <v>29.420559999999998</v>
      </c>
      <c r="CR21" s="53">
        <v>29.565470000000001</v>
      </c>
      <c r="CS21" s="53">
        <v>29.633600000000001</v>
      </c>
      <c r="CT21" s="53">
        <v>29.656680000000001</v>
      </c>
      <c r="CU21" s="53">
        <v>29.625910000000001</v>
      </c>
      <c r="CV21" s="53">
        <v>29.63475</v>
      </c>
      <c r="CW21" s="53">
        <v>29.62303</v>
      </c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</row>
    <row r="22" spans="1:115" ht="8.1" customHeight="1" x14ac:dyDescent="0.25">
      <c r="A22" s="35"/>
      <c r="B22" s="37"/>
      <c r="C22" s="25">
        <f>IF(OR(C63=0,C63=1),$W$44,IF(ISNUMBER(MATCH(C102,$BJ$5:$BJ$40000,0)),INDEX($BI$5:$BI$1792,MATCH(C102,$BJ$5:$BJ$40000,0),1),IF(CA60=0,-1,$BJ$3)))</f>
        <v>-1</v>
      </c>
      <c r="D22" s="25">
        <f>IF(OR(D63=0,D63=1),$W$44,IF(ISNUMBER(MATCH(D102,$BJ$5:$BJ$40000,0)),INDEX($BI$5:$BI$1792,MATCH(D102,$BJ$5:$BJ$40000,0),1),IF(CB60=0,-1,$BJ$3)))</f>
        <v>0</v>
      </c>
      <c r="E22" s="25">
        <f>IF(OR(E63=0,E63=1),$W$44,IF(ISNUMBER(MATCH(E102,$BJ$5:$BJ$40000,0)),INDEX($BI$5:$BI$1792,MATCH(E102,$BJ$5:$BJ$40000,0),1),IF(CC60=0,-1,$BJ$3)))</f>
        <v>0</v>
      </c>
      <c r="F22" s="25">
        <f>IF(OR(F63=0,F63=1),$W$44,IF(ISNUMBER(MATCH(F102,$BJ$5:$BJ$40000,0)),INDEX($BI$5:$BI$1792,MATCH(F102,$BJ$5:$BJ$40000,0),1),IF(CD60=0,-1,$BJ$3)))</f>
        <v>0</v>
      </c>
      <c r="G22" s="25">
        <f>IF(OR(G63=0,G63=1),$W$44,IF(ISNUMBER(MATCH(G102,$BJ$5:$BJ$40000,0)),INDEX($BI$5:$BI$1792,MATCH(G102,$BJ$5:$BJ$40000,0),1),IF(CE60=0,-1,$BJ$3)))</f>
        <v>0</v>
      </c>
      <c r="H22" s="25">
        <f>IF(OR(H63=0,H63=1),$W$44,IF(ISNUMBER(MATCH(H102,$BJ$5:$BJ$40000,0)),INDEX($BI$5:$BI$1792,MATCH(H102,$BJ$5:$BJ$40000,0),1),IF(CF60=0,-1,$BJ$3)))</f>
        <v>0</v>
      </c>
      <c r="I22" s="25">
        <f>IF(OR(I63=0,I63=1),$W$44,IF(ISNUMBER(MATCH(I102,$BJ$5:$BJ$40000,0)),INDEX($BI$5:$BI$1792,MATCH(I102,$BJ$5:$BJ$40000,0),1),IF(CG60=0,-1,$BJ$3)))</f>
        <v>0</v>
      </c>
      <c r="J22" s="25">
        <f>IF(OR(J63=0,J63=1),$W$44,IF(ISNUMBER(MATCH(J102,$BJ$5:$BJ$40000,0)),INDEX($BI$5:$BI$1792,MATCH(J102,$BJ$5:$BJ$40000,0),1),IF(CH60=0,-1,$BJ$3)))</f>
        <v>0</v>
      </c>
      <c r="K22" s="25">
        <f>IF(OR(K63=0,K63=1),$W$44,IF(ISNUMBER(MATCH(K102,$BJ$5:$BJ$40000,0)),INDEX($BI$5:$BI$1792,MATCH(K102,$BJ$5:$BJ$40000,0),1),IF(CI60=0,-1,$BJ$3)))</f>
        <v>0</v>
      </c>
      <c r="L22" s="25">
        <f>IF(OR(L63=0,L63=1),$W$44,IF(ISNUMBER(MATCH(L102,$BJ$5:$BJ$40000,0)),INDEX($BI$5:$BI$1792,MATCH(L102,$BJ$5:$BJ$40000,0),1),IF(CJ60=0,-1,$BJ$3)))</f>
        <v>0</v>
      </c>
      <c r="M22" s="25">
        <f>IF(OR(M63=0,M63=1),$W$44,IF(ISNUMBER(MATCH(M102,$BJ$5:$BJ$40000,0)),INDEX($BI$5:$BI$1792,MATCH(M102,$BJ$5:$BJ$40000,0),1),IF(CK60=0,-1,$BJ$3)))</f>
        <v>19</v>
      </c>
      <c r="N22" s="25">
        <f>IF(OR(N63=0,N63=1),$W$44,IF(ISNUMBER(MATCH(N102,$BJ$5:$BJ$40000,0)),INDEX($BI$5:$BI$1792,MATCH(N102,$BJ$5:$BJ$40000,0),1),IF(CL60=0,-1,$BJ$3)))</f>
        <v>0</v>
      </c>
      <c r="O22" s="25">
        <f>IF(OR(O63=0,O63=1),$W$44,IF(ISNUMBER(MATCH(O102,$BJ$5:$BJ$40000,0)),INDEX($BI$5:$BI$1792,MATCH(O102,$BJ$5:$BJ$40000,0),1),IF(CM60=0,-1,$BJ$3)))</f>
        <v>0</v>
      </c>
      <c r="P22" s="25">
        <f>IF(OR(P63=0,P63=1),$W$44,IF(ISNUMBER(MATCH(P102,$BJ$5:$BJ$40000,0)),INDEX($BI$5:$BI$1792,MATCH(P102,$BJ$5:$BJ$40000,0),1),IF(CN60=0,-1,$BJ$3)))</f>
        <v>0</v>
      </c>
      <c r="Q22" s="25">
        <f>IF(OR(Q63=0,Q63=1),$W$44,IF(ISNUMBER(MATCH(Q102,$BJ$5:$BJ$40000,0)),INDEX($BI$5:$BI$1792,MATCH(Q102,$BJ$5:$BJ$40000,0),1),IF(CO60=0,-1,$BJ$3)))</f>
        <v>0</v>
      </c>
      <c r="R22" s="25">
        <f>IF(OR(R63=0,R63=1),$W$44,IF(ISNUMBER(MATCH(R102,$BJ$5:$BJ$40000,0)),INDEX($BI$5:$BI$1792,MATCH(R102,$BJ$5:$BJ$40000,0),1),IF(CP60=0,-1,$BJ$3)))</f>
        <v>0</v>
      </c>
      <c r="S22" s="25">
        <f>IF(OR(S63=0,S63=1),$W$44,IF(ISNUMBER(MATCH(S102,$BJ$5:$BJ$40000,0)),INDEX($BI$5:$BI$1792,MATCH(S102,$BJ$5:$BJ$40000,0),1),IF(CQ60=0,-1,$BJ$3)))</f>
        <v>0</v>
      </c>
      <c r="T22" s="25">
        <f>IF(OR(T63=0,T63=1),$W$44,IF(ISNUMBER(MATCH(T102,$BJ$5:$BJ$40000,0)),INDEX($BI$5:$BI$1792,MATCH(T102,$BJ$5:$BJ$40000,0),1),IF(CR60=0,-1,$BJ$3)))</f>
        <v>8</v>
      </c>
      <c r="U22" s="25">
        <f>IF(OR(U63=0,U63=1),$W$44,IF(ISNUMBER(MATCH(U102,$BJ$5:$BJ$40000,0)),INDEX($BI$5:$BI$1792,MATCH(U102,$BJ$5:$BJ$40000,0),1),IF(CS60=0,-1,$BJ$3)))</f>
        <v>0</v>
      </c>
      <c r="V22" s="25">
        <f>IF(OR(V63=0,V63=1),$W$44,IF(ISNUMBER(MATCH(V102,$BJ$5:$BJ$40000,0)),INDEX($BI$5:$BI$1792,MATCH(V102,$BJ$5:$BJ$40000,0),1),IF(CT60=0,-1,$BJ$3)))</f>
        <v>0</v>
      </c>
      <c r="W22" s="25">
        <f>IF(OR(W63=0,W63=1),$W$44,IF(ISNUMBER(MATCH(W102,$BJ$5:$BJ$40000,0)),INDEX($BI$5:$BI$1792,MATCH(W102,$BJ$5:$BJ$40000,0),1),IF(CU60=0,-1,$BJ$3)))</f>
        <v>0</v>
      </c>
      <c r="X22" s="25">
        <f>IF(OR(X63=0,X63=1),$W$44,IF(ISNUMBER(MATCH(X102,$BJ$5:$BJ$40000,0)),INDEX($BI$5:$BI$1792,MATCH(X102,$BJ$5:$BJ$40000,0),1),IF(CV60=0,-1,$BJ$3)))</f>
        <v>0</v>
      </c>
      <c r="Y22" s="25">
        <f>IF(OR(Y63=0,Y63=1),$W$44,IF(ISNUMBER(MATCH(Y102,$BJ$5:$BJ$40000,0)),INDEX($BI$5:$BI$1792,MATCH(Y102,$BJ$5:$BJ$40000,0),1),IF(CW60=0,-1,$BJ$3)))</f>
        <v>0</v>
      </c>
      <c r="Z22" s="35"/>
      <c r="AA22" s="15">
        <v>1</v>
      </c>
      <c r="AB22" s="57">
        <v>28</v>
      </c>
      <c r="AC22" s="57">
        <v>15</v>
      </c>
      <c r="AD22" s="57">
        <v>2</v>
      </c>
      <c r="AE22" s="57">
        <v>12</v>
      </c>
      <c r="AF22" s="57">
        <v>400</v>
      </c>
      <c r="AG22" s="23" t="str">
        <f t="shared" si="1"/>
        <v>15,28</v>
      </c>
      <c r="AH22" s="1"/>
      <c r="AI22" s="15">
        <v>17</v>
      </c>
      <c r="AJ22" s="15">
        <v>17</v>
      </c>
      <c r="AK22" s="15" t="s">
        <v>26</v>
      </c>
      <c r="AL22" s="57">
        <v>400</v>
      </c>
      <c r="AM22" s="57">
        <v>5</v>
      </c>
      <c r="AN22" s="57">
        <v>2.1875000000000002E-3</v>
      </c>
      <c r="AO22" s="57">
        <v>34.4375</v>
      </c>
      <c r="AP22" s="57">
        <v>1</v>
      </c>
      <c r="AQ22" s="57">
        <v>100</v>
      </c>
      <c r="AR22" s="57">
        <v>0.03</v>
      </c>
      <c r="AS22" s="57">
        <v>2</v>
      </c>
      <c r="AT22" s="57">
        <v>1</v>
      </c>
      <c r="AU22" s="57">
        <v>0</v>
      </c>
      <c r="AV22" s="57" t="s">
        <v>15</v>
      </c>
      <c r="AW22" s="58">
        <f>IF(AV21=AV22,AW21,MAX(AW$4:AW21)+1)</f>
        <v>2</v>
      </c>
      <c r="AX22" s="1"/>
      <c r="AY22" s="33">
        <v>17</v>
      </c>
      <c r="AZ22" s="33">
        <v>17</v>
      </c>
      <c r="BA22" s="11">
        <v>16</v>
      </c>
      <c r="BB22" s="11">
        <v>-31</v>
      </c>
      <c r="BC22" s="11"/>
      <c r="BD22" s="11">
        <f t="shared" si="4"/>
        <v>11</v>
      </c>
      <c r="BE22" s="1"/>
      <c r="BF22" s="56">
        <v>1</v>
      </c>
      <c r="BG22" s="57">
        <v>1</v>
      </c>
      <c r="BH22" s="57">
        <v>21</v>
      </c>
      <c r="BI22" s="57">
        <v>50</v>
      </c>
      <c r="BJ22" s="13" t="str">
        <f t="shared" si="3"/>
        <v>21,1</v>
      </c>
      <c r="BK22" s="35"/>
      <c r="BL22" s="8">
        <f t="shared" si="2"/>
        <v>18</v>
      </c>
      <c r="BM22" s="6">
        <f t="shared" si="6"/>
        <v>1</v>
      </c>
      <c r="BN22" s="6">
        <f t="shared" si="7"/>
        <v>18</v>
      </c>
      <c r="BO22" s="35"/>
      <c r="BP22" s="15">
        <v>17</v>
      </c>
      <c r="BQ22" s="60">
        <v>0</v>
      </c>
      <c r="BR22" s="57">
        <v>17</v>
      </c>
      <c r="BS22" s="57" t="s">
        <v>82</v>
      </c>
      <c r="BT22" s="57" t="s">
        <v>70</v>
      </c>
      <c r="BU22" s="57">
        <v>1</v>
      </c>
      <c r="BV22" s="60">
        <v>0</v>
      </c>
      <c r="BW22" s="57">
        <v>0</v>
      </c>
      <c r="BX22" s="60">
        <v>0</v>
      </c>
      <c r="BY22" s="60">
        <v>0</v>
      </c>
      <c r="BZ22" s="35"/>
      <c r="CA22" s="52">
        <v>20.2</v>
      </c>
      <c r="CB22" s="52">
        <v>20.2</v>
      </c>
      <c r="CC22" s="52">
        <v>20.2</v>
      </c>
      <c r="CD22" s="52">
        <v>20.2</v>
      </c>
      <c r="CE22" s="52">
        <v>20.2</v>
      </c>
      <c r="CF22" s="52">
        <v>20.2</v>
      </c>
      <c r="CG22" s="52">
        <v>20.2</v>
      </c>
      <c r="CH22" s="52">
        <v>20.69275</v>
      </c>
      <c r="CI22" s="52">
        <v>20.805990000000001</v>
      </c>
      <c r="CJ22" s="52">
        <v>21.63382</v>
      </c>
      <c r="CK22" s="53">
        <v>22.729019999999998</v>
      </c>
      <c r="CL22" s="53">
        <v>24.64039</v>
      </c>
      <c r="CM22" s="53">
        <v>26.587009999999999</v>
      </c>
      <c r="CN22" s="53">
        <v>27.160589999999999</v>
      </c>
      <c r="CO22" s="53">
        <v>28.14555</v>
      </c>
      <c r="CP22" s="53">
        <v>28.57011</v>
      </c>
      <c r="CQ22" s="53">
        <v>28.923719999999999</v>
      </c>
      <c r="CR22" s="53">
        <v>29.210319999999999</v>
      </c>
      <c r="CS22" s="53">
        <v>29.495539999999998</v>
      </c>
      <c r="CT22" s="53">
        <v>29.61177</v>
      </c>
      <c r="CU22" s="53">
        <v>29.567070000000001</v>
      </c>
      <c r="CV22" s="53">
        <v>29.661670000000001</v>
      </c>
      <c r="CW22" s="53">
        <v>29.497910000000001</v>
      </c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</row>
    <row r="23" spans="1:115" ht="8.1" customHeight="1" x14ac:dyDescent="0.25">
      <c r="A23" s="35"/>
      <c r="B23" s="37"/>
      <c r="C23" s="25">
        <f>IF(OR(C64=0,C64=1),$W$44,IF(ISNUMBER(MATCH(C103,$BJ$5:$BJ$40000,0)),INDEX($BI$5:$BI$1792,MATCH(C103,$BJ$5:$BJ$40000,0),1),IF(CA61=0,-1,$BJ$3)))</f>
        <v>-1</v>
      </c>
      <c r="D23" s="25">
        <f>IF(OR(D64=0,D64=1),$W$44,IF(ISNUMBER(MATCH(D103,$BJ$5:$BJ$40000,0)),INDEX($BI$5:$BI$1792,MATCH(D103,$BJ$5:$BJ$40000,0),1),IF(CB61=0,-1,$BJ$3)))</f>
        <v>70</v>
      </c>
      <c r="E23" s="25">
        <f>IF(OR(E64=0,E64=1),$W$44,IF(ISNUMBER(MATCH(E103,$BJ$5:$BJ$40000,0)),INDEX($BI$5:$BI$1792,MATCH(E103,$BJ$5:$BJ$40000,0),1),IF(CC61=0,-1,$BJ$3)))</f>
        <v>0</v>
      </c>
      <c r="F23" s="25">
        <f>IF(OR(F64=0,F64=1),$W$44,IF(ISNUMBER(MATCH(F103,$BJ$5:$BJ$40000,0)),INDEX($BI$5:$BI$1792,MATCH(F103,$BJ$5:$BJ$40000,0),1),IF(CD61=0,-1,$BJ$3)))</f>
        <v>0</v>
      </c>
      <c r="G23" s="25">
        <f>IF(OR(G64=0,G64=1),$W$44,IF(ISNUMBER(MATCH(G103,$BJ$5:$BJ$40000,0)),INDEX($BI$5:$BI$1792,MATCH(G103,$BJ$5:$BJ$40000,0),1),IF(CE61=0,-1,$BJ$3)))</f>
        <v>0</v>
      </c>
      <c r="H23" s="25">
        <f>IF(OR(H64=0,H64=1),$W$44,IF(ISNUMBER(MATCH(H103,$BJ$5:$BJ$40000,0)),INDEX($BI$5:$BI$1792,MATCH(H103,$BJ$5:$BJ$40000,0),1),IF(CF61=0,-1,$BJ$3)))</f>
        <v>0</v>
      </c>
      <c r="I23" s="25">
        <f>IF(OR(I64=0,I64=1),$W$44,IF(ISNUMBER(MATCH(I103,$BJ$5:$BJ$40000,0)),INDEX($BI$5:$BI$1792,MATCH(I103,$BJ$5:$BJ$40000,0),1),IF(CG61=0,-1,$BJ$3)))</f>
        <v>0</v>
      </c>
      <c r="J23" s="25">
        <f>IF(OR(J64=0,J64=1),$W$44,IF(ISNUMBER(MATCH(J103,$BJ$5:$BJ$40000,0)),INDEX($BI$5:$BI$1792,MATCH(J103,$BJ$5:$BJ$40000,0),1),IF(CH61=0,-1,$BJ$3)))</f>
        <v>0</v>
      </c>
      <c r="K23" s="25">
        <f>IF(OR(K64=0,K64=1),$W$44,IF(ISNUMBER(MATCH(K103,$BJ$5:$BJ$40000,0)),INDEX($BI$5:$BI$1792,MATCH(K103,$BJ$5:$BJ$40000,0),1),IF(CI61=0,-1,$BJ$3)))</f>
        <v>0</v>
      </c>
      <c r="L23" s="25">
        <f>IF(OR(L64=0,L64=1),$W$44,IF(ISNUMBER(MATCH(L103,$BJ$5:$BJ$40000,0)),INDEX($BI$5:$BI$1792,MATCH(L103,$BJ$5:$BJ$40000,0),1),IF(CJ61=0,-1,$BJ$3)))</f>
        <v>0</v>
      </c>
      <c r="M23" s="25">
        <f>IF(OR(M64=0,M64=1),$W$44,IF(ISNUMBER(MATCH(M103,$BJ$5:$BJ$40000,0)),INDEX($BI$5:$BI$1792,MATCH(M103,$BJ$5:$BJ$40000,0),1),IF(CK61=0,-1,$BJ$3)))</f>
        <v>20</v>
      </c>
      <c r="N23" s="25">
        <f>IF(OR(N64=0,N64=1),$W$44,IF(ISNUMBER(MATCH(N103,$BJ$5:$BJ$40000,0)),INDEX($BI$5:$BI$1792,MATCH(N103,$BJ$5:$BJ$40000,0),1),IF(CL61=0,-1,$BJ$3)))</f>
        <v>21</v>
      </c>
      <c r="O23" s="25">
        <f>IF(OR(O64=0,O64=1),$W$44,IF(ISNUMBER(MATCH(O103,$BJ$5:$BJ$40000,0)),INDEX($BI$5:$BI$1792,MATCH(O103,$BJ$5:$BJ$40000,0),1),IF(CM61=0,-1,$BJ$3)))</f>
        <v>0</v>
      </c>
      <c r="P23" s="25">
        <f>IF(OR(P64=0,P64=1),$W$44,IF(ISNUMBER(MATCH(P103,$BJ$5:$BJ$40000,0)),INDEX($BI$5:$BI$1792,MATCH(P103,$BJ$5:$BJ$40000,0),1),IF(CN61=0,-1,$BJ$3)))</f>
        <v>0</v>
      </c>
      <c r="Q23" s="25">
        <f>IF(OR(Q64=0,Q64=1),$W$44,IF(ISNUMBER(MATCH(Q103,$BJ$5:$BJ$40000,0)),INDEX($BI$5:$BI$1792,MATCH(Q103,$BJ$5:$BJ$40000,0),1),IF(CO61=0,-1,$BJ$3)))</f>
        <v>0</v>
      </c>
      <c r="R23" s="25">
        <f>IF(OR(R64=0,R64=1),$W$44,IF(ISNUMBER(MATCH(R103,$BJ$5:$BJ$40000,0)),INDEX($BI$5:$BI$1792,MATCH(R103,$BJ$5:$BJ$40000,0),1),IF(CP61=0,-1,$BJ$3)))</f>
        <v>0</v>
      </c>
      <c r="S23" s="25">
        <f>IF(OR(S64=0,S64=1),$W$44,IF(ISNUMBER(MATCH(S103,$BJ$5:$BJ$40000,0)),INDEX($BI$5:$BI$1792,MATCH(S103,$BJ$5:$BJ$40000,0),1),IF(CQ61=0,-1,$BJ$3)))</f>
        <v>0</v>
      </c>
      <c r="T23" s="25">
        <f>IF(OR(T64=0,T64=1),$W$44,IF(ISNUMBER(MATCH(T103,$BJ$5:$BJ$40000,0)),INDEX($BI$5:$BI$1792,MATCH(T103,$BJ$5:$BJ$40000,0),1),IF(CR61=0,-1,$BJ$3)))</f>
        <v>9</v>
      </c>
      <c r="U23" s="25">
        <f>IF(OR(U64=0,U64=1),$W$44,IF(ISNUMBER(MATCH(U103,$BJ$5:$BJ$40000,0)),INDEX($BI$5:$BI$1792,MATCH(U103,$BJ$5:$BJ$40000,0),1),IF(CS61=0,-1,$BJ$3)))</f>
        <v>0</v>
      </c>
      <c r="V23" s="25">
        <f>IF(OR(V64=0,V64=1),$W$44,IF(ISNUMBER(MATCH(V103,$BJ$5:$BJ$40000,0)),INDEX($BI$5:$BI$1792,MATCH(V103,$BJ$5:$BJ$40000,0),1),IF(CT61=0,-1,$BJ$3)))</f>
        <v>0</v>
      </c>
      <c r="W23" s="25">
        <f>IF(OR(W64=0,W64=1),$W$44,IF(ISNUMBER(MATCH(W103,$BJ$5:$BJ$40000,0)),INDEX($BI$5:$BI$1792,MATCH(W103,$BJ$5:$BJ$40000,0),1),IF(CU61=0,-1,$BJ$3)))</f>
        <v>0</v>
      </c>
      <c r="X23" s="25">
        <f>IF(OR(X64=0,X64=1),$W$44,IF(ISNUMBER(MATCH(X103,$BJ$5:$BJ$40000,0)),INDEX($BI$5:$BI$1792,MATCH(X103,$BJ$5:$BJ$40000,0),1),IF(CV61=0,-1,$BJ$3)))</f>
        <v>0</v>
      </c>
      <c r="Y23" s="25">
        <f>IF(OR(Y64=0,Y64=1),$W$44,IF(ISNUMBER(MATCH(Y103,$BJ$5:$BJ$40000,0)),INDEX($BI$5:$BI$1792,MATCH(Y103,$BJ$5:$BJ$40000,0),1),IF(CW61=0,-1,$BJ$3)))</f>
        <v>0</v>
      </c>
      <c r="Z23" s="35"/>
      <c r="AA23" s="15">
        <v>1</v>
      </c>
      <c r="AB23" s="57">
        <v>18</v>
      </c>
      <c r="AC23" s="57">
        <v>11</v>
      </c>
      <c r="AD23" s="57">
        <v>3</v>
      </c>
      <c r="AE23" s="57">
        <v>1</v>
      </c>
      <c r="AF23" s="57">
        <v>400</v>
      </c>
      <c r="AG23" s="23" t="str">
        <f t="shared" si="1"/>
        <v>11,18</v>
      </c>
      <c r="AH23" s="1"/>
      <c r="AI23" s="15">
        <v>18</v>
      </c>
      <c r="AJ23" s="15">
        <v>18</v>
      </c>
      <c r="AK23" s="15" t="s">
        <v>27</v>
      </c>
      <c r="AL23" s="57">
        <v>400</v>
      </c>
      <c r="AM23" s="57">
        <v>5</v>
      </c>
      <c r="AN23" s="57">
        <v>1.7045454545454499E-3</v>
      </c>
      <c r="AO23" s="57">
        <v>41.159090909090899</v>
      </c>
      <c r="AP23" s="57">
        <v>1</v>
      </c>
      <c r="AQ23" s="57">
        <v>100</v>
      </c>
      <c r="AR23" s="57">
        <v>0.03</v>
      </c>
      <c r="AS23" s="57">
        <v>1</v>
      </c>
      <c r="AT23" s="57">
        <v>1</v>
      </c>
      <c r="AU23" s="57">
        <v>0</v>
      </c>
      <c r="AV23" s="57" t="s">
        <v>28</v>
      </c>
      <c r="AW23" s="58">
        <f>IF(AV22=AV23,AW22,MAX(AW$4:AW22)+1)</f>
        <v>3</v>
      </c>
      <c r="AX23" s="1"/>
      <c r="AY23" s="33">
        <v>18</v>
      </c>
      <c r="AZ23" s="33">
        <v>18</v>
      </c>
      <c r="BA23" s="11">
        <v>-19</v>
      </c>
      <c r="BB23" s="11"/>
      <c r="BC23" s="11"/>
      <c r="BD23" s="11">
        <f t="shared" si="4"/>
        <v>0</v>
      </c>
      <c r="BE23" s="1"/>
      <c r="BF23" s="56">
        <v>1</v>
      </c>
      <c r="BG23" s="57">
        <v>33</v>
      </c>
      <c r="BH23" s="57">
        <v>1</v>
      </c>
      <c r="BI23" s="57">
        <v>28</v>
      </c>
      <c r="BJ23" s="13" t="str">
        <f t="shared" si="3"/>
        <v>1,33</v>
      </c>
      <c r="BK23" s="35"/>
      <c r="BL23" s="8">
        <f t="shared" si="2"/>
        <v>19</v>
      </c>
      <c r="BM23" s="6">
        <f t="shared" si="6"/>
        <v>1</v>
      </c>
      <c r="BN23" s="6">
        <f t="shared" si="7"/>
        <v>19</v>
      </c>
      <c r="BO23" s="35"/>
      <c r="BP23" s="15">
        <v>18</v>
      </c>
      <c r="BQ23" s="60">
        <v>0</v>
      </c>
      <c r="BR23" s="57">
        <v>18</v>
      </c>
      <c r="BS23" s="57" t="s">
        <v>83</v>
      </c>
      <c r="BT23" s="57" t="s">
        <v>70</v>
      </c>
      <c r="BU23" s="57">
        <v>1</v>
      </c>
      <c r="BV23" s="60">
        <v>0</v>
      </c>
      <c r="BW23" s="57">
        <v>0</v>
      </c>
      <c r="BX23" s="60">
        <v>0</v>
      </c>
      <c r="BY23" s="60">
        <v>0</v>
      </c>
      <c r="BZ23" s="35"/>
      <c r="CA23" s="52">
        <v>20.2</v>
      </c>
      <c r="CB23" s="52">
        <v>20.2</v>
      </c>
      <c r="CC23" s="52">
        <v>20.2</v>
      </c>
      <c r="CD23" s="52">
        <v>20.2</v>
      </c>
      <c r="CE23" s="52">
        <v>20.2</v>
      </c>
      <c r="CF23" s="52">
        <v>20.2</v>
      </c>
      <c r="CG23" s="52">
        <v>20.2</v>
      </c>
      <c r="CH23" s="52">
        <v>20.2</v>
      </c>
      <c r="CI23" s="52">
        <v>20.2</v>
      </c>
      <c r="CJ23" s="52">
        <v>21.31399</v>
      </c>
      <c r="CK23" s="53">
        <v>21.700030000000002</v>
      </c>
      <c r="CL23" s="53">
        <v>23.360959999999999</v>
      </c>
      <c r="CM23" s="53">
        <v>24.686419999999998</v>
      </c>
      <c r="CN23" s="53">
        <v>25.93872</v>
      </c>
      <c r="CO23" s="53">
        <v>27.013940000000002</v>
      </c>
      <c r="CP23" s="53">
        <v>27.52439</v>
      </c>
      <c r="CQ23" s="53">
        <v>28.038450000000001</v>
      </c>
      <c r="CR23" s="53">
        <v>28.744150000000001</v>
      </c>
      <c r="CS23" s="53">
        <v>29.046569999999999</v>
      </c>
      <c r="CT23" s="53">
        <v>29.180669999999999</v>
      </c>
      <c r="CU23" s="53">
        <v>29.221409999999999</v>
      </c>
      <c r="CV23" s="53">
        <v>29.222729999999999</v>
      </c>
      <c r="CW23" s="53">
        <v>29.02298</v>
      </c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</row>
    <row r="24" spans="1:115" ht="8.1" customHeight="1" x14ac:dyDescent="0.25">
      <c r="A24" s="35"/>
      <c r="B24" s="37"/>
      <c r="C24" s="25">
        <f>IF(OR(C65=0,C65=1),$W$44,IF(ISNUMBER(MATCH(C104,$BJ$5:$BJ$40000,0)),INDEX($BI$5:$BI$1792,MATCH(C104,$BJ$5:$BJ$40000,0),1),IF(CA62=0,-1,$BJ$3)))</f>
        <v>-1</v>
      </c>
      <c r="D24" s="25">
        <f>IF(OR(D65=0,D65=1),$W$44,IF(ISNUMBER(MATCH(D104,$BJ$5:$BJ$40000,0)),INDEX($BI$5:$BI$1792,MATCH(D104,$BJ$5:$BJ$40000,0),1),IF(CB62=0,-1,$BJ$3)))</f>
        <v>70</v>
      </c>
      <c r="E24" s="25">
        <f>IF(OR(E65=0,E65=1),$W$44,IF(ISNUMBER(MATCH(E104,$BJ$5:$BJ$40000,0)),INDEX($BI$5:$BI$1792,MATCH(E104,$BJ$5:$BJ$40000,0),1),IF(CC62=0,-1,$BJ$3)))</f>
        <v>0</v>
      </c>
      <c r="F24" s="25">
        <f>IF(OR(F65=0,F65=1),$W$44,IF(ISNUMBER(MATCH(F104,$BJ$5:$BJ$40000,0)),INDEX($BI$5:$BI$1792,MATCH(F104,$BJ$5:$BJ$40000,0),1),IF(CD62=0,-1,$BJ$3)))</f>
        <v>0</v>
      </c>
      <c r="G24" s="25">
        <f>IF(OR(G65=0,G65=1),$W$44,IF(ISNUMBER(MATCH(G104,$BJ$5:$BJ$40000,0)),INDEX($BI$5:$BI$1792,MATCH(G104,$BJ$5:$BJ$40000,0),1),IF(CE62=0,-1,$BJ$3)))</f>
        <v>0</v>
      </c>
      <c r="H24" s="25">
        <f>IF(OR(H65=0,H65=1),$W$44,IF(ISNUMBER(MATCH(H104,$BJ$5:$BJ$40000,0)),INDEX($BI$5:$BI$1792,MATCH(H104,$BJ$5:$BJ$40000,0),1),IF(CF62=0,-1,$BJ$3)))</f>
        <v>0</v>
      </c>
      <c r="I24" s="25">
        <f>IF(OR(I65=0,I65=1),$W$44,IF(ISNUMBER(MATCH(I104,$BJ$5:$BJ$40000,0)),INDEX($BI$5:$BI$1792,MATCH(I104,$BJ$5:$BJ$40000,0),1),IF(CG62=0,-1,$BJ$3)))</f>
        <v>0</v>
      </c>
      <c r="J24" s="25">
        <f>IF(OR(J65=0,J65=1),$W$44,IF(ISNUMBER(MATCH(J104,$BJ$5:$BJ$40000,0)),INDEX($BI$5:$BI$1792,MATCH(J104,$BJ$5:$BJ$40000,0),1),IF(CH62=0,-1,$BJ$3)))</f>
        <v>0</v>
      </c>
      <c r="K24" s="25">
        <f>IF(OR(K65=0,K65=1),$W$44,IF(ISNUMBER(MATCH(K104,$BJ$5:$BJ$40000,0)),INDEX($BI$5:$BI$1792,MATCH(K104,$BJ$5:$BJ$40000,0),1),IF(CI62=0,-1,$BJ$3)))</f>
        <v>0</v>
      </c>
      <c r="L24" s="25">
        <f>IF(OR(L65=0,L65=1),$W$44,IF(ISNUMBER(MATCH(L104,$BJ$5:$BJ$40000,0)),INDEX($BI$5:$BI$1792,MATCH(L104,$BJ$5:$BJ$40000,0),1),IF(CJ62=0,-1,$BJ$3)))</f>
        <v>0</v>
      </c>
      <c r="M24" s="25">
        <f>IF(OR(M65=0,M65=1),$W$44,IF(ISNUMBER(MATCH(M104,$BJ$5:$BJ$40000,0)),INDEX($BI$5:$BI$1792,MATCH(M104,$BJ$5:$BJ$40000,0),1),IF(CK62=0,-1,$BJ$3)))</f>
        <v>0</v>
      </c>
      <c r="N24" s="25">
        <f>IF(OR(N65=0,N65=1),$W$44,IF(ISNUMBER(MATCH(N104,$BJ$5:$BJ$40000,0)),INDEX($BI$5:$BI$1792,MATCH(N104,$BJ$5:$BJ$40000,0),1),IF(CL62=0,-1,$BJ$3)))</f>
        <v>22</v>
      </c>
      <c r="O24" s="25">
        <f>IF(OR(O65=0,O65=1),$W$44,IF(ISNUMBER(MATCH(O104,$BJ$5:$BJ$40000,0)),INDEX($BI$5:$BI$1792,MATCH(O104,$BJ$5:$BJ$40000,0),1),IF(CM62=0,-1,$BJ$3)))</f>
        <v>0</v>
      </c>
      <c r="P24" s="25">
        <f>IF(OR(P65=0,P65=1),$W$44,IF(ISNUMBER(MATCH(P104,$BJ$5:$BJ$40000,0)),INDEX($BI$5:$BI$1792,MATCH(P104,$BJ$5:$BJ$40000,0),1),IF(CN62=0,-1,$BJ$3)))</f>
        <v>0</v>
      </c>
      <c r="Q24" s="25">
        <f>IF(OR(Q65=0,Q65=1),$W$44,IF(ISNUMBER(MATCH(Q104,$BJ$5:$BJ$40000,0)),INDEX($BI$5:$BI$1792,MATCH(Q104,$BJ$5:$BJ$40000,0),1),IF(CO62=0,-1,$BJ$3)))</f>
        <v>0</v>
      </c>
      <c r="R24" s="25">
        <f>IF(OR(R65=0,R65=1),$W$44,IF(ISNUMBER(MATCH(R104,$BJ$5:$BJ$40000,0)),INDEX($BI$5:$BI$1792,MATCH(R104,$BJ$5:$BJ$40000,0),1),IF(CP62=0,-1,$BJ$3)))</f>
        <v>0</v>
      </c>
      <c r="S24" s="25">
        <f>IF(OR(S65=0,S65=1),$W$44,IF(ISNUMBER(MATCH(S104,$BJ$5:$BJ$40000,0)),INDEX($BI$5:$BI$1792,MATCH(S104,$BJ$5:$BJ$40000,0),1),IF(CQ62=0,-1,$BJ$3)))</f>
        <v>10</v>
      </c>
      <c r="T24" s="25">
        <f>IF(OR(T65=0,T65=1),$W$44,IF(ISNUMBER(MATCH(T104,$BJ$5:$BJ$40000,0)),INDEX($BI$5:$BI$1792,MATCH(T104,$BJ$5:$BJ$40000,0),1),IF(CR62=0,-1,$BJ$3)))</f>
        <v>0</v>
      </c>
      <c r="U24" s="25">
        <f>IF(OR(U65=0,U65=1),$W$44,IF(ISNUMBER(MATCH(U104,$BJ$5:$BJ$40000,0)),INDEX($BI$5:$BI$1792,MATCH(U104,$BJ$5:$BJ$40000,0),1),IF(CS62=0,-1,$BJ$3)))</f>
        <v>0</v>
      </c>
      <c r="V24" s="25">
        <f>IF(OR(V65=0,V65=1),$W$44,IF(ISNUMBER(MATCH(V104,$BJ$5:$BJ$40000,0)),INDEX($BI$5:$BI$1792,MATCH(V104,$BJ$5:$BJ$40000,0),1),IF(CT62=0,-1,$BJ$3)))</f>
        <v>0</v>
      </c>
      <c r="W24" s="25">
        <f>IF(OR(W65=0,W65=1),$W$44,IF(ISNUMBER(MATCH(W104,$BJ$5:$BJ$40000,0)),INDEX($BI$5:$BI$1792,MATCH(W104,$BJ$5:$BJ$40000,0),1),IF(CU62=0,-1,$BJ$3)))</f>
        <v>0</v>
      </c>
      <c r="X24" s="25">
        <f>IF(OR(X65=0,X65=1),$W$44,IF(ISNUMBER(MATCH(X104,$BJ$5:$BJ$40000,0)),INDEX($BI$5:$BI$1792,MATCH(X104,$BJ$5:$BJ$40000,0),1),IF(CV62=0,-1,$BJ$3)))</f>
        <v>0</v>
      </c>
      <c r="Y24" s="25">
        <f>IF(OR(Y65=0,Y65=1),$W$44,IF(ISNUMBER(MATCH(Y104,$BJ$5:$BJ$40000,0)),INDEX($BI$5:$BI$1792,MATCH(Y104,$BJ$5:$BJ$40000,0),1),IF(CW62=0,-1,$BJ$3)))</f>
        <v>0</v>
      </c>
      <c r="Z24" s="35"/>
      <c r="AA24" s="15">
        <v>1</v>
      </c>
      <c r="AB24" s="57">
        <v>19</v>
      </c>
      <c r="AC24" s="57">
        <v>11</v>
      </c>
      <c r="AD24" s="57">
        <v>3</v>
      </c>
      <c r="AE24" s="57">
        <v>2</v>
      </c>
      <c r="AF24" s="57">
        <v>200</v>
      </c>
      <c r="AG24" s="23" t="str">
        <f t="shared" si="1"/>
        <v>11,19</v>
      </c>
      <c r="AH24" s="1"/>
      <c r="AI24" s="15">
        <v>19</v>
      </c>
      <c r="AJ24" s="15">
        <v>19</v>
      </c>
      <c r="AK24" s="15" t="s">
        <v>29</v>
      </c>
      <c r="AL24" s="57">
        <v>200</v>
      </c>
      <c r="AM24" s="57">
        <v>5</v>
      </c>
      <c r="AN24" s="57">
        <v>1.7045454545454499E-3</v>
      </c>
      <c r="AO24" s="57">
        <v>40.647727272727202</v>
      </c>
      <c r="AP24" s="57">
        <v>1</v>
      </c>
      <c r="AQ24" s="57">
        <v>100</v>
      </c>
      <c r="AR24" s="57">
        <v>0.03</v>
      </c>
      <c r="AS24" s="57">
        <v>2</v>
      </c>
      <c r="AT24" s="57">
        <v>1</v>
      </c>
      <c r="AU24" s="57">
        <v>0</v>
      </c>
      <c r="AV24" s="57" t="s">
        <v>28</v>
      </c>
      <c r="AW24" s="58">
        <f>IF(AV23=AV24,AW23,MAX(AW$4:AW23)+1)</f>
        <v>3</v>
      </c>
      <c r="AX24" s="1"/>
      <c r="AY24" s="33">
        <v>19</v>
      </c>
      <c r="AZ24" s="33">
        <v>19</v>
      </c>
      <c r="BA24" s="11">
        <v>18</v>
      </c>
      <c r="BB24" s="11">
        <v>-20</v>
      </c>
      <c r="BC24" s="11"/>
      <c r="BD24" s="11">
        <f t="shared" si="4"/>
        <v>1</v>
      </c>
      <c r="BE24" s="1"/>
      <c r="BF24" s="56">
        <v>1</v>
      </c>
      <c r="BG24" s="57">
        <v>33</v>
      </c>
      <c r="BH24" s="57">
        <v>2</v>
      </c>
      <c r="BI24" s="57">
        <v>28</v>
      </c>
      <c r="BJ24" s="13" t="str">
        <f t="shared" si="3"/>
        <v>2,33</v>
      </c>
      <c r="BK24" s="35"/>
      <c r="BL24" s="8">
        <f t="shared" si="2"/>
        <v>20</v>
      </c>
      <c r="BM24" s="6">
        <f t="shared" si="6"/>
        <v>1</v>
      </c>
      <c r="BN24" s="6">
        <f t="shared" si="7"/>
        <v>20</v>
      </c>
      <c r="BO24" s="35"/>
      <c r="BP24" s="15">
        <v>19</v>
      </c>
      <c r="BQ24" s="60">
        <v>0</v>
      </c>
      <c r="BR24" s="57">
        <v>19</v>
      </c>
      <c r="BS24" s="57" t="s">
        <v>84</v>
      </c>
      <c r="BT24" s="57" t="s">
        <v>67</v>
      </c>
      <c r="BU24" s="57">
        <v>1</v>
      </c>
      <c r="BV24" s="60">
        <v>29.7</v>
      </c>
      <c r="BW24" s="57">
        <v>100</v>
      </c>
      <c r="BX24" s="60">
        <v>202.83249999999899</v>
      </c>
      <c r="BY24" s="60">
        <v>403.71699999999998</v>
      </c>
      <c r="BZ24" s="35"/>
      <c r="CA24" s="52">
        <v>20.2</v>
      </c>
      <c r="CB24" s="52">
        <v>20.2</v>
      </c>
      <c r="CC24" s="52">
        <v>20.2</v>
      </c>
      <c r="CD24" s="52">
        <v>20.2</v>
      </c>
      <c r="CE24" s="52">
        <v>20.2</v>
      </c>
      <c r="CF24" s="52">
        <v>20.2</v>
      </c>
      <c r="CG24" s="52">
        <v>20.2</v>
      </c>
      <c r="CH24" s="52">
        <v>20.2</v>
      </c>
      <c r="CI24" s="52">
        <v>20.2</v>
      </c>
      <c r="CJ24" s="52">
        <v>20.65907</v>
      </c>
      <c r="CK24" s="53">
        <v>21.381029999999999</v>
      </c>
      <c r="CL24" s="53">
        <v>22.277270000000001</v>
      </c>
      <c r="CM24" s="53">
        <v>23.903199999999998</v>
      </c>
      <c r="CN24" s="53">
        <v>24.557120000000001</v>
      </c>
      <c r="CO24" s="53">
        <v>25.6266</v>
      </c>
      <c r="CP24" s="53">
        <v>26.53173</v>
      </c>
      <c r="CQ24" s="53">
        <v>27.04636</v>
      </c>
      <c r="CR24" s="53">
        <v>27.569610000000001</v>
      </c>
      <c r="CS24" s="53">
        <v>27.991340000000001</v>
      </c>
      <c r="CT24" s="53">
        <v>28.392130000000002</v>
      </c>
      <c r="CU24" s="53">
        <v>28.43477</v>
      </c>
      <c r="CV24" s="53">
        <v>28.378620000000002</v>
      </c>
      <c r="CW24" s="53">
        <v>28.230250000000002</v>
      </c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</row>
    <row r="25" spans="1:115" ht="8.1" customHeight="1" x14ac:dyDescent="0.25">
      <c r="A25" s="35"/>
      <c r="B25" s="37"/>
      <c r="C25" s="25">
        <f>IF(OR(C66=0,C66=1),$W$44,IF(ISNUMBER(MATCH(C105,$BJ$5:$BJ$40000,0)),INDEX($BI$5:$BI$1792,MATCH(C105,$BJ$5:$BJ$40000,0),1),IF(CA63=0,-1,$BJ$3)))</f>
        <v>-1</v>
      </c>
      <c r="D25" s="25">
        <f>IF(OR(D66=0,D66=1),$W$44,IF(ISNUMBER(MATCH(D105,$BJ$5:$BJ$40000,0)),INDEX($BI$5:$BI$1792,MATCH(D105,$BJ$5:$BJ$40000,0),1),IF(CB63=0,-1,$BJ$3)))</f>
        <v>70</v>
      </c>
      <c r="E25" s="25">
        <f>IF(OR(E66=0,E66=1),$W$44,IF(ISNUMBER(MATCH(E105,$BJ$5:$BJ$40000,0)),INDEX($BI$5:$BI$1792,MATCH(E105,$BJ$5:$BJ$40000,0),1),IF(CC63=0,-1,$BJ$3)))</f>
        <v>0</v>
      </c>
      <c r="F25" s="25">
        <f>IF(OR(F66=0,F66=1),$W$44,IF(ISNUMBER(MATCH(F105,$BJ$5:$BJ$40000,0)),INDEX($BI$5:$BI$1792,MATCH(F105,$BJ$5:$BJ$40000,0),1),IF(CD63=0,-1,$BJ$3)))</f>
        <v>0</v>
      </c>
      <c r="G25" s="25">
        <f>IF(OR(G66=0,G66=1),$W$44,IF(ISNUMBER(MATCH(G105,$BJ$5:$BJ$40000,0)),INDEX($BI$5:$BI$1792,MATCH(G105,$BJ$5:$BJ$40000,0),1),IF(CE63=0,-1,$BJ$3)))</f>
        <v>0</v>
      </c>
      <c r="H25" s="25">
        <f>IF(OR(H66=0,H66=1),$W$44,IF(ISNUMBER(MATCH(H105,$BJ$5:$BJ$40000,0)),INDEX($BI$5:$BI$1792,MATCH(H105,$BJ$5:$BJ$40000,0),1),IF(CF63=0,-1,$BJ$3)))</f>
        <v>0</v>
      </c>
      <c r="I25" s="25">
        <f>IF(OR(I66=0,I66=1),$W$44,IF(ISNUMBER(MATCH(I105,$BJ$5:$BJ$40000,0)),INDEX($BI$5:$BI$1792,MATCH(I105,$BJ$5:$BJ$40000,0),1),IF(CG63=0,-1,$BJ$3)))</f>
        <v>0</v>
      </c>
      <c r="J25" s="25">
        <f>IF(OR(J66=0,J66=1),$W$44,IF(ISNUMBER(MATCH(J105,$BJ$5:$BJ$40000,0)),INDEX($BI$5:$BI$1792,MATCH(J105,$BJ$5:$BJ$40000,0),1),IF(CH63=0,-1,$BJ$3)))</f>
        <v>0</v>
      </c>
      <c r="K25" s="25">
        <f>IF(OR(K66=0,K66=1),$W$44,IF(ISNUMBER(MATCH(K105,$BJ$5:$BJ$40000,0)),INDEX($BI$5:$BI$1792,MATCH(K105,$BJ$5:$BJ$40000,0),1),IF(CI63=0,-1,$BJ$3)))</f>
        <v>0</v>
      </c>
      <c r="L25" s="25">
        <f>IF(OR(L66=0,L66=1),$W$44,IF(ISNUMBER(MATCH(L105,$BJ$5:$BJ$40000,0)),INDEX($BI$5:$BI$1792,MATCH(L105,$BJ$5:$BJ$40000,0),1),IF(CJ63=0,-1,$BJ$3)))</f>
        <v>0</v>
      </c>
      <c r="M25" s="25">
        <f>IF(OR(M66=0,M66=1),$W$44,IF(ISNUMBER(MATCH(M105,$BJ$5:$BJ$40000,0)),INDEX($BI$5:$BI$1792,MATCH(M105,$BJ$5:$BJ$40000,0),1),IF(CK63=0,-1,$BJ$3)))</f>
        <v>0</v>
      </c>
      <c r="N25" s="25">
        <f>IF(OR(N66=0,N66=1),$W$44,IF(ISNUMBER(MATCH(N105,$BJ$5:$BJ$40000,0)),INDEX($BI$5:$BI$1792,MATCH(N105,$BJ$5:$BJ$40000,0),1),IF(CL63=0,-1,$BJ$3)))</f>
        <v>23</v>
      </c>
      <c r="O25" s="25">
        <f>IF(OR(O66=0,O66=1),$W$44,IF(ISNUMBER(MATCH(O105,$BJ$5:$BJ$40000,0)),INDEX($BI$5:$BI$1792,MATCH(O105,$BJ$5:$BJ$40000,0),1),IF(CM63=0,-1,$BJ$3)))</f>
        <v>0</v>
      </c>
      <c r="P25" s="25">
        <f>IF(OR(P66=0,P66=1),$W$44,IF(ISNUMBER(MATCH(P105,$BJ$5:$BJ$40000,0)),INDEX($BI$5:$BI$1792,MATCH(P105,$BJ$5:$BJ$40000,0),1),IF(CN63=0,-1,$BJ$3)))</f>
        <v>0</v>
      </c>
      <c r="Q25" s="25">
        <f>IF(OR(Q66=0,Q66=1),$W$44,IF(ISNUMBER(MATCH(Q105,$BJ$5:$BJ$40000,0)),INDEX($BI$5:$BI$1792,MATCH(Q105,$BJ$5:$BJ$40000,0),1),IF(CO63=0,-1,$BJ$3)))</f>
        <v>0</v>
      </c>
      <c r="R25" s="25">
        <f>IF(OR(R66=0,R66=1),$W$44,IF(ISNUMBER(MATCH(R105,$BJ$5:$BJ$40000,0)),INDEX($BI$5:$BI$1792,MATCH(R105,$BJ$5:$BJ$40000,0),1),IF(CP63=0,-1,$BJ$3)))</f>
        <v>0</v>
      </c>
      <c r="S25" s="25">
        <f>IF(OR(S66=0,S66=1),$W$44,IF(ISNUMBER(MATCH(S105,$BJ$5:$BJ$40000,0)),INDEX($BI$5:$BI$1792,MATCH(S105,$BJ$5:$BJ$40000,0),1),IF(CQ63=0,-1,$BJ$3)))</f>
        <v>11</v>
      </c>
      <c r="T25" s="25">
        <f>IF(OR(T66=0,T66=1),$W$44,IF(ISNUMBER(MATCH(T105,$BJ$5:$BJ$40000,0)),INDEX($BI$5:$BI$1792,MATCH(T105,$BJ$5:$BJ$40000,0),1),IF(CR63=0,-1,$BJ$3)))</f>
        <v>0</v>
      </c>
      <c r="U25" s="25">
        <f>IF(OR(U66=0,U66=1),$W$44,IF(ISNUMBER(MATCH(U105,$BJ$5:$BJ$40000,0)),INDEX($BI$5:$BI$1792,MATCH(U105,$BJ$5:$BJ$40000,0),1),IF(CS63=0,-1,$BJ$3)))</f>
        <v>0</v>
      </c>
      <c r="V25" s="25">
        <f>IF(OR(V66=0,V66=1),$W$44,IF(ISNUMBER(MATCH(V105,$BJ$5:$BJ$40000,0)),INDEX($BI$5:$BI$1792,MATCH(V105,$BJ$5:$BJ$40000,0),1),IF(CT63=0,-1,$BJ$3)))</f>
        <v>0</v>
      </c>
      <c r="W25" s="25">
        <f>IF(OR(W66=0,W66=1),$W$44,IF(ISNUMBER(MATCH(W105,$BJ$5:$BJ$40000,0)),INDEX($BI$5:$BI$1792,MATCH(W105,$BJ$5:$BJ$40000,0),1),IF(CU63=0,-1,$BJ$3)))</f>
        <v>0</v>
      </c>
      <c r="X25" s="25">
        <f>IF(OR(X66=0,X66=1),$W$44,IF(ISNUMBER(MATCH(X105,$BJ$5:$BJ$40000,0)),INDEX($BI$5:$BI$1792,MATCH(X105,$BJ$5:$BJ$40000,0),1),IF(CV63=0,-1,$BJ$3)))</f>
        <v>0</v>
      </c>
      <c r="Y25" s="25">
        <f>IF(OR(Y66=0,Y66=1),$W$44,IF(ISNUMBER(MATCH(Y105,$BJ$5:$BJ$40000,0)),INDEX($BI$5:$BI$1792,MATCH(Y105,$BJ$5:$BJ$40000,0),1),IF(CW63=0,-1,$BJ$3)))</f>
        <v>0</v>
      </c>
      <c r="Z25" s="35"/>
      <c r="AA25" s="15">
        <v>1</v>
      </c>
      <c r="AB25" s="57">
        <v>19</v>
      </c>
      <c r="AC25" s="57">
        <v>12</v>
      </c>
      <c r="AD25" s="57">
        <v>3</v>
      </c>
      <c r="AE25" s="57">
        <v>3</v>
      </c>
      <c r="AF25" s="57">
        <v>200</v>
      </c>
      <c r="AG25" s="23" t="str">
        <f t="shared" si="1"/>
        <v>12,19</v>
      </c>
      <c r="AH25" s="1"/>
      <c r="AI25" s="15">
        <v>20</v>
      </c>
      <c r="AJ25" s="15">
        <v>20</v>
      </c>
      <c r="AK25" s="15" t="s">
        <v>30</v>
      </c>
      <c r="AL25" s="57">
        <v>200</v>
      </c>
      <c r="AM25" s="57">
        <v>5</v>
      </c>
      <c r="AN25" s="57">
        <v>1.7045454545454499E-3</v>
      </c>
      <c r="AO25" s="57">
        <v>40.306818181818102</v>
      </c>
      <c r="AP25" s="57">
        <v>1</v>
      </c>
      <c r="AQ25" s="57">
        <v>100</v>
      </c>
      <c r="AR25" s="57">
        <v>0.03</v>
      </c>
      <c r="AS25" s="57">
        <v>2</v>
      </c>
      <c r="AT25" s="57">
        <v>1</v>
      </c>
      <c r="AU25" s="57">
        <v>0</v>
      </c>
      <c r="AV25" s="57" t="s">
        <v>28</v>
      </c>
      <c r="AW25" s="58">
        <f>IF(AV24=AV25,AW24,MAX(AW$4:AW24)+1)</f>
        <v>3</v>
      </c>
      <c r="AX25" s="1"/>
      <c r="AY25" s="33">
        <v>20</v>
      </c>
      <c r="AZ25" s="33">
        <v>20</v>
      </c>
      <c r="BA25" s="11">
        <v>19</v>
      </c>
      <c r="BB25" s="11">
        <v>-21</v>
      </c>
      <c r="BC25" s="11"/>
      <c r="BD25" s="11">
        <f t="shared" si="4"/>
        <v>2</v>
      </c>
      <c r="BE25" s="1"/>
      <c r="BF25" s="56">
        <v>1</v>
      </c>
      <c r="BG25" s="57">
        <v>33</v>
      </c>
      <c r="BH25" s="57">
        <v>3</v>
      </c>
      <c r="BI25" s="57">
        <v>28</v>
      </c>
      <c r="BJ25" s="13" t="str">
        <f t="shared" si="3"/>
        <v>3,33</v>
      </c>
      <c r="BK25" s="35"/>
      <c r="BL25" s="8">
        <f t="shared" si="2"/>
        <v>21</v>
      </c>
      <c r="BM25" s="6">
        <f t="shared" si="6"/>
        <v>1</v>
      </c>
      <c r="BN25" s="6">
        <f t="shared" si="7"/>
        <v>21</v>
      </c>
      <c r="BO25" s="35"/>
      <c r="BP25" s="15">
        <v>20</v>
      </c>
      <c r="BQ25" s="60">
        <v>0</v>
      </c>
      <c r="BR25" s="57">
        <v>20</v>
      </c>
      <c r="BS25" s="57" t="s">
        <v>85</v>
      </c>
      <c r="BT25" s="57" t="s">
        <v>70</v>
      </c>
      <c r="BU25" s="57">
        <v>1</v>
      </c>
      <c r="BV25" s="60">
        <v>0</v>
      </c>
      <c r="BW25" s="57">
        <v>0</v>
      </c>
      <c r="BX25" s="60">
        <v>0</v>
      </c>
      <c r="BY25" s="60">
        <v>0</v>
      </c>
      <c r="BZ25" s="35"/>
      <c r="CA25" s="52">
        <v>20.2</v>
      </c>
      <c r="CB25" s="52">
        <v>20.2</v>
      </c>
      <c r="CC25" s="52">
        <v>20.2</v>
      </c>
      <c r="CD25" s="52">
        <v>20.2</v>
      </c>
      <c r="CE25" s="52">
        <v>20.2</v>
      </c>
      <c r="CF25" s="52">
        <v>20.2</v>
      </c>
      <c r="CG25" s="52">
        <v>20.2</v>
      </c>
      <c r="CH25" s="52">
        <v>20.2</v>
      </c>
      <c r="CI25" s="52">
        <v>20.2</v>
      </c>
      <c r="CJ25" s="52">
        <v>20.2</v>
      </c>
      <c r="CK25" s="53">
        <v>21.066859999999998</v>
      </c>
      <c r="CL25" s="53">
        <v>21.759139999999999</v>
      </c>
      <c r="CM25" s="53">
        <v>22.667850000000001</v>
      </c>
      <c r="CN25" s="53">
        <v>23.629539999999999</v>
      </c>
      <c r="CO25" s="53">
        <v>24.490220000000001</v>
      </c>
      <c r="CP25" s="53">
        <v>24.865739999999999</v>
      </c>
      <c r="CQ25" s="53">
        <v>25.615259999999999</v>
      </c>
      <c r="CR25" s="53">
        <v>26.182659999999998</v>
      </c>
      <c r="CS25" s="53">
        <v>26.667590000000001</v>
      </c>
      <c r="CT25" s="53">
        <v>26.898019999999999</v>
      </c>
      <c r="CU25" s="53">
        <v>27.07442</v>
      </c>
      <c r="CV25" s="53">
        <v>26.915189999999999</v>
      </c>
      <c r="CW25" s="53">
        <v>26.835809999999999</v>
      </c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</row>
    <row r="26" spans="1:115" ht="8.1" customHeight="1" x14ac:dyDescent="0.25">
      <c r="A26" s="35"/>
      <c r="B26" s="37"/>
      <c r="C26" s="25">
        <f>IF(OR(C67=0,C67=1),$W$44,IF(ISNUMBER(MATCH(C106,$BJ$5:$BJ$40000,0)),INDEX($BI$5:$BI$1792,MATCH(C106,$BJ$5:$BJ$40000,0),1),IF(CA64=0,-1,$BJ$3)))</f>
        <v>-1</v>
      </c>
      <c r="D26" s="25">
        <f>IF(OR(D67=0,D67=1),$W$44,IF(ISNUMBER(MATCH(D106,$BJ$5:$BJ$40000,0)),INDEX($BI$5:$BI$1792,MATCH(D106,$BJ$5:$BJ$40000,0),1),IF(CB64=0,-1,$BJ$3)))</f>
        <v>70</v>
      </c>
      <c r="E26" s="25">
        <f>IF(OR(E67=0,E67=1),$W$44,IF(ISNUMBER(MATCH(E106,$BJ$5:$BJ$40000,0)),INDEX($BI$5:$BI$1792,MATCH(E106,$BJ$5:$BJ$40000,0),1),IF(CC64=0,-1,$BJ$3)))</f>
        <v>70</v>
      </c>
      <c r="F26" s="25">
        <f>IF(OR(F67=0,F67=1),$W$44,IF(ISNUMBER(MATCH(F106,$BJ$5:$BJ$40000,0)),INDEX($BI$5:$BI$1792,MATCH(F106,$BJ$5:$BJ$40000,0),1),IF(CD64=0,-1,$BJ$3)))</f>
        <v>0</v>
      </c>
      <c r="G26" s="25">
        <f>IF(OR(G67=0,G67=1),$W$44,IF(ISNUMBER(MATCH(G106,$BJ$5:$BJ$40000,0)),INDEX($BI$5:$BI$1792,MATCH(G106,$BJ$5:$BJ$40000,0),1),IF(CE64=0,-1,$BJ$3)))</f>
        <v>0</v>
      </c>
      <c r="H26" s="25">
        <f>IF(OR(H67=0,H67=1),$W$44,IF(ISNUMBER(MATCH(H106,$BJ$5:$BJ$40000,0)),INDEX($BI$5:$BI$1792,MATCH(H106,$BJ$5:$BJ$40000,0),1),IF(CF64=0,-1,$BJ$3)))</f>
        <v>0</v>
      </c>
      <c r="I26" s="25">
        <f>IF(OR(I67=0,I67=1),$W$44,IF(ISNUMBER(MATCH(I106,$BJ$5:$BJ$40000,0)),INDEX($BI$5:$BI$1792,MATCH(I106,$BJ$5:$BJ$40000,0),1),IF(CG64=0,-1,$BJ$3)))</f>
        <v>0</v>
      </c>
      <c r="J26" s="25">
        <f>IF(OR(J67=0,J67=1),$W$44,IF(ISNUMBER(MATCH(J106,$BJ$5:$BJ$40000,0)),INDEX($BI$5:$BI$1792,MATCH(J106,$BJ$5:$BJ$40000,0),1),IF(CH64=0,-1,$BJ$3)))</f>
        <v>0</v>
      </c>
      <c r="K26" s="25">
        <f>IF(OR(K67=0,K67=1),$W$44,IF(ISNUMBER(MATCH(K106,$BJ$5:$BJ$40000,0)),INDEX($BI$5:$BI$1792,MATCH(K106,$BJ$5:$BJ$40000,0),1),IF(CI64=0,-1,$BJ$3)))</f>
        <v>0</v>
      </c>
      <c r="L26" s="25">
        <f>IF(OR(L67=0,L67=1),$W$44,IF(ISNUMBER(MATCH(L106,$BJ$5:$BJ$40000,0)),INDEX($BI$5:$BI$1792,MATCH(L106,$BJ$5:$BJ$40000,0),1),IF(CJ64=0,-1,$BJ$3)))</f>
        <v>0</v>
      </c>
      <c r="M26" s="25">
        <f>IF(OR(M67=0,M67=1),$W$44,IF(ISNUMBER(MATCH(M106,$BJ$5:$BJ$40000,0)),INDEX($BI$5:$BI$1792,MATCH(M106,$BJ$5:$BJ$40000,0),1),IF(CK64=0,-1,$BJ$3)))</f>
        <v>0</v>
      </c>
      <c r="N26" s="25">
        <f>IF(OR(N67=0,N67=1),$W$44,IF(ISNUMBER(MATCH(N106,$BJ$5:$BJ$40000,0)),INDEX($BI$5:$BI$1792,MATCH(N106,$BJ$5:$BJ$40000,0),1),IF(CL64=0,-1,$BJ$3)))</f>
        <v>0</v>
      </c>
      <c r="O26" s="25">
        <f>IF(OR(O67=0,O67=1),$W$44,IF(ISNUMBER(MATCH(O106,$BJ$5:$BJ$40000,0)),INDEX($BI$5:$BI$1792,MATCH(O106,$BJ$5:$BJ$40000,0),1),IF(CM64=0,-1,$BJ$3)))</f>
        <v>24</v>
      </c>
      <c r="P26" s="25">
        <f>IF(OR(P67=0,P67=1),$W$44,IF(ISNUMBER(MATCH(P106,$BJ$5:$BJ$40000,0)),INDEX($BI$5:$BI$1792,MATCH(P106,$BJ$5:$BJ$40000,0),1),IF(CN64=0,-1,$BJ$3)))</f>
        <v>0</v>
      </c>
      <c r="Q26" s="25">
        <f>IF(OR(Q67=0,Q67=1),$W$44,IF(ISNUMBER(MATCH(Q106,$BJ$5:$BJ$40000,0)),INDEX($BI$5:$BI$1792,MATCH(Q106,$BJ$5:$BJ$40000,0),1),IF(CO64=0,-1,$BJ$3)))</f>
        <v>0</v>
      </c>
      <c r="R26" s="25">
        <f>IF(OR(R67=0,R67=1),$W$44,IF(ISNUMBER(MATCH(R106,$BJ$5:$BJ$40000,0)),INDEX($BI$5:$BI$1792,MATCH(R106,$BJ$5:$BJ$40000,0),1),IF(CP64=0,-1,$BJ$3)))</f>
        <v>0</v>
      </c>
      <c r="S26" s="25">
        <f>IF(OR(S67=0,S67=1),$W$44,IF(ISNUMBER(MATCH(S106,$BJ$5:$BJ$40000,0)),INDEX($BI$5:$BI$1792,MATCH(S106,$BJ$5:$BJ$40000,0),1),IF(CQ64=0,-1,$BJ$3)))</f>
        <v>12</v>
      </c>
      <c r="T26" s="25">
        <f>IF(OR(T67=0,T67=1),$W$44,IF(ISNUMBER(MATCH(T106,$BJ$5:$BJ$40000,0)),INDEX($BI$5:$BI$1792,MATCH(T106,$BJ$5:$BJ$40000,0),1),IF(CR64=0,-1,$BJ$3)))</f>
        <v>0</v>
      </c>
      <c r="U26" s="25">
        <f>IF(OR(U67=0,U67=1),$W$44,IF(ISNUMBER(MATCH(U106,$BJ$5:$BJ$40000,0)),INDEX($BI$5:$BI$1792,MATCH(U106,$BJ$5:$BJ$40000,0),1),IF(CS64=0,-1,$BJ$3)))</f>
        <v>0</v>
      </c>
      <c r="V26" s="25">
        <f>IF(OR(V67=0,V67=1),$W$44,IF(ISNUMBER(MATCH(V106,$BJ$5:$BJ$40000,0)),INDEX($BI$5:$BI$1792,MATCH(V106,$BJ$5:$BJ$40000,0),1),IF(CT64=0,-1,$BJ$3)))</f>
        <v>0</v>
      </c>
      <c r="W26" s="25">
        <f>IF(OR(W67=0,W67=1),$W$44,IF(ISNUMBER(MATCH(W106,$BJ$5:$BJ$40000,0)),INDEX($BI$5:$BI$1792,MATCH(W106,$BJ$5:$BJ$40000,0),1),IF(CU64=0,-1,$BJ$3)))</f>
        <v>0</v>
      </c>
      <c r="X26" s="25">
        <f>IF(OR(X67=0,X67=1),$W$44,IF(ISNUMBER(MATCH(X106,$BJ$5:$BJ$40000,0)),INDEX($BI$5:$BI$1792,MATCH(X106,$BJ$5:$BJ$40000,0),1),IF(CV64=0,-1,$BJ$3)))</f>
        <v>0</v>
      </c>
      <c r="Y26" s="25">
        <f>IF(OR(Y67=0,Y67=1),$W$44,IF(ISNUMBER(MATCH(Y106,$BJ$5:$BJ$40000,0)),INDEX($BI$5:$BI$1792,MATCH(Y106,$BJ$5:$BJ$40000,0),1),IF(CW64=0,-1,$BJ$3)))</f>
        <v>0</v>
      </c>
      <c r="Z26" s="35"/>
      <c r="AA26" s="15">
        <v>1</v>
      </c>
      <c r="AB26" s="57">
        <v>20</v>
      </c>
      <c r="AC26" s="57">
        <v>12</v>
      </c>
      <c r="AD26" s="57">
        <v>3</v>
      </c>
      <c r="AE26" s="57">
        <v>4</v>
      </c>
      <c r="AF26" s="57">
        <v>400</v>
      </c>
      <c r="AG26" s="23" t="str">
        <f t="shared" si="1"/>
        <v>12,20</v>
      </c>
      <c r="AH26" s="1"/>
      <c r="AI26" s="15">
        <v>21</v>
      </c>
      <c r="AJ26" s="15">
        <v>21</v>
      </c>
      <c r="AK26" s="15" t="s">
        <v>31</v>
      </c>
      <c r="AL26" s="57">
        <v>400</v>
      </c>
      <c r="AM26" s="57">
        <v>5</v>
      </c>
      <c r="AN26" s="57">
        <v>1.7045454545454499E-3</v>
      </c>
      <c r="AO26" s="57">
        <v>39.795454545454497</v>
      </c>
      <c r="AP26" s="57">
        <v>1</v>
      </c>
      <c r="AQ26" s="57">
        <v>100</v>
      </c>
      <c r="AR26" s="57">
        <v>0.03</v>
      </c>
      <c r="AS26" s="57">
        <v>2</v>
      </c>
      <c r="AT26" s="57">
        <v>1</v>
      </c>
      <c r="AU26" s="57">
        <v>0</v>
      </c>
      <c r="AV26" s="57" t="s">
        <v>28</v>
      </c>
      <c r="AW26" s="58">
        <f>IF(AV25=AV26,AW25,MAX(AW$4:AW25)+1)</f>
        <v>3</v>
      </c>
      <c r="AX26" s="1"/>
      <c r="AY26" s="33">
        <v>21</v>
      </c>
      <c r="AZ26" s="33">
        <v>21</v>
      </c>
      <c r="BA26" s="11">
        <v>20</v>
      </c>
      <c r="BB26" s="11">
        <v>-22</v>
      </c>
      <c r="BC26" s="11"/>
      <c r="BD26" s="11">
        <f t="shared" si="4"/>
        <v>3</v>
      </c>
      <c r="BE26" s="1"/>
      <c r="BF26" s="56">
        <v>1</v>
      </c>
      <c r="BG26" s="57">
        <v>33</v>
      </c>
      <c r="BH26" s="57">
        <v>4</v>
      </c>
      <c r="BI26" s="57">
        <v>28</v>
      </c>
      <c r="BJ26" s="13" t="str">
        <f t="shared" si="3"/>
        <v>4,33</v>
      </c>
      <c r="BK26" s="35"/>
      <c r="BL26" s="8">
        <f t="shared" si="2"/>
        <v>22</v>
      </c>
      <c r="BM26" s="6">
        <f t="shared" si="6"/>
        <v>1</v>
      </c>
      <c r="BN26" s="6">
        <f t="shared" si="7"/>
        <v>22</v>
      </c>
      <c r="BO26" s="35"/>
      <c r="BP26" s="15">
        <v>21</v>
      </c>
      <c r="BQ26" s="60">
        <v>0</v>
      </c>
      <c r="BR26" s="57">
        <v>21</v>
      </c>
      <c r="BS26" s="57" t="s">
        <v>86</v>
      </c>
      <c r="BT26" s="57" t="s">
        <v>67</v>
      </c>
      <c r="BU26" s="57">
        <v>1</v>
      </c>
      <c r="BV26" s="60">
        <v>29.822769999999998</v>
      </c>
      <c r="BW26" s="57">
        <v>100</v>
      </c>
      <c r="BX26" s="60">
        <v>202.83249999999899</v>
      </c>
      <c r="BY26" s="60">
        <v>403.71699999999998</v>
      </c>
      <c r="BZ26" s="35"/>
      <c r="CA26" s="52">
        <v>20.2</v>
      </c>
      <c r="CB26" s="52">
        <v>20.2</v>
      </c>
      <c r="CC26" s="52">
        <v>20.2</v>
      </c>
      <c r="CD26" s="52">
        <v>20.2</v>
      </c>
      <c r="CE26" s="52">
        <v>20.2</v>
      </c>
      <c r="CF26" s="52">
        <v>20.2</v>
      </c>
      <c r="CG26" s="52">
        <v>20.2</v>
      </c>
      <c r="CH26" s="52">
        <v>20.2</v>
      </c>
      <c r="CI26" s="52">
        <v>20.2</v>
      </c>
      <c r="CJ26" s="52">
        <v>20.2</v>
      </c>
      <c r="CK26" s="53">
        <v>20.751429999999999</v>
      </c>
      <c r="CL26" s="53">
        <v>20.973649999999999</v>
      </c>
      <c r="CM26" s="53">
        <v>21.67653</v>
      </c>
      <c r="CN26" s="53">
        <v>22.416810000000002</v>
      </c>
      <c r="CO26" s="53">
        <v>22.925750000000001</v>
      </c>
      <c r="CP26" s="53">
        <v>23.270659999999999</v>
      </c>
      <c r="CQ26" s="53">
        <v>23.547519999999999</v>
      </c>
      <c r="CR26" s="53">
        <v>24.438929999999999</v>
      </c>
      <c r="CS26" s="53">
        <v>25.091989999999999</v>
      </c>
      <c r="CT26" s="53">
        <v>25.262989999999999</v>
      </c>
      <c r="CU26" s="53">
        <v>24.915479999999999</v>
      </c>
      <c r="CV26" s="53">
        <v>24.47344</v>
      </c>
      <c r="CW26" s="53">
        <v>24.68929</v>
      </c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</row>
    <row r="27" spans="1:115" ht="8.1" customHeight="1" x14ac:dyDescent="0.25">
      <c r="A27" s="35"/>
      <c r="B27" s="37"/>
      <c r="C27" s="25">
        <f>IF(OR(C68=0,C68=1),$W$44,IF(ISNUMBER(MATCH(C107,$BJ$5:$BJ$40000,0)),INDEX($BI$5:$BI$1792,MATCH(C107,$BJ$5:$BJ$40000,0),1),IF(CA65=0,-1,$BJ$3)))</f>
        <v>70</v>
      </c>
      <c r="D27" s="25">
        <f>IF(OR(D68=0,D68=1),$W$44,IF(ISNUMBER(MATCH(D107,$BJ$5:$BJ$40000,0)),INDEX($BI$5:$BI$1792,MATCH(D107,$BJ$5:$BJ$40000,0),1),IF(CB65=0,-1,$BJ$3)))</f>
        <v>70</v>
      </c>
      <c r="E27" s="25">
        <f>IF(OR(E68=0,E68=1),$W$44,IF(ISNUMBER(MATCH(E107,$BJ$5:$BJ$40000,0)),INDEX($BI$5:$BI$1792,MATCH(E107,$BJ$5:$BJ$40000,0),1),IF(CC65=0,-1,$BJ$3)))</f>
        <v>70</v>
      </c>
      <c r="F27" s="25">
        <f>IF(OR(F68=0,F68=1),$W$44,IF(ISNUMBER(MATCH(F107,$BJ$5:$BJ$40000,0)),INDEX($BI$5:$BI$1792,MATCH(F107,$BJ$5:$BJ$40000,0),1),IF(CD65=0,-1,$BJ$3)))</f>
        <v>70</v>
      </c>
      <c r="G27" s="25">
        <f>IF(OR(G68=0,G68=1),$W$44,IF(ISNUMBER(MATCH(G107,$BJ$5:$BJ$40000,0)),INDEX($BI$5:$BI$1792,MATCH(G107,$BJ$5:$BJ$40000,0),1),IF(CE65=0,-1,$BJ$3)))</f>
        <v>0</v>
      </c>
      <c r="H27" s="25">
        <f>IF(OR(H68=0,H68=1),$W$44,IF(ISNUMBER(MATCH(H107,$BJ$5:$BJ$40000,0)),INDEX($BI$5:$BI$1792,MATCH(H107,$BJ$5:$BJ$40000,0),1),IF(CF65=0,-1,$BJ$3)))</f>
        <v>0</v>
      </c>
      <c r="I27" s="25">
        <f>IF(OR(I68=0,I68=1),$W$44,IF(ISNUMBER(MATCH(I107,$BJ$5:$BJ$40000,0)),INDEX($BI$5:$BI$1792,MATCH(I107,$BJ$5:$BJ$40000,0),1),IF(CG65=0,-1,$BJ$3)))</f>
        <v>0</v>
      </c>
      <c r="J27" s="25">
        <f>IF(OR(J68=0,J68=1),$W$44,IF(ISNUMBER(MATCH(J107,$BJ$5:$BJ$40000,0)),INDEX($BI$5:$BI$1792,MATCH(J107,$BJ$5:$BJ$40000,0),1),IF(CH65=0,-1,$BJ$3)))</f>
        <v>0</v>
      </c>
      <c r="K27" s="25">
        <f>IF(OR(K68=0,K68=1),$W$44,IF(ISNUMBER(MATCH(K107,$BJ$5:$BJ$40000,0)),INDEX($BI$5:$BI$1792,MATCH(K107,$BJ$5:$BJ$40000,0),1),IF(CI65=0,-1,$BJ$3)))</f>
        <v>0</v>
      </c>
      <c r="L27" s="25">
        <f>IF(OR(L68=0,L68=1),$W$44,IF(ISNUMBER(MATCH(L107,$BJ$5:$BJ$40000,0)),INDEX($BI$5:$BI$1792,MATCH(L107,$BJ$5:$BJ$40000,0),1),IF(CJ65=0,-1,$BJ$3)))</f>
        <v>0</v>
      </c>
      <c r="M27" s="25">
        <f>IF(OR(M68=0,M68=1),$W$44,IF(ISNUMBER(MATCH(M107,$BJ$5:$BJ$40000,0)),INDEX($BI$5:$BI$1792,MATCH(M107,$BJ$5:$BJ$40000,0),1),IF(CK65=0,-1,$BJ$3)))</f>
        <v>0</v>
      </c>
      <c r="N27" s="25">
        <f>IF(OR(N68=0,N68=1),$W$44,IF(ISNUMBER(MATCH(N107,$BJ$5:$BJ$40000,0)),INDEX($BI$5:$BI$1792,MATCH(N107,$BJ$5:$BJ$40000,0),1),IF(CL65=0,-1,$BJ$3)))</f>
        <v>0</v>
      </c>
      <c r="O27" s="25">
        <f>IF(OR(O68=0,O68=1),$W$44,IF(ISNUMBER(MATCH(O107,$BJ$5:$BJ$40000,0)),INDEX($BI$5:$BI$1792,MATCH(O107,$BJ$5:$BJ$40000,0),1),IF(CM65=0,-1,$BJ$3)))</f>
        <v>25</v>
      </c>
      <c r="P27" s="25">
        <f>IF(OR(P68=0,P68=1),$W$44,IF(ISNUMBER(MATCH(P107,$BJ$5:$BJ$40000,0)),INDEX($BI$5:$BI$1792,MATCH(P107,$BJ$5:$BJ$40000,0),1),IF(CN65=0,-1,$BJ$3)))</f>
        <v>0</v>
      </c>
      <c r="Q27" s="25">
        <f>IF(OR(Q68=0,Q68=1),$W$44,IF(ISNUMBER(MATCH(Q107,$BJ$5:$BJ$40000,0)),INDEX($BI$5:$BI$1792,MATCH(Q107,$BJ$5:$BJ$40000,0),1),IF(CO65=0,-1,$BJ$3)))</f>
        <v>0</v>
      </c>
      <c r="R27" s="25">
        <f>IF(OR(R68=0,R68=1),$W$44,IF(ISNUMBER(MATCH(R107,$BJ$5:$BJ$40000,0)),INDEX($BI$5:$BI$1792,MATCH(R107,$BJ$5:$BJ$40000,0),1),IF(CP65=0,-1,$BJ$3)))</f>
        <v>13</v>
      </c>
      <c r="S27" s="25">
        <f>IF(OR(S68=0,S68=1),$W$44,IF(ISNUMBER(MATCH(S107,$BJ$5:$BJ$40000,0)),INDEX($BI$5:$BI$1792,MATCH(S107,$BJ$5:$BJ$40000,0),1),IF(CQ65=0,-1,$BJ$3)))</f>
        <v>0</v>
      </c>
      <c r="T27" s="25">
        <f>IF(OR(T68=0,T68=1),$W$44,IF(ISNUMBER(MATCH(T107,$BJ$5:$BJ$40000,0)),INDEX($BI$5:$BI$1792,MATCH(T107,$BJ$5:$BJ$40000,0),1),IF(CR65=0,-1,$BJ$3)))</f>
        <v>0</v>
      </c>
      <c r="U27" s="25">
        <f>IF(OR(U68=0,U68=1),$W$44,IF(ISNUMBER(MATCH(U107,$BJ$5:$BJ$40000,0)),INDEX($BI$5:$BI$1792,MATCH(U107,$BJ$5:$BJ$40000,0),1),IF(CS65=0,-1,$BJ$3)))</f>
        <v>0</v>
      </c>
      <c r="V27" s="25">
        <f>IF(OR(V68=0,V68=1),$W$44,IF(ISNUMBER(MATCH(V107,$BJ$5:$BJ$40000,0)),INDEX($BI$5:$BI$1792,MATCH(V107,$BJ$5:$BJ$40000,0),1),IF(CT65=0,-1,$BJ$3)))</f>
        <v>0</v>
      </c>
      <c r="W27" s="25">
        <f>IF(OR(W68=0,W68=1),$W$44,IF(ISNUMBER(MATCH(W107,$BJ$5:$BJ$40000,0)),INDEX($BI$5:$BI$1792,MATCH(W107,$BJ$5:$BJ$40000,0),1),IF(CU65=0,-1,$BJ$3)))</f>
        <v>0</v>
      </c>
      <c r="X27" s="25">
        <f>IF(OR(X68=0,X68=1),$W$44,IF(ISNUMBER(MATCH(X107,$BJ$5:$BJ$40000,0)),INDEX($BI$5:$BI$1792,MATCH(X107,$BJ$5:$BJ$40000,0),1),IF(CV65=0,-1,$BJ$3)))</f>
        <v>0</v>
      </c>
      <c r="Y27" s="25">
        <f>IF(OR(Y68=0,Y68=1),$W$44,IF(ISNUMBER(MATCH(Y107,$BJ$5:$BJ$40000,0)),INDEX($BI$5:$BI$1792,MATCH(Y107,$BJ$5:$BJ$40000,0),1),IF(CW65=0,-1,$BJ$3)))</f>
        <v>0</v>
      </c>
      <c r="Z27" s="35"/>
      <c r="AA27" s="15">
        <v>1</v>
      </c>
      <c r="AB27" s="57">
        <v>21</v>
      </c>
      <c r="AC27" s="57">
        <v>12</v>
      </c>
      <c r="AD27" s="57">
        <v>3</v>
      </c>
      <c r="AE27" s="57">
        <v>5</v>
      </c>
      <c r="AF27" s="57">
        <v>400</v>
      </c>
      <c r="AG27" s="23" t="str">
        <f t="shared" si="1"/>
        <v>12,21</v>
      </c>
      <c r="AH27" s="1"/>
      <c r="AI27" s="15">
        <v>22</v>
      </c>
      <c r="AJ27" s="15">
        <v>22</v>
      </c>
      <c r="AK27" s="15" t="s">
        <v>32</v>
      </c>
      <c r="AL27" s="57">
        <v>400</v>
      </c>
      <c r="AM27" s="57">
        <v>5</v>
      </c>
      <c r="AN27" s="57">
        <v>1.7045454545454499E-3</v>
      </c>
      <c r="AO27" s="57">
        <v>39.113636363636303</v>
      </c>
      <c r="AP27" s="57">
        <v>1</v>
      </c>
      <c r="AQ27" s="57">
        <v>100</v>
      </c>
      <c r="AR27" s="57">
        <v>0.03</v>
      </c>
      <c r="AS27" s="57">
        <v>2</v>
      </c>
      <c r="AT27" s="57">
        <v>1</v>
      </c>
      <c r="AU27" s="57">
        <v>0</v>
      </c>
      <c r="AV27" s="57" t="s">
        <v>28</v>
      </c>
      <c r="AW27" s="58">
        <f>IF(AV26=AV27,AW26,MAX(AW$4:AW26)+1)</f>
        <v>3</v>
      </c>
      <c r="AX27" s="1"/>
      <c r="AY27" s="33">
        <v>22</v>
      </c>
      <c r="AZ27" s="33">
        <v>22</v>
      </c>
      <c r="BA27" s="11">
        <v>21</v>
      </c>
      <c r="BB27" s="11">
        <v>-23</v>
      </c>
      <c r="BC27" s="11"/>
      <c r="BD27" s="11">
        <f t="shared" si="4"/>
        <v>4</v>
      </c>
      <c r="BE27" s="1"/>
      <c r="BF27" s="56">
        <v>1</v>
      </c>
      <c r="BG27" s="57">
        <v>33</v>
      </c>
      <c r="BH27" s="57">
        <v>5</v>
      </c>
      <c r="BI27" s="57">
        <v>28</v>
      </c>
      <c r="BJ27" s="13" t="str">
        <f t="shared" si="3"/>
        <v>5,33</v>
      </c>
      <c r="BK27" s="35"/>
      <c r="BL27" s="8">
        <f t="shared" si="2"/>
        <v>23</v>
      </c>
      <c r="BM27" s="6">
        <f t="shared" si="6"/>
        <v>1</v>
      </c>
      <c r="BN27" s="6">
        <f t="shared" si="7"/>
        <v>23</v>
      </c>
      <c r="BO27" s="35"/>
      <c r="BP27" s="15">
        <v>22</v>
      </c>
      <c r="BQ27" s="60">
        <v>0</v>
      </c>
      <c r="BR27" s="57">
        <v>22</v>
      </c>
      <c r="BS27" s="57" t="s">
        <v>87</v>
      </c>
      <c r="BT27" s="57" t="s">
        <v>70</v>
      </c>
      <c r="BU27" s="57">
        <v>1</v>
      </c>
      <c r="BV27" s="60">
        <v>0</v>
      </c>
      <c r="BW27" s="57">
        <v>0</v>
      </c>
      <c r="BX27" s="60">
        <v>0</v>
      </c>
      <c r="BY27" s="60">
        <v>0</v>
      </c>
      <c r="BZ27" s="35"/>
      <c r="CA27" s="52">
        <v>20.2</v>
      </c>
      <c r="CB27" s="52">
        <v>20.2</v>
      </c>
      <c r="CC27" s="52">
        <v>20.2</v>
      </c>
      <c r="CD27" s="52">
        <v>20.2</v>
      </c>
      <c r="CE27" s="52">
        <v>20.2</v>
      </c>
      <c r="CF27" s="52">
        <v>20.2</v>
      </c>
      <c r="CG27" s="52">
        <v>20.2</v>
      </c>
      <c r="CH27" s="52">
        <v>20.2</v>
      </c>
      <c r="CI27" s="52">
        <v>20.2</v>
      </c>
      <c r="CJ27" s="52">
        <v>20.2</v>
      </c>
      <c r="CK27" s="53">
        <v>20.318449999999999</v>
      </c>
      <c r="CL27" s="53">
        <v>20.626639999999998</v>
      </c>
      <c r="CM27" s="53">
        <v>21.227029999999999</v>
      </c>
      <c r="CN27" s="53">
        <v>21.80555</v>
      </c>
      <c r="CO27" s="53">
        <v>21.927700000000002</v>
      </c>
      <c r="CP27" s="53">
        <v>21.488219999999998</v>
      </c>
      <c r="CQ27" s="53">
        <v>21.621449999999999</v>
      </c>
      <c r="CR27" s="53">
        <v>22.655639999999998</v>
      </c>
      <c r="CS27" s="53">
        <v>23.63203</v>
      </c>
      <c r="CT27" s="53">
        <v>23.730060000000002</v>
      </c>
      <c r="CU27" s="53">
        <v>22.842230000000001</v>
      </c>
      <c r="CV27" s="53">
        <v>21.86355</v>
      </c>
      <c r="CW27" s="53">
        <v>22.10613</v>
      </c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</row>
    <row r="28" spans="1:115" ht="8.1" customHeight="1" x14ac:dyDescent="0.25">
      <c r="A28" s="35"/>
      <c r="B28" s="37"/>
      <c r="C28" s="25">
        <f>IF(OR(C69=0,C69=1),$W$44,IF(ISNUMBER(MATCH(C108,$BJ$5:$BJ$40000,0)),INDEX($BI$5:$BI$1792,MATCH(C108,$BJ$5:$BJ$40000,0),1),IF(CA66=0,-1,$BJ$3)))</f>
        <v>70</v>
      </c>
      <c r="D28" s="25">
        <f>IF(OR(D69=0,D69=1),$W$44,IF(ISNUMBER(MATCH(D108,$BJ$5:$BJ$40000,0)),INDEX($BI$5:$BI$1792,MATCH(D108,$BJ$5:$BJ$40000,0),1),IF(CB66=0,-1,$BJ$3)))</f>
        <v>70</v>
      </c>
      <c r="E28" s="25">
        <f>IF(OR(E69=0,E69=1),$W$44,IF(ISNUMBER(MATCH(E108,$BJ$5:$BJ$40000,0)),INDEX($BI$5:$BI$1792,MATCH(E108,$BJ$5:$BJ$40000,0),1),IF(CC66=0,-1,$BJ$3)))</f>
        <v>70</v>
      </c>
      <c r="F28" s="25">
        <f>IF(OR(F69=0,F69=1),$W$44,IF(ISNUMBER(MATCH(F108,$BJ$5:$BJ$40000,0)),INDEX($BI$5:$BI$1792,MATCH(F108,$BJ$5:$BJ$40000,0),1),IF(CD66=0,-1,$BJ$3)))</f>
        <v>70</v>
      </c>
      <c r="G28" s="25">
        <f>IF(OR(G69=0,G69=1),$W$44,IF(ISNUMBER(MATCH(G108,$BJ$5:$BJ$40000,0)),INDEX($BI$5:$BI$1792,MATCH(G108,$BJ$5:$BJ$40000,0),1),IF(CE66=0,-1,$BJ$3)))</f>
        <v>0</v>
      </c>
      <c r="H28" s="25">
        <f>IF(OR(H69=0,H69=1),$W$44,IF(ISNUMBER(MATCH(H108,$BJ$5:$BJ$40000,0)),INDEX($BI$5:$BI$1792,MATCH(H108,$BJ$5:$BJ$40000,0),1),IF(CF66=0,-1,$BJ$3)))</f>
        <v>0</v>
      </c>
      <c r="I28" s="25">
        <f>IF(OR(I69=0,I69=1),$W$44,IF(ISNUMBER(MATCH(I108,$BJ$5:$BJ$40000,0)),INDEX($BI$5:$BI$1792,MATCH(I108,$BJ$5:$BJ$40000,0),1),IF(CG66=0,-1,$BJ$3)))</f>
        <v>0</v>
      </c>
      <c r="J28" s="25">
        <f>IF(OR(J69=0,J69=1),$W$44,IF(ISNUMBER(MATCH(J108,$BJ$5:$BJ$40000,0)),INDEX($BI$5:$BI$1792,MATCH(J108,$BJ$5:$BJ$40000,0),1),IF(CH66=0,-1,$BJ$3)))</f>
        <v>0</v>
      </c>
      <c r="K28" s="25">
        <f>IF(OR(K69=0,K69=1),$W$44,IF(ISNUMBER(MATCH(K108,$BJ$5:$BJ$40000,0)),INDEX($BI$5:$BI$1792,MATCH(K108,$BJ$5:$BJ$40000,0),1),IF(CI66=0,-1,$BJ$3)))</f>
        <v>0</v>
      </c>
      <c r="L28" s="25">
        <f>IF(OR(L69=0,L69=1),$W$44,IF(ISNUMBER(MATCH(L108,$BJ$5:$BJ$40000,0)),INDEX($BI$5:$BI$1792,MATCH(L108,$BJ$5:$BJ$40000,0),1),IF(CJ66=0,-1,$BJ$3)))</f>
        <v>0</v>
      </c>
      <c r="M28" s="25">
        <f>IF(OR(M69=0,M69=1),$W$44,IF(ISNUMBER(MATCH(M108,$BJ$5:$BJ$40000,0)),INDEX($BI$5:$BI$1792,MATCH(M108,$BJ$5:$BJ$40000,0),1),IF(CK66=0,-1,$BJ$3)))</f>
        <v>0</v>
      </c>
      <c r="N28" s="25">
        <f>IF(OR(N69=0,N69=1),$W$44,IF(ISNUMBER(MATCH(N108,$BJ$5:$BJ$40000,0)),INDEX($BI$5:$BI$1792,MATCH(N108,$BJ$5:$BJ$40000,0),1),IF(CL66=0,-1,$BJ$3)))</f>
        <v>0</v>
      </c>
      <c r="O28" s="25">
        <f>IF(OR(O69=0,O69=1),$W$44,IF(ISNUMBER(MATCH(O108,$BJ$5:$BJ$40000,0)),INDEX($BI$5:$BI$1792,MATCH(O108,$BJ$5:$BJ$40000,0),1),IF(CM66=0,-1,$BJ$3)))</f>
        <v>26</v>
      </c>
      <c r="P28" s="25">
        <f>IF(OR(P69=0,P69=1),$W$44,IF(ISNUMBER(MATCH(P108,$BJ$5:$BJ$40000,0)),INDEX($BI$5:$BI$1792,MATCH(P108,$BJ$5:$BJ$40000,0),1),IF(CN66=0,-1,$BJ$3)))</f>
        <v>27</v>
      </c>
      <c r="Q28" s="25">
        <f>IF(OR(Q69=0,Q69=1),$W$44,IF(ISNUMBER(MATCH(Q108,$BJ$5:$BJ$40000,0)),INDEX($BI$5:$BI$1792,MATCH(Q108,$BJ$5:$BJ$40000,0),1),IF(CO66=0,-1,$BJ$3)))</f>
        <v>0</v>
      </c>
      <c r="R28" s="25">
        <f>IF(OR(R69=0,R69=1),$W$44,IF(ISNUMBER(MATCH(R108,$BJ$5:$BJ$40000,0)),INDEX($BI$5:$BI$1792,MATCH(R108,$BJ$5:$BJ$40000,0),1),IF(CP66=0,-1,$BJ$3)))</f>
        <v>14</v>
      </c>
      <c r="S28" s="25">
        <f>IF(OR(S69=0,S69=1),$W$44,IF(ISNUMBER(MATCH(S108,$BJ$5:$BJ$40000,0)),INDEX($BI$5:$BI$1792,MATCH(S108,$BJ$5:$BJ$40000,0),1),IF(CQ66=0,-1,$BJ$3)))</f>
        <v>0</v>
      </c>
      <c r="T28" s="25">
        <f>IF(OR(T69=0,T69=1),$W$44,IF(ISNUMBER(MATCH(T108,$BJ$5:$BJ$40000,0)),INDEX($BI$5:$BI$1792,MATCH(T108,$BJ$5:$BJ$40000,0),1),IF(CR66=0,-1,$BJ$3)))</f>
        <v>0</v>
      </c>
      <c r="U28" s="25">
        <f>IF(OR(U69=0,U69=1),$W$44,IF(ISNUMBER(MATCH(U108,$BJ$5:$BJ$40000,0)),INDEX($BI$5:$BI$1792,MATCH(U108,$BJ$5:$BJ$40000,0),1),IF(CS66=0,-1,$BJ$3)))</f>
        <v>0</v>
      </c>
      <c r="V28" s="25">
        <f>IF(OR(V69=0,V69=1),$W$44,IF(ISNUMBER(MATCH(V108,$BJ$5:$BJ$40000,0)),INDEX($BI$5:$BI$1792,MATCH(V108,$BJ$5:$BJ$40000,0),1),IF(CT66=0,-1,$BJ$3)))</f>
        <v>0</v>
      </c>
      <c r="W28" s="25">
        <f>IF(OR(W69=0,W69=1),$W$44,IF(ISNUMBER(MATCH(W108,$BJ$5:$BJ$40000,0)),INDEX($BI$5:$BI$1792,MATCH(W108,$BJ$5:$BJ$40000,0),1),IF(CU66=0,-1,$BJ$3)))</f>
        <v>0</v>
      </c>
      <c r="X28" s="25">
        <f>IF(OR(X69=0,X69=1),$W$44,IF(ISNUMBER(MATCH(X108,$BJ$5:$BJ$40000,0)),INDEX($BI$5:$BI$1792,MATCH(X108,$BJ$5:$BJ$40000,0),1),IF(CV66=0,-1,$BJ$3)))</f>
        <v>0</v>
      </c>
      <c r="Y28" s="25">
        <f>IF(OR(Y69=0,Y69=1),$W$44,IF(ISNUMBER(MATCH(Y108,$BJ$5:$BJ$40000,0)),INDEX($BI$5:$BI$1792,MATCH(Y108,$BJ$5:$BJ$40000,0),1),IF(CW66=0,-1,$BJ$3)))</f>
        <v>0</v>
      </c>
      <c r="Z28" s="35"/>
      <c r="AA28" s="15">
        <v>1</v>
      </c>
      <c r="AB28" s="57">
        <v>22</v>
      </c>
      <c r="AC28" s="57">
        <v>13</v>
      </c>
      <c r="AD28" s="57">
        <v>3</v>
      </c>
      <c r="AE28" s="57">
        <v>6</v>
      </c>
      <c r="AF28" s="57">
        <v>400</v>
      </c>
      <c r="AG28" s="23" t="str">
        <f t="shared" si="1"/>
        <v>13,22</v>
      </c>
      <c r="AH28" s="1"/>
      <c r="AI28" s="15">
        <v>23</v>
      </c>
      <c r="AJ28" s="15">
        <v>23</v>
      </c>
      <c r="AK28" s="15" t="s">
        <v>33</v>
      </c>
      <c r="AL28" s="57">
        <v>400</v>
      </c>
      <c r="AM28" s="57">
        <v>5</v>
      </c>
      <c r="AN28" s="57">
        <v>1.7045454545454499E-3</v>
      </c>
      <c r="AO28" s="57">
        <v>38.431818181818102</v>
      </c>
      <c r="AP28" s="57">
        <v>1</v>
      </c>
      <c r="AQ28" s="57">
        <v>100</v>
      </c>
      <c r="AR28" s="57">
        <v>0.03</v>
      </c>
      <c r="AS28" s="57">
        <v>2</v>
      </c>
      <c r="AT28" s="57">
        <v>1</v>
      </c>
      <c r="AU28" s="57">
        <v>0</v>
      </c>
      <c r="AV28" s="57" t="s">
        <v>28</v>
      </c>
      <c r="AW28" s="58">
        <f>IF(AV27=AV28,AW27,MAX(AW$4:AW27)+1)</f>
        <v>3</v>
      </c>
      <c r="AX28" s="1"/>
      <c r="AY28" s="33">
        <v>23</v>
      </c>
      <c r="AZ28" s="33">
        <v>23</v>
      </c>
      <c r="BA28" s="11">
        <v>22</v>
      </c>
      <c r="BB28" s="11">
        <v>-24</v>
      </c>
      <c r="BC28" s="11"/>
      <c r="BD28" s="11">
        <f t="shared" si="4"/>
        <v>5</v>
      </c>
      <c r="BE28" s="1"/>
      <c r="BF28" s="56">
        <v>1</v>
      </c>
      <c r="BG28" s="57">
        <v>33</v>
      </c>
      <c r="BH28" s="57">
        <v>6</v>
      </c>
      <c r="BI28" s="57">
        <v>28</v>
      </c>
      <c r="BJ28" s="13" t="str">
        <f t="shared" si="3"/>
        <v>6,33</v>
      </c>
      <c r="BK28" s="35"/>
      <c r="BL28" s="8">
        <f t="shared" si="2"/>
        <v>24</v>
      </c>
      <c r="BM28" s="6">
        <f t="shared" si="6"/>
        <v>1</v>
      </c>
      <c r="BN28" s="6">
        <f t="shared" si="7"/>
        <v>24</v>
      </c>
      <c r="BO28" s="35"/>
      <c r="BP28" s="15">
        <v>23</v>
      </c>
      <c r="BQ28" s="60">
        <v>0</v>
      </c>
      <c r="BR28" s="57">
        <v>23</v>
      </c>
      <c r="BS28" s="57" t="s">
        <v>88</v>
      </c>
      <c r="BT28" s="57" t="s">
        <v>70</v>
      </c>
      <c r="BU28" s="57">
        <v>1</v>
      </c>
      <c r="BV28" s="60">
        <v>0</v>
      </c>
      <c r="BW28" s="57">
        <v>0</v>
      </c>
      <c r="BX28" s="60">
        <v>0</v>
      </c>
      <c r="BY28" s="60">
        <v>0</v>
      </c>
      <c r="BZ28" s="35"/>
      <c r="CA28" s="52">
        <v>20.2</v>
      </c>
      <c r="CB28" s="52">
        <v>20.2</v>
      </c>
      <c r="CC28" s="52">
        <v>20.2</v>
      </c>
      <c r="CD28" s="52">
        <v>20.2</v>
      </c>
      <c r="CE28" s="52">
        <v>20.2</v>
      </c>
      <c r="CF28" s="52">
        <v>20.2</v>
      </c>
      <c r="CG28" s="52">
        <v>20.2</v>
      </c>
      <c r="CH28" s="52">
        <v>20.2</v>
      </c>
      <c r="CI28" s="52">
        <v>20.2</v>
      </c>
      <c r="CJ28" s="52">
        <v>20.2</v>
      </c>
      <c r="CK28" s="53">
        <v>20.19079</v>
      </c>
      <c r="CL28" s="53">
        <v>20.22231</v>
      </c>
      <c r="CM28" s="53">
        <v>20.550080000000001</v>
      </c>
      <c r="CN28" s="53">
        <v>20.993690000000001</v>
      </c>
      <c r="CO28" s="53">
        <v>21.011839999999999</v>
      </c>
      <c r="CP28" s="53">
        <v>20.54477</v>
      </c>
      <c r="CQ28" s="53">
        <v>20.376280000000001</v>
      </c>
      <c r="CR28" s="53">
        <v>21.22906</v>
      </c>
      <c r="CS28" s="53">
        <v>22.36863</v>
      </c>
      <c r="CT28" s="53">
        <v>22.445409999999999</v>
      </c>
      <c r="CU28" s="53">
        <v>21.56945</v>
      </c>
      <c r="CV28" s="53">
        <v>20.345310000000001</v>
      </c>
      <c r="CW28" s="53">
        <v>20.699919999999999</v>
      </c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</row>
    <row r="29" spans="1:115" ht="8.1" customHeight="1" x14ac:dyDescent="0.25">
      <c r="A29" s="35"/>
      <c r="B29" s="37"/>
      <c r="C29" s="25">
        <f>IF(OR(C70=0,C70=1),$W$44,IF(ISNUMBER(MATCH(C109,$BJ$5:$BJ$40000,0)),INDEX($BI$5:$BI$1792,MATCH(C109,$BJ$5:$BJ$40000,0),1),IF(CA67=0,-1,$BJ$3)))</f>
        <v>70</v>
      </c>
      <c r="D29" s="25">
        <f>IF(OR(D70=0,D70=1),$W$44,IF(ISNUMBER(MATCH(D109,$BJ$5:$BJ$40000,0)),INDEX($BI$5:$BI$1792,MATCH(D109,$BJ$5:$BJ$40000,0),1),IF(CB67=0,-1,$BJ$3)))</f>
        <v>70</v>
      </c>
      <c r="E29" s="25">
        <f>IF(OR(E70=0,E70=1),$W$44,IF(ISNUMBER(MATCH(E109,$BJ$5:$BJ$40000,0)),INDEX($BI$5:$BI$1792,MATCH(E109,$BJ$5:$BJ$40000,0),1),IF(CC67=0,-1,$BJ$3)))</f>
        <v>0</v>
      </c>
      <c r="F29" s="25">
        <f>IF(OR(F70=0,F70=1),$W$44,IF(ISNUMBER(MATCH(F109,$BJ$5:$BJ$40000,0)),INDEX($BI$5:$BI$1792,MATCH(F109,$BJ$5:$BJ$40000,0),1),IF(CD67=0,-1,$BJ$3)))</f>
        <v>0</v>
      </c>
      <c r="G29" s="25">
        <f>IF(OR(G70=0,G70=1),$W$44,IF(ISNUMBER(MATCH(G109,$BJ$5:$BJ$40000,0)),INDEX($BI$5:$BI$1792,MATCH(G109,$BJ$5:$BJ$40000,0),1),IF(CE67=0,-1,$BJ$3)))</f>
        <v>0</v>
      </c>
      <c r="H29" s="25">
        <f>IF(OR(H70=0,H70=1),$W$44,IF(ISNUMBER(MATCH(H109,$BJ$5:$BJ$40000,0)),INDEX($BI$5:$BI$1792,MATCH(H109,$BJ$5:$BJ$40000,0),1),IF(CF67=0,-1,$BJ$3)))</f>
        <v>0</v>
      </c>
      <c r="I29" s="25">
        <f>IF(OR(I70=0,I70=1),$W$44,IF(ISNUMBER(MATCH(I109,$BJ$5:$BJ$40000,0)),INDEX($BI$5:$BI$1792,MATCH(I109,$BJ$5:$BJ$40000,0),1),IF(CG67=0,-1,$BJ$3)))</f>
        <v>0</v>
      </c>
      <c r="J29" s="25">
        <f>IF(OR(J70=0,J70=1),$W$44,IF(ISNUMBER(MATCH(J109,$BJ$5:$BJ$40000,0)),INDEX($BI$5:$BI$1792,MATCH(J109,$BJ$5:$BJ$40000,0),1),IF(CH67=0,-1,$BJ$3)))</f>
        <v>0</v>
      </c>
      <c r="K29" s="25">
        <f>IF(OR(K70=0,K70=1),$W$44,IF(ISNUMBER(MATCH(K109,$BJ$5:$BJ$40000,0)),INDEX($BI$5:$BI$1792,MATCH(K109,$BJ$5:$BJ$40000,0),1),IF(CI67=0,-1,$BJ$3)))</f>
        <v>0</v>
      </c>
      <c r="L29" s="25">
        <f>IF(OR(L70=0,L70=1),$W$44,IF(ISNUMBER(MATCH(L109,$BJ$5:$BJ$40000,0)),INDEX($BI$5:$BI$1792,MATCH(L109,$BJ$5:$BJ$40000,0),1),IF(CJ67=0,-1,$BJ$3)))</f>
        <v>0</v>
      </c>
      <c r="M29" s="25">
        <f>IF(OR(M70=0,M70=1),$W$44,IF(ISNUMBER(MATCH(M109,$BJ$5:$BJ$40000,0)),INDEX($BI$5:$BI$1792,MATCH(M109,$BJ$5:$BJ$40000,0),1),IF(CK67=0,-1,$BJ$3)))</f>
        <v>0</v>
      </c>
      <c r="N29" s="25">
        <f>IF(OR(N70=0,N70=1),$W$44,IF(ISNUMBER(MATCH(N109,$BJ$5:$BJ$40000,0)),INDEX($BI$5:$BI$1792,MATCH(N109,$BJ$5:$BJ$40000,0),1),IF(CL67=0,-1,$BJ$3)))</f>
        <v>0</v>
      </c>
      <c r="O29" s="25">
        <f>IF(OR(O70=0,O70=1),$W$44,IF(ISNUMBER(MATCH(O109,$BJ$5:$BJ$40000,0)),INDEX($BI$5:$BI$1792,MATCH(O109,$BJ$5:$BJ$40000,0),1),IF(CM67=0,-1,$BJ$3)))</f>
        <v>0</v>
      </c>
      <c r="P29" s="25">
        <f>IF(OR(P70=0,P70=1),$W$44,IF(ISNUMBER(MATCH(P109,$BJ$5:$BJ$40000,0)),INDEX($BI$5:$BI$1792,MATCH(P109,$BJ$5:$BJ$40000,0),1),IF(CN67=0,-1,$BJ$3)))</f>
        <v>28</v>
      </c>
      <c r="Q29" s="25">
        <f>IF(OR(Q70=0,Q70=1),$W$44,IF(ISNUMBER(MATCH(Q109,$BJ$5:$BJ$40000,0)),INDEX($BI$5:$BI$1792,MATCH(Q109,$BJ$5:$BJ$40000,0),1),IF(CO67=0,-1,$BJ$3)))</f>
        <v>0</v>
      </c>
      <c r="R29" s="25">
        <f>IF(OR(R70=0,R70=1),$W$44,IF(ISNUMBER(MATCH(R109,$BJ$5:$BJ$40000,0)),INDEX($BI$5:$BI$1792,MATCH(R109,$BJ$5:$BJ$40000,0),1),IF(CP67=0,-1,$BJ$3)))</f>
        <v>15</v>
      </c>
      <c r="S29" s="25">
        <f>IF(OR(S70=0,S70=1),$W$44,IF(ISNUMBER(MATCH(S109,$BJ$5:$BJ$40000,0)),INDEX($BI$5:$BI$1792,MATCH(S109,$BJ$5:$BJ$40000,0),1),IF(CQ67=0,-1,$BJ$3)))</f>
        <v>0</v>
      </c>
      <c r="T29" s="25">
        <f>IF(OR(T70=0,T70=1),$W$44,IF(ISNUMBER(MATCH(T109,$BJ$5:$BJ$40000,0)),INDEX($BI$5:$BI$1792,MATCH(T109,$BJ$5:$BJ$40000,0),1),IF(CR67=0,-1,$BJ$3)))</f>
        <v>0</v>
      </c>
      <c r="U29" s="25">
        <f>IF(OR(U70=0,U70=1),$W$44,IF(ISNUMBER(MATCH(U109,$BJ$5:$BJ$40000,0)),INDEX($BI$5:$BI$1792,MATCH(U109,$BJ$5:$BJ$40000,0),1),IF(CS67=0,-1,$BJ$3)))</f>
        <v>0</v>
      </c>
      <c r="V29" s="25">
        <f>IF(OR(V70=0,V70=1),$W$44,IF(ISNUMBER(MATCH(V109,$BJ$5:$BJ$40000,0)),INDEX($BI$5:$BI$1792,MATCH(V109,$BJ$5:$BJ$40000,0),1),IF(CT67=0,-1,$BJ$3)))</f>
        <v>0</v>
      </c>
      <c r="W29" s="25">
        <f>IF(OR(W70=0,W70=1),$W$44,IF(ISNUMBER(MATCH(W109,$BJ$5:$BJ$40000,0)),INDEX($BI$5:$BI$1792,MATCH(W109,$BJ$5:$BJ$40000,0),1),IF(CU67=0,-1,$BJ$3)))</f>
        <v>0</v>
      </c>
      <c r="X29" s="25">
        <f>IF(OR(X70=0,X70=1),$W$44,IF(ISNUMBER(MATCH(X109,$BJ$5:$BJ$40000,0)),INDEX($BI$5:$BI$1792,MATCH(X109,$BJ$5:$BJ$40000,0),1),IF(CV67=0,-1,$BJ$3)))</f>
        <v>0</v>
      </c>
      <c r="Y29" s="25">
        <f>IF(OR(Y70=0,Y70=1),$W$44,IF(ISNUMBER(MATCH(Y109,$BJ$5:$BJ$40000,0)),INDEX($BI$5:$BI$1792,MATCH(Y109,$BJ$5:$BJ$40000,0),1),IF(CW67=0,-1,$BJ$3)))</f>
        <v>0</v>
      </c>
      <c r="Z29" s="35"/>
      <c r="AA29" s="15">
        <v>1</v>
      </c>
      <c r="AB29" s="57">
        <v>23</v>
      </c>
      <c r="AC29" s="57">
        <v>13</v>
      </c>
      <c r="AD29" s="57">
        <v>3</v>
      </c>
      <c r="AE29" s="57">
        <v>7</v>
      </c>
      <c r="AF29" s="57">
        <v>400</v>
      </c>
      <c r="AG29" s="23" t="str">
        <f t="shared" si="1"/>
        <v>13,23</v>
      </c>
      <c r="AH29" s="1"/>
      <c r="AI29" s="15">
        <v>24</v>
      </c>
      <c r="AJ29" s="15">
        <v>24</v>
      </c>
      <c r="AK29" s="15" t="s">
        <v>34</v>
      </c>
      <c r="AL29" s="57">
        <v>400</v>
      </c>
      <c r="AM29" s="57">
        <v>5</v>
      </c>
      <c r="AN29" s="57">
        <v>1.7045454545454499E-3</v>
      </c>
      <c r="AO29" s="57">
        <v>37.75</v>
      </c>
      <c r="AP29" s="57">
        <v>1</v>
      </c>
      <c r="AQ29" s="57">
        <v>100</v>
      </c>
      <c r="AR29" s="57">
        <v>0.03</v>
      </c>
      <c r="AS29" s="57">
        <v>2</v>
      </c>
      <c r="AT29" s="57">
        <v>1</v>
      </c>
      <c r="AU29" s="57">
        <v>0</v>
      </c>
      <c r="AV29" s="57" t="s">
        <v>28</v>
      </c>
      <c r="AW29" s="58">
        <f>IF(AV28=AV29,AW28,MAX(AW$4:AW28)+1)</f>
        <v>3</v>
      </c>
      <c r="AX29" s="1"/>
      <c r="AY29" s="33">
        <v>24</v>
      </c>
      <c r="AZ29" s="33">
        <v>24</v>
      </c>
      <c r="BA29" s="11">
        <v>23</v>
      </c>
      <c r="BB29" s="11">
        <v>-25</v>
      </c>
      <c r="BC29" s="11"/>
      <c r="BD29" s="11">
        <f t="shared" si="4"/>
        <v>6</v>
      </c>
      <c r="BE29" s="1"/>
      <c r="BF29" s="56">
        <v>1</v>
      </c>
      <c r="BG29" s="57">
        <v>33</v>
      </c>
      <c r="BH29" s="57">
        <v>7</v>
      </c>
      <c r="BI29" s="57">
        <v>28</v>
      </c>
      <c r="BJ29" s="13" t="str">
        <f t="shared" si="3"/>
        <v>7,33</v>
      </c>
      <c r="BK29" s="35"/>
      <c r="BL29" s="8">
        <f t="shared" si="2"/>
        <v>25</v>
      </c>
      <c r="BM29" s="6">
        <f t="shared" si="6"/>
        <v>1</v>
      </c>
      <c r="BN29" s="6">
        <f t="shared" si="7"/>
        <v>25</v>
      </c>
      <c r="BO29" s="35"/>
      <c r="BP29" s="15">
        <v>24</v>
      </c>
      <c r="BQ29" s="60">
        <v>0</v>
      </c>
      <c r="BR29" s="57">
        <v>24</v>
      </c>
      <c r="BS29" s="57" t="s">
        <v>89</v>
      </c>
      <c r="BT29" s="57" t="s">
        <v>70</v>
      </c>
      <c r="BU29" s="57">
        <v>1</v>
      </c>
      <c r="BV29" s="60">
        <v>0</v>
      </c>
      <c r="BW29" s="57">
        <v>0</v>
      </c>
      <c r="BX29" s="60">
        <v>0</v>
      </c>
      <c r="BY29" s="60">
        <v>0</v>
      </c>
      <c r="BZ29" s="35"/>
      <c r="CA29" s="52">
        <v>20.2</v>
      </c>
      <c r="CB29" s="52">
        <v>20.2</v>
      </c>
      <c r="CC29" s="52">
        <v>20.2</v>
      </c>
      <c r="CD29" s="52">
        <v>20.2</v>
      </c>
      <c r="CE29" s="52">
        <v>20.2</v>
      </c>
      <c r="CF29" s="52">
        <v>20.2</v>
      </c>
      <c r="CG29" s="52">
        <v>20.2</v>
      </c>
      <c r="CH29" s="52">
        <v>20.2</v>
      </c>
      <c r="CI29" s="52">
        <v>20.2</v>
      </c>
      <c r="CJ29" s="52">
        <v>20.11626</v>
      </c>
      <c r="CK29" s="53">
        <v>20.118829999999999</v>
      </c>
      <c r="CL29" s="53">
        <v>19.958870000000001</v>
      </c>
      <c r="CM29" s="53">
        <v>20.01943</v>
      </c>
      <c r="CN29" s="53">
        <v>20.624210000000001</v>
      </c>
      <c r="CO29" s="53">
        <v>20.578119999999998</v>
      </c>
      <c r="CP29" s="53">
        <v>20.365590000000001</v>
      </c>
      <c r="CQ29" s="53">
        <v>20.393799999999999</v>
      </c>
      <c r="CR29" s="53">
        <v>20.964700000000001</v>
      </c>
      <c r="CS29" s="53">
        <v>21.64537</v>
      </c>
      <c r="CT29" s="53">
        <v>21.72627</v>
      </c>
      <c r="CU29" s="53">
        <v>21.132429999999999</v>
      </c>
      <c r="CV29" s="53">
        <v>20.527729999999998</v>
      </c>
      <c r="CW29" s="53">
        <v>20.760200000000001</v>
      </c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</row>
    <row r="30" spans="1:115" ht="8.1" customHeight="1" x14ac:dyDescent="0.25">
      <c r="A30" s="35"/>
      <c r="B30" s="37"/>
      <c r="C30" s="25">
        <f>IF(OR(C71=0,C71=1),$W$44,IF(ISNUMBER(MATCH(C110,$BJ$5:$BJ$40000,0)),INDEX($BI$5:$BI$1792,MATCH(C110,$BJ$5:$BJ$40000,0),1),IF(CA68=0,-1,$BJ$3)))</f>
        <v>70</v>
      </c>
      <c r="D30" s="25">
        <f>IF(OR(D71=0,D71=1),$W$44,IF(ISNUMBER(MATCH(D110,$BJ$5:$BJ$40000,0)),INDEX($BI$5:$BI$1792,MATCH(D110,$BJ$5:$BJ$40000,0),1),IF(CB68=0,-1,$BJ$3)))</f>
        <v>70</v>
      </c>
      <c r="E30" s="25">
        <f>IF(OR(E71=0,E71=1),$W$44,IF(ISNUMBER(MATCH(E110,$BJ$5:$BJ$40000,0)),INDEX($BI$5:$BI$1792,MATCH(E110,$BJ$5:$BJ$40000,0),1),IF(CC68=0,-1,$BJ$3)))</f>
        <v>0</v>
      </c>
      <c r="F30" s="25">
        <f>IF(OR(F71=0,F71=1),$W$44,IF(ISNUMBER(MATCH(F110,$BJ$5:$BJ$40000,0)),INDEX($BI$5:$BI$1792,MATCH(F110,$BJ$5:$BJ$40000,0),1),IF(CD68=0,-1,$BJ$3)))</f>
        <v>0</v>
      </c>
      <c r="G30" s="25">
        <f>IF(OR(G71=0,G71=1),$W$44,IF(ISNUMBER(MATCH(G110,$BJ$5:$BJ$40000,0)),INDEX($BI$5:$BI$1792,MATCH(G110,$BJ$5:$BJ$40000,0),1),IF(CE68=0,-1,$BJ$3)))</f>
        <v>0</v>
      </c>
      <c r="H30" s="25">
        <f>IF(OR(H71=0,H71=1),$W$44,IF(ISNUMBER(MATCH(H110,$BJ$5:$BJ$40000,0)),INDEX($BI$5:$BI$1792,MATCH(H110,$BJ$5:$BJ$40000,0),1),IF(CF68=0,-1,$BJ$3)))</f>
        <v>0</v>
      </c>
      <c r="I30" s="25">
        <f>IF(OR(I71=0,I71=1),$W$44,IF(ISNUMBER(MATCH(I110,$BJ$5:$BJ$40000,0)),INDEX($BI$5:$BI$1792,MATCH(I110,$BJ$5:$BJ$40000,0),1),IF(CG68=0,-1,$BJ$3)))</f>
        <v>0</v>
      </c>
      <c r="J30" s="25">
        <f>IF(OR(J71=0,J71=1),$W$44,IF(ISNUMBER(MATCH(J110,$BJ$5:$BJ$40000,0)),INDEX($BI$5:$BI$1792,MATCH(J110,$BJ$5:$BJ$40000,0),1),IF(CH68=0,-1,$BJ$3)))</f>
        <v>0</v>
      </c>
      <c r="K30" s="25">
        <f>IF(OR(K71=0,K71=1),$W$44,IF(ISNUMBER(MATCH(K110,$BJ$5:$BJ$40000,0)),INDEX($BI$5:$BI$1792,MATCH(K110,$BJ$5:$BJ$40000,0),1),IF(CI68=0,-1,$BJ$3)))</f>
        <v>0</v>
      </c>
      <c r="L30" s="25">
        <f>IF(OR(L71=0,L71=1),$W$44,IF(ISNUMBER(MATCH(L110,$BJ$5:$BJ$40000,0)),INDEX($BI$5:$BI$1792,MATCH(L110,$BJ$5:$BJ$40000,0),1),IF(CJ68=0,-1,$BJ$3)))</f>
        <v>0</v>
      </c>
      <c r="M30" s="25">
        <f>IF(OR(M71=0,M71=1),$W$44,IF(ISNUMBER(MATCH(M110,$BJ$5:$BJ$40000,0)),INDEX($BI$5:$BI$1792,MATCH(M110,$BJ$5:$BJ$40000,0),1),IF(CK68=0,-1,$BJ$3)))</f>
        <v>0</v>
      </c>
      <c r="N30" s="25">
        <f>IF(OR(N71=0,N71=1),$W$44,IF(ISNUMBER(MATCH(N110,$BJ$5:$BJ$40000,0)),INDEX($BI$5:$BI$1792,MATCH(N110,$BJ$5:$BJ$40000,0),1),IF(CL68=0,-1,$BJ$3)))</f>
        <v>0</v>
      </c>
      <c r="O30" s="25">
        <f>IF(OR(O71=0,O71=1),$W$44,IF(ISNUMBER(MATCH(O110,$BJ$5:$BJ$40000,0)),INDEX($BI$5:$BI$1792,MATCH(O110,$BJ$5:$BJ$40000,0),1),IF(CM68=0,-1,$BJ$3)))</f>
        <v>0</v>
      </c>
      <c r="P30" s="25">
        <f>IF(OR(P71=0,P71=1),$W$44,IF(ISNUMBER(MATCH(P110,$BJ$5:$BJ$40000,0)),INDEX($BI$5:$BI$1792,MATCH(P110,$BJ$5:$BJ$40000,0),1),IF(CN68=0,-1,$BJ$3)))</f>
        <v>29</v>
      </c>
      <c r="Q30" s="25">
        <f>IF(OR(Q71=0,Q71=1),$W$44,IF(ISNUMBER(MATCH(Q110,$BJ$5:$BJ$40000,0)),INDEX($BI$5:$BI$1792,MATCH(Q110,$BJ$5:$BJ$40000,0),1),IF(CO68=0,-1,$BJ$3)))</f>
        <v>0</v>
      </c>
      <c r="R30" s="25">
        <f>IF(OR(R71=0,R71=1),$W$44,IF(ISNUMBER(MATCH(R110,$BJ$5:$BJ$40000,0)),INDEX($BI$5:$BI$1792,MATCH(R110,$BJ$5:$BJ$40000,0),1),IF(CP68=0,-1,$BJ$3)))</f>
        <v>16</v>
      </c>
      <c r="S30" s="25">
        <f>IF(OR(S71=0,S71=1),$W$44,IF(ISNUMBER(MATCH(S110,$BJ$5:$BJ$40000,0)),INDEX($BI$5:$BI$1792,MATCH(S110,$BJ$5:$BJ$40000,0),1),IF(CQ68=0,-1,$BJ$3)))</f>
        <v>0</v>
      </c>
      <c r="T30" s="25">
        <f>IF(OR(T71=0,T71=1),$W$44,IF(ISNUMBER(MATCH(T110,$BJ$5:$BJ$40000,0)),INDEX($BI$5:$BI$1792,MATCH(T110,$BJ$5:$BJ$40000,0),1),IF(CR68=0,-1,$BJ$3)))</f>
        <v>0</v>
      </c>
      <c r="U30" s="25">
        <f>IF(OR(U71=0,U71=1),$W$44,IF(ISNUMBER(MATCH(U110,$BJ$5:$BJ$40000,0)),INDEX($BI$5:$BI$1792,MATCH(U110,$BJ$5:$BJ$40000,0),1),IF(CS68=0,-1,$BJ$3)))</f>
        <v>0</v>
      </c>
      <c r="V30" s="25">
        <f>IF(OR(V71=0,V71=1),$W$44,IF(ISNUMBER(MATCH(V110,$BJ$5:$BJ$40000,0)),INDEX($BI$5:$BI$1792,MATCH(V110,$BJ$5:$BJ$40000,0),1),IF(CT68=0,-1,$BJ$3)))</f>
        <v>0</v>
      </c>
      <c r="W30" s="25">
        <f>IF(OR(W71=0,W71=1),$W$44,IF(ISNUMBER(MATCH(W110,$BJ$5:$BJ$40000,0)),INDEX($BI$5:$BI$1792,MATCH(W110,$BJ$5:$BJ$40000,0),1),IF(CU68=0,-1,$BJ$3)))</f>
        <v>0</v>
      </c>
      <c r="X30" s="25">
        <f>IF(OR(X71=0,X71=1),$W$44,IF(ISNUMBER(MATCH(X110,$BJ$5:$BJ$40000,0)),INDEX($BI$5:$BI$1792,MATCH(X110,$BJ$5:$BJ$40000,0),1),IF(CV68=0,-1,$BJ$3)))</f>
        <v>0</v>
      </c>
      <c r="Y30" s="25">
        <f>IF(OR(Y71=0,Y71=1),$W$44,IF(ISNUMBER(MATCH(Y110,$BJ$5:$BJ$40000,0)),INDEX($BI$5:$BI$1792,MATCH(Y110,$BJ$5:$BJ$40000,0),1),IF(CW68=0,-1,$BJ$3)))</f>
        <v>0</v>
      </c>
      <c r="Z30" s="35"/>
      <c r="AA30" s="15">
        <v>1</v>
      </c>
      <c r="AB30" s="57">
        <v>24</v>
      </c>
      <c r="AC30" s="57">
        <v>13</v>
      </c>
      <c r="AD30" s="57">
        <v>3</v>
      </c>
      <c r="AE30" s="57">
        <v>8</v>
      </c>
      <c r="AF30" s="57">
        <v>200</v>
      </c>
      <c r="AG30" s="23" t="str">
        <f t="shared" si="1"/>
        <v>13,24</v>
      </c>
      <c r="AH30" s="1"/>
      <c r="AI30" s="15">
        <v>25</v>
      </c>
      <c r="AJ30" s="15">
        <v>25</v>
      </c>
      <c r="AK30" s="15" t="s">
        <v>35</v>
      </c>
      <c r="AL30" s="57">
        <v>200</v>
      </c>
      <c r="AM30" s="57">
        <v>5</v>
      </c>
      <c r="AN30" s="57">
        <v>1.7045454545454499E-3</v>
      </c>
      <c r="AO30" s="57">
        <v>37.238636363636303</v>
      </c>
      <c r="AP30" s="57">
        <v>1</v>
      </c>
      <c r="AQ30" s="57">
        <v>100</v>
      </c>
      <c r="AR30" s="57">
        <v>0.03</v>
      </c>
      <c r="AS30" s="57">
        <v>2</v>
      </c>
      <c r="AT30" s="57">
        <v>1</v>
      </c>
      <c r="AU30" s="57">
        <v>0</v>
      </c>
      <c r="AV30" s="57" t="s">
        <v>28</v>
      </c>
      <c r="AW30" s="58">
        <f>IF(AV29=AV30,AW29,MAX(AW$4:AW29)+1)</f>
        <v>3</v>
      </c>
      <c r="AX30" s="1"/>
      <c r="AY30" s="33">
        <v>25</v>
      </c>
      <c r="AZ30" s="33">
        <v>25</v>
      </c>
      <c r="BA30" s="11">
        <v>24</v>
      </c>
      <c r="BB30" s="11">
        <v>-26</v>
      </c>
      <c r="BC30" s="11"/>
      <c r="BD30" s="11">
        <f t="shared" si="4"/>
        <v>7</v>
      </c>
      <c r="BE30" s="1"/>
      <c r="BF30" s="56">
        <v>1</v>
      </c>
      <c r="BG30" s="57">
        <v>34</v>
      </c>
      <c r="BH30" s="57">
        <v>8</v>
      </c>
      <c r="BI30" s="57">
        <v>28</v>
      </c>
      <c r="BJ30" s="13" t="str">
        <f t="shared" si="3"/>
        <v>8,34</v>
      </c>
      <c r="BK30" s="35"/>
      <c r="BL30" s="8">
        <f t="shared" si="2"/>
        <v>26</v>
      </c>
      <c r="BM30" s="6">
        <f t="shared" si="6"/>
        <v>1</v>
      </c>
      <c r="BN30" s="6">
        <f t="shared" si="7"/>
        <v>26</v>
      </c>
      <c r="BO30" s="35"/>
      <c r="BP30" s="15">
        <v>25</v>
      </c>
      <c r="BQ30" s="60">
        <v>0</v>
      </c>
      <c r="BR30" s="57">
        <v>25</v>
      </c>
      <c r="BS30" s="57" t="s">
        <v>90</v>
      </c>
      <c r="BT30" s="57" t="s">
        <v>70</v>
      </c>
      <c r="BU30" s="57">
        <v>1</v>
      </c>
      <c r="BV30" s="60">
        <v>0</v>
      </c>
      <c r="BW30" s="57">
        <v>0</v>
      </c>
      <c r="BX30" s="60">
        <v>0</v>
      </c>
      <c r="BY30" s="60">
        <v>0</v>
      </c>
      <c r="BZ30" s="35"/>
      <c r="CA30" s="52">
        <v>20.2</v>
      </c>
      <c r="CB30" s="52">
        <v>20.2</v>
      </c>
      <c r="CC30" s="52">
        <v>20.2</v>
      </c>
      <c r="CD30" s="52">
        <v>20.2</v>
      </c>
      <c r="CE30" s="52">
        <v>20.2</v>
      </c>
      <c r="CF30" s="52">
        <v>20.2</v>
      </c>
      <c r="CG30" s="52">
        <v>20.2</v>
      </c>
      <c r="CH30" s="52">
        <v>19.948989999999998</v>
      </c>
      <c r="CI30" s="52">
        <v>19.918990000000001</v>
      </c>
      <c r="CJ30" s="52">
        <v>19.73893</v>
      </c>
      <c r="CK30" s="53">
        <v>19.777650000000001</v>
      </c>
      <c r="CL30" s="53">
        <v>19.66836</v>
      </c>
      <c r="CM30" s="53">
        <v>19.301570000000002</v>
      </c>
      <c r="CN30" s="53">
        <v>19.601579999999998</v>
      </c>
      <c r="CO30" s="53">
        <v>20.028089999999999</v>
      </c>
      <c r="CP30" s="53">
        <v>20.47184</v>
      </c>
      <c r="CQ30" s="53">
        <v>20.39246</v>
      </c>
      <c r="CR30" s="53">
        <v>20.74231</v>
      </c>
      <c r="CS30" s="53">
        <v>20.998470000000001</v>
      </c>
      <c r="CT30" s="53">
        <v>21.57873</v>
      </c>
      <c r="CU30" s="53">
        <v>21.351610000000001</v>
      </c>
      <c r="CV30" s="53">
        <v>21.111139999999999</v>
      </c>
      <c r="CW30" s="53">
        <v>21.204080000000001</v>
      </c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</row>
    <row r="31" spans="1:115" ht="8.1" customHeight="1" x14ac:dyDescent="0.25">
      <c r="A31" s="35"/>
      <c r="B31" s="37"/>
      <c r="C31" s="25">
        <f>IF(OR(C72=0,C72=1),$W$44,IF(ISNUMBER(MATCH(C111,$BJ$5:$BJ$40000,0)),INDEX($BI$5:$BI$1792,MATCH(C111,$BJ$5:$BJ$40000,0),1),IF(CA69=0,-1,$BJ$3)))</f>
        <v>0</v>
      </c>
      <c r="D31" s="25">
        <f>IF(OR(D72=0,D72=1),$W$44,IF(ISNUMBER(MATCH(D111,$BJ$5:$BJ$40000,0)),INDEX($BI$5:$BI$1792,MATCH(D111,$BJ$5:$BJ$40000,0),1),IF(CB69=0,-1,$BJ$3)))</f>
        <v>0</v>
      </c>
      <c r="E31" s="25">
        <f>IF(OR(E72=0,E72=1),$W$44,IF(ISNUMBER(MATCH(E111,$BJ$5:$BJ$40000,0)),INDEX($BI$5:$BI$1792,MATCH(E111,$BJ$5:$BJ$40000,0),1),IF(CC69=0,-1,$BJ$3)))</f>
        <v>0</v>
      </c>
      <c r="F31" s="25">
        <f>IF(OR(F72=0,F72=1),$W$44,IF(ISNUMBER(MATCH(F111,$BJ$5:$BJ$40000,0)),INDEX($BI$5:$BI$1792,MATCH(F111,$BJ$5:$BJ$40000,0),1),IF(CD69=0,-1,$BJ$3)))</f>
        <v>0</v>
      </c>
      <c r="G31" s="25">
        <f>IF(OR(G72=0,G72=1),$W$44,IF(ISNUMBER(MATCH(G111,$BJ$5:$BJ$40000,0)),INDEX($BI$5:$BI$1792,MATCH(G111,$BJ$5:$BJ$40000,0),1),IF(CE69=0,-1,$BJ$3)))</f>
        <v>0</v>
      </c>
      <c r="H31" s="25">
        <f>IF(OR(H72=0,H72=1),$W$44,IF(ISNUMBER(MATCH(H111,$BJ$5:$BJ$40000,0)),INDEX($BI$5:$BI$1792,MATCH(H111,$BJ$5:$BJ$40000,0),1),IF(CF69=0,-1,$BJ$3)))</f>
        <v>0</v>
      </c>
      <c r="I31" s="25">
        <f>IF(OR(I72=0,I72=1),$W$44,IF(ISNUMBER(MATCH(I111,$BJ$5:$BJ$40000,0)),INDEX($BI$5:$BI$1792,MATCH(I111,$BJ$5:$BJ$40000,0),1),IF(CG69=0,-1,$BJ$3)))</f>
        <v>0</v>
      </c>
      <c r="J31" s="25">
        <f>IF(OR(J72=0,J72=1),$W$44,IF(ISNUMBER(MATCH(J111,$BJ$5:$BJ$40000,0)),INDEX($BI$5:$BI$1792,MATCH(J111,$BJ$5:$BJ$40000,0),1),IF(CH69=0,-1,$BJ$3)))</f>
        <v>0</v>
      </c>
      <c r="K31" s="25">
        <f>IF(OR(K72=0,K72=1),$W$44,IF(ISNUMBER(MATCH(K111,$BJ$5:$BJ$40000,0)),INDEX($BI$5:$BI$1792,MATCH(K111,$BJ$5:$BJ$40000,0),1),IF(CI69=0,-1,$BJ$3)))</f>
        <v>0</v>
      </c>
      <c r="L31" s="25">
        <f>IF(OR(L72=0,L72=1),$W$44,IF(ISNUMBER(MATCH(L111,$BJ$5:$BJ$40000,0)),INDEX($BI$5:$BI$1792,MATCH(L111,$BJ$5:$BJ$40000,0),1),IF(CJ69=0,-1,$BJ$3)))</f>
        <v>0</v>
      </c>
      <c r="M31" s="25">
        <f>IF(OR(M72=0,M72=1),$W$44,IF(ISNUMBER(MATCH(M111,$BJ$5:$BJ$40000,0)),INDEX($BI$5:$BI$1792,MATCH(M111,$BJ$5:$BJ$40000,0),1),IF(CK69=0,-1,$BJ$3)))</f>
        <v>0</v>
      </c>
      <c r="N31" s="25">
        <f>IF(OR(N72=0,N72=1),$W$44,IF(ISNUMBER(MATCH(N111,$BJ$5:$BJ$40000,0)),INDEX($BI$5:$BI$1792,MATCH(N111,$BJ$5:$BJ$40000,0),1),IF(CL69=0,-1,$BJ$3)))</f>
        <v>0</v>
      </c>
      <c r="O31" s="25">
        <f>IF(OR(O72=0,O72=1),$W$44,IF(ISNUMBER(MATCH(O111,$BJ$5:$BJ$40000,0)),INDEX($BI$5:$BI$1792,MATCH(O111,$BJ$5:$BJ$40000,0),1),IF(CM69=0,-1,$BJ$3)))</f>
        <v>0</v>
      </c>
      <c r="P31" s="25">
        <f>IF(OR(P72=0,P72=1),$W$44,IF(ISNUMBER(MATCH(P111,$BJ$5:$BJ$40000,0)),INDEX($BI$5:$BI$1792,MATCH(P111,$BJ$5:$BJ$40000,0),1),IF(CN69=0,-1,$BJ$3)))</f>
        <v>30</v>
      </c>
      <c r="Q31" s="25">
        <f>IF(OR(Q72=0,Q72=1),$W$44,IF(ISNUMBER(MATCH(Q111,$BJ$5:$BJ$40000,0)),INDEX($BI$5:$BI$1792,MATCH(Q111,$BJ$5:$BJ$40000,0),1),IF(CO69=0,-1,$BJ$3)))</f>
        <v>0</v>
      </c>
      <c r="R31" s="25">
        <f>IF(OR(R72=0,R72=1),$W$44,IF(ISNUMBER(MATCH(R111,$BJ$5:$BJ$40000,0)),INDEX($BI$5:$BI$1792,MATCH(R111,$BJ$5:$BJ$40000,0),1),IF(CP69=0,-1,$BJ$3)))</f>
        <v>17</v>
      </c>
      <c r="S31" s="25">
        <f>IF(OR(S72=0,S72=1),$W$44,IF(ISNUMBER(MATCH(S111,$BJ$5:$BJ$40000,0)),INDEX($BI$5:$BI$1792,MATCH(S111,$BJ$5:$BJ$40000,0),1),IF(CQ69=0,-1,$BJ$3)))</f>
        <v>0</v>
      </c>
      <c r="T31" s="25">
        <f>IF(OR(T72=0,T72=1),$W$44,IF(ISNUMBER(MATCH(T111,$BJ$5:$BJ$40000,0)),INDEX($BI$5:$BI$1792,MATCH(T111,$BJ$5:$BJ$40000,0),1),IF(CR69=0,-1,$BJ$3)))</f>
        <v>0</v>
      </c>
      <c r="U31" s="25">
        <f>IF(OR(U72=0,U72=1),$W$44,IF(ISNUMBER(MATCH(U111,$BJ$5:$BJ$40000,0)),INDEX($BI$5:$BI$1792,MATCH(U111,$BJ$5:$BJ$40000,0),1),IF(CS69=0,-1,$BJ$3)))</f>
        <v>0</v>
      </c>
      <c r="V31" s="25">
        <f>IF(OR(V72=0,V72=1),$W$44,IF(ISNUMBER(MATCH(V111,$BJ$5:$BJ$40000,0)),INDEX($BI$5:$BI$1792,MATCH(V111,$BJ$5:$BJ$40000,0),1),IF(CT69=0,-1,$BJ$3)))</f>
        <v>0</v>
      </c>
      <c r="W31" s="25">
        <f>IF(OR(W72=0,W72=1),$W$44,IF(ISNUMBER(MATCH(W111,$BJ$5:$BJ$40000,0)),INDEX($BI$5:$BI$1792,MATCH(W111,$BJ$5:$BJ$40000,0),1),IF(CU69=0,-1,$BJ$3)))</f>
        <v>0</v>
      </c>
      <c r="X31" s="25">
        <f>IF(OR(X72=0,X72=1),$W$44,IF(ISNUMBER(MATCH(X111,$BJ$5:$BJ$40000,0)),INDEX($BI$5:$BI$1792,MATCH(X111,$BJ$5:$BJ$40000,0),1),IF(CV69=0,-1,$BJ$3)))</f>
        <v>0</v>
      </c>
      <c r="Y31" s="25">
        <f>IF(OR(Y72=0,Y72=1),$W$44,IF(ISNUMBER(MATCH(Y111,$BJ$5:$BJ$40000,0)),INDEX($BI$5:$BI$1792,MATCH(Y111,$BJ$5:$BJ$40000,0),1),IF(CW69=0,-1,$BJ$3)))</f>
        <v>0</v>
      </c>
      <c r="Z31" s="35"/>
      <c r="AA31" s="15">
        <v>1</v>
      </c>
      <c r="AB31" s="57">
        <v>24</v>
      </c>
      <c r="AC31" s="57">
        <v>14</v>
      </c>
      <c r="AD31" s="57">
        <v>3</v>
      </c>
      <c r="AE31" s="57">
        <v>9</v>
      </c>
      <c r="AF31" s="57">
        <v>200</v>
      </c>
      <c r="AG31" s="23" t="str">
        <f t="shared" si="1"/>
        <v>14,24</v>
      </c>
      <c r="AH31" s="1"/>
      <c r="AI31" s="15">
        <v>26</v>
      </c>
      <c r="AJ31" s="15">
        <v>26</v>
      </c>
      <c r="AK31" s="15" t="s">
        <v>36</v>
      </c>
      <c r="AL31" s="57">
        <v>200</v>
      </c>
      <c r="AM31" s="57">
        <v>5</v>
      </c>
      <c r="AN31" s="57">
        <v>1.7045454545454499E-3</v>
      </c>
      <c r="AO31" s="57">
        <v>36.897727272727202</v>
      </c>
      <c r="AP31" s="57">
        <v>1</v>
      </c>
      <c r="AQ31" s="57">
        <v>100</v>
      </c>
      <c r="AR31" s="57">
        <v>0.03</v>
      </c>
      <c r="AS31" s="57">
        <v>2</v>
      </c>
      <c r="AT31" s="57">
        <v>1</v>
      </c>
      <c r="AU31" s="57">
        <v>0</v>
      </c>
      <c r="AV31" s="57" t="s">
        <v>28</v>
      </c>
      <c r="AW31" s="58">
        <f>IF(AV30=AV31,AW30,MAX(AW$4:AW30)+1)</f>
        <v>3</v>
      </c>
      <c r="AX31" s="1"/>
      <c r="AY31" s="33">
        <v>26</v>
      </c>
      <c r="AZ31" s="33">
        <v>26</v>
      </c>
      <c r="BA31" s="11">
        <v>25</v>
      </c>
      <c r="BB31" s="11">
        <v>-27</v>
      </c>
      <c r="BC31" s="11"/>
      <c r="BD31" s="11">
        <f t="shared" si="4"/>
        <v>8</v>
      </c>
      <c r="BE31" s="1"/>
      <c r="BF31" s="56">
        <v>1</v>
      </c>
      <c r="BG31" s="57">
        <v>34</v>
      </c>
      <c r="BH31" s="57">
        <v>9</v>
      </c>
      <c r="BI31" s="57">
        <v>28</v>
      </c>
      <c r="BJ31" s="13" t="str">
        <f t="shared" si="3"/>
        <v>9,34</v>
      </c>
      <c r="BK31" s="35"/>
      <c r="BL31" s="8">
        <f t="shared" si="2"/>
        <v>27</v>
      </c>
      <c r="BM31" s="6">
        <f t="shared" si="6"/>
        <v>1</v>
      </c>
      <c r="BN31" s="6">
        <f t="shared" si="7"/>
        <v>27</v>
      </c>
      <c r="BO31" s="35"/>
      <c r="BP31" s="15">
        <v>26</v>
      </c>
      <c r="BQ31" s="60">
        <v>0</v>
      </c>
      <c r="BR31" s="57">
        <v>26</v>
      </c>
      <c r="BS31" s="57" t="s">
        <v>91</v>
      </c>
      <c r="BT31" s="57" t="s">
        <v>70</v>
      </c>
      <c r="BU31" s="57">
        <v>1</v>
      </c>
      <c r="BV31" s="60">
        <v>0</v>
      </c>
      <c r="BW31" s="57">
        <v>0</v>
      </c>
      <c r="BX31" s="60">
        <v>0</v>
      </c>
      <c r="BY31" s="60">
        <v>0</v>
      </c>
      <c r="BZ31" s="35"/>
      <c r="CA31" s="52">
        <v>20.2</v>
      </c>
      <c r="CB31" s="52">
        <v>20.2</v>
      </c>
      <c r="CC31" s="52">
        <v>20.2</v>
      </c>
      <c r="CD31" s="52">
        <v>20.2</v>
      </c>
      <c r="CE31" s="52">
        <v>20.2</v>
      </c>
      <c r="CF31" s="52">
        <v>20.2</v>
      </c>
      <c r="CG31" s="52">
        <v>19.83297</v>
      </c>
      <c r="CH31" s="52">
        <v>19.75254</v>
      </c>
      <c r="CI31" s="52">
        <v>19.31251</v>
      </c>
      <c r="CJ31" s="52">
        <v>19.290590000000002</v>
      </c>
      <c r="CK31" s="53">
        <v>19.276050000000001</v>
      </c>
      <c r="CL31" s="53">
        <v>18.936450000000001</v>
      </c>
      <c r="CM31" s="53">
        <v>18.819600000000001</v>
      </c>
      <c r="CN31" s="53">
        <v>19.16253</v>
      </c>
      <c r="CO31" s="53">
        <v>19.077190000000002</v>
      </c>
      <c r="CP31" s="53">
        <v>19.253820000000001</v>
      </c>
      <c r="CQ31" s="53">
        <v>20.17135</v>
      </c>
      <c r="CR31" s="53">
        <v>20.532139999999998</v>
      </c>
      <c r="CS31" s="53">
        <v>20.67765</v>
      </c>
      <c r="CT31" s="53">
        <v>20.787929999999999</v>
      </c>
      <c r="CU31" s="53">
        <v>20.83464</v>
      </c>
      <c r="CV31" s="53">
        <v>21.349869999999999</v>
      </c>
      <c r="CW31" s="53">
        <v>21.437909999999999</v>
      </c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</row>
    <row r="32" spans="1:115" ht="8.1" customHeight="1" x14ac:dyDescent="0.25">
      <c r="A32" s="35"/>
      <c r="B32" s="37"/>
      <c r="C32" s="25">
        <f>IF(OR(C73=0,C73=1),$W$44,IF(ISNUMBER(MATCH(C112,$BJ$5:$BJ$40000,0)),INDEX($BI$5:$BI$1792,MATCH(C112,$BJ$5:$BJ$40000,0),1),IF(CA70=0,-1,$BJ$3)))</f>
        <v>0</v>
      </c>
      <c r="D32" s="25">
        <f>IF(OR(D73=0,D73=1),$W$44,IF(ISNUMBER(MATCH(D112,$BJ$5:$BJ$40000,0)),INDEX($BI$5:$BI$1792,MATCH(D112,$BJ$5:$BJ$40000,0),1),IF(CB70=0,-1,$BJ$3)))</f>
        <v>0</v>
      </c>
      <c r="E32" s="25">
        <f>IF(OR(E73=0,E73=1),$W$44,IF(ISNUMBER(MATCH(E112,$BJ$5:$BJ$40000,0)),INDEX($BI$5:$BI$1792,MATCH(E112,$BJ$5:$BJ$40000,0),1),IF(CC70=0,-1,$BJ$3)))</f>
        <v>0</v>
      </c>
      <c r="F32" s="25">
        <f>IF(OR(F73=0,F73=1),$W$44,IF(ISNUMBER(MATCH(F112,$BJ$5:$BJ$40000,0)),INDEX($BI$5:$BI$1792,MATCH(F112,$BJ$5:$BJ$40000,0),1),IF(CD70=0,-1,$BJ$3)))</f>
        <v>0</v>
      </c>
      <c r="G32" s="25">
        <f>IF(OR(G73=0,G73=1),$W$44,IF(ISNUMBER(MATCH(G112,$BJ$5:$BJ$40000,0)),INDEX($BI$5:$BI$1792,MATCH(G112,$BJ$5:$BJ$40000,0),1),IF(CE70=0,-1,$BJ$3)))</f>
        <v>0</v>
      </c>
      <c r="H32" s="25">
        <f>IF(OR(H73=0,H73=1),$W$44,IF(ISNUMBER(MATCH(H112,$BJ$5:$BJ$40000,0)),INDEX($BI$5:$BI$1792,MATCH(H112,$BJ$5:$BJ$40000,0),1),IF(CF70=0,-1,$BJ$3)))</f>
        <v>0</v>
      </c>
      <c r="I32" s="25">
        <f>IF(OR(I73=0,I73=1),$W$44,IF(ISNUMBER(MATCH(I112,$BJ$5:$BJ$40000,0)),INDEX($BI$5:$BI$1792,MATCH(I112,$BJ$5:$BJ$40000,0),1),IF(CG70=0,-1,$BJ$3)))</f>
        <v>0</v>
      </c>
      <c r="J32" s="25">
        <f>IF(OR(J73=0,J73=1),$W$44,IF(ISNUMBER(MATCH(J112,$BJ$5:$BJ$40000,0)),INDEX($BI$5:$BI$1792,MATCH(J112,$BJ$5:$BJ$40000,0),1),IF(CH70=0,-1,$BJ$3)))</f>
        <v>0</v>
      </c>
      <c r="K32" s="25">
        <f>IF(OR(K73=0,K73=1),$W$44,IF(ISNUMBER(MATCH(K112,$BJ$5:$BJ$40000,0)),INDEX($BI$5:$BI$1792,MATCH(K112,$BJ$5:$BJ$40000,0),1),IF(CI70=0,-1,$BJ$3)))</f>
        <v>0</v>
      </c>
      <c r="L32" s="25">
        <f>IF(OR(L73=0,L73=1),$W$44,IF(ISNUMBER(MATCH(L112,$BJ$5:$BJ$40000,0)),INDEX($BI$5:$BI$1792,MATCH(L112,$BJ$5:$BJ$40000,0),1),IF(CJ70=0,-1,$BJ$3)))</f>
        <v>0</v>
      </c>
      <c r="M32" s="25">
        <f>IF(OR(M73=0,M73=1),$W$44,IF(ISNUMBER(MATCH(M112,$BJ$5:$BJ$40000,0)),INDEX($BI$5:$BI$1792,MATCH(M112,$BJ$5:$BJ$40000,0),1),IF(CK70=0,-1,$BJ$3)))</f>
        <v>0</v>
      </c>
      <c r="N32" s="25">
        <f>IF(OR(N73=0,N73=1),$W$44,IF(ISNUMBER(MATCH(N112,$BJ$5:$BJ$40000,0)),INDEX($BI$5:$BI$1792,MATCH(N112,$BJ$5:$BJ$40000,0),1),IF(CL70=0,-1,$BJ$3)))</f>
        <v>0</v>
      </c>
      <c r="O32" s="25">
        <f>IF(OR(O73=0,O73=1),$W$44,IF(ISNUMBER(MATCH(O112,$BJ$5:$BJ$40000,0)),INDEX($BI$5:$BI$1792,MATCH(O112,$BJ$5:$BJ$40000,0),1),IF(CM70=0,-1,$BJ$3)))</f>
        <v>0</v>
      </c>
      <c r="P32" s="25">
        <f>IF(OR(P73=0,P73=1),$W$44,IF(ISNUMBER(MATCH(P112,$BJ$5:$BJ$40000,0)),INDEX($BI$5:$BI$1792,MATCH(P112,$BJ$5:$BJ$40000,0),1),IF(CN70=0,-1,$BJ$3)))</f>
        <v>0</v>
      </c>
      <c r="Q32" s="25">
        <f>IF(OR(Q73=0,Q73=1),$W$44,IF(ISNUMBER(MATCH(Q112,$BJ$5:$BJ$40000,0)),INDEX($BI$5:$BI$1792,MATCH(Q112,$BJ$5:$BJ$40000,0),1),IF(CO70=0,-1,$BJ$3)))</f>
        <v>18</v>
      </c>
      <c r="R32" s="25">
        <f>IF(OR(R73=0,R73=1),$W$44,IF(ISNUMBER(MATCH(R112,$BJ$5:$BJ$40000,0)),INDEX($BI$5:$BI$1792,MATCH(R112,$BJ$5:$BJ$40000,0),1),IF(CP70=0,-1,$BJ$3)))</f>
        <v>0</v>
      </c>
      <c r="S32" s="25">
        <f>IF(OR(S73=0,S73=1),$W$44,IF(ISNUMBER(MATCH(S112,$BJ$5:$BJ$40000,0)),INDEX($BI$5:$BI$1792,MATCH(S112,$BJ$5:$BJ$40000,0),1),IF(CQ70=0,-1,$BJ$3)))</f>
        <v>0</v>
      </c>
      <c r="T32" s="25">
        <f>IF(OR(T73=0,T73=1),$W$44,IF(ISNUMBER(MATCH(T112,$BJ$5:$BJ$40000,0)),INDEX($BI$5:$BI$1792,MATCH(T112,$BJ$5:$BJ$40000,0),1),IF(CR70=0,-1,$BJ$3)))</f>
        <v>0</v>
      </c>
      <c r="U32" s="25">
        <f>IF(OR(U73=0,U73=1),$W$44,IF(ISNUMBER(MATCH(U112,$BJ$5:$BJ$40000,0)),INDEX($BI$5:$BI$1792,MATCH(U112,$BJ$5:$BJ$40000,0),1),IF(CS70=0,-1,$BJ$3)))</f>
        <v>0</v>
      </c>
      <c r="V32" s="25">
        <f>IF(OR(V73=0,V73=1),$W$44,IF(ISNUMBER(MATCH(V112,$BJ$5:$BJ$40000,0)),INDEX($BI$5:$BI$1792,MATCH(V112,$BJ$5:$BJ$40000,0),1),IF(CT70=0,-1,$BJ$3)))</f>
        <v>0</v>
      </c>
      <c r="W32" s="25">
        <f>IF(OR(W73=0,W73=1),$W$44,IF(ISNUMBER(MATCH(W112,$BJ$5:$BJ$40000,0)),INDEX($BI$5:$BI$1792,MATCH(W112,$BJ$5:$BJ$40000,0),1),IF(CU70=0,-1,$BJ$3)))</f>
        <v>0</v>
      </c>
      <c r="X32" s="25">
        <f>IF(OR(X73=0,X73=1),$W$44,IF(ISNUMBER(MATCH(X112,$BJ$5:$BJ$40000,0)),INDEX($BI$5:$BI$1792,MATCH(X112,$BJ$5:$BJ$40000,0),1),IF(CV70=0,-1,$BJ$3)))</f>
        <v>0</v>
      </c>
      <c r="Y32" s="25">
        <f>IF(OR(Y73=0,Y73=1),$W$44,IF(ISNUMBER(MATCH(Y112,$BJ$5:$BJ$40000,0)),INDEX($BI$5:$BI$1792,MATCH(Y112,$BJ$5:$BJ$40000,0),1),IF(CW70=0,-1,$BJ$3)))</f>
        <v>0</v>
      </c>
      <c r="Z32" s="35"/>
      <c r="AA32" s="15">
        <v>1</v>
      </c>
      <c r="AB32" s="57">
        <v>25</v>
      </c>
      <c r="AC32" s="57">
        <v>14</v>
      </c>
      <c r="AD32" s="57">
        <v>3</v>
      </c>
      <c r="AE32" s="57">
        <v>10</v>
      </c>
      <c r="AF32" s="57">
        <v>400</v>
      </c>
      <c r="AG32" s="23" t="str">
        <f t="shared" si="1"/>
        <v>14,25</v>
      </c>
      <c r="AH32" s="1"/>
      <c r="AI32" s="15">
        <v>27</v>
      </c>
      <c r="AJ32" s="15">
        <v>27</v>
      </c>
      <c r="AK32" s="15" t="s">
        <v>37</v>
      </c>
      <c r="AL32" s="57">
        <v>400</v>
      </c>
      <c r="AM32" s="57">
        <v>5</v>
      </c>
      <c r="AN32" s="57">
        <v>1.7045454545454499E-3</v>
      </c>
      <c r="AO32" s="57">
        <v>36.386363636363598</v>
      </c>
      <c r="AP32" s="57">
        <v>1</v>
      </c>
      <c r="AQ32" s="57">
        <v>100</v>
      </c>
      <c r="AR32" s="57">
        <v>0.03</v>
      </c>
      <c r="AS32" s="57">
        <v>2</v>
      </c>
      <c r="AT32" s="57">
        <v>1</v>
      </c>
      <c r="AU32" s="57">
        <v>0</v>
      </c>
      <c r="AV32" s="57" t="s">
        <v>28</v>
      </c>
      <c r="AW32" s="58">
        <f>IF(AV31=AV32,AW31,MAX(AW$4:AW31)+1)</f>
        <v>3</v>
      </c>
      <c r="AX32" s="1"/>
      <c r="AY32" s="33">
        <v>27</v>
      </c>
      <c r="AZ32" s="33">
        <v>27</v>
      </c>
      <c r="BA32" s="11">
        <v>26</v>
      </c>
      <c r="BB32" s="11">
        <v>-28</v>
      </c>
      <c r="BC32" s="11"/>
      <c r="BD32" s="11">
        <f t="shared" si="4"/>
        <v>9</v>
      </c>
      <c r="BE32" s="1"/>
      <c r="BF32" s="56">
        <v>1</v>
      </c>
      <c r="BG32" s="57">
        <v>34</v>
      </c>
      <c r="BH32" s="57">
        <v>10</v>
      </c>
      <c r="BI32" s="57">
        <v>28</v>
      </c>
      <c r="BJ32" s="13" t="str">
        <f t="shared" si="3"/>
        <v>10,34</v>
      </c>
      <c r="BK32" s="35"/>
      <c r="BL32" s="8">
        <f t="shared" si="2"/>
        <v>28</v>
      </c>
      <c r="BM32" s="6">
        <f t="shared" si="6"/>
        <v>1</v>
      </c>
      <c r="BN32" s="6">
        <f t="shared" si="7"/>
        <v>28</v>
      </c>
      <c r="BO32" s="35"/>
      <c r="BP32" s="15">
        <v>27</v>
      </c>
      <c r="BQ32" s="60">
        <v>0</v>
      </c>
      <c r="BR32" s="57">
        <v>27</v>
      </c>
      <c r="BS32" s="57" t="s">
        <v>84</v>
      </c>
      <c r="BT32" s="57" t="s">
        <v>67</v>
      </c>
      <c r="BU32" s="57">
        <v>1</v>
      </c>
      <c r="BV32" s="60">
        <v>29.7</v>
      </c>
      <c r="BW32" s="57">
        <v>100</v>
      </c>
      <c r="BX32" s="60">
        <v>201.85849999999999</v>
      </c>
      <c r="BY32" s="60">
        <v>405.664999999999</v>
      </c>
      <c r="BZ32" s="35"/>
      <c r="CA32" s="52">
        <v>20.12548</v>
      </c>
      <c r="CB32" s="52">
        <v>20.123100000000001</v>
      </c>
      <c r="CC32" s="52">
        <v>19.9572</v>
      </c>
      <c r="CD32" s="52">
        <v>19.791699999999999</v>
      </c>
      <c r="CE32" s="52">
        <v>19.693999999999999</v>
      </c>
      <c r="CF32" s="52">
        <v>19.153729999999999</v>
      </c>
      <c r="CG32" s="52">
        <v>19.036180000000002</v>
      </c>
      <c r="CH32" s="52">
        <v>18.476700000000001</v>
      </c>
      <c r="CI32" s="52">
        <v>18.351479999999999</v>
      </c>
      <c r="CJ32" s="52">
        <v>18.304259999999999</v>
      </c>
      <c r="CK32" s="53">
        <v>18.296140000000001</v>
      </c>
      <c r="CL32" s="53">
        <v>18.210760000000001</v>
      </c>
      <c r="CM32" s="53">
        <v>18.158560000000001</v>
      </c>
      <c r="CN32" s="53">
        <v>17.89639</v>
      </c>
      <c r="CO32" s="53">
        <v>18.366969999999998</v>
      </c>
      <c r="CP32" s="53">
        <v>18.511289999999999</v>
      </c>
      <c r="CQ32" s="53">
        <v>18.996479999999998</v>
      </c>
      <c r="CR32" s="53">
        <v>19.443750000000001</v>
      </c>
      <c r="CS32" s="53">
        <v>20.141729999999999</v>
      </c>
      <c r="CT32" s="53">
        <v>20.272079999999999</v>
      </c>
      <c r="CU32" s="53">
        <v>20.394279999999998</v>
      </c>
      <c r="CV32" s="53">
        <v>20.507290000000001</v>
      </c>
      <c r="CW32" s="53">
        <v>21.27505</v>
      </c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</row>
    <row r="33" spans="1:115" ht="8.1" customHeight="1" x14ac:dyDescent="0.25">
      <c r="A33" s="35"/>
      <c r="B33" s="37"/>
      <c r="C33" s="25">
        <f>IF(OR(C74=0,C74=1),$W$44,IF(ISNUMBER(MATCH(C113,$BJ$5:$BJ$40000,0)),INDEX($BI$5:$BI$1792,MATCH(C113,$BJ$5:$BJ$40000,0),1),IF(CA71=0,-1,$BJ$3)))</f>
        <v>0</v>
      </c>
      <c r="D33" s="25">
        <f>IF(OR(D74=0,D74=1),$W$44,IF(ISNUMBER(MATCH(D113,$BJ$5:$BJ$40000,0)),INDEX($BI$5:$BI$1792,MATCH(D113,$BJ$5:$BJ$40000,0),1),IF(CB71=0,-1,$BJ$3)))</f>
        <v>0</v>
      </c>
      <c r="E33" s="25">
        <f>IF(OR(E74=0,E74=1),$W$44,IF(ISNUMBER(MATCH(E113,$BJ$5:$BJ$40000,0)),INDEX($BI$5:$BI$1792,MATCH(E113,$BJ$5:$BJ$40000,0),1),IF(CC71=0,-1,$BJ$3)))</f>
        <v>0</v>
      </c>
      <c r="F33" s="25">
        <f>IF(OR(F74=0,F74=1),$W$44,IF(ISNUMBER(MATCH(F113,$BJ$5:$BJ$40000,0)),INDEX($BI$5:$BI$1792,MATCH(F113,$BJ$5:$BJ$40000,0),1),IF(CD71=0,-1,$BJ$3)))</f>
        <v>0</v>
      </c>
      <c r="G33" s="25">
        <f>IF(OR(G74=0,G74=1),$W$44,IF(ISNUMBER(MATCH(G113,$BJ$5:$BJ$40000,0)),INDEX($BI$5:$BI$1792,MATCH(G113,$BJ$5:$BJ$40000,0),1),IF(CE71=0,-1,$BJ$3)))</f>
        <v>0</v>
      </c>
      <c r="H33" s="25">
        <f>IF(OR(H74=0,H74=1),$W$44,IF(ISNUMBER(MATCH(H113,$BJ$5:$BJ$40000,0)),INDEX($BI$5:$BI$1792,MATCH(H113,$BJ$5:$BJ$40000,0),1),IF(CF71=0,-1,$BJ$3)))</f>
        <v>0</v>
      </c>
      <c r="I33" s="25">
        <f>IF(OR(I74=0,I74=1),$W$44,IF(ISNUMBER(MATCH(I113,$BJ$5:$BJ$40000,0)),INDEX($BI$5:$BI$1792,MATCH(I113,$BJ$5:$BJ$40000,0),1),IF(CG71=0,-1,$BJ$3)))</f>
        <v>0</v>
      </c>
      <c r="J33" s="25">
        <f>IF(OR(J74=0,J74=1),$W$44,IF(ISNUMBER(MATCH(J113,$BJ$5:$BJ$40000,0)),INDEX($BI$5:$BI$1792,MATCH(J113,$BJ$5:$BJ$40000,0),1),IF(CH71=0,-1,$BJ$3)))</f>
        <v>0</v>
      </c>
      <c r="K33" s="25">
        <f>IF(OR(K74=0,K74=1),$W$44,IF(ISNUMBER(MATCH(K113,$BJ$5:$BJ$40000,0)),INDEX($BI$5:$BI$1792,MATCH(K113,$BJ$5:$BJ$40000,0),1),IF(CI71=0,-1,$BJ$3)))</f>
        <v>0</v>
      </c>
      <c r="L33" s="25">
        <f>IF(OR(L74=0,L74=1),$W$44,IF(ISNUMBER(MATCH(L113,$BJ$5:$BJ$40000,0)),INDEX($BI$5:$BI$1792,MATCH(L113,$BJ$5:$BJ$40000,0),1),IF(CJ71=0,-1,$BJ$3)))</f>
        <v>0</v>
      </c>
      <c r="M33" s="25">
        <f>IF(OR(M74=0,M74=1),$W$44,IF(ISNUMBER(MATCH(M113,$BJ$5:$BJ$40000,0)),INDEX($BI$5:$BI$1792,MATCH(M113,$BJ$5:$BJ$40000,0),1),IF(CK71=0,-1,$BJ$3)))</f>
        <v>0</v>
      </c>
      <c r="N33" s="25">
        <f>IF(OR(N74=0,N74=1),$W$44,IF(ISNUMBER(MATCH(N113,$BJ$5:$BJ$40000,0)),INDEX($BI$5:$BI$1792,MATCH(N113,$BJ$5:$BJ$40000,0),1),IF(CL71=0,-1,$BJ$3)))</f>
        <v>0</v>
      </c>
      <c r="O33" s="25">
        <f>IF(OR(O74=0,O74=1),$W$44,IF(ISNUMBER(MATCH(O113,$BJ$5:$BJ$40000,0)),INDEX($BI$5:$BI$1792,MATCH(O113,$BJ$5:$BJ$40000,0),1),IF(CM71=0,-1,$BJ$3)))</f>
        <v>0</v>
      </c>
      <c r="P33" s="25">
        <f>IF(OR(P74=0,P74=1),$W$44,IF(ISNUMBER(MATCH(P113,$BJ$5:$BJ$40000,0)),INDEX($BI$5:$BI$1792,MATCH(P113,$BJ$5:$BJ$40000,0),1),IF(CN71=0,-1,$BJ$3)))</f>
        <v>0</v>
      </c>
      <c r="Q33" s="25">
        <f>IF(OR(Q74=0,Q74=1),$W$44,IF(ISNUMBER(MATCH(Q113,$BJ$5:$BJ$40000,0)),INDEX($BI$5:$BI$1792,MATCH(Q113,$BJ$5:$BJ$40000,0),1),IF(CO71=0,-1,$BJ$3)))</f>
        <v>32</v>
      </c>
      <c r="R33" s="25">
        <f>IF(OR(R74=0,R74=1),$W$44,IF(ISNUMBER(MATCH(R113,$BJ$5:$BJ$40000,0)),INDEX($BI$5:$BI$1792,MATCH(R113,$BJ$5:$BJ$40000,0),1),IF(CP71=0,-1,$BJ$3)))</f>
        <v>0</v>
      </c>
      <c r="S33" s="25">
        <f>IF(OR(S74=0,S74=1),$W$44,IF(ISNUMBER(MATCH(S113,$BJ$5:$BJ$40000,0)),INDEX($BI$5:$BI$1792,MATCH(S113,$BJ$5:$BJ$40000,0),1),IF(CQ71=0,-1,$BJ$3)))</f>
        <v>0</v>
      </c>
      <c r="T33" s="25">
        <f>IF(OR(T74=0,T74=1),$W$44,IF(ISNUMBER(MATCH(T113,$BJ$5:$BJ$40000,0)),INDEX($BI$5:$BI$1792,MATCH(T113,$BJ$5:$BJ$40000,0),1),IF(CR71=0,-1,$BJ$3)))</f>
        <v>0</v>
      </c>
      <c r="U33" s="25">
        <f>IF(OR(U74=0,U74=1),$W$44,IF(ISNUMBER(MATCH(U113,$BJ$5:$BJ$40000,0)),INDEX($BI$5:$BI$1792,MATCH(U113,$BJ$5:$BJ$40000,0),1),IF(CS71=0,-1,$BJ$3)))</f>
        <v>0</v>
      </c>
      <c r="V33" s="25">
        <f>IF(OR(V74=0,V74=1),$W$44,IF(ISNUMBER(MATCH(V113,$BJ$5:$BJ$40000,0)),INDEX($BI$5:$BI$1792,MATCH(V113,$BJ$5:$BJ$40000,0),1),IF(CT71=0,-1,$BJ$3)))</f>
        <v>0</v>
      </c>
      <c r="W33" s="25">
        <f>IF(OR(W74=0,W74=1),$W$44,IF(ISNUMBER(MATCH(W113,$BJ$5:$BJ$40000,0)),INDEX($BI$5:$BI$1792,MATCH(W113,$BJ$5:$BJ$40000,0),1),IF(CU71=0,-1,$BJ$3)))</f>
        <v>0</v>
      </c>
      <c r="X33" s="25">
        <f>IF(OR(X74=0,X74=1),$W$44,IF(ISNUMBER(MATCH(X113,$BJ$5:$BJ$40000,0)),INDEX($BI$5:$BI$1792,MATCH(X113,$BJ$5:$BJ$40000,0),1),IF(CV71=0,-1,$BJ$3)))</f>
        <v>0</v>
      </c>
      <c r="Y33" s="25">
        <f>IF(OR(Y74=0,Y74=1),$W$44,IF(ISNUMBER(MATCH(Y113,$BJ$5:$BJ$40000,0)),INDEX($BI$5:$BI$1792,MATCH(Y113,$BJ$5:$BJ$40000,0),1),IF(CW71=0,-1,$BJ$3)))</f>
        <v>0</v>
      </c>
      <c r="Z33" s="35"/>
      <c r="AA33" s="15">
        <v>1</v>
      </c>
      <c r="AB33" s="57">
        <v>26</v>
      </c>
      <c r="AC33" s="57">
        <v>14</v>
      </c>
      <c r="AD33" s="57">
        <v>3</v>
      </c>
      <c r="AE33" s="57">
        <v>11</v>
      </c>
      <c r="AF33" s="57">
        <v>400</v>
      </c>
      <c r="AG33" s="23" t="str">
        <f t="shared" si="1"/>
        <v>14,26</v>
      </c>
      <c r="AH33" s="1"/>
      <c r="AI33" s="15">
        <v>28</v>
      </c>
      <c r="AJ33" s="15">
        <v>28</v>
      </c>
      <c r="AK33" s="15" t="s">
        <v>38</v>
      </c>
      <c r="AL33" s="57">
        <v>400</v>
      </c>
      <c r="AM33" s="57">
        <v>5</v>
      </c>
      <c r="AN33" s="57">
        <v>1.7045454545454499E-3</v>
      </c>
      <c r="AO33" s="57">
        <v>35.704545454545404</v>
      </c>
      <c r="AP33" s="57">
        <v>1</v>
      </c>
      <c r="AQ33" s="57">
        <v>100</v>
      </c>
      <c r="AR33" s="57">
        <v>0.03</v>
      </c>
      <c r="AS33" s="57">
        <v>2</v>
      </c>
      <c r="AT33" s="57">
        <v>1</v>
      </c>
      <c r="AU33" s="57">
        <v>0</v>
      </c>
      <c r="AV33" s="57" t="s">
        <v>28</v>
      </c>
      <c r="AW33" s="58">
        <f>IF(AV32=AV33,AW32,MAX(AW$4:AW32)+1)</f>
        <v>3</v>
      </c>
      <c r="AX33" s="1"/>
      <c r="AY33" s="33">
        <v>28</v>
      </c>
      <c r="AZ33" s="33">
        <v>28</v>
      </c>
      <c r="BA33" s="11">
        <v>27</v>
      </c>
      <c r="BB33" s="11">
        <v>-29</v>
      </c>
      <c r="BC33" s="11"/>
      <c r="BD33" s="11">
        <f t="shared" si="4"/>
        <v>10</v>
      </c>
      <c r="BE33" s="1"/>
      <c r="BF33" s="56">
        <v>1</v>
      </c>
      <c r="BG33" s="57">
        <v>34</v>
      </c>
      <c r="BH33" s="57">
        <v>11</v>
      </c>
      <c r="BI33" s="57">
        <v>28</v>
      </c>
      <c r="BJ33" s="13" t="str">
        <f t="shared" si="3"/>
        <v>11,34</v>
      </c>
      <c r="BK33" s="35"/>
      <c r="BL33" s="8">
        <f t="shared" si="2"/>
        <v>29</v>
      </c>
      <c r="BM33" s="6">
        <f t="shared" si="6"/>
        <v>1</v>
      </c>
      <c r="BN33" s="6">
        <f t="shared" si="7"/>
        <v>29</v>
      </c>
      <c r="BO33" s="35"/>
      <c r="BP33" s="15">
        <v>28</v>
      </c>
      <c r="BQ33" s="60">
        <v>0</v>
      </c>
      <c r="BR33" s="57">
        <v>28</v>
      </c>
      <c r="BS33" s="57" t="s">
        <v>92</v>
      </c>
      <c r="BT33" s="57" t="s">
        <v>67</v>
      </c>
      <c r="BU33" s="57">
        <v>1</v>
      </c>
      <c r="BV33" s="60">
        <v>29.7</v>
      </c>
      <c r="BW33" s="57">
        <v>100</v>
      </c>
      <c r="BX33" s="60">
        <v>202.83250000000001</v>
      </c>
      <c r="BY33" s="60">
        <v>403.71699999999998</v>
      </c>
      <c r="BZ33" s="35"/>
      <c r="CA33" s="52">
        <v>19.914239999999999</v>
      </c>
      <c r="CB33" s="52">
        <v>19.897929999999999</v>
      </c>
      <c r="CC33" s="52">
        <v>19.49126</v>
      </c>
      <c r="CD33" s="52">
        <v>19.128489999999999</v>
      </c>
      <c r="CE33" s="52">
        <v>18.795079999999999</v>
      </c>
      <c r="CF33" s="52">
        <v>18.550270000000001</v>
      </c>
      <c r="CG33" s="52">
        <v>17.885290000000001</v>
      </c>
      <c r="CH33" s="52">
        <v>17.673159999999999</v>
      </c>
      <c r="CI33" s="52">
        <v>17.513750000000002</v>
      </c>
      <c r="CJ33" s="52">
        <v>17.443370000000002</v>
      </c>
      <c r="CK33" s="53">
        <v>17.033010000000001</v>
      </c>
      <c r="CL33" s="53">
        <v>17.003679999999999</v>
      </c>
      <c r="CM33" s="53">
        <v>16.733460000000001</v>
      </c>
      <c r="CN33" s="53">
        <v>16.818010000000001</v>
      </c>
      <c r="CO33" s="53">
        <v>17.527370000000001</v>
      </c>
      <c r="CP33" s="53">
        <v>17.656549999999999</v>
      </c>
      <c r="CQ33" s="53">
        <v>18.13391</v>
      </c>
      <c r="CR33" s="53">
        <v>18.258289999999999</v>
      </c>
      <c r="CS33" s="53">
        <v>18.735430000000001</v>
      </c>
      <c r="CT33" s="53">
        <v>19.50808</v>
      </c>
      <c r="CU33" s="53">
        <v>19.672840000000001</v>
      </c>
      <c r="CV33" s="53">
        <v>19.438600000000001</v>
      </c>
      <c r="CW33" s="53">
        <v>19.598949999999999</v>
      </c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</row>
    <row r="34" spans="1:115" ht="8.1" customHeight="1" x14ac:dyDescent="0.25">
      <c r="A34" s="35"/>
      <c r="B34" s="37"/>
      <c r="C34" s="25">
        <f>IF(OR(C75=0,C75=1),$W$44,IF(ISNUMBER(MATCH(C114,$BJ$5:$BJ$40000,0)),INDEX($BI$5:$BI$1792,MATCH(C114,$BJ$5:$BJ$40000,0),1),IF(CA72=0,-1,$BJ$3)))</f>
        <v>0</v>
      </c>
      <c r="D34" s="25">
        <f>IF(OR(D75=0,D75=1),$W$44,IF(ISNUMBER(MATCH(D114,$BJ$5:$BJ$40000,0)),INDEX($BI$5:$BI$1792,MATCH(D114,$BJ$5:$BJ$40000,0),1),IF(CB72=0,-1,$BJ$3)))</f>
        <v>0</v>
      </c>
      <c r="E34" s="25">
        <f>IF(OR(E75=0,E75=1),$W$44,IF(ISNUMBER(MATCH(E114,$BJ$5:$BJ$40000,0)),INDEX($BI$5:$BI$1792,MATCH(E114,$BJ$5:$BJ$40000,0),1),IF(CC72=0,-1,$BJ$3)))</f>
        <v>0</v>
      </c>
      <c r="F34" s="25">
        <f>IF(OR(F75=0,F75=1),$W$44,IF(ISNUMBER(MATCH(F114,$BJ$5:$BJ$40000,0)),INDEX($BI$5:$BI$1792,MATCH(F114,$BJ$5:$BJ$40000,0),1),IF(CD72=0,-1,$BJ$3)))</f>
        <v>0</v>
      </c>
      <c r="G34" s="25">
        <f>IF(OR(G75=0,G75=1),$W$44,IF(ISNUMBER(MATCH(G114,$BJ$5:$BJ$40000,0)),INDEX($BI$5:$BI$1792,MATCH(G114,$BJ$5:$BJ$40000,0),1),IF(CE72=0,-1,$BJ$3)))</f>
        <v>0</v>
      </c>
      <c r="H34" s="25">
        <f>IF(OR(H75=0,H75=1),$W$44,IF(ISNUMBER(MATCH(H114,$BJ$5:$BJ$40000,0)),INDEX($BI$5:$BI$1792,MATCH(H114,$BJ$5:$BJ$40000,0),1),IF(CF72=0,-1,$BJ$3)))</f>
        <v>0</v>
      </c>
      <c r="I34" s="25">
        <f>IF(OR(I75=0,I75=1),$W$44,IF(ISNUMBER(MATCH(I114,$BJ$5:$BJ$40000,0)),INDEX($BI$5:$BI$1792,MATCH(I114,$BJ$5:$BJ$40000,0),1),IF(CG72=0,-1,$BJ$3)))</f>
        <v>0</v>
      </c>
      <c r="J34" s="25">
        <f>IF(OR(J75=0,J75=1),$W$44,IF(ISNUMBER(MATCH(J114,$BJ$5:$BJ$40000,0)),INDEX($BI$5:$BI$1792,MATCH(J114,$BJ$5:$BJ$40000,0),1),IF(CH72=0,-1,$BJ$3)))</f>
        <v>0</v>
      </c>
      <c r="K34" s="25">
        <f>IF(OR(K75=0,K75=1),$W$44,IF(ISNUMBER(MATCH(K114,$BJ$5:$BJ$40000,0)),INDEX($BI$5:$BI$1792,MATCH(K114,$BJ$5:$BJ$40000,0),1),IF(CI72=0,-1,$BJ$3)))</f>
        <v>0</v>
      </c>
      <c r="L34" s="25">
        <f>IF(OR(L75=0,L75=1),$W$44,IF(ISNUMBER(MATCH(L114,$BJ$5:$BJ$40000,0)),INDEX($BI$5:$BI$1792,MATCH(L114,$BJ$5:$BJ$40000,0),1),IF(CJ72=0,-1,$BJ$3)))</f>
        <v>0</v>
      </c>
      <c r="M34" s="25">
        <f>IF(OR(M75=0,M75=1),$W$44,IF(ISNUMBER(MATCH(M114,$BJ$5:$BJ$40000,0)),INDEX($BI$5:$BI$1792,MATCH(M114,$BJ$5:$BJ$40000,0),1),IF(CK72=0,-1,$BJ$3)))</f>
        <v>0</v>
      </c>
      <c r="N34" s="25">
        <f>IF(OR(N75=0,N75=1),$W$44,IF(ISNUMBER(MATCH(N114,$BJ$5:$BJ$40000,0)),INDEX($BI$5:$BI$1792,MATCH(N114,$BJ$5:$BJ$40000,0),1),IF(CL72=0,-1,$BJ$3)))</f>
        <v>0</v>
      </c>
      <c r="O34" s="25">
        <f>IF(OR(O75=0,O75=1),$W$44,IF(ISNUMBER(MATCH(O114,$BJ$5:$BJ$40000,0)),INDEX($BI$5:$BI$1792,MATCH(O114,$BJ$5:$BJ$40000,0),1),IF(CM72=0,-1,$BJ$3)))</f>
        <v>0</v>
      </c>
      <c r="P34" s="25">
        <f>IF(OR(P75=0,P75=1),$W$44,IF(ISNUMBER(MATCH(P114,$BJ$5:$BJ$40000,0)),INDEX($BI$5:$BI$1792,MATCH(P114,$BJ$5:$BJ$40000,0),1),IF(CN72=0,-1,$BJ$3)))</f>
        <v>0</v>
      </c>
      <c r="Q34" s="25">
        <f>IF(OR(Q75=0,Q75=1),$W$44,IF(ISNUMBER(MATCH(Q114,$BJ$5:$BJ$40000,0)),INDEX($BI$5:$BI$1792,MATCH(Q114,$BJ$5:$BJ$40000,0),1),IF(CO72=0,-1,$BJ$3)))</f>
        <v>33</v>
      </c>
      <c r="R34" s="25">
        <f>IF(OR(R75=0,R75=1),$W$44,IF(ISNUMBER(MATCH(R114,$BJ$5:$BJ$40000,0)),INDEX($BI$5:$BI$1792,MATCH(R114,$BJ$5:$BJ$40000,0),1),IF(CP72=0,-1,$BJ$3)))</f>
        <v>0</v>
      </c>
      <c r="S34" s="25">
        <f>IF(OR(S75=0,S75=1),$W$44,IF(ISNUMBER(MATCH(S114,$BJ$5:$BJ$40000,0)),INDEX($BI$5:$BI$1792,MATCH(S114,$BJ$5:$BJ$40000,0),1),IF(CQ72=0,-1,$BJ$3)))</f>
        <v>0</v>
      </c>
      <c r="T34" s="25">
        <f>IF(OR(T75=0,T75=1),$W$44,IF(ISNUMBER(MATCH(T114,$BJ$5:$BJ$40000,0)),INDEX($BI$5:$BI$1792,MATCH(T114,$BJ$5:$BJ$40000,0),1),IF(CR72=0,-1,$BJ$3)))</f>
        <v>0</v>
      </c>
      <c r="U34" s="25">
        <f>IF(OR(U75=0,U75=1),$W$44,IF(ISNUMBER(MATCH(U114,$BJ$5:$BJ$40000,0)),INDEX($BI$5:$BI$1792,MATCH(U114,$BJ$5:$BJ$40000,0),1),IF(CS72=0,-1,$BJ$3)))</f>
        <v>0</v>
      </c>
      <c r="V34" s="25">
        <f>IF(OR(V75=0,V75=1),$W$44,IF(ISNUMBER(MATCH(V114,$BJ$5:$BJ$40000,0)),INDEX($BI$5:$BI$1792,MATCH(V114,$BJ$5:$BJ$40000,0),1),IF(CT72=0,-1,$BJ$3)))</f>
        <v>0</v>
      </c>
      <c r="W34" s="25">
        <f>IF(OR(W75=0,W75=1),$W$44,IF(ISNUMBER(MATCH(W114,$BJ$5:$BJ$40000,0)),INDEX($BI$5:$BI$1792,MATCH(W114,$BJ$5:$BJ$40000,0),1),IF(CU72=0,-1,$BJ$3)))</f>
        <v>0</v>
      </c>
      <c r="X34" s="25">
        <f>IF(OR(X75=0,X75=1),$W$44,IF(ISNUMBER(MATCH(X114,$BJ$5:$BJ$40000,0)),INDEX($BI$5:$BI$1792,MATCH(X114,$BJ$5:$BJ$40000,0),1),IF(CV72=0,-1,$BJ$3)))</f>
        <v>0</v>
      </c>
      <c r="Y34" s="25">
        <f>IF(OR(Y75=0,Y75=1),$W$44,IF(ISNUMBER(MATCH(Y114,$BJ$5:$BJ$40000,0)),INDEX($BI$5:$BI$1792,MATCH(Y114,$BJ$5:$BJ$40000,0),1),IF(CW72=0,-1,$BJ$3)))</f>
        <v>0</v>
      </c>
      <c r="Z34" s="35"/>
      <c r="AA34" s="15">
        <v>1</v>
      </c>
      <c r="AB34" s="57">
        <v>27</v>
      </c>
      <c r="AC34" s="57">
        <v>14</v>
      </c>
      <c r="AD34" s="57">
        <v>3</v>
      </c>
      <c r="AE34" s="57">
        <v>12</v>
      </c>
      <c r="AF34" s="57">
        <v>400</v>
      </c>
      <c r="AG34" s="23" t="str">
        <f t="shared" si="1"/>
        <v>14,27</v>
      </c>
      <c r="AH34" s="1"/>
      <c r="AI34" s="15">
        <v>29</v>
      </c>
      <c r="AJ34" s="15">
        <v>29</v>
      </c>
      <c r="AK34" s="15" t="s">
        <v>39</v>
      </c>
      <c r="AL34" s="57">
        <v>400</v>
      </c>
      <c r="AM34" s="57">
        <v>5</v>
      </c>
      <c r="AN34" s="57">
        <v>1.7045454545454499E-3</v>
      </c>
      <c r="AO34" s="57">
        <v>35.022727272727202</v>
      </c>
      <c r="AP34" s="57">
        <v>1</v>
      </c>
      <c r="AQ34" s="57">
        <v>100</v>
      </c>
      <c r="AR34" s="57">
        <v>0.03</v>
      </c>
      <c r="AS34" s="57">
        <v>2</v>
      </c>
      <c r="AT34" s="57">
        <v>1</v>
      </c>
      <c r="AU34" s="57">
        <v>0</v>
      </c>
      <c r="AV34" s="57" t="s">
        <v>28</v>
      </c>
      <c r="AW34" s="58">
        <f>IF(AV33=AV34,AW33,MAX(AW$4:AW33)+1)</f>
        <v>3</v>
      </c>
      <c r="AX34" s="1"/>
      <c r="AY34" s="33">
        <v>29</v>
      </c>
      <c r="AZ34" s="33">
        <v>29</v>
      </c>
      <c r="BA34" s="11">
        <v>28</v>
      </c>
      <c r="BB34" s="11">
        <v>-30</v>
      </c>
      <c r="BC34" s="11"/>
      <c r="BD34" s="11">
        <f t="shared" si="4"/>
        <v>11</v>
      </c>
      <c r="BE34" s="1"/>
      <c r="BF34" s="56">
        <v>1</v>
      </c>
      <c r="BG34" s="57">
        <v>34</v>
      </c>
      <c r="BH34" s="57">
        <v>12</v>
      </c>
      <c r="BI34" s="57">
        <v>28</v>
      </c>
      <c r="BJ34" s="13" t="str">
        <f t="shared" si="3"/>
        <v>12,34</v>
      </c>
      <c r="BK34" s="35"/>
      <c r="BL34" s="8">
        <f t="shared" si="2"/>
        <v>30</v>
      </c>
      <c r="BM34" s="6">
        <f t="shared" si="6"/>
        <v>1</v>
      </c>
      <c r="BN34" s="6">
        <f t="shared" si="7"/>
        <v>30</v>
      </c>
      <c r="BO34" s="35"/>
      <c r="BP34" s="15">
        <v>29</v>
      </c>
      <c r="BQ34" s="60">
        <v>0</v>
      </c>
      <c r="BR34" s="57">
        <v>29</v>
      </c>
      <c r="BS34" s="57" t="s">
        <v>93</v>
      </c>
      <c r="BT34" s="57" t="s">
        <v>70</v>
      </c>
      <c r="BU34" s="57">
        <v>1</v>
      </c>
      <c r="BV34" s="60">
        <v>0</v>
      </c>
      <c r="BW34" s="57">
        <v>0</v>
      </c>
      <c r="BX34" s="60">
        <v>0</v>
      </c>
      <c r="BY34" s="60">
        <v>0</v>
      </c>
      <c r="BZ34" s="35"/>
      <c r="CA34" s="52">
        <v>19.97411</v>
      </c>
      <c r="CB34" s="52">
        <v>19.28858</v>
      </c>
      <c r="CC34" s="52">
        <v>18.48948</v>
      </c>
      <c r="CD34" s="52">
        <v>17.986979999999999</v>
      </c>
      <c r="CE34" s="52">
        <v>18.016100000000002</v>
      </c>
      <c r="CF34" s="52">
        <v>17.30274</v>
      </c>
      <c r="CG34" s="52">
        <v>16.938569999999999</v>
      </c>
      <c r="CH34" s="52">
        <v>16.69595</v>
      </c>
      <c r="CI34" s="52">
        <v>16.54533</v>
      </c>
      <c r="CJ34" s="52">
        <v>16.105260000000001</v>
      </c>
      <c r="CK34" s="53">
        <v>16.045829999999999</v>
      </c>
      <c r="CL34" s="53">
        <v>16.035640000000001</v>
      </c>
      <c r="CM34" s="53">
        <v>15.821669999999999</v>
      </c>
      <c r="CN34" s="53">
        <v>15.960900000000001</v>
      </c>
      <c r="CO34" s="53">
        <v>16.089459999999999</v>
      </c>
      <c r="CP34" s="53">
        <v>16.749919999999999</v>
      </c>
      <c r="CQ34" s="53">
        <v>16.838229999999999</v>
      </c>
      <c r="CR34" s="53">
        <v>17.190940000000001</v>
      </c>
      <c r="CS34" s="53">
        <v>17.338730000000002</v>
      </c>
      <c r="CT34" s="53">
        <v>17.498159999999999</v>
      </c>
      <c r="CU34" s="53">
        <v>17.855869999999999</v>
      </c>
      <c r="CV34" s="53">
        <v>18.029699999999998</v>
      </c>
      <c r="CW34" s="53">
        <v>19.163789999999999</v>
      </c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</row>
    <row r="35" spans="1:115" ht="8.1" customHeight="1" x14ac:dyDescent="0.25">
      <c r="A35" s="35"/>
      <c r="B35" s="37"/>
      <c r="C35" s="25">
        <f>IF(OR(C76=0,C76=1),$W$44,IF(ISNUMBER(MATCH(C115,$BJ$5:$BJ$40000,0)),INDEX($BI$5:$BI$1792,MATCH(C115,$BJ$5:$BJ$40000,0),1),IF(CA73=0,-1,$BJ$3)))</f>
        <v>0</v>
      </c>
      <c r="D35" s="25">
        <f>IF(OR(D76=0,D76=1),$W$44,IF(ISNUMBER(MATCH(D115,$BJ$5:$BJ$40000,0)),INDEX($BI$5:$BI$1792,MATCH(D115,$BJ$5:$BJ$40000,0),1),IF(CB73=0,-1,$BJ$3)))</f>
        <v>0</v>
      </c>
      <c r="E35" s="25">
        <f>IF(OR(E76=0,E76=1),$W$44,IF(ISNUMBER(MATCH(E115,$BJ$5:$BJ$40000,0)),INDEX($BI$5:$BI$1792,MATCH(E115,$BJ$5:$BJ$40000,0),1),IF(CC73=0,-1,$BJ$3)))</f>
        <v>0</v>
      </c>
      <c r="F35" s="25">
        <f>IF(OR(F76=0,F76=1),$W$44,IF(ISNUMBER(MATCH(F115,$BJ$5:$BJ$40000,0)),INDEX($BI$5:$BI$1792,MATCH(F115,$BJ$5:$BJ$40000,0),1),IF(CD73=0,-1,$BJ$3)))</f>
        <v>0</v>
      </c>
      <c r="G35" s="25">
        <f>IF(OR(G76=0,G76=1),$W$44,IF(ISNUMBER(MATCH(G115,$BJ$5:$BJ$40000,0)),INDEX($BI$5:$BI$1792,MATCH(G115,$BJ$5:$BJ$40000,0),1),IF(CE73=0,-1,$BJ$3)))</f>
        <v>0</v>
      </c>
      <c r="H35" s="25">
        <f>IF(OR(H76=0,H76=1),$W$44,IF(ISNUMBER(MATCH(H115,$BJ$5:$BJ$40000,0)),INDEX($BI$5:$BI$1792,MATCH(H115,$BJ$5:$BJ$40000,0),1),IF(CF73=0,-1,$BJ$3)))</f>
        <v>0</v>
      </c>
      <c r="I35" s="25">
        <f>IF(OR(I76=0,I76=1),$W$44,IF(ISNUMBER(MATCH(I115,$BJ$5:$BJ$40000,0)),INDEX($BI$5:$BI$1792,MATCH(I115,$BJ$5:$BJ$40000,0),1),IF(CG73=0,-1,$BJ$3)))</f>
        <v>0</v>
      </c>
      <c r="J35" s="25">
        <f>IF(OR(J76=0,J76=1),$W$44,IF(ISNUMBER(MATCH(J115,$BJ$5:$BJ$40000,0)),INDEX($BI$5:$BI$1792,MATCH(J115,$BJ$5:$BJ$40000,0),1),IF(CH73=0,-1,$BJ$3)))</f>
        <v>0</v>
      </c>
      <c r="K35" s="25">
        <f>IF(OR(K76=0,K76=1),$W$44,IF(ISNUMBER(MATCH(K115,$BJ$5:$BJ$40000,0)),INDEX($BI$5:$BI$1792,MATCH(K115,$BJ$5:$BJ$40000,0),1),IF(CI73=0,-1,$BJ$3)))</f>
        <v>0</v>
      </c>
      <c r="L35" s="25">
        <f>IF(OR(L76=0,L76=1),$W$44,IF(ISNUMBER(MATCH(L115,$BJ$5:$BJ$40000,0)),INDEX($BI$5:$BI$1792,MATCH(L115,$BJ$5:$BJ$40000,0),1),IF(CJ73=0,-1,$BJ$3)))</f>
        <v>0</v>
      </c>
      <c r="M35" s="25">
        <f>IF(OR(M76=0,M76=1),$W$44,IF(ISNUMBER(MATCH(M115,$BJ$5:$BJ$40000,0)),INDEX($BI$5:$BI$1792,MATCH(M115,$BJ$5:$BJ$40000,0),1),IF(CK73=0,-1,$BJ$3)))</f>
        <v>0</v>
      </c>
      <c r="N35" s="25">
        <f>IF(OR(N76=0,N76=1),$W$44,IF(ISNUMBER(MATCH(N115,$BJ$5:$BJ$40000,0)),INDEX($BI$5:$BI$1792,MATCH(N115,$BJ$5:$BJ$40000,0),1),IF(CL73=0,-1,$BJ$3)))</f>
        <v>0</v>
      </c>
      <c r="O35" s="25">
        <f>IF(OR(O76=0,O76=1),$W$44,IF(ISNUMBER(MATCH(O115,$BJ$5:$BJ$40000,0)),INDEX($BI$5:$BI$1792,MATCH(O115,$BJ$5:$BJ$40000,0),1),IF(CM73=0,-1,$BJ$3)))</f>
        <v>0</v>
      </c>
      <c r="P35" s="25">
        <f>IF(OR(P76=0,P76=1),$W$44,IF(ISNUMBER(MATCH(P115,$BJ$5:$BJ$40000,0)),INDEX($BI$5:$BI$1792,MATCH(P115,$BJ$5:$BJ$40000,0),1),IF(CN73=0,-1,$BJ$3)))</f>
        <v>0</v>
      </c>
      <c r="Q35" s="25">
        <f>IF(OR(Q76=0,Q76=1),$W$44,IF(ISNUMBER(MATCH(Q115,$BJ$5:$BJ$40000,0)),INDEX($BI$5:$BI$1792,MATCH(Q115,$BJ$5:$BJ$40000,0),1),IF(CO73=0,-1,$BJ$3)))</f>
        <v>34</v>
      </c>
      <c r="R35" s="25">
        <f>IF(OR(R76=0,R76=1),$W$44,IF(ISNUMBER(MATCH(R115,$BJ$5:$BJ$40000,0)),INDEX($BI$5:$BI$1792,MATCH(R115,$BJ$5:$BJ$40000,0),1),IF(CP73=0,-1,$BJ$3)))</f>
        <v>0</v>
      </c>
      <c r="S35" s="25">
        <f>IF(OR(S76=0,S76=1),$W$44,IF(ISNUMBER(MATCH(S115,$BJ$5:$BJ$40000,0)),INDEX($BI$5:$BI$1792,MATCH(S115,$BJ$5:$BJ$40000,0),1),IF(CQ73=0,-1,$BJ$3)))</f>
        <v>0</v>
      </c>
      <c r="T35" s="25">
        <f>IF(OR(T76=0,T76=1),$W$44,IF(ISNUMBER(MATCH(T115,$BJ$5:$BJ$40000,0)),INDEX($BI$5:$BI$1792,MATCH(T115,$BJ$5:$BJ$40000,0),1),IF(CR73=0,-1,$BJ$3)))</f>
        <v>0</v>
      </c>
      <c r="U35" s="25">
        <f>IF(OR(U76=0,U76=1),$W$44,IF(ISNUMBER(MATCH(U115,$BJ$5:$BJ$40000,0)),INDEX($BI$5:$BI$1792,MATCH(U115,$BJ$5:$BJ$40000,0),1),IF(CS73=0,-1,$BJ$3)))</f>
        <v>0</v>
      </c>
      <c r="V35" s="25">
        <f>IF(OR(V76=0,V76=1),$W$44,IF(ISNUMBER(MATCH(V115,$BJ$5:$BJ$40000,0)),INDEX($BI$5:$BI$1792,MATCH(V115,$BJ$5:$BJ$40000,0),1),IF(CT73=0,-1,$BJ$3)))</f>
        <v>0</v>
      </c>
      <c r="W35" s="25">
        <f>IF(OR(W76=0,W76=1),$W$44,IF(ISNUMBER(MATCH(W115,$BJ$5:$BJ$40000,0)),INDEX($BI$5:$BI$1792,MATCH(W115,$BJ$5:$BJ$40000,0),1),IF(CU73=0,-1,$BJ$3)))</f>
        <v>0</v>
      </c>
      <c r="X35" s="25">
        <f>IF(OR(X76=0,X76=1),$W$44,IF(ISNUMBER(MATCH(X115,$BJ$5:$BJ$40000,0)),INDEX($BI$5:$BI$1792,MATCH(X115,$BJ$5:$BJ$40000,0),1),IF(CV73=0,-1,$BJ$3)))</f>
        <v>0</v>
      </c>
      <c r="Y35" s="25">
        <f>IF(OR(Y76=0,Y76=1),$W$44,IF(ISNUMBER(MATCH(Y115,$BJ$5:$BJ$40000,0)),INDEX($BI$5:$BI$1792,MATCH(Y115,$BJ$5:$BJ$40000,0),1),IF(CW73=0,-1,$BJ$3)))</f>
        <v>0</v>
      </c>
      <c r="Z35" s="35"/>
      <c r="AA35" s="15">
        <v>1</v>
      </c>
      <c r="AB35" s="57">
        <v>28</v>
      </c>
      <c r="AC35" s="57">
        <v>15</v>
      </c>
      <c r="AD35" s="57">
        <v>3</v>
      </c>
      <c r="AE35" s="57">
        <v>13</v>
      </c>
      <c r="AF35" s="57">
        <v>400</v>
      </c>
      <c r="AG35" s="23" t="str">
        <f t="shared" si="1"/>
        <v>15,28</v>
      </c>
      <c r="AH35" s="1"/>
      <c r="AI35" s="15">
        <v>30</v>
      </c>
      <c r="AJ35" s="15">
        <v>30</v>
      </c>
      <c r="AK35" s="15" t="s">
        <v>26</v>
      </c>
      <c r="AL35" s="57">
        <v>400</v>
      </c>
      <c r="AM35" s="57">
        <v>5</v>
      </c>
      <c r="AN35" s="57">
        <v>1.7045454545454499E-3</v>
      </c>
      <c r="AO35" s="57">
        <v>34.340909090909001</v>
      </c>
      <c r="AP35" s="57">
        <v>1</v>
      </c>
      <c r="AQ35" s="57">
        <v>100</v>
      </c>
      <c r="AR35" s="57">
        <v>0.03</v>
      </c>
      <c r="AS35" s="57">
        <v>2</v>
      </c>
      <c r="AT35" s="57">
        <v>1</v>
      </c>
      <c r="AU35" s="57">
        <v>0</v>
      </c>
      <c r="AV35" s="57" t="s">
        <v>28</v>
      </c>
      <c r="AW35" s="58">
        <f>IF(AV34=AV35,AW34,MAX(AW$4:AW34)+1)</f>
        <v>3</v>
      </c>
      <c r="AX35" s="1"/>
      <c r="AY35" s="33">
        <v>30</v>
      </c>
      <c r="AZ35" s="33">
        <v>30</v>
      </c>
      <c r="BA35" s="11">
        <v>29</v>
      </c>
      <c r="BB35" s="11">
        <v>-31</v>
      </c>
      <c r="BC35" s="11"/>
      <c r="BD35" s="11">
        <f t="shared" si="4"/>
        <v>12</v>
      </c>
      <c r="BE35" s="1"/>
      <c r="BF35" s="56">
        <v>1</v>
      </c>
      <c r="BG35" s="57">
        <v>34</v>
      </c>
      <c r="BH35" s="57">
        <v>13</v>
      </c>
      <c r="BI35" s="57">
        <v>28</v>
      </c>
      <c r="BJ35" s="13" t="str">
        <f t="shared" si="3"/>
        <v>13,34</v>
      </c>
      <c r="BK35" s="35"/>
      <c r="BL35" s="8">
        <f t="shared" si="2"/>
        <v>31</v>
      </c>
      <c r="BM35" s="6">
        <f t="shared" si="6"/>
        <v>1</v>
      </c>
      <c r="BN35" s="6">
        <f t="shared" si="7"/>
        <v>31</v>
      </c>
      <c r="BO35" s="35"/>
      <c r="BP35" s="15">
        <v>30</v>
      </c>
      <c r="BQ35" s="60">
        <v>0</v>
      </c>
      <c r="BR35" s="57">
        <v>30</v>
      </c>
      <c r="BS35" s="57" t="s">
        <v>94</v>
      </c>
      <c r="BT35" s="57" t="s">
        <v>67</v>
      </c>
      <c r="BU35" s="57">
        <v>1</v>
      </c>
      <c r="BV35" s="60">
        <v>29.7</v>
      </c>
      <c r="BW35" s="57">
        <v>100</v>
      </c>
      <c r="BX35" s="60">
        <v>202.83249999999899</v>
      </c>
      <c r="BY35" s="60">
        <v>403.716999999998</v>
      </c>
      <c r="BZ35" s="35"/>
      <c r="CA35" s="52">
        <v>19.228539999999999</v>
      </c>
      <c r="CB35" s="52">
        <v>17.95234</v>
      </c>
      <c r="CC35" s="52">
        <v>16.857780000000002</v>
      </c>
      <c r="CD35" s="52">
        <v>16.64508</v>
      </c>
      <c r="CE35" s="52">
        <v>16.338550000000001</v>
      </c>
      <c r="CF35" s="52">
        <v>15.98855</v>
      </c>
      <c r="CG35" s="52">
        <v>15.811389999999999</v>
      </c>
      <c r="CH35" s="52">
        <v>15.557700000000001</v>
      </c>
      <c r="CI35" s="52">
        <v>15.24302</v>
      </c>
      <c r="CJ35" s="52">
        <v>15.14453</v>
      </c>
      <c r="CK35" s="53">
        <v>15.046860000000001</v>
      </c>
      <c r="CL35" s="53">
        <v>14.80884</v>
      </c>
      <c r="CM35" s="53">
        <v>14.94299</v>
      </c>
      <c r="CN35" s="53">
        <v>15.15757</v>
      </c>
      <c r="CO35" s="53">
        <v>15.31129</v>
      </c>
      <c r="CP35" s="53">
        <v>15.45894</v>
      </c>
      <c r="CQ35" s="53">
        <v>15.335850000000001</v>
      </c>
      <c r="CR35" s="53">
        <v>16.283149999999999</v>
      </c>
      <c r="CS35" s="53">
        <v>16.421489999999999</v>
      </c>
      <c r="CT35" s="53">
        <v>16.854839999999999</v>
      </c>
      <c r="CU35" s="53">
        <v>17.065049999999999</v>
      </c>
      <c r="CV35" s="53">
        <v>17.305800000000001</v>
      </c>
      <c r="CW35" s="53">
        <v>18.160910000000001</v>
      </c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</row>
    <row r="36" spans="1:115" ht="8.1" customHeight="1" x14ac:dyDescent="0.25">
      <c r="A36" s="35"/>
      <c r="B36" s="37"/>
      <c r="C36" s="25">
        <f>IF(OR(C77=0,C77=1),$W$44,IF(ISNUMBER(MATCH(C116,$BJ$5:$BJ$40000,0)),INDEX($BI$5:$BI$1792,MATCH(C116,$BJ$5:$BJ$40000,0),1),IF(CA74=0,-1,$BJ$3)))</f>
        <v>0</v>
      </c>
      <c r="D36" s="25">
        <f>IF(OR(D77=0,D77=1),$W$44,IF(ISNUMBER(MATCH(D116,$BJ$5:$BJ$40000,0)),INDEX($BI$5:$BI$1792,MATCH(D116,$BJ$5:$BJ$40000,0),1),IF(CB74=0,-1,$BJ$3)))</f>
        <v>0</v>
      </c>
      <c r="E36" s="25">
        <f>IF(OR(E77=0,E77=1),$W$44,IF(ISNUMBER(MATCH(E116,$BJ$5:$BJ$40000,0)),INDEX($BI$5:$BI$1792,MATCH(E116,$BJ$5:$BJ$40000,0),1),IF(CC74=0,-1,$BJ$3)))</f>
        <v>0</v>
      </c>
      <c r="F36" s="25">
        <f>IF(OR(F77=0,F77=1),$W$44,IF(ISNUMBER(MATCH(F116,$BJ$5:$BJ$40000,0)),INDEX($BI$5:$BI$1792,MATCH(F116,$BJ$5:$BJ$40000,0),1),IF(CD74=0,-1,$BJ$3)))</f>
        <v>0</v>
      </c>
      <c r="G36" s="25">
        <f>IF(OR(G77=0,G77=1),$W$44,IF(ISNUMBER(MATCH(G116,$BJ$5:$BJ$40000,0)),INDEX($BI$5:$BI$1792,MATCH(G116,$BJ$5:$BJ$40000,0),1),IF(CE74=0,-1,$BJ$3)))</f>
        <v>0</v>
      </c>
      <c r="H36" s="25">
        <f>IF(OR(H77=0,H77=1),$W$44,IF(ISNUMBER(MATCH(H116,$BJ$5:$BJ$40000,0)),INDEX($BI$5:$BI$1792,MATCH(H116,$BJ$5:$BJ$40000,0),1),IF(CF74=0,-1,$BJ$3)))</f>
        <v>0</v>
      </c>
      <c r="I36" s="25">
        <f>IF(OR(I77=0,I77=1),$W$44,IF(ISNUMBER(MATCH(I116,$BJ$5:$BJ$40000,0)),INDEX($BI$5:$BI$1792,MATCH(I116,$BJ$5:$BJ$40000,0),1),IF(CG74=0,-1,$BJ$3)))</f>
        <v>0</v>
      </c>
      <c r="J36" s="25">
        <f>IF(OR(J77=0,J77=1),$W$44,IF(ISNUMBER(MATCH(J116,$BJ$5:$BJ$40000,0)),INDEX($BI$5:$BI$1792,MATCH(J116,$BJ$5:$BJ$40000,0),1),IF(CH74=0,-1,$BJ$3)))</f>
        <v>0</v>
      </c>
      <c r="K36" s="25">
        <f>IF(OR(K77=0,K77=1),$W$44,IF(ISNUMBER(MATCH(K116,$BJ$5:$BJ$40000,0)),INDEX($BI$5:$BI$1792,MATCH(K116,$BJ$5:$BJ$40000,0),1),IF(CI74=0,-1,$BJ$3)))</f>
        <v>0</v>
      </c>
      <c r="L36" s="25">
        <f>IF(OR(L77=0,L77=1),$W$44,IF(ISNUMBER(MATCH(L116,$BJ$5:$BJ$40000,0)),INDEX($BI$5:$BI$1792,MATCH(L116,$BJ$5:$BJ$40000,0),1),IF(CJ74=0,-1,$BJ$3)))</f>
        <v>0</v>
      </c>
      <c r="M36" s="25">
        <f>IF(OR(M77=0,M77=1),$W$44,IF(ISNUMBER(MATCH(M116,$BJ$5:$BJ$40000,0)),INDEX($BI$5:$BI$1792,MATCH(M116,$BJ$5:$BJ$40000,0),1),IF(CK74=0,-1,$BJ$3)))</f>
        <v>0</v>
      </c>
      <c r="N36" s="25">
        <f>IF(OR(N77=0,N77=1),$W$44,IF(ISNUMBER(MATCH(N116,$BJ$5:$BJ$40000,0)),INDEX($BI$5:$BI$1792,MATCH(N116,$BJ$5:$BJ$40000,0),1),IF(CL74=0,-1,$BJ$3)))</f>
        <v>0</v>
      </c>
      <c r="O36" s="25">
        <f>IF(OR(O77=0,O77=1),$W$44,IF(ISNUMBER(MATCH(O116,$BJ$5:$BJ$40000,0)),INDEX($BI$5:$BI$1792,MATCH(O116,$BJ$5:$BJ$40000,0),1),IF(CM74=0,-1,$BJ$3)))</f>
        <v>0</v>
      </c>
      <c r="P36" s="25">
        <f>IF(OR(P77=0,P77=1),$W$44,IF(ISNUMBER(MATCH(P116,$BJ$5:$BJ$40000,0)),INDEX($BI$5:$BI$1792,MATCH(P116,$BJ$5:$BJ$40000,0),1),IF(CN74=0,-1,$BJ$3)))</f>
        <v>0</v>
      </c>
      <c r="Q36" s="25">
        <f>IF(OR(Q77=0,Q77=1),$W$44,IF(ISNUMBER(MATCH(Q116,$BJ$5:$BJ$40000,0)),INDEX($BI$5:$BI$1792,MATCH(Q116,$BJ$5:$BJ$40000,0),1),IF(CO74=0,-1,$BJ$3)))</f>
        <v>35</v>
      </c>
      <c r="R36" s="25">
        <f>IF(OR(R77=0,R77=1),$W$44,IF(ISNUMBER(MATCH(R116,$BJ$5:$BJ$40000,0)),INDEX($BI$5:$BI$1792,MATCH(R116,$BJ$5:$BJ$40000,0),1),IF(CP74=0,-1,$BJ$3)))</f>
        <v>0</v>
      </c>
      <c r="S36" s="25">
        <f>IF(OR(S77=0,S77=1),$W$44,IF(ISNUMBER(MATCH(S116,$BJ$5:$BJ$40000,0)),INDEX($BI$5:$BI$1792,MATCH(S116,$BJ$5:$BJ$40000,0),1),IF(CQ74=0,-1,$BJ$3)))</f>
        <v>0</v>
      </c>
      <c r="T36" s="25">
        <f>IF(OR(T77=0,T77=1),$W$44,IF(ISNUMBER(MATCH(T116,$BJ$5:$BJ$40000,0)),INDEX($BI$5:$BI$1792,MATCH(T116,$BJ$5:$BJ$40000,0),1),IF(CR74=0,-1,$BJ$3)))</f>
        <v>0</v>
      </c>
      <c r="U36" s="25">
        <f>IF(OR(U77=0,U77=1),$W$44,IF(ISNUMBER(MATCH(U116,$BJ$5:$BJ$40000,0)),INDEX($BI$5:$BI$1792,MATCH(U116,$BJ$5:$BJ$40000,0),1),IF(CS74=0,-1,$BJ$3)))</f>
        <v>0</v>
      </c>
      <c r="V36" s="25">
        <f>IF(OR(V77=0,V77=1),$W$44,IF(ISNUMBER(MATCH(V116,$BJ$5:$BJ$40000,0)),INDEX($BI$5:$BI$1792,MATCH(V116,$BJ$5:$BJ$40000,0),1),IF(CT74=0,-1,$BJ$3)))</f>
        <v>0</v>
      </c>
      <c r="W36" s="25">
        <f>IF(OR(W77=0,W77=1),$W$44,IF(ISNUMBER(MATCH(W116,$BJ$5:$BJ$40000,0)),INDEX($BI$5:$BI$1792,MATCH(W116,$BJ$5:$BJ$40000,0),1),IF(CU74=0,-1,$BJ$3)))</f>
        <v>0</v>
      </c>
      <c r="X36" s="25">
        <f>IF(OR(X77=0,X77=1),$W$44,IF(ISNUMBER(MATCH(X116,$BJ$5:$BJ$40000,0)),INDEX($BI$5:$BI$1792,MATCH(X116,$BJ$5:$BJ$40000,0),1),IF(CV74=0,-1,$BJ$3)))</f>
        <v>0</v>
      </c>
      <c r="Y36" s="25">
        <f>IF(OR(Y77=0,Y77=1),$W$44,IF(ISNUMBER(MATCH(Y116,$BJ$5:$BJ$40000,0)),INDEX($BI$5:$BI$1792,MATCH(Y116,$BJ$5:$BJ$40000,0),1),IF(CW74=0,-1,$BJ$3)))</f>
        <v>0</v>
      </c>
      <c r="Z36" s="35"/>
      <c r="AA36" s="15">
        <v>1</v>
      </c>
      <c r="AB36" s="57">
        <v>29</v>
      </c>
      <c r="AC36" s="57">
        <v>15</v>
      </c>
      <c r="AD36" s="57">
        <v>4</v>
      </c>
      <c r="AE36" s="57">
        <v>1</v>
      </c>
      <c r="AF36" s="57">
        <v>400</v>
      </c>
      <c r="AG36" s="23" t="str">
        <f t="shared" si="1"/>
        <v>15,29</v>
      </c>
      <c r="AH36" s="1"/>
      <c r="AI36" s="15">
        <v>31</v>
      </c>
      <c r="AJ36" s="15">
        <v>31</v>
      </c>
      <c r="AK36" s="15" t="s">
        <v>40</v>
      </c>
      <c r="AL36" s="57">
        <v>400</v>
      </c>
      <c r="AM36" s="57">
        <v>5</v>
      </c>
      <c r="AN36" s="57">
        <v>2.4285714285714201E-3</v>
      </c>
      <c r="AO36" s="57">
        <v>33.514285714285698</v>
      </c>
      <c r="AP36" s="57">
        <v>1</v>
      </c>
      <c r="AQ36" s="57">
        <v>100</v>
      </c>
      <c r="AR36" s="57">
        <v>0.03</v>
      </c>
      <c r="AS36" s="57">
        <v>3</v>
      </c>
      <c r="AT36" s="57">
        <v>1</v>
      </c>
      <c r="AU36" s="57">
        <v>0</v>
      </c>
      <c r="AV36" s="57" t="s">
        <v>41</v>
      </c>
      <c r="AW36" s="58">
        <f>IF(AV35=AV36,AW35,MAX(AW$4:AW35)+1)</f>
        <v>4</v>
      </c>
      <c r="AX36" s="1"/>
      <c r="AY36" s="33">
        <v>31</v>
      </c>
      <c r="AZ36" s="33">
        <v>31</v>
      </c>
      <c r="BA36" s="11">
        <v>-32</v>
      </c>
      <c r="BB36" s="11">
        <v>17</v>
      </c>
      <c r="BC36" s="11">
        <v>30</v>
      </c>
      <c r="BD36" s="11">
        <f t="shared" si="4"/>
        <v>13</v>
      </c>
      <c r="BE36" s="1"/>
      <c r="BF36" s="56">
        <v>1</v>
      </c>
      <c r="BG36" s="57">
        <v>35</v>
      </c>
      <c r="BH36" s="57">
        <v>14</v>
      </c>
      <c r="BI36" s="57">
        <v>28</v>
      </c>
      <c r="BJ36" s="13" t="str">
        <f t="shared" si="3"/>
        <v>14,35</v>
      </c>
      <c r="BK36" s="35"/>
      <c r="BL36" s="8">
        <f t="shared" si="2"/>
        <v>32</v>
      </c>
      <c r="BM36" s="6">
        <f t="shared" si="6"/>
        <v>1</v>
      </c>
      <c r="BN36" s="6">
        <f t="shared" si="7"/>
        <v>32</v>
      </c>
      <c r="BO36" s="35"/>
      <c r="BP36" s="15">
        <v>31</v>
      </c>
      <c r="BQ36" s="60">
        <v>0</v>
      </c>
      <c r="BR36" s="57">
        <v>31</v>
      </c>
      <c r="BS36" s="57" t="s">
        <v>95</v>
      </c>
      <c r="BT36" s="57" t="s">
        <v>67</v>
      </c>
      <c r="BU36" s="57">
        <v>1</v>
      </c>
      <c r="BV36" s="60">
        <v>29.7</v>
      </c>
      <c r="BW36" s="57">
        <v>100</v>
      </c>
      <c r="BX36" s="60">
        <v>201.85849999999999</v>
      </c>
      <c r="BY36" s="60">
        <v>405.664999999999</v>
      </c>
      <c r="BZ36" s="35"/>
      <c r="CA36" s="52">
        <v>17.216100000000001</v>
      </c>
      <c r="CB36" s="52">
        <v>15.4825</v>
      </c>
      <c r="CC36" s="52">
        <v>14.1409</v>
      </c>
      <c r="CD36" s="52">
        <v>15.029019999999999</v>
      </c>
      <c r="CE36" s="52">
        <v>15.394489999999999</v>
      </c>
      <c r="CF36" s="52">
        <v>15.03579</v>
      </c>
      <c r="CG36" s="52">
        <v>14.3698</v>
      </c>
      <c r="CH36" s="52">
        <v>14.33292</v>
      </c>
      <c r="CI36" s="52">
        <v>14.37433</v>
      </c>
      <c r="CJ36" s="52">
        <v>14.34689</v>
      </c>
      <c r="CK36" s="53">
        <v>14.10708</v>
      </c>
      <c r="CL36" s="53">
        <v>13.93675</v>
      </c>
      <c r="CM36" s="53">
        <v>14.17686</v>
      </c>
      <c r="CN36" s="53">
        <v>14.488670000000001</v>
      </c>
      <c r="CO36" s="53">
        <v>14.653919999999999</v>
      </c>
      <c r="CP36" s="53">
        <v>14.52713</v>
      </c>
      <c r="CQ36" s="53">
        <v>14.652089999999999</v>
      </c>
      <c r="CR36" s="53">
        <v>15.29026</v>
      </c>
      <c r="CS36" s="53">
        <v>15.442119999999999</v>
      </c>
      <c r="CT36" s="53">
        <v>15.490930000000001</v>
      </c>
      <c r="CU36" s="53">
        <v>15.99614</v>
      </c>
      <c r="CV36" s="53">
        <v>16.245480000000001</v>
      </c>
      <c r="CW36" s="53">
        <v>16.579930000000001</v>
      </c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</row>
    <row r="37" spans="1:115" ht="8.1" customHeight="1" x14ac:dyDescent="0.25">
      <c r="A37" s="35"/>
      <c r="B37" s="37"/>
      <c r="C37" s="25">
        <f>IF(OR(C78=0,C78=1),$W$44,IF(ISNUMBER(MATCH(C117,$BJ$5:$BJ$40000,0)),INDEX($BI$5:$BI$1792,MATCH(C117,$BJ$5:$BJ$40000,0),1),IF(CA75=0,-1,$BJ$3)))</f>
        <v>28</v>
      </c>
      <c r="D37" s="25">
        <f>IF(OR(D78=0,D78=1),$W$44,IF(ISNUMBER(MATCH(D117,$BJ$5:$BJ$40000,0)),INDEX($BI$5:$BI$1792,MATCH(D117,$BJ$5:$BJ$40000,0),1),IF(CB75=0,-1,$BJ$3)))</f>
        <v>28</v>
      </c>
      <c r="E37" s="25">
        <f>IF(OR(E78=0,E78=1),$W$44,IF(ISNUMBER(MATCH(E117,$BJ$5:$BJ$40000,0)),INDEX($BI$5:$BI$1792,MATCH(E117,$BJ$5:$BJ$40000,0),1),IF(CC75=0,-1,$BJ$3)))</f>
        <v>28</v>
      </c>
      <c r="F37" s="25">
        <f>IF(OR(F78=0,F78=1),$W$44,IF(ISNUMBER(MATCH(F117,$BJ$5:$BJ$40000,0)),INDEX($BI$5:$BI$1792,MATCH(F117,$BJ$5:$BJ$40000,0),1),IF(CD75=0,-1,$BJ$3)))</f>
        <v>28</v>
      </c>
      <c r="G37" s="25">
        <f>IF(OR(G78=0,G78=1),$W$44,IF(ISNUMBER(MATCH(G117,$BJ$5:$BJ$40000,0)),INDEX($BI$5:$BI$1792,MATCH(G117,$BJ$5:$BJ$40000,0),1),IF(CE75=0,-1,$BJ$3)))</f>
        <v>28</v>
      </c>
      <c r="H37" s="25">
        <f>IF(OR(H78=0,H78=1),$W$44,IF(ISNUMBER(MATCH(H117,$BJ$5:$BJ$40000,0)),INDEX($BI$5:$BI$1792,MATCH(H117,$BJ$5:$BJ$40000,0),1),IF(CF75=0,-1,$BJ$3)))</f>
        <v>28</v>
      </c>
      <c r="I37" s="25">
        <f>IF(OR(I78=0,I78=1),$W$44,IF(ISNUMBER(MATCH(I117,$BJ$5:$BJ$40000,0)),INDEX($BI$5:$BI$1792,MATCH(I117,$BJ$5:$BJ$40000,0),1),IF(CG75=0,-1,$BJ$3)))</f>
        <v>28</v>
      </c>
      <c r="J37" s="25">
        <f>IF(OR(J78=0,J78=1),$W$44,IF(ISNUMBER(MATCH(J117,$BJ$5:$BJ$40000,0)),INDEX($BI$5:$BI$1792,MATCH(J117,$BJ$5:$BJ$40000,0),1),IF(CH75=0,-1,$BJ$3)))</f>
        <v>0</v>
      </c>
      <c r="K37" s="25">
        <f>IF(OR(K78=0,K78=1),$W$44,IF(ISNUMBER(MATCH(K117,$BJ$5:$BJ$40000,0)),INDEX($BI$5:$BI$1792,MATCH(K117,$BJ$5:$BJ$40000,0),1),IF(CI75=0,-1,$BJ$3)))</f>
        <v>0</v>
      </c>
      <c r="L37" s="25">
        <f>IF(OR(L78=0,L78=1),$W$44,IF(ISNUMBER(MATCH(L117,$BJ$5:$BJ$40000,0)),INDEX($BI$5:$BI$1792,MATCH(L117,$BJ$5:$BJ$40000,0),1),IF(CJ75=0,-1,$BJ$3)))</f>
        <v>0</v>
      </c>
      <c r="M37" s="25">
        <f>IF(OR(M78=0,M78=1),$W$44,IF(ISNUMBER(MATCH(M117,$BJ$5:$BJ$40000,0)),INDEX($BI$5:$BI$1792,MATCH(M117,$BJ$5:$BJ$40000,0),1),IF(CK75=0,-1,$BJ$3)))</f>
        <v>0</v>
      </c>
      <c r="N37" s="25">
        <f>IF(OR(N78=0,N78=1),$W$44,IF(ISNUMBER(MATCH(N117,$BJ$5:$BJ$40000,0)),INDEX($BI$5:$BI$1792,MATCH(N117,$BJ$5:$BJ$40000,0),1),IF(CL75=0,-1,$BJ$3)))</f>
        <v>0</v>
      </c>
      <c r="O37" s="25">
        <f>IF(OR(O78=0,O78=1),$W$44,IF(ISNUMBER(MATCH(O117,$BJ$5:$BJ$40000,0)),INDEX($BI$5:$BI$1792,MATCH(O117,$BJ$5:$BJ$40000,0),1),IF(CM75=0,-1,$BJ$3)))</f>
        <v>0</v>
      </c>
      <c r="P37" s="25">
        <f>IF(OR(P78=0,P78=1),$W$44,IF(ISNUMBER(MATCH(P117,$BJ$5:$BJ$40000,0)),INDEX($BI$5:$BI$1792,MATCH(P117,$BJ$5:$BJ$40000,0),1),IF(CN75=0,-1,$BJ$3)))</f>
        <v>0</v>
      </c>
      <c r="Q37" s="25">
        <f>IF(OR(Q78=0,Q78=1),$W$44,IF(ISNUMBER(MATCH(Q117,$BJ$5:$BJ$40000,0)),INDEX($BI$5:$BI$1792,MATCH(Q117,$BJ$5:$BJ$40000,0),1),IF(CO75=0,-1,$BJ$3)))</f>
        <v>36</v>
      </c>
      <c r="R37" s="25">
        <f>IF(OR(R78=0,R78=1),$W$44,IF(ISNUMBER(MATCH(R117,$BJ$5:$BJ$40000,0)),INDEX($BI$5:$BI$1792,MATCH(R117,$BJ$5:$BJ$40000,0),1),IF(CP75=0,-1,$BJ$3)))</f>
        <v>0</v>
      </c>
      <c r="S37" s="25">
        <f>IF(OR(S78=0,S78=1),$W$44,IF(ISNUMBER(MATCH(S117,$BJ$5:$BJ$40000,0)),INDEX($BI$5:$BI$1792,MATCH(S117,$BJ$5:$BJ$40000,0),1),IF(CQ75=0,-1,$BJ$3)))</f>
        <v>0</v>
      </c>
      <c r="T37" s="25">
        <f>IF(OR(T78=0,T78=1),$W$44,IF(ISNUMBER(MATCH(T117,$BJ$5:$BJ$40000,0)),INDEX($BI$5:$BI$1792,MATCH(T117,$BJ$5:$BJ$40000,0),1),IF(CR75=0,-1,$BJ$3)))</f>
        <v>0</v>
      </c>
      <c r="U37" s="25">
        <f>IF(OR(U78=0,U78=1),$W$44,IF(ISNUMBER(MATCH(U117,$BJ$5:$BJ$40000,0)),INDEX($BI$5:$BI$1792,MATCH(U117,$BJ$5:$BJ$40000,0),1),IF(CS75=0,-1,$BJ$3)))</f>
        <v>0</v>
      </c>
      <c r="V37" s="25">
        <f>IF(OR(V78=0,V78=1),$W$44,IF(ISNUMBER(MATCH(V117,$BJ$5:$BJ$40000,0)),INDEX($BI$5:$BI$1792,MATCH(V117,$BJ$5:$BJ$40000,0),1),IF(CT75=0,-1,$BJ$3)))</f>
        <v>0</v>
      </c>
      <c r="W37" s="25">
        <f>IF(OR(W78=0,W78=1),$W$44,IF(ISNUMBER(MATCH(W117,$BJ$5:$BJ$40000,0)),INDEX($BI$5:$BI$1792,MATCH(W117,$BJ$5:$BJ$40000,0),1),IF(CU75=0,-1,$BJ$3)))</f>
        <v>0</v>
      </c>
      <c r="X37" s="25">
        <f>IF(OR(X78=0,X78=1),$W$44,IF(ISNUMBER(MATCH(X117,$BJ$5:$BJ$40000,0)),INDEX($BI$5:$BI$1792,MATCH(X117,$BJ$5:$BJ$40000,0),1),IF(CV75=0,-1,$BJ$3)))</f>
        <v>0</v>
      </c>
      <c r="Y37" s="25">
        <f>IF(OR(Y78=0,Y78=1),$W$44,IF(ISNUMBER(MATCH(Y117,$BJ$5:$BJ$40000,0)),INDEX($BI$5:$BI$1792,MATCH(Y117,$BJ$5:$BJ$40000,0),1),IF(CW75=0,-1,$BJ$3)))</f>
        <v>0</v>
      </c>
      <c r="Z37" s="35"/>
      <c r="AA37" s="15">
        <v>1</v>
      </c>
      <c r="AB37" s="57">
        <v>30</v>
      </c>
      <c r="AC37" s="57">
        <v>15</v>
      </c>
      <c r="AD37" s="57">
        <v>4</v>
      </c>
      <c r="AE37" s="57">
        <v>2</v>
      </c>
      <c r="AF37" s="57">
        <v>400</v>
      </c>
      <c r="AG37" s="23" t="str">
        <f t="shared" si="1"/>
        <v>15,30</v>
      </c>
      <c r="AH37" s="1"/>
      <c r="AI37" s="15">
        <v>32</v>
      </c>
      <c r="AJ37" s="15">
        <v>32</v>
      </c>
      <c r="AK37" s="15" t="s">
        <v>42</v>
      </c>
      <c r="AL37" s="57">
        <v>400</v>
      </c>
      <c r="AM37" s="57">
        <v>5</v>
      </c>
      <c r="AN37" s="57">
        <v>2.4285714285714201E-3</v>
      </c>
      <c r="AO37" s="57">
        <v>32.542857142857102</v>
      </c>
      <c r="AP37" s="57">
        <v>1</v>
      </c>
      <c r="AQ37" s="57">
        <v>100</v>
      </c>
      <c r="AR37" s="57">
        <v>0.03</v>
      </c>
      <c r="AS37" s="57">
        <v>2</v>
      </c>
      <c r="AT37" s="57">
        <v>1</v>
      </c>
      <c r="AU37" s="57">
        <v>0</v>
      </c>
      <c r="AV37" s="57" t="s">
        <v>41</v>
      </c>
      <c r="AW37" s="58">
        <f>IF(AV36=AV37,AW36,MAX(AW$4:AW36)+1)</f>
        <v>4</v>
      </c>
      <c r="AX37" s="1"/>
      <c r="AY37" s="33">
        <v>32</v>
      </c>
      <c r="AZ37" s="33">
        <v>32</v>
      </c>
      <c r="BA37" s="11">
        <v>31</v>
      </c>
      <c r="BB37" s="11">
        <v>-33</v>
      </c>
      <c r="BC37" s="11"/>
      <c r="BD37" s="11">
        <f t="shared" si="4"/>
        <v>14</v>
      </c>
      <c r="BE37" s="1"/>
      <c r="BF37" s="56">
        <v>1</v>
      </c>
      <c r="BG37" s="57">
        <v>35</v>
      </c>
      <c r="BH37" s="57">
        <v>16</v>
      </c>
      <c r="BI37" s="57">
        <v>28</v>
      </c>
      <c r="BJ37" s="13" t="str">
        <f t="shared" si="3"/>
        <v>16,35</v>
      </c>
      <c r="BK37" s="35"/>
      <c r="BL37" s="8">
        <f t="shared" ref="BL37:BL69" si="8">IF(ROW()&lt;=$BL$4,ROW()-ROW(BL$4),"")</f>
        <v>33</v>
      </c>
      <c r="BM37" s="6">
        <f t="shared" si="6"/>
        <v>1</v>
      </c>
      <c r="BN37" s="6">
        <f t="shared" si="7"/>
        <v>33</v>
      </c>
      <c r="BO37" s="35"/>
      <c r="BP37" s="15">
        <v>32</v>
      </c>
      <c r="BQ37" s="60">
        <v>0</v>
      </c>
      <c r="BR37" s="57">
        <v>32</v>
      </c>
      <c r="BS37" s="57" t="s">
        <v>96</v>
      </c>
      <c r="BT37" s="57" t="s">
        <v>70</v>
      </c>
      <c r="BU37" s="57">
        <v>1</v>
      </c>
      <c r="BV37" s="60">
        <v>0</v>
      </c>
      <c r="BW37" s="57">
        <v>0</v>
      </c>
      <c r="BX37" s="60">
        <v>0</v>
      </c>
      <c r="BY37" s="60">
        <v>0</v>
      </c>
      <c r="BZ37" s="35"/>
      <c r="CA37" s="52">
        <v>15.952780000000001</v>
      </c>
      <c r="CB37" s="52">
        <v>14.23729</v>
      </c>
      <c r="CC37" s="52">
        <v>13.119630000000001</v>
      </c>
      <c r="CD37" s="52">
        <v>14.222530000000001</v>
      </c>
      <c r="CE37" s="52">
        <v>14.840020000000001</v>
      </c>
      <c r="CF37" s="52">
        <v>14.39723</v>
      </c>
      <c r="CG37" s="52">
        <v>13.37087</v>
      </c>
      <c r="CH37" s="52">
        <v>13.253170000000001</v>
      </c>
      <c r="CI37" s="52">
        <v>13.69234</v>
      </c>
      <c r="CJ37" s="52">
        <v>13.80613</v>
      </c>
      <c r="CK37" s="53">
        <v>13.31418</v>
      </c>
      <c r="CL37" s="53">
        <v>13.262090000000001</v>
      </c>
      <c r="CM37" s="53">
        <v>13.635149999999999</v>
      </c>
      <c r="CN37" s="53">
        <v>14.023199999999999</v>
      </c>
      <c r="CO37" s="53">
        <v>14.024010000000001</v>
      </c>
      <c r="CP37" s="53">
        <v>13.94351</v>
      </c>
      <c r="CQ37" s="53">
        <v>13.95635</v>
      </c>
      <c r="CR37" s="53">
        <v>14.148849999999999</v>
      </c>
      <c r="CS37" s="53">
        <v>14.58916</v>
      </c>
      <c r="CT37" s="53">
        <v>14.63266</v>
      </c>
      <c r="CU37" s="53">
        <v>14.98396</v>
      </c>
      <c r="CV37" s="53">
        <v>15.21147</v>
      </c>
      <c r="CW37" s="53">
        <v>15.6023</v>
      </c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</row>
    <row r="38" spans="1:115" ht="8.1" customHeight="1" x14ac:dyDescent="0.25">
      <c r="A38" s="35"/>
      <c r="B38" s="37"/>
      <c r="C38" s="25">
        <f>IF(OR(C79=0,C79=1),$W$44,IF(ISNUMBER(MATCH(C118,$BJ$5:$BJ$40000,0)),INDEX($BI$5:$BI$1792,MATCH(C118,$BJ$5:$BJ$40000,0),1),IF(CA76=0,-1,$BJ$3)))</f>
        <v>-1</v>
      </c>
      <c r="D38" s="25">
        <f>IF(OR(D79=0,D79=1),$W$44,IF(ISNUMBER(MATCH(D118,$BJ$5:$BJ$40000,0)),INDEX($BI$5:$BI$1792,MATCH(D118,$BJ$5:$BJ$40000,0),1),IF(CB76=0,-1,$BJ$3)))</f>
        <v>-1</v>
      </c>
      <c r="E38" s="25">
        <f>IF(OR(E79=0,E79=1),$W$44,IF(ISNUMBER(MATCH(E118,$BJ$5:$BJ$40000,0)),INDEX($BI$5:$BI$1792,MATCH(E118,$BJ$5:$BJ$40000,0),1),IF(CC76=0,-1,$BJ$3)))</f>
        <v>-1</v>
      </c>
      <c r="F38" s="25">
        <f>IF(OR(F79=0,F79=1),$W$44,IF(ISNUMBER(MATCH(F118,$BJ$5:$BJ$40000,0)),INDEX($BI$5:$BI$1792,MATCH(F118,$BJ$5:$BJ$40000,0),1),IF(CD76=0,-1,$BJ$3)))</f>
        <v>-1</v>
      </c>
      <c r="G38" s="25">
        <f>IF(OR(G79=0,G79=1),$W$44,IF(ISNUMBER(MATCH(G118,$BJ$5:$BJ$40000,0)),INDEX($BI$5:$BI$1792,MATCH(G118,$BJ$5:$BJ$40000,0),1),IF(CE76=0,-1,$BJ$3)))</f>
        <v>-1</v>
      </c>
      <c r="H38" s="25">
        <f>IF(OR(H79=0,H79=1),$W$44,IF(ISNUMBER(MATCH(H118,$BJ$5:$BJ$40000,0)),INDEX($BI$5:$BI$1792,MATCH(H118,$BJ$5:$BJ$40000,0),1),IF(CF76=0,-1,$BJ$3)))</f>
        <v>-1</v>
      </c>
      <c r="I38" s="25">
        <f>IF(OR(I79=0,I79=1),$W$44,IF(ISNUMBER(MATCH(I118,$BJ$5:$BJ$40000,0)),INDEX($BI$5:$BI$1792,MATCH(I118,$BJ$5:$BJ$40000,0),1),IF(CG76=0,-1,$BJ$3)))</f>
        <v>-1</v>
      </c>
      <c r="J38" s="25">
        <f>IF(OR(J79=0,J79=1),$W$44,IF(ISNUMBER(MATCH(J118,$BJ$5:$BJ$40000,0)),INDEX($BI$5:$BI$1792,MATCH(J118,$BJ$5:$BJ$40000,0),1),IF(CH76=0,-1,$BJ$3)))</f>
        <v>28</v>
      </c>
      <c r="K38" s="25">
        <f>IF(OR(K79=0,K79=1),$W$44,IF(ISNUMBER(MATCH(K118,$BJ$5:$BJ$40000,0)),INDEX($BI$5:$BI$1792,MATCH(K118,$BJ$5:$BJ$40000,0),1),IF(CI76=0,-1,$BJ$3)))</f>
        <v>28</v>
      </c>
      <c r="L38" s="25">
        <f>IF(OR(L79=0,L79=1),$W$44,IF(ISNUMBER(MATCH(L118,$BJ$5:$BJ$40000,0)),INDEX($BI$5:$BI$1792,MATCH(L118,$BJ$5:$BJ$40000,0),1),IF(CJ76=0,-1,$BJ$3)))</f>
        <v>28</v>
      </c>
      <c r="M38" s="25">
        <f>IF(OR(M79=0,M79=1),$W$44,IF(ISNUMBER(MATCH(M118,$BJ$5:$BJ$40000,0)),INDEX($BI$5:$BI$1792,MATCH(M118,$BJ$5:$BJ$40000,0),1),IF(CK76=0,-1,$BJ$3)))</f>
        <v>28</v>
      </c>
      <c r="N38" s="25">
        <f>IF(OR(N79=0,N79=1),$W$44,IF(ISNUMBER(MATCH(N118,$BJ$5:$BJ$40000,0)),INDEX($BI$5:$BI$1792,MATCH(N118,$BJ$5:$BJ$40000,0),1),IF(CL76=0,-1,$BJ$3)))</f>
        <v>28</v>
      </c>
      <c r="O38" s="25">
        <f>IF(OR(O79=0,O79=1),$W$44,IF(ISNUMBER(MATCH(O118,$BJ$5:$BJ$40000,0)),INDEX($BI$5:$BI$1792,MATCH(O118,$BJ$5:$BJ$40000,0),1),IF(CM76=0,-1,$BJ$3)))</f>
        <v>28</v>
      </c>
      <c r="P38" s="25">
        <f>IF(OR(P79=0,P79=1),$W$44,IF(ISNUMBER(MATCH(P118,$BJ$5:$BJ$40000,0)),INDEX($BI$5:$BI$1792,MATCH(P118,$BJ$5:$BJ$40000,0),1),IF(CN76=0,-1,$BJ$3)))</f>
        <v>0</v>
      </c>
      <c r="Q38" s="25">
        <f>IF(OR(Q79=0,Q79=1),$W$44,IF(ISNUMBER(MATCH(Q118,$BJ$5:$BJ$40000,0)),INDEX($BI$5:$BI$1792,MATCH(Q118,$BJ$5:$BJ$40000,0),1),IF(CO76=0,-1,$BJ$3)))</f>
        <v>37</v>
      </c>
      <c r="R38" s="25">
        <f>IF(OR(R79=0,R79=1),$W$44,IF(ISNUMBER(MATCH(R118,$BJ$5:$BJ$40000,0)),INDEX($BI$5:$BI$1792,MATCH(R118,$BJ$5:$BJ$40000,0),1),IF(CP76=0,-1,$BJ$3)))</f>
        <v>0</v>
      </c>
      <c r="S38" s="25">
        <f>IF(OR(S79=0,S79=1),$W$44,IF(ISNUMBER(MATCH(S118,$BJ$5:$BJ$40000,0)),INDEX($BI$5:$BI$1792,MATCH(S118,$BJ$5:$BJ$40000,0),1),IF(CQ76=0,-1,$BJ$3)))</f>
        <v>0</v>
      </c>
      <c r="T38" s="25">
        <f>IF(OR(T79=0,T79=1),$W$44,IF(ISNUMBER(MATCH(T118,$BJ$5:$BJ$40000,0)),INDEX($BI$5:$BI$1792,MATCH(T118,$BJ$5:$BJ$40000,0),1),IF(CR76=0,-1,$BJ$3)))</f>
        <v>0</v>
      </c>
      <c r="U38" s="25">
        <f>IF(OR(U79=0,U79=1),$W$44,IF(ISNUMBER(MATCH(U118,$BJ$5:$BJ$40000,0)),INDEX($BI$5:$BI$1792,MATCH(U118,$BJ$5:$BJ$40000,0),1),IF(CS76=0,-1,$BJ$3)))</f>
        <v>0</v>
      </c>
      <c r="V38" s="25">
        <f>IF(OR(V79=0,V79=1),$W$44,IF(ISNUMBER(MATCH(V118,$BJ$5:$BJ$40000,0)),INDEX($BI$5:$BI$1792,MATCH(V118,$BJ$5:$BJ$40000,0),1),IF(CT76=0,-1,$BJ$3)))</f>
        <v>0</v>
      </c>
      <c r="W38" s="25">
        <f>IF(OR(W79=0,W79=1),$W$44,IF(ISNUMBER(MATCH(W118,$BJ$5:$BJ$40000,0)),INDEX($BI$5:$BI$1792,MATCH(W118,$BJ$5:$BJ$40000,0),1),IF(CU76=0,-1,$BJ$3)))</f>
        <v>0</v>
      </c>
      <c r="X38" s="25">
        <f>IF(OR(X79=0,X79=1),$W$44,IF(ISNUMBER(MATCH(X118,$BJ$5:$BJ$40000,0)),INDEX($BI$5:$BI$1792,MATCH(X118,$BJ$5:$BJ$40000,0),1),IF(CV76=0,-1,$BJ$3)))</f>
        <v>0</v>
      </c>
      <c r="Y38" s="25">
        <f>IF(OR(Y79=0,Y79=1),$W$44,IF(ISNUMBER(MATCH(Y118,$BJ$5:$BJ$40000,0)),INDEX($BI$5:$BI$1792,MATCH(Y118,$BJ$5:$BJ$40000,0),1),IF(CW76=0,-1,$BJ$3)))</f>
        <v>0</v>
      </c>
      <c r="Z38" s="35"/>
      <c r="AA38" s="15">
        <v>1</v>
      </c>
      <c r="AB38" s="57">
        <v>31</v>
      </c>
      <c r="AC38" s="57">
        <v>15</v>
      </c>
      <c r="AD38" s="57">
        <v>4</v>
      </c>
      <c r="AE38" s="57">
        <v>3</v>
      </c>
      <c r="AF38" s="57">
        <v>400</v>
      </c>
      <c r="AG38" s="23" t="str">
        <f t="shared" si="1"/>
        <v>15,31</v>
      </c>
      <c r="AH38" s="1"/>
      <c r="AI38" s="15">
        <v>33</v>
      </c>
      <c r="AJ38" s="15">
        <v>33</v>
      </c>
      <c r="AK38" s="15" t="s">
        <v>43</v>
      </c>
      <c r="AL38" s="57">
        <v>400</v>
      </c>
      <c r="AM38" s="57">
        <v>5</v>
      </c>
      <c r="AN38" s="57">
        <v>2.4285714285714201E-3</v>
      </c>
      <c r="AO38" s="57">
        <v>31.571428571428498</v>
      </c>
      <c r="AP38" s="57">
        <v>1</v>
      </c>
      <c r="AQ38" s="57">
        <v>100</v>
      </c>
      <c r="AR38" s="57">
        <v>0.03</v>
      </c>
      <c r="AS38" s="57">
        <v>2</v>
      </c>
      <c r="AT38" s="57">
        <v>1</v>
      </c>
      <c r="AU38" s="57">
        <v>0</v>
      </c>
      <c r="AV38" s="57" t="s">
        <v>41</v>
      </c>
      <c r="AW38" s="58">
        <f>IF(AV37=AV38,AW37,MAX(AW$4:AW37)+1)</f>
        <v>4</v>
      </c>
      <c r="AX38" s="1"/>
      <c r="AY38" s="33">
        <v>33</v>
      </c>
      <c r="AZ38" s="33">
        <v>33</v>
      </c>
      <c r="BA38" s="11">
        <v>32</v>
      </c>
      <c r="BB38" s="11">
        <v>-34</v>
      </c>
      <c r="BC38" s="11"/>
      <c r="BD38" s="11">
        <f t="shared" si="4"/>
        <v>15</v>
      </c>
      <c r="BE38" s="1"/>
      <c r="BF38" s="56">
        <v>1</v>
      </c>
      <c r="BG38" s="57">
        <v>35</v>
      </c>
      <c r="BH38" s="57">
        <v>17</v>
      </c>
      <c r="BI38" s="57">
        <v>28</v>
      </c>
      <c r="BJ38" s="13" t="str">
        <f t="shared" si="3"/>
        <v>17,35</v>
      </c>
      <c r="BK38" s="35"/>
      <c r="BL38" s="8">
        <f t="shared" si="8"/>
        <v>34</v>
      </c>
      <c r="BM38" s="6">
        <f t="shared" si="6"/>
        <v>1</v>
      </c>
      <c r="BN38" s="6">
        <f t="shared" si="7"/>
        <v>34</v>
      </c>
      <c r="BO38" s="35"/>
      <c r="BP38" s="15">
        <v>33</v>
      </c>
      <c r="BQ38" s="60">
        <v>0</v>
      </c>
      <c r="BR38" s="57">
        <v>33</v>
      </c>
      <c r="BS38" s="57" t="s">
        <v>97</v>
      </c>
      <c r="BT38" s="57" t="s">
        <v>70</v>
      </c>
      <c r="BU38" s="57">
        <v>1</v>
      </c>
      <c r="BV38" s="60">
        <v>0</v>
      </c>
      <c r="BW38" s="57">
        <v>0</v>
      </c>
      <c r="BX38" s="60">
        <v>0</v>
      </c>
      <c r="BY38" s="60">
        <v>0</v>
      </c>
      <c r="BZ38" s="35"/>
      <c r="CA38" s="52">
        <v>15.716229999999999</v>
      </c>
      <c r="CB38" s="52">
        <v>14.791539999999999</v>
      </c>
      <c r="CC38" s="52">
        <v>14.258660000000001</v>
      </c>
      <c r="CD38" s="52">
        <v>14.578609999999999</v>
      </c>
      <c r="CE38" s="52">
        <v>14.71607</v>
      </c>
      <c r="CF38" s="52">
        <v>14.18491</v>
      </c>
      <c r="CG38" s="52">
        <v>13.24475</v>
      </c>
      <c r="CH38" s="52">
        <v>13.161960000000001</v>
      </c>
      <c r="CI38" s="52">
        <v>13.569000000000001</v>
      </c>
      <c r="CJ38" s="52">
        <v>13.533189999999999</v>
      </c>
      <c r="CK38" s="53">
        <v>13.107950000000001</v>
      </c>
      <c r="CL38" s="53">
        <v>13.06035</v>
      </c>
      <c r="CM38" s="53">
        <v>13.441560000000001</v>
      </c>
      <c r="CN38" s="53">
        <v>13.683960000000001</v>
      </c>
      <c r="CO38" s="53">
        <v>13.69868</v>
      </c>
      <c r="CP38" s="53">
        <v>13.40227</v>
      </c>
      <c r="CQ38" s="53">
        <v>13.365410000000001</v>
      </c>
      <c r="CR38" s="53">
        <v>13.42792</v>
      </c>
      <c r="CS38" s="53">
        <v>13.78131</v>
      </c>
      <c r="CT38" s="53">
        <v>14.02383</v>
      </c>
      <c r="CU38" s="53">
        <v>13.98969</v>
      </c>
      <c r="CV38" s="53">
        <v>14.270379999999999</v>
      </c>
      <c r="CW38" s="53">
        <v>14.73061</v>
      </c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</row>
    <row r="39" spans="1:115" ht="8.1" customHeight="1" x14ac:dyDescent="0.25">
      <c r="A39" s="35"/>
      <c r="B39" s="37"/>
      <c r="C39" s="25">
        <f>IF(OR(C80=0,C80=1),$W$44,IF(ISNUMBER(MATCH(C119,$BJ$5:$BJ$40000,0)),INDEX($BI$5:$BI$1792,MATCH(C119,$BJ$5:$BJ$40000,0),1),IF(CA77=0,-1,$BJ$3)))</f>
        <v>-1</v>
      </c>
      <c r="D39" s="25">
        <f>IF(OR(D80=0,D80=1),$W$44,IF(ISNUMBER(MATCH(D119,$BJ$5:$BJ$40000,0)),INDEX($BI$5:$BI$1792,MATCH(D119,$BJ$5:$BJ$40000,0),1),IF(CB77=0,-1,$BJ$3)))</f>
        <v>-1</v>
      </c>
      <c r="E39" s="25">
        <f>IF(OR(E80=0,E80=1),$W$44,IF(ISNUMBER(MATCH(E119,$BJ$5:$BJ$40000,0)),INDEX($BI$5:$BI$1792,MATCH(E119,$BJ$5:$BJ$40000,0),1),IF(CC77=0,-1,$BJ$3)))</f>
        <v>-1</v>
      </c>
      <c r="F39" s="25">
        <f>IF(OR(F80=0,F80=1),$W$44,IF(ISNUMBER(MATCH(F119,$BJ$5:$BJ$40000,0)),INDEX($BI$5:$BI$1792,MATCH(F119,$BJ$5:$BJ$40000,0),1),IF(CD77=0,-1,$BJ$3)))</f>
        <v>-1</v>
      </c>
      <c r="G39" s="25">
        <f>IF(OR(G80=0,G80=1),$W$44,IF(ISNUMBER(MATCH(G119,$BJ$5:$BJ$40000,0)),INDEX($BI$5:$BI$1792,MATCH(G119,$BJ$5:$BJ$40000,0),1),IF(CE77=0,-1,$BJ$3)))</f>
        <v>-1</v>
      </c>
      <c r="H39" s="25">
        <f>IF(OR(H80=0,H80=1),$W$44,IF(ISNUMBER(MATCH(H119,$BJ$5:$BJ$40000,0)),INDEX($BI$5:$BI$1792,MATCH(H119,$BJ$5:$BJ$40000,0),1),IF(CF77=0,-1,$BJ$3)))</f>
        <v>-1</v>
      </c>
      <c r="I39" s="25">
        <f>IF(OR(I80=0,I80=1),$W$44,IF(ISNUMBER(MATCH(I119,$BJ$5:$BJ$40000,0)),INDEX($BI$5:$BI$1792,MATCH(I119,$BJ$5:$BJ$40000,0),1),IF(CG77=0,-1,$BJ$3)))</f>
        <v>-1</v>
      </c>
      <c r="J39" s="25">
        <f>IF(OR(J80=0,J80=1),$W$44,IF(ISNUMBER(MATCH(J119,$BJ$5:$BJ$40000,0)),INDEX($BI$5:$BI$1792,MATCH(J119,$BJ$5:$BJ$40000,0),1),IF(CH77=0,-1,$BJ$3)))</f>
        <v>-1</v>
      </c>
      <c r="K39" s="25">
        <f>IF(OR(K80=0,K80=1),$W$44,IF(ISNUMBER(MATCH(K119,$BJ$5:$BJ$40000,0)),INDEX($BI$5:$BI$1792,MATCH(K119,$BJ$5:$BJ$40000,0),1),IF(CI77=0,-1,$BJ$3)))</f>
        <v>-1</v>
      </c>
      <c r="L39" s="25">
        <f>IF(OR(L80=0,L80=1),$W$44,IF(ISNUMBER(MATCH(L119,$BJ$5:$BJ$40000,0)),INDEX($BI$5:$BI$1792,MATCH(L119,$BJ$5:$BJ$40000,0),1),IF(CJ77=0,-1,$BJ$3)))</f>
        <v>-1</v>
      </c>
      <c r="M39" s="25">
        <f>IF(OR(M80=0,M80=1),$W$44,IF(ISNUMBER(MATCH(M119,$BJ$5:$BJ$40000,0)),INDEX($BI$5:$BI$1792,MATCH(M119,$BJ$5:$BJ$40000,0),1),IF(CK77=0,-1,$BJ$3)))</f>
        <v>-1</v>
      </c>
      <c r="N39" s="25">
        <f>IF(OR(N80=0,N80=1),$W$44,IF(ISNUMBER(MATCH(N119,$BJ$5:$BJ$40000,0)),INDEX($BI$5:$BI$1792,MATCH(N119,$BJ$5:$BJ$40000,0),1),IF(CL77=0,-1,$BJ$3)))</f>
        <v>-1</v>
      </c>
      <c r="O39" s="25">
        <f>IF(OR(O80=0,O80=1),$W$44,IF(ISNUMBER(MATCH(O119,$BJ$5:$BJ$40000,0)),INDEX($BI$5:$BI$1792,MATCH(O119,$BJ$5:$BJ$40000,0),1),IF(CM77=0,-1,$BJ$3)))</f>
        <v>-1</v>
      </c>
      <c r="P39" s="25">
        <f>IF(OR(P80=0,P80=1),$W$44,IF(ISNUMBER(MATCH(P119,$BJ$5:$BJ$40000,0)),INDEX($BI$5:$BI$1792,MATCH(P119,$BJ$5:$BJ$40000,0),1),IF(CN77=0,-1,$BJ$3)))</f>
        <v>28</v>
      </c>
      <c r="Q39" s="25">
        <f>IF(OR(Q80=0,Q80=1),$W$44,IF(ISNUMBER(MATCH(Q119,$BJ$5:$BJ$40000,0)),INDEX($BI$5:$BI$1792,MATCH(Q119,$BJ$5:$BJ$40000,0),1),IF(CO77=0,-1,$BJ$3)))</f>
        <v>28</v>
      </c>
      <c r="R39" s="25">
        <f>IF(OR(R80=0,R80=1),$W$44,IF(ISNUMBER(MATCH(R119,$BJ$5:$BJ$40000,0)),INDEX($BI$5:$BI$1792,MATCH(R119,$BJ$5:$BJ$40000,0),1),IF(CP77=0,-1,$BJ$3)))</f>
        <v>28</v>
      </c>
      <c r="S39" s="25">
        <f>IF(OR(S80=0,S80=1),$W$44,IF(ISNUMBER(MATCH(S119,$BJ$5:$BJ$40000,0)),INDEX($BI$5:$BI$1792,MATCH(S119,$BJ$5:$BJ$40000,0),1),IF(CQ77=0,-1,$BJ$3)))</f>
        <v>28</v>
      </c>
      <c r="T39" s="25">
        <f>IF(OR(T80=0,T80=1),$W$44,IF(ISNUMBER(MATCH(T119,$BJ$5:$BJ$40000,0)),INDEX($BI$5:$BI$1792,MATCH(T119,$BJ$5:$BJ$40000,0),1),IF(CR77=0,-1,$BJ$3)))</f>
        <v>28</v>
      </c>
      <c r="U39" s="25">
        <f>IF(OR(U80=0,U80=1),$W$44,IF(ISNUMBER(MATCH(U119,$BJ$5:$BJ$40000,0)),INDEX($BI$5:$BI$1792,MATCH(U119,$BJ$5:$BJ$40000,0),1),IF(CS77=0,-1,$BJ$3)))</f>
        <v>28</v>
      </c>
      <c r="V39" s="25">
        <f>IF(OR(V80=0,V80=1),$W$44,IF(ISNUMBER(MATCH(V119,$BJ$5:$BJ$40000,0)),INDEX($BI$5:$BI$1792,MATCH(V119,$BJ$5:$BJ$40000,0),1),IF(CT77=0,-1,$BJ$3)))</f>
        <v>28</v>
      </c>
      <c r="W39" s="25">
        <f>IF(OR(W80=0,W80=1),$W$44,IF(ISNUMBER(MATCH(W119,$BJ$5:$BJ$40000,0)),INDEX($BI$5:$BI$1792,MATCH(W119,$BJ$5:$BJ$40000,0),1),IF(CU77=0,-1,$BJ$3)))</f>
        <v>0</v>
      </c>
      <c r="X39" s="25">
        <f>IF(OR(X80=0,X80=1),$W$44,IF(ISNUMBER(MATCH(X119,$BJ$5:$BJ$40000,0)),INDEX($BI$5:$BI$1792,MATCH(X119,$BJ$5:$BJ$40000,0),1),IF(CV77=0,-1,$BJ$3)))</f>
        <v>0</v>
      </c>
      <c r="Y39" s="25">
        <f>IF(OR(Y80=0,Y80=1),$W$44,IF(ISNUMBER(MATCH(Y119,$BJ$5:$BJ$40000,0)),INDEX($BI$5:$BI$1792,MATCH(Y119,$BJ$5:$BJ$40000,0),1),IF(CW77=0,-1,$BJ$3)))</f>
        <v>0</v>
      </c>
      <c r="Z39" s="35"/>
      <c r="AA39" s="15">
        <v>1</v>
      </c>
      <c r="AB39" s="57">
        <v>32</v>
      </c>
      <c r="AC39" s="57">
        <v>15</v>
      </c>
      <c r="AD39" s="57">
        <v>4</v>
      </c>
      <c r="AE39" s="57">
        <v>4</v>
      </c>
      <c r="AF39" s="57">
        <v>400</v>
      </c>
      <c r="AG39" s="23" t="str">
        <f t="shared" si="1"/>
        <v>15,32</v>
      </c>
      <c r="AH39" s="1"/>
      <c r="AI39" s="15">
        <v>34</v>
      </c>
      <c r="AJ39" s="15">
        <v>34</v>
      </c>
      <c r="AK39" s="15" t="s">
        <v>44</v>
      </c>
      <c r="AL39" s="57">
        <v>400</v>
      </c>
      <c r="AM39" s="57">
        <v>5</v>
      </c>
      <c r="AN39" s="57">
        <v>2.4285714285714201E-3</v>
      </c>
      <c r="AO39" s="57">
        <v>30.6</v>
      </c>
      <c r="AP39" s="57">
        <v>1</v>
      </c>
      <c r="AQ39" s="57">
        <v>100</v>
      </c>
      <c r="AR39" s="57">
        <v>0.03</v>
      </c>
      <c r="AS39" s="57">
        <v>2</v>
      </c>
      <c r="AT39" s="57">
        <v>1</v>
      </c>
      <c r="AU39" s="57">
        <v>0</v>
      </c>
      <c r="AV39" s="57" t="s">
        <v>41</v>
      </c>
      <c r="AW39" s="58">
        <f>IF(AV38=AV39,AW38,MAX(AW$4:AW38)+1)</f>
        <v>4</v>
      </c>
      <c r="AX39" s="1"/>
      <c r="AY39" s="33">
        <v>34</v>
      </c>
      <c r="AZ39" s="33">
        <v>34</v>
      </c>
      <c r="BA39" s="11">
        <v>33</v>
      </c>
      <c r="BB39" s="11">
        <v>-35</v>
      </c>
      <c r="BC39" s="11"/>
      <c r="BD39" s="11">
        <f t="shared" si="4"/>
        <v>16</v>
      </c>
      <c r="BE39" s="1"/>
      <c r="BF39" s="56">
        <v>1</v>
      </c>
      <c r="BG39" s="57">
        <v>35</v>
      </c>
      <c r="BH39" s="57">
        <v>18</v>
      </c>
      <c r="BI39" s="57">
        <v>28</v>
      </c>
      <c r="BJ39" s="13" t="str">
        <f t="shared" si="3"/>
        <v>18,35</v>
      </c>
      <c r="BK39" s="35"/>
      <c r="BL39" s="8">
        <f t="shared" si="8"/>
        <v>35</v>
      </c>
      <c r="BM39" s="6">
        <f t="shared" si="6"/>
        <v>1</v>
      </c>
      <c r="BN39" s="6">
        <f t="shared" si="7"/>
        <v>35</v>
      </c>
      <c r="BO39" s="35"/>
      <c r="BP39" s="15">
        <v>34</v>
      </c>
      <c r="BQ39" s="60">
        <v>0</v>
      </c>
      <c r="BR39" s="57">
        <v>34</v>
      </c>
      <c r="BS39" s="57" t="s">
        <v>98</v>
      </c>
      <c r="BT39" s="57" t="s">
        <v>70</v>
      </c>
      <c r="BU39" s="57">
        <v>1</v>
      </c>
      <c r="BV39" s="60">
        <v>0</v>
      </c>
      <c r="BW39" s="57">
        <v>0</v>
      </c>
      <c r="BX39" s="60">
        <v>0</v>
      </c>
      <c r="BY39" s="60">
        <v>0</v>
      </c>
      <c r="BZ39" s="35"/>
      <c r="CA39" s="52">
        <v>15.717280000000001</v>
      </c>
      <c r="CB39" s="52">
        <v>15.36111</v>
      </c>
      <c r="CC39" s="52">
        <v>15.07428</v>
      </c>
      <c r="CD39" s="52">
        <v>15.006779999999999</v>
      </c>
      <c r="CE39" s="52">
        <v>14.838559999999999</v>
      </c>
      <c r="CF39" s="52">
        <v>14.46602</v>
      </c>
      <c r="CG39" s="52">
        <v>13.71175</v>
      </c>
      <c r="CH39" s="52">
        <v>13.604150000000001</v>
      </c>
      <c r="CI39" s="52">
        <v>13.72819</v>
      </c>
      <c r="CJ39" s="52">
        <v>13.528980000000001</v>
      </c>
      <c r="CK39" s="53">
        <v>13.368740000000001</v>
      </c>
      <c r="CL39" s="53">
        <v>13.32888</v>
      </c>
      <c r="CM39" s="53">
        <v>13.55312</v>
      </c>
      <c r="CN39" s="53">
        <v>13.508039999999999</v>
      </c>
      <c r="CO39" s="53">
        <v>13.425240000000001</v>
      </c>
      <c r="CP39" s="53">
        <v>13.23889</v>
      </c>
      <c r="CQ39" s="53">
        <v>13.021420000000001</v>
      </c>
      <c r="CR39" s="53">
        <v>13.139379999999999</v>
      </c>
      <c r="CS39" s="53">
        <v>13.48967</v>
      </c>
      <c r="CT39" s="53">
        <v>13.47522</v>
      </c>
      <c r="CU39" s="53">
        <v>13.299810000000001</v>
      </c>
      <c r="CV39" s="53">
        <v>13.538690000000001</v>
      </c>
      <c r="CW39" s="53">
        <v>14.077299999999999</v>
      </c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</row>
    <row r="40" spans="1:115" ht="8.1" customHeight="1" x14ac:dyDescent="0.25">
      <c r="A40" s="35"/>
      <c r="B40" s="37"/>
      <c r="C40" s="25">
        <f>IF(OR(C81=0,C81=1),$W$44,IF(ISNUMBER(MATCH(C120,$BJ$5:$BJ$40000,0)),INDEX($BI$5:$BI$1792,MATCH(C120,$BJ$5:$BJ$40000,0),1),IF(CA78=0,-1,$BJ$3)))</f>
        <v>-1</v>
      </c>
      <c r="D40" s="25">
        <f>IF(OR(D81=0,D81=1),$W$44,IF(ISNUMBER(MATCH(D120,$BJ$5:$BJ$40000,0)),INDEX($BI$5:$BI$1792,MATCH(D120,$BJ$5:$BJ$40000,0),1),IF(CB78=0,-1,$BJ$3)))</f>
        <v>-1</v>
      </c>
      <c r="E40" s="25">
        <f>IF(OR(E81=0,E81=1),$W$44,IF(ISNUMBER(MATCH(E120,$BJ$5:$BJ$40000,0)),INDEX($BI$5:$BI$1792,MATCH(E120,$BJ$5:$BJ$40000,0),1),IF(CC78=0,-1,$BJ$3)))</f>
        <v>-1</v>
      </c>
      <c r="F40" s="25">
        <f>IF(OR(F81=0,F81=1),$W$44,IF(ISNUMBER(MATCH(F120,$BJ$5:$BJ$40000,0)),INDEX($BI$5:$BI$1792,MATCH(F120,$BJ$5:$BJ$40000,0),1),IF(CD78=0,-1,$BJ$3)))</f>
        <v>-1</v>
      </c>
      <c r="G40" s="25">
        <f>IF(OR(G81=0,G81=1),$W$44,IF(ISNUMBER(MATCH(G120,$BJ$5:$BJ$40000,0)),INDEX($BI$5:$BI$1792,MATCH(G120,$BJ$5:$BJ$40000,0),1),IF(CE78=0,-1,$BJ$3)))</f>
        <v>-1</v>
      </c>
      <c r="H40" s="25">
        <f>IF(OR(H81=0,H81=1),$W$44,IF(ISNUMBER(MATCH(H120,$BJ$5:$BJ$40000,0)),INDEX($BI$5:$BI$1792,MATCH(H120,$BJ$5:$BJ$40000,0),1),IF(CF78=0,-1,$BJ$3)))</f>
        <v>-1</v>
      </c>
      <c r="I40" s="25">
        <f>IF(OR(I81=0,I81=1),$W$44,IF(ISNUMBER(MATCH(I120,$BJ$5:$BJ$40000,0)),INDEX($BI$5:$BI$1792,MATCH(I120,$BJ$5:$BJ$40000,0),1),IF(CG78=0,-1,$BJ$3)))</f>
        <v>-1</v>
      </c>
      <c r="J40" s="25">
        <f>IF(OR(J81=0,J81=1),$W$44,IF(ISNUMBER(MATCH(J120,$BJ$5:$BJ$40000,0)),INDEX($BI$5:$BI$1792,MATCH(J120,$BJ$5:$BJ$40000,0),1),IF(CH78=0,-1,$BJ$3)))</f>
        <v>-1</v>
      </c>
      <c r="K40" s="25">
        <f>IF(OR(K81=0,K81=1),$W$44,IF(ISNUMBER(MATCH(K120,$BJ$5:$BJ$40000,0)),INDEX($BI$5:$BI$1792,MATCH(K120,$BJ$5:$BJ$40000,0),1),IF(CI78=0,-1,$BJ$3)))</f>
        <v>-1</v>
      </c>
      <c r="L40" s="25">
        <f>IF(OR(L81=0,L81=1),$W$44,IF(ISNUMBER(MATCH(L120,$BJ$5:$BJ$40000,0)),INDEX($BI$5:$BI$1792,MATCH(L120,$BJ$5:$BJ$40000,0),1),IF(CJ78=0,-1,$BJ$3)))</f>
        <v>-1</v>
      </c>
      <c r="M40" s="25">
        <f>IF(OR(M81=0,M81=1),$W$44,IF(ISNUMBER(MATCH(M120,$BJ$5:$BJ$40000,0)),INDEX($BI$5:$BI$1792,MATCH(M120,$BJ$5:$BJ$40000,0),1),IF(CK78=0,-1,$BJ$3)))</f>
        <v>-1</v>
      </c>
      <c r="N40" s="25">
        <f>IF(OR(N81=0,N81=1),$W$44,IF(ISNUMBER(MATCH(N120,$BJ$5:$BJ$40000,0)),INDEX($BI$5:$BI$1792,MATCH(N120,$BJ$5:$BJ$40000,0),1),IF(CL78=0,-1,$BJ$3)))</f>
        <v>-1</v>
      </c>
      <c r="O40" s="25">
        <f>IF(OR(O81=0,O81=1),$W$44,IF(ISNUMBER(MATCH(O120,$BJ$5:$BJ$40000,0)),INDEX($BI$5:$BI$1792,MATCH(O120,$BJ$5:$BJ$40000,0),1),IF(CM78=0,-1,$BJ$3)))</f>
        <v>-1</v>
      </c>
      <c r="P40" s="25">
        <f>IF(OR(P81=0,P81=1),$W$44,IF(ISNUMBER(MATCH(P120,$BJ$5:$BJ$40000,0)),INDEX($BI$5:$BI$1792,MATCH(P120,$BJ$5:$BJ$40000,0),1),IF(CN78=0,-1,$BJ$3)))</f>
        <v>-1</v>
      </c>
      <c r="Q40" s="25">
        <f>IF(OR(Q81=0,Q81=1),$W$44,IF(ISNUMBER(MATCH(Q120,$BJ$5:$BJ$40000,0)),INDEX($BI$5:$BI$1792,MATCH(Q120,$BJ$5:$BJ$40000,0),1),IF(CO78=0,-1,$BJ$3)))</f>
        <v>-1</v>
      </c>
      <c r="R40" s="25">
        <f>IF(OR(R81=0,R81=1),$W$44,IF(ISNUMBER(MATCH(R120,$BJ$5:$BJ$40000,0)),INDEX($BI$5:$BI$1792,MATCH(R120,$BJ$5:$BJ$40000,0),1),IF(CP78=0,-1,$BJ$3)))</f>
        <v>-1</v>
      </c>
      <c r="S40" s="25">
        <f>IF(OR(S81=0,S81=1),$W$44,IF(ISNUMBER(MATCH(S120,$BJ$5:$BJ$40000,0)),INDEX($BI$5:$BI$1792,MATCH(S120,$BJ$5:$BJ$40000,0),1),IF(CQ78=0,-1,$BJ$3)))</f>
        <v>-1</v>
      </c>
      <c r="T40" s="25">
        <f>IF(OR(T81=0,T81=1),$W$44,IF(ISNUMBER(MATCH(T120,$BJ$5:$BJ$40000,0)),INDEX($BI$5:$BI$1792,MATCH(T120,$BJ$5:$BJ$40000,0),1),IF(CR78=0,-1,$BJ$3)))</f>
        <v>-1</v>
      </c>
      <c r="U40" s="25">
        <f>IF(OR(U81=0,U81=1),$W$44,IF(ISNUMBER(MATCH(U120,$BJ$5:$BJ$40000,0)),INDEX($BI$5:$BI$1792,MATCH(U120,$BJ$5:$BJ$40000,0),1),IF(CS78=0,-1,$BJ$3)))</f>
        <v>-1</v>
      </c>
      <c r="V40" s="25">
        <f>IF(OR(V81=0,V81=1),$W$44,IF(ISNUMBER(MATCH(V120,$BJ$5:$BJ$40000,0)),INDEX($BI$5:$BI$1792,MATCH(V120,$BJ$5:$BJ$40000,0),1),IF(CT78=0,-1,$BJ$3)))</f>
        <v>-1</v>
      </c>
      <c r="W40" s="25">
        <f>IF(OR(W81=0,W81=1),$W$44,IF(ISNUMBER(MATCH(W120,$BJ$5:$BJ$40000,0)),INDEX($BI$5:$BI$1792,MATCH(W120,$BJ$5:$BJ$40000,0),1),IF(CU78=0,-1,$BJ$3)))</f>
        <v>28</v>
      </c>
      <c r="X40" s="25">
        <f>IF(OR(X81=0,X81=1),$W$44,IF(ISNUMBER(MATCH(X120,$BJ$5:$BJ$40000,0)),INDEX($BI$5:$BI$1792,MATCH(X120,$BJ$5:$BJ$40000,0),1),IF(CV78=0,-1,$BJ$3)))</f>
        <v>28</v>
      </c>
      <c r="Y40" s="25">
        <f>IF(OR(Y81=0,Y81=1),$W$44,IF(ISNUMBER(MATCH(Y120,$BJ$5:$BJ$40000,0)),INDEX($BI$5:$BI$1792,MATCH(Y120,$BJ$5:$BJ$40000,0),1),IF(CW78=0,-1,$BJ$3)))</f>
        <v>28</v>
      </c>
      <c r="Z40" s="35"/>
      <c r="AA40" s="15">
        <v>1</v>
      </c>
      <c r="AB40" s="57">
        <v>33</v>
      </c>
      <c r="AC40" s="57">
        <v>15</v>
      </c>
      <c r="AD40" s="57">
        <v>4</v>
      </c>
      <c r="AE40" s="57">
        <v>5</v>
      </c>
      <c r="AF40" s="57">
        <v>400</v>
      </c>
      <c r="AG40" s="23" t="str">
        <f t="shared" si="1"/>
        <v>15,33</v>
      </c>
      <c r="AH40" s="1"/>
      <c r="AI40" s="15">
        <v>35</v>
      </c>
      <c r="AJ40" s="15">
        <v>35</v>
      </c>
      <c r="AK40" s="15" t="s">
        <v>45</v>
      </c>
      <c r="AL40" s="57">
        <v>400</v>
      </c>
      <c r="AM40" s="57">
        <v>5</v>
      </c>
      <c r="AN40" s="57">
        <v>2.4285714285714201E-3</v>
      </c>
      <c r="AO40" s="57">
        <v>29.628571428571401</v>
      </c>
      <c r="AP40" s="57">
        <v>1</v>
      </c>
      <c r="AQ40" s="57">
        <v>100</v>
      </c>
      <c r="AR40" s="57">
        <v>0.03</v>
      </c>
      <c r="AS40" s="57">
        <v>2</v>
      </c>
      <c r="AT40" s="57">
        <v>1</v>
      </c>
      <c r="AU40" s="57">
        <v>0</v>
      </c>
      <c r="AV40" s="57" t="s">
        <v>41</v>
      </c>
      <c r="AW40" s="58">
        <f>IF(AV39=AV40,AW39,MAX(AW$4:AW39)+1)</f>
        <v>4</v>
      </c>
      <c r="AX40" s="1"/>
      <c r="AY40" s="33">
        <v>35</v>
      </c>
      <c r="AZ40" s="33">
        <v>35</v>
      </c>
      <c r="BA40" s="11">
        <v>34</v>
      </c>
      <c r="BB40" s="11">
        <v>-36</v>
      </c>
      <c r="BC40" s="11"/>
      <c r="BD40" s="11">
        <f t="shared" si="4"/>
        <v>17</v>
      </c>
      <c r="BE40" s="1"/>
      <c r="BF40" s="56">
        <v>1</v>
      </c>
      <c r="BG40" s="57">
        <v>35</v>
      </c>
      <c r="BH40" s="57">
        <v>19</v>
      </c>
      <c r="BI40" s="57">
        <v>28</v>
      </c>
      <c r="BJ40" s="13" t="str">
        <f t="shared" si="3"/>
        <v>19,35</v>
      </c>
      <c r="BK40" s="35"/>
      <c r="BL40" s="8">
        <f t="shared" si="8"/>
        <v>36</v>
      </c>
      <c r="BM40" s="6">
        <f t="shared" si="6"/>
        <v>1</v>
      </c>
      <c r="BN40" s="6">
        <f t="shared" si="7"/>
        <v>36</v>
      </c>
      <c r="BO40" s="35"/>
      <c r="BP40" s="15">
        <v>35</v>
      </c>
      <c r="BQ40" s="60">
        <v>0</v>
      </c>
      <c r="BR40" s="57">
        <v>35</v>
      </c>
      <c r="BS40" s="57" t="s">
        <v>99</v>
      </c>
      <c r="BT40" s="57" t="s">
        <v>70</v>
      </c>
      <c r="BU40" s="57">
        <v>1</v>
      </c>
      <c r="BV40" s="60">
        <v>0</v>
      </c>
      <c r="BW40" s="57">
        <v>0</v>
      </c>
      <c r="BX40" s="60">
        <v>0</v>
      </c>
      <c r="BY40" s="60">
        <v>0</v>
      </c>
      <c r="BZ40" s="35"/>
      <c r="CA40" s="52">
        <v>15.88491</v>
      </c>
      <c r="CB40" s="52">
        <v>15.67686</v>
      </c>
      <c r="CC40" s="52">
        <v>15.469189999999999</v>
      </c>
      <c r="CD40" s="52">
        <v>15.292820000000001</v>
      </c>
      <c r="CE40" s="52">
        <v>15.05378</v>
      </c>
      <c r="CF40" s="52">
        <v>14.50813</v>
      </c>
      <c r="CG40" s="52">
        <v>14.1896</v>
      </c>
      <c r="CH40" s="52">
        <v>14.03473</v>
      </c>
      <c r="CI40" s="52">
        <v>13.975540000000001</v>
      </c>
      <c r="CJ40" s="52">
        <v>13.71378</v>
      </c>
      <c r="CK40" s="53">
        <v>13.589090000000001</v>
      </c>
      <c r="CL40" s="53">
        <v>13.6799</v>
      </c>
      <c r="CM40" s="53">
        <v>13.747590000000001</v>
      </c>
      <c r="CN40" s="53">
        <v>13.75473</v>
      </c>
      <c r="CO40" s="53">
        <v>13.573840000000001</v>
      </c>
      <c r="CP40" s="53">
        <v>13.25794</v>
      </c>
      <c r="CQ40" s="53">
        <v>13.070779999999999</v>
      </c>
      <c r="CR40" s="53">
        <v>13.20407</v>
      </c>
      <c r="CS40" s="53">
        <v>13.35277</v>
      </c>
      <c r="CT40" s="53">
        <v>13.2148</v>
      </c>
      <c r="CU40" s="53">
        <v>13.00752</v>
      </c>
      <c r="CV40" s="53">
        <v>13.171139999999999</v>
      </c>
      <c r="CW40" s="53">
        <v>13.76003</v>
      </c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</row>
    <row r="41" spans="1:115" ht="9" customHeight="1" x14ac:dyDescent="0.25">
      <c r="A41" s="35"/>
      <c r="B41" s="35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5"/>
      <c r="AA41" s="15">
        <v>1</v>
      </c>
      <c r="AB41" s="57">
        <v>34</v>
      </c>
      <c r="AC41" s="57">
        <v>15</v>
      </c>
      <c r="AD41" s="57">
        <v>4</v>
      </c>
      <c r="AE41" s="57">
        <v>6</v>
      </c>
      <c r="AF41" s="57">
        <v>400</v>
      </c>
      <c r="AG41" s="23" t="str">
        <f t="shared" si="1"/>
        <v>15,34</v>
      </c>
      <c r="AH41" s="1"/>
      <c r="AI41" s="15">
        <v>36</v>
      </c>
      <c r="AJ41" s="15">
        <v>36</v>
      </c>
      <c r="AK41" s="15" t="s">
        <v>46</v>
      </c>
      <c r="AL41" s="57">
        <v>400</v>
      </c>
      <c r="AM41" s="57">
        <v>5</v>
      </c>
      <c r="AN41" s="57">
        <v>2.4285714285714201E-3</v>
      </c>
      <c r="AO41" s="57">
        <v>28.657142857142802</v>
      </c>
      <c r="AP41" s="57">
        <v>1</v>
      </c>
      <c r="AQ41" s="57">
        <v>100</v>
      </c>
      <c r="AR41" s="57">
        <v>0.03</v>
      </c>
      <c r="AS41" s="57">
        <v>2</v>
      </c>
      <c r="AT41" s="57">
        <v>1</v>
      </c>
      <c r="AU41" s="57">
        <v>0</v>
      </c>
      <c r="AV41" s="57" t="s">
        <v>41</v>
      </c>
      <c r="AW41" s="58">
        <f>IF(AV40=AV41,AW40,MAX(AW$4:AW40)+1)</f>
        <v>4</v>
      </c>
      <c r="AX41" s="1"/>
      <c r="AY41" s="33">
        <v>36</v>
      </c>
      <c r="AZ41" s="33">
        <v>36</v>
      </c>
      <c r="BA41" s="11">
        <v>35</v>
      </c>
      <c r="BB41" s="11">
        <v>-37</v>
      </c>
      <c r="BC41" s="11"/>
      <c r="BD41" s="11">
        <f t="shared" si="4"/>
        <v>18</v>
      </c>
      <c r="BE41" s="1"/>
      <c r="BF41" s="56">
        <v>1</v>
      </c>
      <c r="BG41" s="57">
        <v>35</v>
      </c>
      <c r="BH41" s="57">
        <v>20</v>
      </c>
      <c r="BI41" s="57">
        <v>28</v>
      </c>
      <c r="BJ41" s="13" t="str">
        <f t="shared" si="3"/>
        <v>20,35</v>
      </c>
      <c r="BK41" s="35"/>
      <c r="BL41" s="8">
        <f t="shared" si="8"/>
        <v>37</v>
      </c>
      <c r="BM41" s="6">
        <f t="shared" si="6"/>
        <v>2</v>
      </c>
      <c r="BN41" s="6">
        <f t="shared" si="7"/>
        <v>1</v>
      </c>
      <c r="BO41" s="35"/>
      <c r="BP41" s="15">
        <v>36</v>
      </c>
      <c r="BQ41" s="60">
        <v>0</v>
      </c>
      <c r="BR41" s="57">
        <v>36</v>
      </c>
      <c r="BS41" s="57" t="s">
        <v>100</v>
      </c>
      <c r="BT41" s="57" t="s">
        <v>70</v>
      </c>
      <c r="BU41" s="57">
        <v>1</v>
      </c>
      <c r="BV41" s="60">
        <v>0</v>
      </c>
      <c r="BW41" s="57">
        <v>0</v>
      </c>
      <c r="BX41" s="60">
        <v>0</v>
      </c>
      <c r="BY41" s="60">
        <v>0</v>
      </c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</row>
    <row r="42" spans="1:115" ht="9" customHeight="1" x14ac:dyDescent="0.25">
      <c r="A42" s="35"/>
      <c r="B42" s="35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5"/>
      <c r="AA42" s="15">
        <v>1</v>
      </c>
      <c r="AB42" s="57">
        <v>35</v>
      </c>
      <c r="AC42" s="57">
        <v>15</v>
      </c>
      <c r="AD42" s="57">
        <v>4</v>
      </c>
      <c r="AE42" s="57">
        <v>7</v>
      </c>
      <c r="AF42" s="57">
        <v>400</v>
      </c>
      <c r="AG42" s="23" t="str">
        <f t="shared" si="1"/>
        <v>15,35</v>
      </c>
      <c r="AH42" s="1"/>
      <c r="AI42" s="15">
        <v>37</v>
      </c>
      <c r="AJ42" s="15">
        <v>37</v>
      </c>
      <c r="AK42" s="15" t="s">
        <v>47</v>
      </c>
      <c r="AL42" s="57">
        <v>400</v>
      </c>
      <c r="AM42" s="57">
        <v>5</v>
      </c>
      <c r="AN42" s="57">
        <v>2.4285714285714201E-3</v>
      </c>
      <c r="AO42" s="57">
        <v>27.685714285714202</v>
      </c>
      <c r="AP42" s="57">
        <v>1</v>
      </c>
      <c r="AQ42" s="57">
        <v>100</v>
      </c>
      <c r="AR42" s="57">
        <v>0.03</v>
      </c>
      <c r="AS42" s="57">
        <v>1</v>
      </c>
      <c r="AT42" s="57">
        <v>1</v>
      </c>
      <c r="AU42" s="57">
        <v>0</v>
      </c>
      <c r="AV42" s="57" t="s">
        <v>41</v>
      </c>
      <c r="AW42" s="58">
        <f>IF(AV41=AV42,AW41,MAX(AW$4:AW41)+1)</f>
        <v>4</v>
      </c>
      <c r="AX42" s="1"/>
      <c r="AY42" s="33">
        <v>37</v>
      </c>
      <c r="AZ42" s="33">
        <v>37</v>
      </c>
      <c r="BA42" s="11">
        <v>36</v>
      </c>
      <c r="BB42" s="11"/>
      <c r="BC42" s="11"/>
      <c r="BD42" s="11">
        <f t="shared" si="4"/>
        <v>0</v>
      </c>
      <c r="BE42" s="1"/>
      <c r="BF42" s="56">
        <v>1</v>
      </c>
      <c r="BG42" s="57">
        <v>36</v>
      </c>
      <c r="BH42" s="57">
        <v>21</v>
      </c>
      <c r="BI42" s="57">
        <v>28</v>
      </c>
      <c r="BJ42" s="13" t="str">
        <f t="shared" si="3"/>
        <v>21,36</v>
      </c>
      <c r="BK42" s="35"/>
      <c r="BL42" s="8">
        <f t="shared" si="8"/>
        <v>38</v>
      </c>
      <c r="BM42" s="6">
        <f t="shared" si="6"/>
        <v>2</v>
      </c>
      <c r="BN42" s="6">
        <f t="shared" si="7"/>
        <v>2</v>
      </c>
      <c r="BO42" s="35"/>
      <c r="BP42" s="15">
        <v>37</v>
      </c>
      <c r="BQ42" s="60">
        <v>0</v>
      </c>
      <c r="BR42" s="57">
        <v>37</v>
      </c>
      <c r="BS42" s="57" t="s">
        <v>101</v>
      </c>
      <c r="BT42" s="57" t="s">
        <v>67</v>
      </c>
      <c r="BU42" s="57">
        <v>1</v>
      </c>
      <c r="BV42" s="60">
        <v>29.7</v>
      </c>
      <c r="BW42" s="57">
        <v>100</v>
      </c>
      <c r="BX42" s="60">
        <v>202.83250000000001</v>
      </c>
      <c r="BY42" s="60">
        <v>403.716999999998</v>
      </c>
      <c r="BZ42" s="35"/>
      <c r="CA42" s="17" t="s">
        <v>201</v>
      </c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54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</row>
    <row r="43" spans="1:115" ht="11.25" customHeight="1" x14ac:dyDescent="0.25">
      <c r="A43" s="35"/>
      <c r="B43" s="35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56">
        <v>1</v>
      </c>
      <c r="BG43" s="57">
        <v>36</v>
      </c>
      <c r="BH43" s="57">
        <v>22</v>
      </c>
      <c r="BI43" s="57">
        <v>28</v>
      </c>
      <c r="BJ43" s="13" t="str">
        <f t="shared" si="3"/>
        <v>22,36</v>
      </c>
      <c r="BK43" s="35"/>
      <c r="BL43" s="8">
        <f t="shared" si="8"/>
        <v>39</v>
      </c>
      <c r="BM43" s="6">
        <f t="shared" si="6"/>
        <v>2</v>
      </c>
      <c r="BN43" s="6">
        <f t="shared" si="7"/>
        <v>3</v>
      </c>
      <c r="BO43" s="35"/>
      <c r="BP43" s="15">
        <v>38</v>
      </c>
      <c r="BQ43" s="60">
        <v>0</v>
      </c>
      <c r="BR43" s="57">
        <v>38</v>
      </c>
      <c r="BS43" s="57" t="s">
        <v>102</v>
      </c>
      <c r="BT43" s="57" t="s">
        <v>70</v>
      </c>
      <c r="BU43" s="57">
        <v>1</v>
      </c>
      <c r="BV43" s="60">
        <v>0</v>
      </c>
      <c r="BW43" s="57">
        <v>0</v>
      </c>
      <c r="BX43" s="60">
        <v>0</v>
      </c>
      <c r="BY43" s="60">
        <v>0</v>
      </c>
      <c r="BZ43" s="35"/>
      <c r="CA43" s="55">
        <v>0</v>
      </c>
      <c r="CB43" s="55">
        <v>0</v>
      </c>
      <c r="CC43" s="55">
        <v>0</v>
      </c>
      <c r="CD43" s="55">
        <v>1</v>
      </c>
      <c r="CE43" s="55">
        <v>1</v>
      </c>
      <c r="CF43" s="55">
        <v>1</v>
      </c>
      <c r="CG43" s="55">
        <v>1</v>
      </c>
      <c r="CH43" s="55">
        <v>1</v>
      </c>
      <c r="CI43" s="55">
        <v>1</v>
      </c>
      <c r="CJ43" s="55">
        <v>1</v>
      </c>
      <c r="CK43" s="55">
        <v>1</v>
      </c>
      <c r="CL43" s="55">
        <v>1</v>
      </c>
      <c r="CM43" s="55">
        <v>1</v>
      </c>
      <c r="CN43" s="55">
        <v>1</v>
      </c>
      <c r="CO43" s="55">
        <v>1</v>
      </c>
      <c r="CP43" s="55">
        <v>1</v>
      </c>
      <c r="CQ43" s="55">
        <v>1</v>
      </c>
      <c r="CR43" s="55">
        <v>1</v>
      </c>
      <c r="CS43" s="55">
        <v>1</v>
      </c>
      <c r="CT43" s="55">
        <v>1</v>
      </c>
      <c r="CU43" s="55">
        <v>1</v>
      </c>
      <c r="CV43" s="55">
        <v>1</v>
      </c>
      <c r="CW43" s="55">
        <v>1</v>
      </c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</row>
    <row r="44" spans="1:115" ht="11.25" customHeight="1" x14ac:dyDescent="0.25">
      <c r="A44" s="35"/>
      <c r="B44" s="31"/>
      <c r="C44" s="20" t="s">
        <v>206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4">
        <v>70</v>
      </c>
      <c r="X44" s="20"/>
      <c r="Y44" s="31">
        <f>COUNTIF(C5:Y40,"="&amp;W44)</f>
        <v>84</v>
      </c>
      <c r="Z44" s="1"/>
      <c r="AA44" s="20" t="s">
        <v>56</v>
      </c>
      <c r="AB44" s="20"/>
      <c r="AC44" s="20"/>
      <c r="AD44" s="20"/>
      <c r="AE44" s="20"/>
      <c r="AF44" s="20"/>
      <c r="AG44" s="20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30">
        <v>9</v>
      </c>
      <c r="AT44" s="26" t="s">
        <v>165</v>
      </c>
      <c r="AV44" s="26"/>
      <c r="AW44" s="26"/>
      <c r="AX44" s="26"/>
      <c r="AY44" s="26"/>
      <c r="AZ44" s="1"/>
      <c r="BA44" s="1"/>
      <c r="BB44" s="32">
        <f>MIN(CA5:CW40)</f>
        <v>13.00752</v>
      </c>
      <c r="BC44" s="1"/>
      <c r="BD44" s="1"/>
      <c r="BE44" s="1"/>
      <c r="BF44" s="56">
        <v>1</v>
      </c>
      <c r="BG44" s="57">
        <v>36</v>
      </c>
      <c r="BH44" s="57">
        <v>23</v>
      </c>
      <c r="BI44" s="57">
        <v>28</v>
      </c>
      <c r="BJ44" s="13" t="str">
        <f t="shared" si="3"/>
        <v>23,36</v>
      </c>
      <c r="BK44" s="35"/>
      <c r="BL44" s="8">
        <f t="shared" si="8"/>
        <v>40</v>
      </c>
      <c r="BM44" s="6">
        <f t="shared" si="6"/>
        <v>2</v>
      </c>
      <c r="BN44" s="6">
        <f t="shared" si="7"/>
        <v>4</v>
      </c>
      <c r="BO44" s="35"/>
      <c r="BP44" s="15">
        <v>39</v>
      </c>
      <c r="BQ44" s="60">
        <v>0</v>
      </c>
      <c r="BR44" s="57">
        <v>39</v>
      </c>
      <c r="BS44" s="57" t="s">
        <v>95</v>
      </c>
      <c r="BT44" s="57" t="s">
        <v>67</v>
      </c>
      <c r="BU44" s="57">
        <v>1</v>
      </c>
      <c r="BV44" s="60">
        <v>29.7</v>
      </c>
      <c r="BW44" s="57">
        <v>100</v>
      </c>
      <c r="BX44" s="60">
        <v>202.83249999999899</v>
      </c>
      <c r="BY44" s="60">
        <v>403.71699999999998</v>
      </c>
      <c r="BZ44" s="35"/>
      <c r="CA44" s="55">
        <v>0</v>
      </c>
      <c r="CB44" s="55">
        <v>0</v>
      </c>
      <c r="CC44" s="55">
        <v>1</v>
      </c>
      <c r="CD44" s="55">
        <v>1</v>
      </c>
      <c r="CE44" s="55">
        <v>1</v>
      </c>
      <c r="CF44" s="55">
        <v>1</v>
      </c>
      <c r="CG44" s="55">
        <v>1</v>
      </c>
      <c r="CH44" s="55">
        <v>1</v>
      </c>
      <c r="CI44" s="55">
        <v>1</v>
      </c>
      <c r="CJ44" s="55">
        <v>1</v>
      </c>
      <c r="CK44" s="55">
        <v>1</v>
      </c>
      <c r="CL44" s="55">
        <v>1</v>
      </c>
      <c r="CM44" s="55">
        <v>1</v>
      </c>
      <c r="CN44" s="55">
        <v>1</v>
      </c>
      <c r="CO44" s="55">
        <v>1</v>
      </c>
      <c r="CP44" s="55">
        <v>1</v>
      </c>
      <c r="CQ44" s="55">
        <v>1</v>
      </c>
      <c r="CR44" s="55">
        <v>1</v>
      </c>
      <c r="CS44" s="55">
        <v>1</v>
      </c>
      <c r="CT44" s="55">
        <v>1</v>
      </c>
      <c r="CU44" s="55">
        <v>1</v>
      </c>
      <c r="CV44" s="55">
        <v>1</v>
      </c>
      <c r="CW44" s="55">
        <v>1</v>
      </c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</row>
    <row r="45" spans="1:115" ht="11.25" customHeight="1" x14ac:dyDescent="0.25">
      <c r="A45" s="35"/>
      <c r="B45" s="31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31"/>
      <c r="Z45" s="1"/>
      <c r="AA45" s="41"/>
      <c r="AB45" s="41">
        <v>0</v>
      </c>
      <c r="AC45" s="41">
        <v>1</v>
      </c>
      <c r="AD45" s="41">
        <v>2</v>
      </c>
      <c r="AE45" s="41">
        <v>3</v>
      </c>
      <c r="AF45" s="41"/>
      <c r="AG45" s="4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30">
        <v>2</v>
      </c>
      <c r="AT45" s="26" t="s">
        <v>166</v>
      </c>
      <c r="AV45" s="26"/>
      <c r="AW45" s="26"/>
      <c r="AX45" s="26"/>
      <c r="AY45" s="26"/>
      <c r="AZ45" s="1"/>
      <c r="BA45" s="1"/>
      <c r="BB45" s="32">
        <f>AVERAGE(CA5:CW40)</f>
        <v>24.133141654589476</v>
      </c>
      <c r="BC45" s="1"/>
      <c r="BD45" s="1"/>
      <c r="BE45" s="1"/>
      <c r="BF45" s="56">
        <v>2</v>
      </c>
      <c r="BG45" s="57">
        <v>1</v>
      </c>
      <c r="BH45" s="57">
        <v>4</v>
      </c>
      <c r="BI45" s="57">
        <v>50</v>
      </c>
      <c r="BJ45" s="13" t="str">
        <f t="shared" si="3"/>
        <v>4,1</v>
      </c>
      <c r="BK45" s="35"/>
      <c r="BL45" s="8">
        <f t="shared" si="8"/>
        <v>41</v>
      </c>
      <c r="BM45" s="6">
        <f t="shared" si="6"/>
        <v>2</v>
      </c>
      <c r="BN45" s="6">
        <f t="shared" si="7"/>
        <v>5</v>
      </c>
      <c r="BO45" s="35"/>
      <c r="BP45" s="15">
        <v>40</v>
      </c>
      <c r="BQ45" s="60">
        <v>0</v>
      </c>
      <c r="BR45" s="57">
        <v>40</v>
      </c>
      <c r="BS45" s="57" t="s">
        <v>103</v>
      </c>
      <c r="BT45" s="57" t="s">
        <v>70</v>
      </c>
      <c r="BU45" s="57">
        <v>1</v>
      </c>
      <c r="BV45" s="60">
        <v>0</v>
      </c>
      <c r="BW45" s="57">
        <v>0</v>
      </c>
      <c r="BX45" s="60">
        <v>0</v>
      </c>
      <c r="BY45" s="60">
        <v>0</v>
      </c>
      <c r="BZ45" s="35"/>
      <c r="CA45" s="55">
        <v>0</v>
      </c>
      <c r="CB45" s="55">
        <v>0</v>
      </c>
      <c r="CC45" s="55">
        <v>1</v>
      </c>
      <c r="CD45" s="55">
        <v>1</v>
      </c>
      <c r="CE45" s="55">
        <v>1</v>
      </c>
      <c r="CF45" s="55">
        <v>1</v>
      </c>
      <c r="CG45" s="55">
        <v>1</v>
      </c>
      <c r="CH45" s="55">
        <v>1</v>
      </c>
      <c r="CI45" s="55">
        <v>1</v>
      </c>
      <c r="CJ45" s="55">
        <v>1</v>
      </c>
      <c r="CK45" s="55">
        <v>1</v>
      </c>
      <c r="CL45" s="55">
        <v>1</v>
      </c>
      <c r="CM45" s="55">
        <v>1</v>
      </c>
      <c r="CN45" s="55">
        <v>1</v>
      </c>
      <c r="CO45" s="55">
        <v>1</v>
      </c>
      <c r="CP45" s="55">
        <v>1</v>
      </c>
      <c r="CQ45" s="55">
        <v>1</v>
      </c>
      <c r="CR45" s="55">
        <v>1</v>
      </c>
      <c r="CS45" s="55">
        <v>1</v>
      </c>
      <c r="CT45" s="55">
        <v>1</v>
      </c>
      <c r="CU45" s="55">
        <v>1</v>
      </c>
      <c r="CV45" s="55">
        <v>1</v>
      </c>
      <c r="CW45" s="55">
        <v>1</v>
      </c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</row>
    <row r="46" spans="1:115" ht="11.25" customHeight="1" x14ac:dyDescent="0.25">
      <c r="A46" s="35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1"/>
      <c r="AA46" s="41">
        <v>0</v>
      </c>
      <c r="AB46" s="41">
        <v>0</v>
      </c>
      <c r="AC46" s="42">
        <v>44</v>
      </c>
      <c r="AD46" s="41">
        <v>78</v>
      </c>
      <c r="AE46" s="41" t="s">
        <v>57</v>
      </c>
      <c r="AF46" s="41"/>
      <c r="AG46" s="4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30">
        <v>1</v>
      </c>
      <c r="AT46" s="26" t="s">
        <v>167</v>
      </c>
      <c r="AV46" s="26"/>
      <c r="AW46" s="26"/>
      <c r="AX46" s="26"/>
      <c r="AY46" s="26"/>
      <c r="AZ46" s="1"/>
      <c r="BA46" s="1"/>
      <c r="BB46" s="32">
        <f>MAX(CA5:CW40)</f>
        <v>34.990270000000002</v>
      </c>
      <c r="BC46" s="1"/>
      <c r="BD46" s="1"/>
      <c r="BE46" s="1"/>
      <c r="BF46" s="56">
        <v>2</v>
      </c>
      <c r="BG46" s="57">
        <v>1</v>
      </c>
      <c r="BH46" s="57">
        <v>5</v>
      </c>
      <c r="BI46" s="57">
        <v>50</v>
      </c>
      <c r="BJ46" s="13" t="str">
        <f t="shared" si="3"/>
        <v>5,1</v>
      </c>
      <c r="BK46" s="35"/>
      <c r="BL46" s="8">
        <f t="shared" si="8"/>
        <v>42</v>
      </c>
      <c r="BM46" s="6">
        <f t="shared" si="6"/>
        <v>2</v>
      </c>
      <c r="BN46" s="6">
        <f t="shared" si="7"/>
        <v>6</v>
      </c>
      <c r="BO46" s="35"/>
      <c r="BP46" s="15">
        <v>41</v>
      </c>
      <c r="BQ46" s="60">
        <v>0</v>
      </c>
      <c r="BR46" s="57">
        <v>41</v>
      </c>
      <c r="BS46" s="57" t="s">
        <v>104</v>
      </c>
      <c r="BT46" s="57" t="s">
        <v>70</v>
      </c>
      <c r="BU46" s="57">
        <v>1</v>
      </c>
      <c r="BV46" s="60">
        <v>0</v>
      </c>
      <c r="BW46" s="57">
        <v>0</v>
      </c>
      <c r="BX46" s="60">
        <v>0</v>
      </c>
      <c r="BY46" s="60">
        <v>0</v>
      </c>
      <c r="BZ46" s="35"/>
      <c r="CA46" s="55">
        <v>0</v>
      </c>
      <c r="CB46" s="55">
        <v>0</v>
      </c>
      <c r="CC46" s="55">
        <v>1</v>
      </c>
      <c r="CD46" s="55">
        <v>1</v>
      </c>
      <c r="CE46" s="55">
        <v>1</v>
      </c>
      <c r="CF46" s="55">
        <v>1</v>
      </c>
      <c r="CG46" s="55">
        <v>1</v>
      </c>
      <c r="CH46" s="55">
        <v>1</v>
      </c>
      <c r="CI46" s="55">
        <v>1</v>
      </c>
      <c r="CJ46" s="55">
        <v>1</v>
      </c>
      <c r="CK46" s="55">
        <v>1</v>
      </c>
      <c r="CL46" s="55">
        <v>1</v>
      </c>
      <c r="CM46" s="55">
        <v>1</v>
      </c>
      <c r="CN46" s="55">
        <v>1</v>
      </c>
      <c r="CO46" s="55">
        <v>1</v>
      </c>
      <c r="CP46" s="55">
        <v>1</v>
      </c>
      <c r="CQ46" s="55">
        <v>1</v>
      </c>
      <c r="CR46" s="55">
        <v>1</v>
      </c>
      <c r="CS46" s="55">
        <v>1</v>
      </c>
      <c r="CT46" s="55">
        <v>1</v>
      </c>
      <c r="CU46" s="55">
        <v>1</v>
      </c>
      <c r="CV46" s="55">
        <v>1</v>
      </c>
      <c r="CW46" s="55">
        <v>1</v>
      </c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</row>
    <row r="47" spans="1:115" ht="11.25" customHeight="1" x14ac:dyDescent="0.25">
      <c r="A47" s="35"/>
      <c r="B47" s="37"/>
      <c r="C47" s="40">
        <v>-1</v>
      </c>
      <c r="D47" s="40">
        <v>-1</v>
      </c>
      <c r="E47" s="40">
        <v>-1</v>
      </c>
      <c r="F47" s="40">
        <v>-1</v>
      </c>
      <c r="G47" s="40">
        <v>-1</v>
      </c>
      <c r="H47" s="40">
        <v>-1</v>
      </c>
      <c r="I47" s="40">
        <v>-1</v>
      </c>
      <c r="J47" s="40">
        <v>-1</v>
      </c>
      <c r="K47" s="40">
        <v>-1</v>
      </c>
      <c r="L47" s="40">
        <v>-1</v>
      </c>
      <c r="M47" s="40">
        <v>-1</v>
      </c>
      <c r="N47" s="40">
        <v>-1</v>
      </c>
      <c r="O47" s="40">
        <v>-1</v>
      </c>
      <c r="P47" s="40">
        <v>-1</v>
      </c>
      <c r="Q47" s="40">
        <v>-1</v>
      </c>
      <c r="R47" s="40">
        <v>-1</v>
      </c>
      <c r="S47" s="40">
        <v>-1</v>
      </c>
      <c r="T47" s="40">
        <v>-1</v>
      </c>
      <c r="U47" s="40">
        <v>-1</v>
      </c>
      <c r="V47" s="40">
        <v>-1</v>
      </c>
      <c r="W47" s="40">
        <v>-1</v>
      </c>
      <c r="X47" s="40">
        <v>-1</v>
      </c>
      <c r="Y47" s="40">
        <v>-1</v>
      </c>
      <c r="Z47" s="1"/>
      <c r="AA47" s="41">
        <v>1</v>
      </c>
      <c r="AB47" s="41">
        <v>1</v>
      </c>
      <c r="AC47" s="42">
        <v>35.200000000000003</v>
      </c>
      <c r="AD47" s="41">
        <v>32</v>
      </c>
      <c r="AE47" s="41" t="s">
        <v>58</v>
      </c>
      <c r="AF47" s="41"/>
      <c r="AG47" s="4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30">
        <v>5</v>
      </c>
      <c r="AT47" s="26" t="s">
        <v>168</v>
      </c>
      <c r="AV47" s="26"/>
      <c r="AW47" s="26"/>
      <c r="AX47" s="26"/>
      <c r="AY47" s="26"/>
      <c r="AZ47" s="1"/>
      <c r="BA47" s="1"/>
      <c r="BB47" s="35">
        <f>CW3*CW1</f>
        <v>-120</v>
      </c>
      <c r="BC47" s="1"/>
      <c r="BD47" s="1"/>
      <c r="BE47" s="1"/>
      <c r="BF47" s="56">
        <v>2</v>
      </c>
      <c r="BG47" s="57">
        <v>1</v>
      </c>
      <c r="BH47" s="57">
        <v>6</v>
      </c>
      <c r="BI47" s="57">
        <v>50</v>
      </c>
      <c r="BJ47" s="13" t="str">
        <f t="shared" si="3"/>
        <v>6,1</v>
      </c>
      <c r="BK47" s="35"/>
      <c r="BL47" s="8">
        <f t="shared" si="8"/>
        <v>43</v>
      </c>
      <c r="BM47" s="6">
        <f t="shared" si="6"/>
        <v>2</v>
      </c>
      <c r="BN47" s="6">
        <f t="shared" si="7"/>
        <v>7</v>
      </c>
      <c r="BO47" s="35"/>
      <c r="BP47" s="15">
        <v>42</v>
      </c>
      <c r="BQ47" s="60">
        <v>0</v>
      </c>
      <c r="BR47" s="57">
        <v>42</v>
      </c>
      <c r="BS47" s="57" t="s">
        <v>105</v>
      </c>
      <c r="BT47" s="57" t="s">
        <v>70</v>
      </c>
      <c r="BU47" s="57">
        <v>1</v>
      </c>
      <c r="BV47" s="60">
        <v>0</v>
      </c>
      <c r="BW47" s="57">
        <v>0</v>
      </c>
      <c r="BX47" s="60">
        <v>0</v>
      </c>
      <c r="BY47" s="60">
        <v>0</v>
      </c>
      <c r="BZ47" s="35"/>
      <c r="CA47" s="55">
        <v>0</v>
      </c>
      <c r="CB47" s="55">
        <v>0</v>
      </c>
      <c r="CC47" s="55">
        <v>1</v>
      </c>
      <c r="CD47" s="55">
        <v>1</v>
      </c>
      <c r="CE47" s="55">
        <v>1</v>
      </c>
      <c r="CF47" s="55">
        <v>1</v>
      </c>
      <c r="CG47" s="55">
        <v>1</v>
      </c>
      <c r="CH47" s="55">
        <v>1</v>
      </c>
      <c r="CI47" s="55">
        <v>1</v>
      </c>
      <c r="CJ47" s="55">
        <v>1</v>
      </c>
      <c r="CK47" s="55">
        <v>1</v>
      </c>
      <c r="CL47" s="55">
        <v>1</v>
      </c>
      <c r="CM47" s="55">
        <v>1</v>
      </c>
      <c r="CN47" s="55">
        <v>1</v>
      </c>
      <c r="CO47" s="55">
        <v>1</v>
      </c>
      <c r="CP47" s="55">
        <v>1</v>
      </c>
      <c r="CQ47" s="55">
        <v>1</v>
      </c>
      <c r="CR47" s="55">
        <v>1</v>
      </c>
      <c r="CS47" s="55">
        <v>1</v>
      </c>
      <c r="CT47" s="55">
        <v>1</v>
      </c>
      <c r="CU47" s="55">
        <v>1</v>
      </c>
      <c r="CV47" s="55">
        <v>1</v>
      </c>
      <c r="CW47" s="55">
        <v>1</v>
      </c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</row>
    <row r="48" spans="1:115" ht="11.25" customHeight="1" x14ac:dyDescent="0.25">
      <c r="A48" s="35"/>
      <c r="B48" s="37"/>
      <c r="C48" s="40">
        <v>-1</v>
      </c>
      <c r="D48" s="40">
        <v>-1</v>
      </c>
      <c r="E48" s="40">
        <v>-1</v>
      </c>
      <c r="F48" s="40">
        <v>-1</v>
      </c>
      <c r="G48" s="40">
        <v>-1</v>
      </c>
      <c r="H48" s="40">
        <v>-1</v>
      </c>
      <c r="I48" s="40">
        <v>-1</v>
      </c>
      <c r="J48" s="40">
        <v>-1</v>
      </c>
      <c r="K48" s="40">
        <v>-1</v>
      </c>
      <c r="L48" s="40">
        <v>-1</v>
      </c>
      <c r="M48" s="40">
        <v>-1</v>
      </c>
      <c r="N48" s="40">
        <v>-1</v>
      </c>
      <c r="O48" s="40">
        <v>-1</v>
      </c>
      <c r="P48" s="40">
        <v>-1</v>
      </c>
      <c r="Q48" s="40">
        <v>-1</v>
      </c>
      <c r="R48" s="40">
        <v>-1</v>
      </c>
      <c r="S48" s="40">
        <v>-1</v>
      </c>
      <c r="T48" s="40">
        <v>-1</v>
      </c>
      <c r="U48" s="40">
        <v>-1</v>
      </c>
      <c r="V48" s="40">
        <v>-1</v>
      </c>
      <c r="W48" s="40">
        <v>-1</v>
      </c>
      <c r="X48" s="40">
        <v>-1</v>
      </c>
      <c r="Y48" s="40">
        <v>-1</v>
      </c>
      <c r="Z48" s="1"/>
      <c r="AA48" s="1"/>
      <c r="AB48" s="1"/>
      <c r="AC48" s="1"/>
      <c r="AD48" s="1"/>
      <c r="AE48" s="1"/>
      <c r="AF48" s="1"/>
      <c r="AG48" s="1"/>
      <c r="AH48" s="1"/>
      <c r="AI48" s="46"/>
      <c r="AJ48" s="46"/>
      <c r="AK48" s="49">
        <f>SUM(AK49:AK50)</f>
        <v>110</v>
      </c>
      <c r="AL48" s="1"/>
      <c r="AM48" s="1"/>
      <c r="AN48" s="1"/>
      <c r="AO48" s="1"/>
      <c r="AP48" s="1"/>
      <c r="AQ48" s="1"/>
      <c r="AR48" s="1"/>
      <c r="AS48" s="30">
        <v>5</v>
      </c>
      <c r="AT48" s="26" t="s">
        <v>169</v>
      </c>
      <c r="AV48" s="26"/>
      <c r="AW48" s="26"/>
      <c r="AX48" s="26"/>
      <c r="AY48" s="26"/>
      <c r="AZ48" s="1"/>
      <c r="BA48" s="1"/>
      <c r="BB48" s="39">
        <f>BB45+BB47</f>
        <v>-95.86685834541052</v>
      </c>
      <c r="BC48" s="1"/>
      <c r="BD48" s="1"/>
      <c r="BE48" s="1"/>
      <c r="BF48" s="56">
        <v>2</v>
      </c>
      <c r="BG48" s="57">
        <v>1</v>
      </c>
      <c r="BH48" s="57">
        <v>7</v>
      </c>
      <c r="BI48" s="57">
        <v>50</v>
      </c>
      <c r="BJ48" s="13" t="str">
        <f t="shared" si="3"/>
        <v>7,1</v>
      </c>
      <c r="BK48" s="35"/>
      <c r="BL48" s="8">
        <f t="shared" si="8"/>
        <v>44</v>
      </c>
      <c r="BM48" s="6">
        <f t="shared" si="6"/>
        <v>2</v>
      </c>
      <c r="BN48" s="6">
        <f t="shared" si="7"/>
        <v>8</v>
      </c>
      <c r="BO48" s="35"/>
      <c r="BP48" s="15">
        <v>43</v>
      </c>
      <c r="BQ48" s="60">
        <v>0</v>
      </c>
      <c r="BR48" s="57">
        <v>43</v>
      </c>
      <c r="BS48" s="57" t="s">
        <v>106</v>
      </c>
      <c r="BT48" s="57" t="s">
        <v>70</v>
      </c>
      <c r="BU48" s="57">
        <v>1</v>
      </c>
      <c r="BV48" s="60">
        <v>0</v>
      </c>
      <c r="BW48" s="57">
        <v>0</v>
      </c>
      <c r="BX48" s="60">
        <v>0</v>
      </c>
      <c r="BY48" s="60">
        <v>0</v>
      </c>
      <c r="BZ48" s="35"/>
      <c r="CA48" s="55">
        <v>0</v>
      </c>
      <c r="CB48" s="55">
        <v>0</v>
      </c>
      <c r="CC48" s="55">
        <v>1</v>
      </c>
      <c r="CD48" s="55">
        <v>1</v>
      </c>
      <c r="CE48" s="55">
        <v>1</v>
      </c>
      <c r="CF48" s="55">
        <v>1</v>
      </c>
      <c r="CG48" s="55">
        <v>1</v>
      </c>
      <c r="CH48" s="55">
        <v>1</v>
      </c>
      <c r="CI48" s="55">
        <v>1</v>
      </c>
      <c r="CJ48" s="55">
        <v>1</v>
      </c>
      <c r="CK48" s="55">
        <v>1</v>
      </c>
      <c r="CL48" s="55">
        <v>1</v>
      </c>
      <c r="CM48" s="55">
        <v>1</v>
      </c>
      <c r="CN48" s="55">
        <v>1</v>
      </c>
      <c r="CO48" s="55">
        <v>1</v>
      </c>
      <c r="CP48" s="55">
        <v>1</v>
      </c>
      <c r="CQ48" s="55">
        <v>1</v>
      </c>
      <c r="CR48" s="55">
        <v>1</v>
      </c>
      <c r="CS48" s="55">
        <v>0</v>
      </c>
      <c r="CT48" s="55">
        <v>0</v>
      </c>
      <c r="CU48" s="55">
        <v>1</v>
      </c>
      <c r="CV48" s="55">
        <v>1</v>
      </c>
      <c r="CW48" s="55">
        <v>1</v>
      </c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</row>
    <row r="49" spans="1:115" ht="11.25" customHeight="1" x14ac:dyDescent="0.25">
      <c r="A49" s="35"/>
      <c r="B49" s="37"/>
      <c r="C49" s="40">
        <v>-1</v>
      </c>
      <c r="D49" s="40">
        <v>-1</v>
      </c>
      <c r="E49" s="40">
        <v>-1</v>
      </c>
      <c r="F49" s="40">
        <v>-1</v>
      </c>
      <c r="G49" s="40">
        <v>-1</v>
      </c>
      <c r="H49" s="40">
        <v>-1</v>
      </c>
      <c r="I49" s="40">
        <v>-1</v>
      </c>
      <c r="J49" s="40">
        <v>-1</v>
      </c>
      <c r="K49" s="40">
        <v>-1</v>
      </c>
      <c r="L49" s="40">
        <v>-1</v>
      </c>
      <c r="M49" s="40">
        <v>-1</v>
      </c>
      <c r="N49" s="40">
        <v>-1</v>
      </c>
      <c r="O49" s="40">
        <v>-1</v>
      </c>
      <c r="P49" s="40">
        <v>-1</v>
      </c>
      <c r="Q49" s="40">
        <v>-1</v>
      </c>
      <c r="R49" s="40">
        <v>-1</v>
      </c>
      <c r="S49" s="40">
        <v>-1</v>
      </c>
      <c r="T49" s="40">
        <v>-1</v>
      </c>
      <c r="U49" s="40">
        <v>-1</v>
      </c>
      <c r="V49" s="40">
        <v>-1</v>
      </c>
      <c r="W49" s="40">
        <v>-1</v>
      </c>
      <c r="X49" s="40">
        <v>-1</v>
      </c>
      <c r="Y49" s="40">
        <v>-1</v>
      </c>
      <c r="Z49" s="1"/>
      <c r="AA49" s="20" t="str">
        <f>BG367</f>
        <v>LAK0</v>
      </c>
      <c r="AB49" s="20"/>
      <c r="AC49" s="20"/>
      <c r="AD49" s="20">
        <f>BI367</f>
        <v>1</v>
      </c>
      <c r="AE49" s="20"/>
      <c r="AF49" s="20" t="s">
        <v>197</v>
      </c>
      <c r="AG49" s="20"/>
      <c r="AH49" s="20"/>
      <c r="AI49" s="46">
        <v>0</v>
      </c>
      <c r="AJ49" s="46" t="s">
        <v>196</v>
      </c>
      <c r="AK49" s="46">
        <v>78</v>
      </c>
      <c r="AL49" s="1"/>
      <c r="AM49" s="21">
        <v>0</v>
      </c>
      <c r="AN49" s="21">
        <v>44</v>
      </c>
      <c r="AO49" s="45">
        <v>0.78</v>
      </c>
      <c r="AP49" s="44" t="s">
        <v>57</v>
      </c>
      <c r="AQ49" s="21"/>
      <c r="AR49" s="1"/>
      <c r="AS49" s="30">
        <v>0</v>
      </c>
      <c r="AT49" s="26" t="s">
        <v>170</v>
      </c>
      <c r="AV49" s="26"/>
      <c r="AW49" s="26"/>
      <c r="AX49" s="26"/>
      <c r="AY49" s="26"/>
      <c r="AZ49" s="1"/>
      <c r="BA49" s="1"/>
      <c r="BB49" s="1"/>
      <c r="BC49" s="1"/>
      <c r="BD49" s="1"/>
      <c r="BE49" s="1"/>
      <c r="BF49" s="56">
        <v>2</v>
      </c>
      <c r="BG49" s="57">
        <v>1</v>
      </c>
      <c r="BH49" s="57">
        <v>8</v>
      </c>
      <c r="BI49" s="57">
        <v>50</v>
      </c>
      <c r="BJ49" s="13" t="str">
        <f t="shared" si="3"/>
        <v>8,1</v>
      </c>
      <c r="BK49" s="35"/>
      <c r="BL49" s="8">
        <f t="shared" si="8"/>
        <v>45</v>
      </c>
      <c r="BM49" s="6">
        <f t="shared" si="6"/>
        <v>2</v>
      </c>
      <c r="BN49" s="6">
        <f t="shared" si="7"/>
        <v>9</v>
      </c>
      <c r="BO49" s="35"/>
      <c r="BP49" s="15">
        <v>44</v>
      </c>
      <c r="BQ49" s="60">
        <v>0</v>
      </c>
      <c r="BR49" s="57">
        <v>44</v>
      </c>
      <c r="BS49" s="57" t="s">
        <v>107</v>
      </c>
      <c r="BT49" s="57" t="s">
        <v>67</v>
      </c>
      <c r="BU49" s="57">
        <v>1</v>
      </c>
      <c r="BV49" s="60">
        <v>29.7</v>
      </c>
      <c r="BW49" s="57">
        <v>100</v>
      </c>
      <c r="BX49" s="60">
        <v>202.83250000000001</v>
      </c>
      <c r="BY49" s="60">
        <v>403.71699999999998</v>
      </c>
      <c r="BZ49" s="35"/>
      <c r="CA49" s="55">
        <v>0</v>
      </c>
      <c r="CB49" s="55">
        <v>0</v>
      </c>
      <c r="CC49" s="55">
        <v>1</v>
      </c>
      <c r="CD49" s="55">
        <v>1</v>
      </c>
      <c r="CE49" s="55">
        <v>1</v>
      </c>
      <c r="CF49" s="55">
        <v>1</v>
      </c>
      <c r="CG49" s="55">
        <v>1</v>
      </c>
      <c r="CH49" s="55">
        <v>1</v>
      </c>
      <c r="CI49" s="55">
        <v>1</v>
      </c>
      <c r="CJ49" s="55">
        <v>1</v>
      </c>
      <c r="CK49" s="55">
        <v>1</v>
      </c>
      <c r="CL49" s="55">
        <v>1</v>
      </c>
      <c r="CM49" s="55">
        <v>1</v>
      </c>
      <c r="CN49" s="55">
        <v>1</v>
      </c>
      <c r="CO49" s="55">
        <v>1</v>
      </c>
      <c r="CP49" s="55">
        <v>1</v>
      </c>
      <c r="CQ49" s="55">
        <v>1</v>
      </c>
      <c r="CR49" s="55">
        <v>0</v>
      </c>
      <c r="CS49" s="55">
        <v>0</v>
      </c>
      <c r="CT49" s="55">
        <v>0</v>
      </c>
      <c r="CU49" s="55">
        <v>1</v>
      </c>
      <c r="CV49" s="55">
        <v>1</v>
      </c>
      <c r="CW49" s="55">
        <v>1</v>
      </c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</row>
    <row r="50" spans="1:115" ht="11.25" customHeight="1" x14ac:dyDescent="0.25">
      <c r="A50" s="35"/>
      <c r="B50" s="37"/>
      <c r="C50" s="40">
        <v>-1</v>
      </c>
      <c r="D50" s="40">
        <v>-1</v>
      </c>
      <c r="E50" s="40">
        <v>-1</v>
      </c>
      <c r="F50" s="40">
        <v>-1</v>
      </c>
      <c r="G50" s="40">
        <v>-1</v>
      </c>
      <c r="H50" s="40">
        <v>-1</v>
      </c>
      <c r="I50" s="40">
        <v>-1</v>
      </c>
      <c r="J50" s="40">
        <v>-1</v>
      </c>
      <c r="K50" s="40">
        <v>-1</v>
      </c>
      <c r="L50" s="40">
        <v>-1</v>
      </c>
      <c r="M50" s="40">
        <v>-1</v>
      </c>
      <c r="N50" s="40">
        <v>-1</v>
      </c>
      <c r="O50" s="40">
        <v>-1</v>
      </c>
      <c r="P50" s="40">
        <v>-1</v>
      </c>
      <c r="Q50" s="40">
        <v>-1</v>
      </c>
      <c r="R50" s="40">
        <v>-1</v>
      </c>
      <c r="S50" s="40">
        <v>-1</v>
      </c>
      <c r="T50" s="40">
        <v>-1</v>
      </c>
      <c r="U50" s="40">
        <v>-1</v>
      </c>
      <c r="V50" s="40">
        <v>-1</v>
      </c>
      <c r="W50" s="40">
        <v>-1</v>
      </c>
      <c r="X50" s="40">
        <v>-1</v>
      </c>
      <c r="Y50" s="40">
        <v>-1</v>
      </c>
      <c r="Z50" s="1"/>
      <c r="AA50" s="50" t="str">
        <f>BG368</f>
        <v>LAK1</v>
      </c>
      <c r="AB50" s="50"/>
      <c r="AC50" s="50"/>
      <c r="AD50" s="50" t="str">
        <f>BI368</f>
        <v>{0: 78, 1: 32}</v>
      </c>
      <c r="AE50" s="50"/>
      <c r="AF50" s="50"/>
      <c r="AG50" s="50"/>
      <c r="AH50" s="50"/>
      <c r="AI50" s="46">
        <v>1</v>
      </c>
      <c r="AJ50" s="46" t="s">
        <v>196</v>
      </c>
      <c r="AK50" s="46">
        <v>32</v>
      </c>
      <c r="AL50" s="1"/>
      <c r="AM50" s="21">
        <v>1</v>
      </c>
      <c r="AN50" s="45">
        <v>35.200000000000003</v>
      </c>
      <c r="AO50" s="21">
        <v>32</v>
      </c>
      <c r="AP50" s="44" t="s">
        <v>58</v>
      </c>
      <c r="AQ50" s="21"/>
      <c r="AR50" s="1"/>
      <c r="AS50" s="30">
        <v>7</v>
      </c>
      <c r="AT50" s="26" t="s">
        <v>171</v>
      </c>
      <c r="AV50" s="26"/>
      <c r="AW50" s="26"/>
      <c r="AX50" s="26"/>
      <c r="AY50" s="26"/>
      <c r="AZ50" s="1"/>
      <c r="BA50" s="1"/>
      <c r="BB50" s="1"/>
      <c r="BC50" s="1"/>
      <c r="BD50" s="1"/>
      <c r="BE50" s="1"/>
      <c r="BF50" s="56">
        <v>2</v>
      </c>
      <c r="BG50" s="57">
        <v>1</v>
      </c>
      <c r="BH50" s="57">
        <v>9</v>
      </c>
      <c r="BI50" s="57">
        <v>50</v>
      </c>
      <c r="BJ50" s="13" t="str">
        <f t="shared" si="3"/>
        <v>9,1</v>
      </c>
      <c r="BK50" s="35"/>
      <c r="BL50" s="8">
        <f t="shared" si="8"/>
        <v>46</v>
      </c>
      <c r="BM50" s="6">
        <f t="shared" si="6"/>
        <v>2</v>
      </c>
      <c r="BN50" s="6">
        <f t="shared" si="7"/>
        <v>10</v>
      </c>
      <c r="BO50" s="35"/>
      <c r="BP50" s="15">
        <v>45</v>
      </c>
      <c r="BQ50" s="60">
        <v>0</v>
      </c>
      <c r="BR50" s="57">
        <v>45</v>
      </c>
      <c r="BS50" s="57" t="s">
        <v>108</v>
      </c>
      <c r="BT50" s="57" t="s">
        <v>70</v>
      </c>
      <c r="BU50" s="57">
        <v>1</v>
      </c>
      <c r="BV50" s="60">
        <v>0</v>
      </c>
      <c r="BW50" s="57">
        <v>0</v>
      </c>
      <c r="BX50" s="60">
        <v>0</v>
      </c>
      <c r="BY50" s="60">
        <v>0</v>
      </c>
      <c r="BZ50" s="35"/>
      <c r="CA50" s="55">
        <v>0</v>
      </c>
      <c r="CB50" s="55">
        <v>0</v>
      </c>
      <c r="CC50" s="55">
        <v>1</v>
      </c>
      <c r="CD50" s="55">
        <v>1</v>
      </c>
      <c r="CE50" s="55">
        <v>1</v>
      </c>
      <c r="CF50" s="55">
        <v>1</v>
      </c>
      <c r="CG50" s="55">
        <v>1</v>
      </c>
      <c r="CH50" s="55">
        <v>1</v>
      </c>
      <c r="CI50" s="55">
        <v>1</v>
      </c>
      <c r="CJ50" s="55">
        <v>1</v>
      </c>
      <c r="CK50" s="55">
        <v>1</v>
      </c>
      <c r="CL50" s="55">
        <v>1</v>
      </c>
      <c r="CM50" s="55">
        <v>1</v>
      </c>
      <c r="CN50" s="55">
        <v>1</v>
      </c>
      <c r="CO50" s="55">
        <v>1</v>
      </c>
      <c r="CP50" s="55">
        <v>0</v>
      </c>
      <c r="CQ50" s="55">
        <v>0</v>
      </c>
      <c r="CR50" s="55">
        <v>0</v>
      </c>
      <c r="CS50" s="55">
        <v>0</v>
      </c>
      <c r="CT50" s="55">
        <v>0</v>
      </c>
      <c r="CU50" s="55">
        <v>1</v>
      </c>
      <c r="CV50" s="55">
        <v>1</v>
      </c>
      <c r="CW50" s="55">
        <v>1</v>
      </c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</row>
    <row r="51" spans="1:115" ht="11.25" customHeight="1" x14ac:dyDescent="0.25">
      <c r="A51" s="35"/>
      <c r="B51" s="37"/>
      <c r="C51" s="40">
        <v>-1</v>
      </c>
      <c r="D51" s="40">
        <v>-1</v>
      </c>
      <c r="E51" s="40">
        <v>-1</v>
      </c>
      <c r="F51" s="40">
        <v>-1</v>
      </c>
      <c r="G51" s="40">
        <v>-1</v>
      </c>
      <c r="H51" s="40">
        <v>-1</v>
      </c>
      <c r="I51" s="40">
        <v>-1</v>
      </c>
      <c r="J51" s="40">
        <v>-1</v>
      </c>
      <c r="K51" s="40">
        <v>-1</v>
      </c>
      <c r="L51" s="40">
        <v>-1</v>
      </c>
      <c r="M51" s="40">
        <v>-1</v>
      </c>
      <c r="N51" s="40">
        <v>-1</v>
      </c>
      <c r="O51" s="40">
        <v>-1</v>
      </c>
      <c r="P51" s="40">
        <v>-1</v>
      </c>
      <c r="Q51" s="40">
        <v>-1</v>
      </c>
      <c r="R51" s="40">
        <v>-1</v>
      </c>
      <c r="S51" s="40">
        <v>-1</v>
      </c>
      <c r="T51" s="40">
        <v>-1</v>
      </c>
      <c r="U51" s="40">
        <v>0</v>
      </c>
      <c r="V51" s="40">
        <v>0</v>
      </c>
      <c r="W51" s="40">
        <v>-1</v>
      </c>
      <c r="X51" s="40">
        <v>-1</v>
      </c>
      <c r="Y51" s="40">
        <v>-1</v>
      </c>
      <c r="Z51" s="1"/>
      <c r="AA51" s="48" t="str">
        <f>BG369</f>
        <v>LAK2</v>
      </c>
      <c r="AB51" s="48"/>
      <c r="AC51" s="48"/>
      <c r="AD51" s="48" t="str">
        <f>BI369</f>
        <v>LAK2</v>
      </c>
      <c r="AE51" s="48"/>
      <c r="AF51" s="48"/>
      <c r="AG51" s="48"/>
      <c r="AH51" s="48"/>
      <c r="AI51" s="63" t="str">
        <f>BP2</f>
        <v>AUTO</v>
      </c>
      <c r="AJ51" s="46"/>
      <c r="AK51" s="46"/>
      <c r="AL51" s="1"/>
      <c r="AM51" s="27" t="s">
        <v>198</v>
      </c>
      <c r="AN51" s="1"/>
      <c r="AO51" s="1"/>
      <c r="AP51" s="1"/>
      <c r="AQ51" s="1"/>
      <c r="AR51" s="1"/>
      <c r="AS51" s="30">
        <v>3</v>
      </c>
      <c r="AT51" s="26" t="s">
        <v>172</v>
      </c>
      <c r="AV51" s="26"/>
      <c r="AW51" s="26"/>
      <c r="AX51" s="26" t="str">
        <f>BP3</f>
        <v>LAK2</v>
      </c>
      <c r="AY51" s="26"/>
      <c r="AZ51" s="1"/>
      <c r="BA51" s="1"/>
      <c r="BB51" s="1"/>
      <c r="BC51" s="1"/>
      <c r="BD51" s="1"/>
      <c r="BE51" s="1"/>
      <c r="BF51" s="56">
        <v>2</v>
      </c>
      <c r="BG51" s="57">
        <v>1</v>
      </c>
      <c r="BH51" s="57">
        <v>10</v>
      </c>
      <c r="BI51" s="57">
        <v>50</v>
      </c>
      <c r="BJ51" s="13" t="str">
        <f t="shared" si="3"/>
        <v>10,1</v>
      </c>
      <c r="BK51" s="35"/>
      <c r="BL51" s="8">
        <f t="shared" si="8"/>
        <v>47</v>
      </c>
      <c r="BM51" s="6">
        <f t="shared" si="6"/>
        <v>2</v>
      </c>
      <c r="BN51" s="6">
        <f t="shared" si="7"/>
        <v>11</v>
      </c>
      <c r="BO51" s="35"/>
      <c r="BP51" s="15">
        <v>46</v>
      </c>
      <c r="BQ51" s="60">
        <v>0</v>
      </c>
      <c r="BR51" s="57">
        <v>46</v>
      </c>
      <c r="BS51" s="57" t="s">
        <v>109</v>
      </c>
      <c r="BT51" s="57" t="s">
        <v>67</v>
      </c>
      <c r="BU51" s="57">
        <v>1</v>
      </c>
      <c r="BV51" s="60">
        <v>29.7</v>
      </c>
      <c r="BW51" s="57">
        <v>100</v>
      </c>
      <c r="BX51" s="60">
        <v>202.83249999999899</v>
      </c>
      <c r="BY51" s="60">
        <v>403.716999999998</v>
      </c>
      <c r="BZ51" s="35"/>
      <c r="CA51" s="55">
        <v>0</v>
      </c>
      <c r="CB51" s="55">
        <v>0</v>
      </c>
      <c r="CC51" s="55">
        <v>1</v>
      </c>
      <c r="CD51" s="55">
        <v>1</v>
      </c>
      <c r="CE51" s="55">
        <v>1</v>
      </c>
      <c r="CF51" s="55">
        <v>1</v>
      </c>
      <c r="CG51" s="55">
        <v>1</v>
      </c>
      <c r="CH51" s="55">
        <v>1</v>
      </c>
      <c r="CI51" s="55">
        <v>1</v>
      </c>
      <c r="CJ51" s="55">
        <v>1</v>
      </c>
      <c r="CK51" s="55">
        <v>1</v>
      </c>
      <c r="CL51" s="55">
        <v>1</v>
      </c>
      <c r="CM51" s="55">
        <v>1</v>
      </c>
      <c r="CN51" s="55">
        <v>1</v>
      </c>
      <c r="CO51" s="55">
        <v>1</v>
      </c>
      <c r="CP51" s="55">
        <v>0</v>
      </c>
      <c r="CQ51" s="55">
        <v>0</v>
      </c>
      <c r="CR51" s="55">
        <v>0</v>
      </c>
      <c r="CS51" s="55">
        <v>0</v>
      </c>
      <c r="CT51" s="55">
        <v>0</v>
      </c>
      <c r="CU51" s="55">
        <v>0</v>
      </c>
      <c r="CV51" s="55">
        <v>1</v>
      </c>
      <c r="CW51" s="55">
        <v>1</v>
      </c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</row>
    <row r="52" spans="1:115" ht="11.25" customHeight="1" x14ac:dyDescent="0.25">
      <c r="A52" s="35"/>
      <c r="B52" s="37"/>
      <c r="C52" s="40">
        <v>-1</v>
      </c>
      <c r="D52" s="40">
        <v>-1</v>
      </c>
      <c r="E52" s="40">
        <v>-1</v>
      </c>
      <c r="F52" s="40">
        <v>-1</v>
      </c>
      <c r="G52" s="40">
        <v>-1</v>
      </c>
      <c r="H52" s="40">
        <v>-1</v>
      </c>
      <c r="I52" s="40">
        <v>-1</v>
      </c>
      <c r="J52" s="40">
        <v>-1</v>
      </c>
      <c r="K52" s="40">
        <v>-1</v>
      </c>
      <c r="L52" s="40">
        <v>-1</v>
      </c>
      <c r="M52" s="40">
        <v>-1</v>
      </c>
      <c r="N52" s="40">
        <v>-1</v>
      </c>
      <c r="O52" s="40">
        <v>-1</v>
      </c>
      <c r="P52" s="40">
        <v>-1</v>
      </c>
      <c r="Q52" s="40">
        <v>-1</v>
      </c>
      <c r="R52" s="40">
        <v>-1</v>
      </c>
      <c r="S52" s="40">
        <v>-1</v>
      </c>
      <c r="T52" s="40">
        <v>0</v>
      </c>
      <c r="U52" s="40">
        <v>0</v>
      </c>
      <c r="V52" s="40">
        <v>0</v>
      </c>
      <c r="W52" s="40">
        <v>-1</v>
      </c>
      <c r="X52" s="40">
        <v>-1</v>
      </c>
      <c r="Y52" s="40">
        <v>-1</v>
      </c>
      <c r="Z52" s="1"/>
      <c r="AA52" s="20" t="str">
        <f>BG370</f>
        <v>LAK3</v>
      </c>
      <c r="AB52" s="20"/>
      <c r="AC52" s="20"/>
      <c r="AD52" s="20" t="s">
        <v>207</v>
      </c>
      <c r="AE52" s="20"/>
      <c r="AF52" s="48"/>
      <c r="AG52" s="20"/>
      <c r="AH52" s="20"/>
      <c r="AI52" s="20"/>
      <c r="AJ52" s="1"/>
      <c r="AK52" s="1"/>
      <c r="AL52" s="1"/>
      <c r="AM52" s="1"/>
      <c r="AN52" s="1"/>
      <c r="AO52" s="1"/>
      <c r="AP52" s="1"/>
      <c r="AQ52" s="1"/>
      <c r="AR52" s="1"/>
      <c r="AS52" s="30">
        <f t="shared" ref="AS52:AS53" si="9">AS51</f>
        <v>3</v>
      </c>
      <c r="AT52" s="26" t="s">
        <v>173</v>
      </c>
      <c r="AV52" s="26"/>
      <c r="AW52" s="26"/>
      <c r="AX52" s="26"/>
      <c r="AY52" s="26"/>
      <c r="AZ52" s="1"/>
      <c r="BA52" s="1"/>
      <c r="BB52" s="1"/>
      <c r="BC52" s="1"/>
      <c r="BD52" s="1"/>
      <c r="BE52" s="1"/>
      <c r="BF52" s="56">
        <v>2</v>
      </c>
      <c r="BG52" s="57">
        <v>1</v>
      </c>
      <c r="BH52" s="57">
        <v>11</v>
      </c>
      <c r="BI52" s="57">
        <v>50</v>
      </c>
      <c r="BJ52" s="13" t="str">
        <f t="shared" si="3"/>
        <v>11,1</v>
      </c>
      <c r="BK52" s="35"/>
      <c r="BL52" s="8">
        <f t="shared" si="8"/>
        <v>48</v>
      </c>
      <c r="BM52" s="6">
        <f t="shared" si="6"/>
        <v>2</v>
      </c>
      <c r="BN52" s="6">
        <f t="shared" si="7"/>
        <v>12</v>
      </c>
      <c r="BO52" s="35"/>
      <c r="BP52" s="15">
        <v>47</v>
      </c>
      <c r="BQ52" s="60">
        <v>0</v>
      </c>
      <c r="BR52" s="57">
        <v>47</v>
      </c>
      <c r="BS52" s="57" t="s">
        <v>110</v>
      </c>
      <c r="BT52" s="57" t="s">
        <v>70</v>
      </c>
      <c r="BU52" s="57">
        <v>1</v>
      </c>
      <c r="BV52" s="60">
        <v>0</v>
      </c>
      <c r="BW52" s="57">
        <v>0</v>
      </c>
      <c r="BX52" s="60">
        <v>0</v>
      </c>
      <c r="BY52" s="60">
        <v>0</v>
      </c>
      <c r="BZ52" s="35"/>
      <c r="CA52" s="55">
        <v>0</v>
      </c>
      <c r="CB52" s="55">
        <v>0</v>
      </c>
      <c r="CC52" s="55">
        <v>1</v>
      </c>
      <c r="CD52" s="55">
        <v>1</v>
      </c>
      <c r="CE52" s="55">
        <v>1</v>
      </c>
      <c r="CF52" s="55">
        <v>1</v>
      </c>
      <c r="CG52" s="55">
        <v>1</v>
      </c>
      <c r="CH52" s="55">
        <v>1</v>
      </c>
      <c r="CI52" s="55">
        <v>1</v>
      </c>
      <c r="CJ52" s="55">
        <v>1</v>
      </c>
      <c r="CK52" s="55">
        <v>1</v>
      </c>
      <c r="CL52" s="55">
        <v>1</v>
      </c>
      <c r="CM52" s="55">
        <v>1</v>
      </c>
      <c r="CN52" s="55">
        <v>1</v>
      </c>
      <c r="CO52" s="55">
        <v>1</v>
      </c>
      <c r="CP52" s="55">
        <v>0</v>
      </c>
      <c r="CQ52" s="55">
        <v>0</v>
      </c>
      <c r="CR52" s="55">
        <v>0</v>
      </c>
      <c r="CS52" s="55">
        <v>0</v>
      </c>
      <c r="CT52" s="55">
        <v>0</v>
      </c>
      <c r="CU52" s="55">
        <v>0</v>
      </c>
      <c r="CV52" s="55">
        <v>1</v>
      </c>
      <c r="CW52" s="55">
        <v>1</v>
      </c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</row>
    <row r="53" spans="1:115" ht="11.25" customHeight="1" x14ac:dyDescent="0.25">
      <c r="A53" s="35"/>
      <c r="B53" s="37"/>
      <c r="C53" s="40">
        <v>-1</v>
      </c>
      <c r="D53" s="40">
        <v>-1</v>
      </c>
      <c r="E53" s="40">
        <v>-1</v>
      </c>
      <c r="F53" s="40">
        <v>-1</v>
      </c>
      <c r="G53" s="40">
        <v>-1</v>
      </c>
      <c r="H53" s="40">
        <v>-1</v>
      </c>
      <c r="I53" s="40">
        <v>-1</v>
      </c>
      <c r="J53" s="40">
        <v>-1</v>
      </c>
      <c r="K53" s="40">
        <v>-1</v>
      </c>
      <c r="L53" s="40">
        <v>-1</v>
      </c>
      <c r="M53" s="40">
        <v>-1</v>
      </c>
      <c r="N53" s="40">
        <v>-1</v>
      </c>
      <c r="O53" s="40">
        <v>-1</v>
      </c>
      <c r="P53" s="40">
        <v>-1</v>
      </c>
      <c r="Q53" s="40">
        <v>-1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-1</v>
      </c>
      <c r="X53" s="40">
        <v>-1</v>
      </c>
      <c r="Y53" s="40">
        <v>-1</v>
      </c>
      <c r="Z53" s="1"/>
      <c r="AA53" s="1"/>
      <c r="AB53" s="1"/>
      <c r="AC53" s="1"/>
      <c r="AD53" s="20" t="s">
        <v>208</v>
      </c>
      <c r="AE53" s="20"/>
      <c r="AF53" s="47"/>
      <c r="AG53" s="20"/>
      <c r="AH53" s="20"/>
      <c r="AI53" s="20"/>
      <c r="AJ53" s="1"/>
      <c r="AK53" s="1"/>
      <c r="AL53" s="1"/>
      <c r="AM53" s="1"/>
      <c r="AN53" s="1"/>
      <c r="AO53" s="1"/>
      <c r="AP53" s="1"/>
      <c r="AQ53" s="1"/>
      <c r="AR53" s="1"/>
      <c r="AS53" s="30">
        <f t="shared" si="9"/>
        <v>3</v>
      </c>
      <c r="AT53" s="26" t="s">
        <v>174</v>
      </c>
      <c r="AV53" s="26"/>
      <c r="AW53" s="26"/>
      <c r="AX53" s="26"/>
      <c r="AY53" s="26"/>
      <c r="AZ53" s="1"/>
      <c r="BA53" s="1"/>
      <c r="BB53" s="1"/>
      <c r="BC53" s="1"/>
      <c r="BD53" s="1"/>
      <c r="BE53" s="1"/>
      <c r="BF53" s="56">
        <v>2</v>
      </c>
      <c r="BG53" s="57">
        <v>1</v>
      </c>
      <c r="BH53" s="57">
        <v>12</v>
      </c>
      <c r="BI53" s="57">
        <v>50.1</v>
      </c>
      <c r="BJ53" s="13" t="str">
        <f t="shared" si="3"/>
        <v>12,1</v>
      </c>
      <c r="BK53" s="35"/>
      <c r="BL53" s="8">
        <f t="shared" si="8"/>
        <v>49</v>
      </c>
      <c r="BM53" s="6">
        <f t="shared" si="6"/>
        <v>2</v>
      </c>
      <c r="BN53" s="6">
        <f t="shared" si="7"/>
        <v>13</v>
      </c>
      <c r="BO53" s="35"/>
      <c r="BP53" s="15">
        <v>48</v>
      </c>
      <c r="BQ53" s="60">
        <v>0</v>
      </c>
      <c r="BR53" s="57">
        <v>48</v>
      </c>
      <c r="BS53" s="57" t="s">
        <v>111</v>
      </c>
      <c r="BT53" s="57" t="s">
        <v>70</v>
      </c>
      <c r="BU53" s="57">
        <v>1</v>
      </c>
      <c r="BV53" s="60">
        <v>0</v>
      </c>
      <c r="BW53" s="57">
        <v>0</v>
      </c>
      <c r="BX53" s="60">
        <v>0</v>
      </c>
      <c r="BY53" s="60">
        <v>0</v>
      </c>
      <c r="BZ53" s="35"/>
      <c r="CA53" s="55">
        <v>0</v>
      </c>
      <c r="CB53" s="55">
        <v>0</v>
      </c>
      <c r="CC53" s="55">
        <v>1</v>
      </c>
      <c r="CD53" s="55">
        <v>1</v>
      </c>
      <c r="CE53" s="55">
        <v>1</v>
      </c>
      <c r="CF53" s="55">
        <v>1</v>
      </c>
      <c r="CG53" s="55">
        <v>1</v>
      </c>
      <c r="CH53" s="55">
        <v>1</v>
      </c>
      <c r="CI53" s="55">
        <v>1</v>
      </c>
      <c r="CJ53" s="55">
        <v>1</v>
      </c>
      <c r="CK53" s="55">
        <v>1</v>
      </c>
      <c r="CL53" s="55">
        <v>1</v>
      </c>
      <c r="CM53" s="55">
        <v>1</v>
      </c>
      <c r="CN53" s="55">
        <v>1</v>
      </c>
      <c r="CO53" s="55">
        <v>1</v>
      </c>
      <c r="CP53" s="55">
        <v>1</v>
      </c>
      <c r="CQ53" s="55">
        <v>0</v>
      </c>
      <c r="CR53" s="55">
        <v>0</v>
      </c>
      <c r="CS53" s="55">
        <v>0</v>
      </c>
      <c r="CT53" s="55">
        <v>0</v>
      </c>
      <c r="CU53" s="55">
        <v>0</v>
      </c>
      <c r="CV53" s="55">
        <v>1</v>
      </c>
      <c r="CW53" s="55">
        <v>1</v>
      </c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</row>
    <row r="54" spans="1:115" ht="11.25" customHeight="1" x14ac:dyDescent="0.25">
      <c r="A54" s="35"/>
      <c r="B54" s="37"/>
      <c r="C54" s="40">
        <v>-1</v>
      </c>
      <c r="D54" s="40">
        <v>-1</v>
      </c>
      <c r="E54" s="40">
        <v>-1</v>
      </c>
      <c r="F54" s="40">
        <v>-1</v>
      </c>
      <c r="G54" s="40">
        <v>-1</v>
      </c>
      <c r="H54" s="40">
        <v>-1</v>
      </c>
      <c r="I54" s="40">
        <v>-1</v>
      </c>
      <c r="J54" s="40">
        <v>-1</v>
      </c>
      <c r="K54" s="40">
        <v>-1</v>
      </c>
      <c r="L54" s="40">
        <v>-1</v>
      </c>
      <c r="M54" s="40">
        <v>-1</v>
      </c>
      <c r="N54" s="40">
        <v>-1</v>
      </c>
      <c r="O54" s="40">
        <v>-1</v>
      </c>
      <c r="P54" s="40">
        <v>-1</v>
      </c>
      <c r="Q54" s="40">
        <v>-1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-1</v>
      </c>
      <c r="Y54" s="40">
        <v>-1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30">
        <v>0</v>
      </c>
      <c r="AT54" s="26" t="s">
        <v>175</v>
      </c>
      <c r="AV54" s="26"/>
      <c r="AW54" s="26"/>
      <c r="AX54" s="26"/>
      <c r="AY54" s="26"/>
      <c r="AZ54" s="1"/>
      <c r="BA54" s="1"/>
      <c r="BB54" s="1"/>
      <c r="BC54" s="1"/>
      <c r="BD54" s="1"/>
      <c r="BE54" s="1"/>
      <c r="BF54" s="56">
        <v>2</v>
      </c>
      <c r="BG54" s="57">
        <v>1</v>
      </c>
      <c r="BH54" s="57">
        <v>13</v>
      </c>
      <c r="BI54" s="57">
        <v>50.15</v>
      </c>
      <c r="BJ54" s="13" t="str">
        <f t="shared" si="3"/>
        <v>13,1</v>
      </c>
      <c r="BK54" s="35"/>
      <c r="BL54" s="8">
        <f t="shared" si="8"/>
        <v>50</v>
      </c>
      <c r="BM54" s="6">
        <f t="shared" si="6"/>
        <v>2</v>
      </c>
      <c r="BN54" s="6">
        <f t="shared" si="7"/>
        <v>14</v>
      </c>
      <c r="BO54" s="35"/>
      <c r="BP54" s="15">
        <v>49</v>
      </c>
      <c r="BQ54" s="60">
        <v>0</v>
      </c>
      <c r="BR54" s="57">
        <v>49</v>
      </c>
      <c r="BS54" s="57" t="s">
        <v>112</v>
      </c>
      <c r="BT54" s="57" t="s">
        <v>70</v>
      </c>
      <c r="BU54" s="57">
        <v>1</v>
      </c>
      <c r="BV54" s="60">
        <v>0</v>
      </c>
      <c r="BW54" s="57">
        <v>0</v>
      </c>
      <c r="BX54" s="60">
        <v>0</v>
      </c>
      <c r="BY54" s="60">
        <v>0</v>
      </c>
      <c r="BZ54" s="35"/>
      <c r="CA54" s="55">
        <v>0</v>
      </c>
      <c r="CB54" s="55">
        <v>1</v>
      </c>
      <c r="CC54" s="55">
        <v>1</v>
      </c>
      <c r="CD54" s="55">
        <v>1</v>
      </c>
      <c r="CE54" s="55">
        <v>1</v>
      </c>
      <c r="CF54" s="55">
        <v>1</v>
      </c>
      <c r="CG54" s="55">
        <v>1</v>
      </c>
      <c r="CH54" s="55">
        <v>1</v>
      </c>
      <c r="CI54" s="55">
        <v>1</v>
      </c>
      <c r="CJ54" s="55">
        <v>1</v>
      </c>
      <c r="CK54" s="55">
        <v>1</v>
      </c>
      <c r="CL54" s="55">
        <v>1</v>
      </c>
      <c r="CM54" s="55">
        <v>1</v>
      </c>
      <c r="CN54" s="55">
        <v>1</v>
      </c>
      <c r="CO54" s="55">
        <v>1</v>
      </c>
      <c r="CP54" s="55">
        <v>1</v>
      </c>
      <c r="CQ54" s="55">
        <v>0</v>
      </c>
      <c r="CR54" s="55">
        <v>0</v>
      </c>
      <c r="CS54" s="55">
        <v>0</v>
      </c>
      <c r="CT54" s="55">
        <v>0</v>
      </c>
      <c r="CU54" s="55">
        <v>0</v>
      </c>
      <c r="CV54" s="55">
        <v>1</v>
      </c>
      <c r="CW54" s="55">
        <v>1</v>
      </c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</row>
    <row r="55" spans="1:115" ht="11.25" customHeight="1" x14ac:dyDescent="0.25">
      <c r="A55" s="35"/>
      <c r="B55" s="37"/>
      <c r="C55" s="40">
        <v>-1</v>
      </c>
      <c r="D55" s="40">
        <v>-1</v>
      </c>
      <c r="E55" s="40">
        <v>-1</v>
      </c>
      <c r="F55" s="40">
        <v>-1</v>
      </c>
      <c r="G55" s="40">
        <v>-1</v>
      </c>
      <c r="H55" s="40">
        <v>-1</v>
      </c>
      <c r="I55" s="40">
        <v>-1</v>
      </c>
      <c r="J55" s="40">
        <v>-1</v>
      </c>
      <c r="K55" s="40">
        <v>-1</v>
      </c>
      <c r="L55" s="40">
        <v>-1</v>
      </c>
      <c r="M55" s="40">
        <v>-1</v>
      </c>
      <c r="N55" s="40">
        <v>-1</v>
      </c>
      <c r="O55" s="40">
        <v>-1</v>
      </c>
      <c r="P55" s="40">
        <v>-1</v>
      </c>
      <c r="Q55" s="40">
        <v>-1</v>
      </c>
      <c r="R55" s="40">
        <v>0</v>
      </c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-1</v>
      </c>
      <c r="Y55" s="40">
        <v>-1</v>
      </c>
      <c r="Z55" s="1"/>
      <c r="AA55" s="20" t="str">
        <f>AT55</f>
        <v>flow.mvr</v>
      </c>
      <c r="AB55" s="20"/>
      <c r="AC55" s="20"/>
      <c r="AD55" s="20"/>
      <c r="AE55" s="20"/>
      <c r="AF55" s="20"/>
      <c r="AG55" s="20"/>
      <c r="AH55" s="20"/>
      <c r="AI55" s="20"/>
      <c r="AJ55" s="1"/>
      <c r="AK55" s="1"/>
      <c r="AL55" s="1"/>
      <c r="AM55" s="1"/>
      <c r="AN55" s="1"/>
      <c r="AO55" s="1"/>
      <c r="AP55" s="1"/>
      <c r="AQ55" s="1"/>
      <c r="AR55" s="1"/>
      <c r="AS55" s="30">
        <v>1</v>
      </c>
      <c r="AT55" s="26" t="s">
        <v>176</v>
      </c>
      <c r="AV55" s="26"/>
      <c r="AW55" s="26"/>
      <c r="AX55" s="26"/>
      <c r="AY55" s="26"/>
      <c r="AZ55" s="1"/>
      <c r="BA55" s="1"/>
      <c r="BB55" s="1"/>
      <c r="BC55" s="1"/>
      <c r="BD55" s="1"/>
      <c r="BE55" s="1"/>
      <c r="BF55" s="56">
        <v>2</v>
      </c>
      <c r="BG55" s="57">
        <v>1</v>
      </c>
      <c r="BH55" s="57">
        <v>14</v>
      </c>
      <c r="BI55" s="57">
        <v>50.15</v>
      </c>
      <c r="BJ55" s="13" t="str">
        <f t="shared" si="3"/>
        <v>14,1</v>
      </c>
      <c r="BK55" s="35"/>
      <c r="BL55" s="8">
        <f t="shared" si="8"/>
        <v>51</v>
      </c>
      <c r="BM55" s="6">
        <f t="shared" si="6"/>
        <v>2</v>
      </c>
      <c r="BN55" s="6">
        <f t="shared" si="7"/>
        <v>15</v>
      </c>
      <c r="BO55" s="35"/>
      <c r="BP55" s="15">
        <v>50</v>
      </c>
      <c r="BQ55" s="60">
        <v>0</v>
      </c>
      <c r="BR55" s="57">
        <v>50</v>
      </c>
      <c r="BS55" s="57" t="s">
        <v>113</v>
      </c>
      <c r="BT55" s="57" t="s">
        <v>70</v>
      </c>
      <c r="BU55" s="57">
        <v>1</v>
      </c>
      <c r="BV55" s="60">
        <v>0</v>
      </c>
      <c r="BW55" s="57">
        <v>0</v>
      </c>
      <c r="BX55" s="60">
        <v>0</v>
      </c>
      <c r="BY55" s="60">
        <v>0</v>
      </c>
      <c r="BZ55" s="35"/>
      <c r="CA55" s="55">
        <v>0</v>
      </c>
      <c r="CB55" s="55">
        <v>1</v>
      </c>
      <c r="CC55" s="55">
        <v>1</v>
      </c>
      <c r="CD55" s="55">
        <v>1</v>
      </c>
      <c r="CE55" s="55">
        <v>1</v>
      </c>
      <c r="CF55" s="55">
        <v>1</v>
      </c>
      <c r="CG55" s="55">
        <v>1</v>
      </c>
      <c r="CH55" s="55">
        <v>1</v>
      </c>
      <c r="CI55" s="55">
        <v>1</v>
      </c>
      <c r="CJ55" s="55">
        <v>1</v>
      </c>
      <c r="CK55" s="55">
        <v>1</v>
      </c>
      <c r="CL55" s="55">
        <v>1</v>
      </c>
      <c r="CM55" s="55">
        <v>1</v>
      </c>
      <c r="CN55" s="55">
        <v>1</v>
      </c>
      <c r="CO55" s="55">
        <v>1</v>
      </c>
      <c r="CP55" s="55">
        <v>1</v>
      </c>
      <c r="CQ55" s="55">
        <v>0</v>
      </c>
      <c r="CR55" s="55">
        <v>0</v>
      </c>
      <c r="CS55" s="55">
        <v>0</v>
      </c>
      <c r="CT55" s="55">
        <v>0</v>
      </c>
      <c r="CU55" s="55">
        <v>1</v>
      </c>
      <c r="CV55" s="55">
        <v>1</v>
      </c>
      <c r="CW55" s="55">
        <v>1</v>
      </c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</row>
    <row r="56" spans="1:115" ht="11.25" customHeight="1" x14ac:dyDescent="0.25">
      <c r="A56" s="35"/>
      <c r="B56" s="37"/>
      <c r="C56" s="40">
        <v>-1</v>
      </c>
      <c r="D56" s="40">
        <v>-1</v>
      </c>
      <c r="E56" s="40">
        <v>-1</v>
      </c>
      <c r="F56" s="40">
        <v>-1</v>
      </c>
      <c r="G56" s="40">
        <v>-1</v>
      </c>
      <c r="H56" s="40">
        <v>-1</v>
      </c>
      <c r="I56" s="40">
        <v>-1</v>
      </c>
      <c r="J56" s="40">
        <v>-1</v>
      </c>
      <c r="K56" s="40">
        <v>-1</v>
      </c>
      <c r="L56" s="40">
        <v>-1</v>
      </c>
      <c r="M56" s="40">
        <v>-1</v>
      </c>
      <c r="N56" s="40">
        <v>-1</v>
      </c>
      <c r="O56" s="40">
        <v>-1</v>
      </c>
      <c r="P56" s="40">
        <v>-1</v>
      </c>
      <c r="Q56" s="40">
        <v>-1</v>
      </c>
      <c r="R56" s="40">
        <v>-1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-1</v>
      </c>
      <c r="Y56" s="40">
        <v>-1</v>
      </c>
      <c r="Z56" s="1"/>
      <c r="AA56" s="28" t="s">
        <v>190</v>
      </c>
      <c r="AB56" s="29"/>
      <c r="AC56" s="29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20" t="s">
        <v>192</v>
      </c>
      <c r="AO56" s="20"/>
      <c r="AP56" s="20">
        <v>6</v>
      </c>
      <c r="AQ56" s="1"/>
      <c r="AR56" s="1"/>
      <c r="AS56" s="30">
        <v>9</v>
      </c>
      <c r="AT56" s="26" t="s">
        <v>177</v>
      </c>
      <c r="AV56" s="26"/>
      <c r="AW56" s="26"/>
      <c r="AX56" s="26"/>
      <c r="AY56" s="26"/>
      <c r="AZ56" s="1"/>
      <c r="BA56" s="1"/>
      <c r="BB56" s="1"/>
      <c r="BC56" s="1"/>
      <c r="BD56" s="1"/>
      <c r="BE56" s="1"/>
      <c r="BF56" s="56">
        <v>2</v>
      </c>
      <c r="BG56" s="57">
        <v>1</v>
      </c>
      <c r="BH56" s="57">
        <v>15</v>
      </c>
      <c r="BI56" s="57">
        <v>50.1</v>
      </c>
      <c r="BJ56" s="13" t="str">
        <f t="shared" si="3"/>
        <v>15,1</v>
      </c>
      <c r="BK56" s="35"/>
      <c r="BL56" s="8">
        <f t="shared" si="8"/>
        <v>52</v>
      </c>
      <c r="BM56" s="6">
        <f t="shared" si="6"/>
        <v>2</v>
      </c>
      <c r="BN56" s="6">
        <f t="shared" si="7"/>
        <v>16</v>
      </c>
      <c r="BO56" s="35"/>
      <c r="BP56" s="15">
        <v>51</v>
      </c>
      <c r="BQ56" s="60">
        <v>0</v>
      </c>
      <c r="BR56" s="57">
        <v>51</v>
      </c>
      <c r="BS56" s="57" t="s">
        <v>114</v>
      </c>
      <c r="BT56" s="57" t="s">
        <v>67</v>
      </c>
      <c r="BU56" s="57">
        <v>1</v>
      </c>
      <c r="BV56" s="60">
        <v>29.7</v>
      </c>
      <c r="BW56" s="57">
        <v>100</v>
      </c>
      <c r="BX56" s="60">
        <v>202.83250000000001</v>
      </c>
      <c r="BY56" s="60">
        <v>403.716999999998</v>
      </c>
      <c r="BZ56" s="35"/>
      <c r="CA56" s="55">
        <v>0</v>
      </c>
      <c r="CB56" s="55">
        <v>1</v>
      </c>
      <c r="CC56" s="55">
        <v>1</v>
      </c>
      <c r="CD56" s="55">
        <v>1</v>
      </c>
      <c r="CE56" s="55">
        <v>1</v>
      </c>
      <c r="CF56" s="55">
        <v>1</v>
      </c>
      <c r="CG56" s="55">
        <v>1</v>
      </c>
      <c r="CH56" s="55">
        <v>1</v>
      </c>
      <c r="CI56" s="55">
        <v>1</v>
      </c>
      <c r="CJ56" s="55">
        <v>1</v>
      </c>
      <c r="CK56" s="55">
        <v>1</v>
      </c>
      <c r="CL56" s="55">
        <v>1</v>
      </c>
      <c r="CM56" s="55">
        <v>1</v>
      </c>
      <c r="CN56" s="55">
        <v>1</v>
      </c>
      <c r="CO56" s="55">
        <v>1</v>
      </c>
      <c r="CP56" s="55">
        <v>1</v>
      </c>
      <c r="CQ56" s="55">
        <v>0</v>
      </c>
      <c r="CR56" s="55">
        <v>0</v>
      </c>
      <c r="CS56" s="55">
        <v>0</v>
      </c>
      <c r="CT56" s="55">
        <v>0</v>
      </c>
      <c r="CU56" s="55">
        <v>1</v>
      </c>
      <c r="CV56" s="55">
        <v>1</v>
      </c>
      <c r="CW56" s="55">
        <v>1</v>
      </c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</row>
    <row r="57" spans="1:115" ht="11.25" customHeight="1" x14ac:dyDescent="0.25">
      <c r="A57" s="35"/>
      <c r="B57" s="37"/>
      <c r="C57" s="40">
        <v>-1</v>
      </c>
      <c r="D57" s="40">
        <v>-1</v>
      </c>
      <c r="E57" s="40">
        <v>-1</v>
      </c>
      <c r="F57" s="40">
        <v>-1</v>
      </c>
      <c r="G57" s="40">
        <v>-1</v>
      </c>
      <c r="H57" s="40">
        <v>-1</v>
      </c>
      <c r="I57" s="40">
        <v>-1</v>
      </c>
      <c r="J57" s="40">
        <v>-1</v>
      </c>
      <c r="K57" s="40">
        <v>-1</v>
      </c>
      <c r="L57" s="40">
        <v>-1</v>
      </c>
      <c r="M57" s="40">
        <v>-1</v>
      </c>
      <c r="N57" s="40">
        <v>-1</v>
      </c>
      <c r="O57" s="40">
        <v>-1</v>
      </c>
      <c r="P57" s="40">
        <v>-1</v>
      </c>
      <c r="Q57" s="40">
        <v>-1</v>
      </c>
      <c r="R57" s="40">
        <v>-1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-1</v>
      </c>
      <c r="Y57" s="40">
        <v>-1</v>
      </c>
      <c r="Z57" s="1"/>
      <c r="AA57" s="27" t="s">
        <v>191</v>
      </c>
      <c r="AB57" s="1"/>
      <c r="AC57" s="1"/>
      <c r="AD57" s="29"/>
      <c r="AE57" s="29"/>
      <c r="AF57" s="29"/>
      <c r="AG57" s="1"/>
      <c r="AH57" s="1"/>
      <c r="AI57" s="1"/>
      <c r="AJ57" s="1"/>
      <c r="AK57" s="1"/>
      <c r="AL57" s="1"/>
      <c r="AM57" s="1"/>
      <c r="AN57" s="20" t="s">
        <v>192</v>
      </c>
      <c r="AO57" s="20"/>
      <c r="AP57" s="20">
        <v>7</v>
      </c>
      <c r="AQ57" s="1"/>
      <c r="AR57" s="1"/>
      <c r="AS57" s="30">
        <v>0</v>
      </c>
      <c r="AT57" s="26" t="s">
        <v>178</v>
      </c>
      <c r="AV57" s="26"/>
      <c r="AW57" s="26"/>
      <c r="AX57" s="26"/>
      <c r="AY57" s="26"/>
      <c r="AZ57" s="1"/>
      <c r="BA57" s="1"/>
      <c r="BB57" s="1"/>
      <c r="BC57" s="1"/>
      <c r="BD57" s="1"/>
      <c r="BE57" s="1"/>
      <c r="BF57" s="56">
        <v>2</v>
      </c>
      <c r="BG57" s="57">
        <v>1</v>
      </c>
      <c r="BH57" s="57">
        <v>16</v>
      </c>
      <c r="BI57" s="57">
        <v>50</v>
      </c>
      <c r="BJ57" s="13" t="str">
        <f t="shared" si="3"/>
        <v>16,1</v>
      </c>
      <c r="BK57" s="35"/>
      <c r="BL57" s="8">
        <f t="shared" si="8"/>
        <v>53</v>
      </c>
      <c r="BM57" s="6">
        <f t="shared" si="6"/>
        <v>2</v>
      </c>
      <c r="BN57" s="6">
        <f t="shared" si="7"/>
        <v>17</v>
      </c>
      <c r="BO57" s="35"/>
      <c r="BP57" s="15">
        <v>52</v>
      </c>
      <c r="BQ57" s="60">
        <v>0</v>
      </c>
      <c r="BR57" s="57">
        <v>52</v>
      </c>
      <c r="BS57" s="57" t="s">
        <v>115</v>
      </c>
      <c r="BT57" s="57" t="s">
        <v>67</v>
      </c>
      <c r="BU57" s="57">
        <v>1</v>
      </c>
      <c r="BV57" s="60">
        <v>29.7</v>
      </c>
      <c r="BW57" s="57">
        <v>100</v>
      </c>
      <c r="BX57" s="60">
        <v>201.85849999999999</v>
      </c>
      <c r="BY57" s="60">
        <v>405.664999999999</v>
      </c>
      <c r="BZ57" s="35"/>
      <c r="CA57" s="55">
        <v>0</v>
      </c>
      <c r="CB57" s="55">
        <v>1</v>
      </c>
      <c r="CC57" s="55">
        <v>1</v>
      </c>
      <c r="CD57" s="55">
        <v>1</v>
      </c>
      <c r="CE57" s="55">
        <v>1</v>
      </c>
      <c r="CF57" s="55">
        <v>1</v>
      </c>
      <c r="CG57" s="55">
        <v>1</v>
      </c>
      <c r="CH57" s="55">
        <v>1</v>
      </c>
      <c r="CI57" s="55">
        <v>1</v>
      </c>
      <c r="CJ57" s="55">
        <v>1</v>
      </c>
      <c r="CK57" s="55">
        <v>1</v>
      </c>
      <c r="CL57" s="55">
        <v>1</v>
      </c>
      <c r="CM57" s="55">
        <v>1</v>
      </c>
      <c r="CN57" s="55">
        <v>1</v>
      </c>
      <c r="CO57" s="55">
        <v>1</v>
      </c>
      <c r="CP57" s="55">
        <v>1</v>
      </c>
      <c r="CQ57" s="55">
        <v>0</v>
      </c>
      <c r="CR57" s="55">
        <v>0</v>
      </c>
      <c r="CS57" s="55">
        <v>0</v>
      </c>
      <c r="CT57" s="55">
        <v>1</v>
      </c>
      <c r="CU57" s="55">
        <v>1</v>
      </c>
      <c r="CV57" s="55">
        <v>1</v>
      </c>
      <c r="CW57" s="55">
        <v>1</v>
      </c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</row>
    <row r="58" spans="1:115" ht="11.25" customHeight="1" x14ac:dyDescent="0.25">
      <c r="A58" s="35"/>
      <c r="B58" s="37"/>
      <c r="C58" s="40">
        <v>-1</v>
      </c>
      <c r="D58" s="40">
        <v>-1</v>
      </c>
      <c r="E58" s="40">
        <v>-1</v>
      </c>
      <c r="F58" s="40">
        <v>-1</v>
      </c>
      <c r="G58" s="40">
        <v>-1</v>
      </c>
      <c r="H58" s="40">
        <v>-1</v>
      </c>
      <c r="I58" s="40">
        <v>-1</v>
      </c>
      <c r="J58" s="40">
        <v>-1</v>
      </c>
      <c r="K58" s="40">
        <v>-1</v>
      </c>
      <c r="L58" s="40">
        <v>-1</v>
      </c>
      <c r="M58" s="40">
        <v>-1</v>
      </c>
      <c r="N58" s="40">
        <v>-1</v>
      </c>
      <c r="O58" s="40">
        <v>-1</v>
      </c>
      <c r="P58" s="40">
        <v>-1</v>
      </c>
      <c r="Q58" s="40">
        <v>-1</v>
      </c>
      <c r="R58" s="40">
        <v>-1</v>
      </c>
      <c r="S58" s="40">
        <v>0</v>
      </c>
      <c r="T58" s="40">
        <v>0</v>
      </c>
      <c r="U58" s="40">
        <v>0</v>
      </c>
      <c r="V58" s="40">
        <v>0</v>
      </c>
      <c r="W58" s="40">
        <v>-1</v>
      </c>
      <c r="X58" s="40">
        <v>-1</v>
      </c>
      <c r="Y58" s="40">
        <v>-1</v>
      </c>
      <c r="Z58" s="1"/>
      <c r="AA58" s="27"/>
      <c r="AB58" s="27"/>
      <c r="AC58" s="27"/>
      <c r="AD58" s="27"/>
      <c r="AE58" s="27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30">
        <v>1</v>
      </c>
      <c r="AT58" s="26" t="s">
        <v>179</v>
      </c>
      <c r="AV58" s="26"/>
      <c r="AW58" s="26"/>
      <c r="AX58" s="26"/>
      <c r="AY58" s="26"/>
      <c r="AZ58" s="1"/>
      <c r="BA58" s="1"/>
      <c r="BB58" s="1"/>
      <c r="BC58" s="1"/>
      <c r="BD58" s="1"/>
      <c r="BE58" s="1"/>
      <c r="BF58" s="56">
        <v>2</v>
      </c>
      <c r="BG58" s="57">
        <v>1</v>
      </c>
      <c r="BH58" s="57">
        <v>17</v>
      </c>
      <c r="BI58" s="57">
        <v>50</v>
      </c>
      <c r="BJ58" s="13" t="str">
        <f t="shared" si="3"/>
        <v>17,1</v>
      </c>
      <c r="BK58" s="35"/>
      <c r="BL58" s="8">
        <f t="shared" si="8"/>
        <v>54</v>
      </c>
      <c r="BM58" s="6">
        <f t="shared" si="6"/>
        <v>2</v>
      </c>
      <c r="BN58" s="6">
        <f t="shared" si="7"/>
        <v>18</v>
      </c>
      <c r="BO58" s="35"/>
      <c r="BP58" s="15">
        <v>53</v>
      </c>
      <c r="BQ58" s="60">
        <v>0</v>
      </c>
      <c r="BR58" s="57">
        <v>53</v>
      </c>
      <c r="BS58" s="57" t="s">
        <v>116</v>
      </c>
      <c r="BT58" s="57" t="s">
        <v>70</v>
      </c>
      <c r="BU58" s="57">
        <v>1</v>
      </c>
      <c r="BV58" s="60">
        <v>0</v>
      </c>
      <c r="BW58" s="57">
        <v>0</v>
      </c>
      <c r="BX58" s="60">
        <v>0</v>
      </c>
      <c r="BY58" s="60">
        <v>0</v>
      </c>
      <c r="BZ58" s="35"/>
      <c r="CA58" s="55">
        <v>0</v>
      </c>
      <c r="CB58" s="55">
        <v>1</v>
      </c>
      <c r="CC58" s="55">
        <v>1</v>
      </c>
      <c r="CD58" s="55">
        <v>1</v>
      </c>
      <c r="CE58" s="55">
        <v>1</v>
      </c>
      <c r="CF58" s="55">
        <v>1</v>
      </c>
      <c r="CG58" s="55">
        <v>1</v>
      </c>
      <c r="CH58" s="55">
        <v>1</v>
      </c>
      <c r="CI58" s="55">
        <v>1</v>
      </c>
      <c r="CJ58" s="55">
        <v>1</v>
      </c>
      <c r="CK58" s="55">
        <v>1</v>
      </c>
      <c r="CL58" s="55">
        <v>1</v>
      </c>
      <c r="CM58" s="55">
        <v>1</v>
      </c>
      <c r="CN58" s="55">
        <v>1</v>
      </c>
      <c r="CO58" s="55">
        <v>1</v>
      </c>
      <c r="CP58" s="55">
        <v>1</v>
      </c>
      <c r="CQ58" s="55">
        <v>1</v>
      </c>
      <c r="CR58" s="55">
        <v>0</v>
      </c>
      <c r="CS58" s="55">
        <v>1</v>
      </c>
      <c r="CT58" s="55">
        <v>1</v>
      </c>
      <c r="CU58" s="55">
        <v>1</v>
      </c>
      <c r="CV58" s="55">
        <v>1</v>
      </c>
      <c r="CW58" s="55">
        <v>1</v>
      </c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</row>
    <row r="59" spans="1:115" ht="11.25" customHeight="1" x14ac:dyDescent="0.25">
      <c r="A59" s="35"/>
      <c r="B59" s="37"/>
      <c r="C59" s="40">
        <v>-1</v>
      </c>
      <c r="D59" s="40">
        <v>-1</v>
      </c>
      <c r="E59" s="40">
        <v>-1</v>
      </c>
      <c r="F59" s="40">
        <v>-1</v>
      </c>
      <c r="G59" s="40">
        <v>-1</v>
      </c>
      <c r="H59" s="40">
        <v>-1</v>
      </c>
      <c r="I59" s="40">
        <v>-1</v>
      </c>
      <c r="J59" s="40">
        <v>-1</v>
      </c>
      <c r="K59" s="40">
        <v>-1</v>
      </c>
      <c r="L59" s="40">
        <v>-1</v>
      </c>
      <c r="M59" s="40">
        <v>-1</v>
      </c>
      <c r="N59" s="40">
        <v>-1</v>
      </c>
      <c r="O59" s="40">
        <v>-1</v>
      </c>
      <c r="P59" s="40">
        <v>-1</v>
      </c>
      <c r="Q59" s="40">
        <v>-1</v>
      </c>
      <c r="R59" s="40">
        <v>-1</v>
      </c>
      <c r="S59" s="40">
        <v>0</v>
      </c>
      <c r="T59" s="40">
        <v>0</v>
      </c>
      <c r="U59" s="40">
        <v>0</v>
      </c>
      <c r="V59" s="40">
        <v>0</v>
      </c>
      <c r="W59" s="40">
        <v>-1</v>
      </c>
      <c r="X59" s="40">
        <v>-1</v>
      </c>
      <c r="Y59" s="40">
        <v>-1</v>
      </c>
      <c r="Z59" s="1"/>
      <c r="AA59" s="20" t="s">
        <v>199</v>
      </c>
      <c r="AB59" s="20"/>
      <c r="AC59" s="20"/>
      <c r="AD59" s="20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30">
        <v>9</v>
      </c>
      <c r="AT59" s="26" t="s">
        <v>180</v>
      </c>
      <c r="AV59" s="26"/>
      <c r="AW59" s="26"/>
      <c r="AX59" s="26"/>
      <c r="AY59" s="26"/>
      <c r="AZ59" s="1"/>
      <c r="BA59" s="1"/>
      <c r="BB59" s="1"/>
      <c r="BC59" s="1"/>
      <c r="BD59" s="1"/>
      <c r="BE59" s="1"/>
      <c r="BF59" s="56">
        <v>2</v>
      </c>
      <c r="BG59" s="57">
        <v>1</v>
      </c>
      <c r="BH59" s="57">
        <v>18</v>
      </c>
      <c r="BI59" s="57">
        <v>50</v>
      </c>
      <c r="BJ59" s="13" t="str">
        <f t="shared" si="3"/>
        <v>18,1</v>
      </c>
      <c r="BK59" s="35"/>
      <c r="BL59" s="8">
        <f t="shared" si="8"/>
        <v>55</v>
      </c>
      <c r="BM59" s="6">
        <f t="shared" si="6"/>
        <v>2</v>
      </c>
      <c r="BN59" s="6">
        <f t="shared" si="7"/>
        <v>19</v>
      </c>
      <c r="BO59" s="35"/>
      <c r="BP59" s="15">
        <v>54</v>
      </c>
      <c r="BQ59" s="60">
        <v>0</v>
      </c>
      <c r="BR59" s="57">
        <v>54</v>
      </c>
      <c r="BS59" s="57" t="s">
        <v>117</v>
      </c>
      <c r="BT59" s="57" t="s">
        <v>67</v>
      </c>
      <c r="BU59" s="57">
        <v>1</v>
      </c>
      <c r="BV59" s="60">
        <v>29.7</v>
      </c>
      <c r="BW59" s="57">
        <v>100</v>
      </c>
      <c r="BX59" s="60">
        <v>202.83249999999899</v>
      </c>
      <c r="BY59" s="60">
        <v>403.71699999999998</v>
      </c>
      <c r="BZ59" s="35"/>
      <c r="CA59" s="55">
        <v>0</v>
      </c>
      <c r="CB59" s="55">
        <v>1</v>
      </c>
      <c r="CC59" s="55">
        <v>1</v>
      </c>
      <c r="CD59" s="55">
        <v>1</v>
      </c>
      <c r="CE59" s="55">
        <v>1</v>
      </c>
      <c r="CF59" s="55">
        <v>1</v>
      </c>
      <c r="CG59" s="55">
        <v>1</v>
      </c>
      <c r="CH59" s="55">
        <v>1</v>
      </c>
      <c r="CI59" s="55">
        <v>1</v>
      </c>
      <c r="CJ59" s="55">
        <v>1</v>
      </c>
      <c r="CK59" s="55">
        <v>1</v>
      </c>
      <c r="CL59" s="55">
        <v>1</v>
      </c>
      <c r="CM59" s="55">
        <v>1</v>
      </c>
      <c r="CN59" s="55">
        <v>1</v>
      </c>
      <c r="CO59" s="55">
        <v>1</v>
      </c>
      <c r="CP59" s="55">
        <v>1</v>
      </c>
      <c r="CQ59" s="55">
        <v>1</v>
      </c>
      <c r="CR59" s="55">
        <v>1</v>
      </c>
      <c r="CS59" s="55">
        <v>1</v>
      </c>
      <c r="CT59" s="55">
        <v>1</v>
      </c>
      <c r="CU59" s="55">
        <v>1</v>
      </c>
      <c r="CV59" s="55">
        <v>1</v>
      </c>
      <c r="CW59" s="55">
        <v>1</v>
      </c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</row>
    <row r="60" spans="1:115" ht="11.25" customHeight="1" x14ac:dyDescent="0.25">
      <c r="A60" s="35"/>
      <c r="B60" s="37"/>
      <c r="C60" s="40">
        <v>-1</v>
      </c>
      <c r="D60" s="40">
        <v>-1</v>
      </c>
      <c r="E60" s="40">
        <v>-1</v>
      </c>
      <c r="F60" s="40">
        <v>-1</v>
      </c>
      <c r="G60" s="40">
        <v>-1</v>
      </c>
      <c r="H60" s="40">
        <v>-1</v>
      </c>
      <c r="I60" s="40">
        <v>-1</v>
      </c>
      <c r="J60" s="40">
        <v>-1</v>
      </c>
      <c r="K60" s="40">
        <v>-1</v>
      </c>
      <c r="L60" s="40">
        <v>-1</v>
      </c>
      <c r="M60" s="40">
        <v>-1</v>
      </c>
      <c r="N60" s="40">
        <v>-1</v>
      </c>
      <c r="O60" s="40">
        <v>-1</v>
      </c>
      <c r="P60" s="40">
        <v>-1</v>
      </c>
      <c r="Q60" s="40">
        <v>-1</v>
      </c>
      <c r="R60" s="40">
        <v>-1</v>
      </c>
      <c r="S60" s="40">
        <v>0</v>
      </c>
      <c r="T60" s="40">
        <v>0</v>
      </c>
      <c r="U60" s="40">
        <v>0</v>
      </c>
      <c r="V60" s="40">
        <v>-1</v>
      </c>
      <c r="W60" s="40">
        <v>-1</v>
      </c>
      <c r="X60" s="40">
        <v>-1</v>
      </c>
      <c r="Y60" s="40">
        <v>-1</v>
      </c>
      <c r="Z60" s="1"/>
      <c r="AA60" s="51">
        <v>100</v>
      </c>
      <c r="AB60" s="29"/>
      <c r="AC60" s="29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30">
        <v>1</v>
      </c>
      <c r="AT60" s="26" t="s">
        <v>181</v>
      </c>
      <c r="AV60" s="26"/>
      <c r="AW60" s="26"/>
      <c r="AX60" s="26"/>
      <c r="AY60" s="26"/>
      <c r="AZ60" s="1"/>
      <c r="BA60" s="1"/>
      <c r="BB60" s="1"/>
      <c r="BC60" s="1"/>
      <c r="BD60" s="1"/>
      <c r="BE60" s="1"/>
      <c r="BF60" s="56">
        <v>2</v>
      </c>
      <c r="BG60" s="57">
        <v>1</v>
      </c>
      <c r="BH60" s="57">
        <v>19</v>
      </c>
      <c r="BI60" s="57">
        <v>50</v>
      </c>
      <c r="BJ60" s="13" t="str">
        <f t="shared" si="3"/>
        <v>19,1</v>
      </c>
      <c r="BK60" s="35"/>
      <c r="BL60" s="8">
        <f t="shared" si="8"/>
        <v>56</v>
      </c>
      <c r="BM60" s="6">
        <f t="shared" si="6"/>
        <v>2</v>
      </c>
      <c r="BN60" s="6">
        <f t="shared" si="7"/>
        <v>20</v>
      </c>
      <c r="BO60" s="35"/>
      <c r="BP60" s="15">
        <v>55</v>
      </c>
      <c r="BQ60" s="60">
        <v>0</v>
      </c>
      <c r="BR60" s="57">
        <v>55</v>
      </c>
      <c r="BS60" s="57" t="s">
        <v>118</v>
      </c>
      <c r="BT60" s="57" t="s">
        <v>70</v>
      </c>
      <c r="BU60" s="57">
        <v>1</v>
      </c>
      <c r="BV60" s="60">
        <v>0</v>
      </c>
      <c r="BW60" s="57">
        <v>0</v>
      </c>
      <c r="BX60" s="60">
        <v>0</v>
      </c>
      <c r="BY60" s="60">
        <v>0</v>
      </c>
      <c r="BZ60" s="35"/>
      <c r="CA60" s="55">
        <v>0</v>
      </c>
      <c r="CB60" s="55">
        <v>1</v>
      </c>
      <c r="CC60" s="55">
        <v>1</v>
      </c>
      <c r="CD60" s="55">
        <v>1</v>
      </c>
      <c r="CE60" s="55">
        <v>1</v>
      </c>
      <c r="CF60" s="55">
        <v>1</v>
      </c>
      <c r="CG60" s="55">
        <v>1</v>
      </c>
      <c r="CH60" s="55">
        <v>1</v>
      </c>
      <c r="CI60" s="55">
        <v>1</v>
      </c>
      <c r="CJ60" s="55">
        <v>1</v>
      </c>
      <c r="CK60" s="55">
        <v>1</v>
      </c>
      <c r="CL60" s="55">
        <v>1</v>
      </c>
      <c r="CM60" s="55">
        <v>1</v>
      </c>
      <c r="CN60" s="55">
        <v>1</v>
      </c>
      <c r="CO60" s="55">
        <v>1</v>
      </c>
      <c r="CP60" s="55">
        <v>1</v>
      </c>
      <c r="CQ60" s="55">
        <v>1</v>
      </c>
      <c r="CR60" s="55">
        <v>1</v>
      </c>
      <c r="CS60" s="55">
        <v>1</v>
      </c>
      <c r="CT60" s="55">
        <v>1</v>
      </c>
      <c r="CU60" s="55">
        <v>1</v>
      </c>
      <c r="CV60" s="55">
        <v>1</v>
      </c>
      <c r="CW60" s="55">
        <v>1</v>
      </c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</row>
    <row r="61" spans="1:115" ht="11.25" customHeight="1" x14ac:dyDescent="0.25">
      <c r="A61" s="35"/>
      <c r="B61" s="37"/>
      <c r="C61" s="40">
        <v>-1</v>
      </c>
      <c r="D61" s="40">
        <v>-1</v>
      </c>
      <c r="E61" s="40">
        <v>-1</v>
      </c>
      <c r="F61" s="40">
        <v>-1</v>
      </c>
      <c r="G61" s="40">
        <v>-1</v>
      </c>
      <c r="H61" s="40">
        <v>-1</v>
      </c>
      <c r="I61" s="40">
        <v>-1</v>
      </c>
      <c r="J61" s="40">
        <v>-1</v>
      </c>
      <c r="K61" s="40">
        <v>-1</v>
      </c>
      <c r="L61" s="40">
        <v>-1</v>
      </c>
      <c r="M61" s="40">
        <v>-1</v>
      </c>
      <c r="N61" s="40">
        <v>-1</v>
      </c>
      <c r="O61" s="40">
        <v>-1</v>
      </c>
      <c r="P61" s="40">
        <v>-1</v>
      </c>
      <c r="Q61" s="40">
        <v>-1</v>
      </c>
      <c r="R61" s="40">
        <v>-1</v>
      </c>
      <c r="S61" s="40">
        <v>-1</v>
      </c>
      <c r="T61" s="40">
        <v>0</v>
      </c>
      <c r="U61" s="40">
        <v>-1</v>
      </c>
      <c r="V61" s="40">
        <v>-1</v>
      </c>
      <c r="W61" s="40">
        <v>-1</v>
      </c>
      <c r="X61" s="40">
        <v>-1</v>
      </c>
      <c r="Y61" s="40">
        <v>-1</v>
      </c>
      <c r="Z61" s="1"/>
      <c r="AA61" s="20" t="s">
        <v>203</v>
      </c>
      <c r="AB61" s="20"/>
      <c r="AC61" s="20"/>
      <c r="AD61" s="20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30">
        <v>2</v>
      </c>
      <c r="AT61" s="26" t="s">
        <v>182</v>
      </c>
      <c r="AV61" s="26"/>
      <c r="AW61" s="26"/>
      <c r="AX61" s="26"/>
      <c r="AY61" s="26"/>
      <c r="AZ61" s="1"/>
      <c r="BA61" s="1"/>
      <c r="BB61" s="1"/>
      <c r="BC61" s="1"/>
      <c r="BD61" s="1"/>
      <c r="BE61" s="1"/>
      <c r="BF61" s="56">
        <v>2</v>
      </c>
      <c r="BG61" s="57">
        <v>1</v>
      </c>
      <c r="BH61" s="57">
        <v>20</v>
      </c>
      <c r="BI61" s="57">
        <v>50</v>
      </c>
      <c r="BJ61" s="13" t="str">
        <f t="shared" si="3"/>
        <v>20,1</v>
      </c>
      <c r="BK61" s="35"/>
      <c r="BL61" s="8">
        <f t="shared" si="8"/>
        <v>57</v>
      </c>
      <c r="BM61" s="6">
        <f t="shared" si="6"/>
        <v>2</v>
      </c>
      <c r="BN61" s="6">
        <f t="shared" si="7"/>
        <v>21</v>
      </c>
      <c r="BO61" s="35"/>
      <c r="BP61" s="15">
        <v>56</v>
      </c>
      <c r="BQ61" s="60">
        <v>0</v>
      </c>
      <c r="BR61" s="57">
        <v>56</v>
      </c>
      <c r="BS61" s="57" t="s">
        <v>119</v>
      </c>
      <c r="BT61" s="57" t="s">
        <v>70</v>
      </c>
      <c r="BU61" s="57">
        <v>1</v>
      </c>
      <c r="BV61" s="60">
        <v>0</v>
      </c>
      <c r="BW61" s="57">
        <v>0</v>
      </c>
      <c r="BX61" s="60">
        <v>0</v>
      </c>
      <c r="BY61" s="60">
        <v>0</v>
      </c>
      <c r="BZ61" s="35"/>
      <c r="CA61" s="55">
        <v>0</v>
      </c>
      <c r="CB61" s="55">
        <v>0</v>
      </c>
      <c r="CC61" s="55">
        <v>1</v>
      </c>
      <c r="CD61" s="55">
        <v>1</v>
      </c>
      <c r="CE61" s="55">
        <v>1</v>
      </c>
      <c r="CF61" s="55">
        <v>1</v>
      </c>
      <c r="CG61" s="55">
        <v>1</v>
      </c>
      <c r="CH61" s="55">
        <v>1</v>
      </c>
      <c r="CI61" s="55">
        <v>1</v>
      </c>
      <c r="CJ61" s="55">
        <v>1</v>
      </c>
      <c r="CK61" s="55">
        <v>1</v>
      </c>
      <c r="CL61" s="55">
        <v>1</v>
      </c>
      <c r="CM61" s="55">
        <v>1</v>
      </c>
      <c r="CN61" s="55">
        <v>1</v>
      </c>
      <c r="CO61" s="55">
        <v>1</v>
      </c>
      <c r="CP61" s="55">
        <v>1</v>
      </c>
      <c r="CQ61" s="55">
        <v>1</v>
      </c>
      <c r="CR61" s="55">
        <v>1</v>
      </c>
      <c r="CS61" s="55">
        <v>1</v>
      </c>
      <c r="CT61" s="55">
        <v>1</v>
      </c>
      <c r="CU61" s="55">
        <v>1</v>
      </c>
      <c r="CV61" s="55">
        <v>1</v>
      </c>
      <c r="CW61" s="55">
        <v>1</v>
      </c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</row>
    <row r="62" spans="1:115" ht="11.25" customHeight="1" x14ac:dyDescent="0.25">
      <c r="A62" s="35"/>
      <c r="B62" s="37"/>
      <c r="C62" s="40">
        <v>-1</v>
      </c>
      <c r="D62" s="40">
        <v>-1</v>
      </c>
      <c r="E62" s="40">
        <v>-1</v>
      </c>
      <c r="F62" s="40">
        <v>-1</v>
      </c>
      <c r="G62" s="40">
        <v>-1</v>
      </c>
      <c r="H62" s="40">
        <v>-1</v>
      </c>
      <c r="I62" s="40">
        <v>-1</v>
      </c>
      <c r="J62" s="40">
        <v>-1</v>
      </c>
      <c r="K62" s="40">
        <v>-1</v>
      </c>
      <c r="L62" s="40">
        <v>-1</v>
      </c>
      <c r="M62" s="40">
        <v>-1</v>
      </c>
      <c r="N62" s="40">
        <v>-1</v>
      </c>
      <c r="O62" s="40">
        <v>-1</v>
      </c>
      <c r="P62" s="40">
        <v>-1</v>
      </c>
      <c r="Q62" s="40">
        <v>-1</v>
      </c>
      <c r="R62" s="40">
        <v>-1</v>
      </c>
      <c r="S62" s="40">
        <v>-1</v>
      </c>
      <c r="T62" s="40">
        <v>-1</v>
      </c>
      <c r="U62" s="40">
        <v>-1</v>
      </c>
      <c r="V62" s="40">
        <v>-1</v>
      </c>
      <c r="W62" s="40">
        <v>-1</v>
      </c>
      <c r="X62" s="40">
        <v>-1</v>
      </c>
      <c r="Y62" s="40">
        <v>-1</v>
      </c>
      <c r="Z62" s="1"/>
      <c r="AA62" s="27" t="s">
        <v>202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30">
        <f>AS61</f>
        <v>2</v>
      </c>
      <c r="AT62" s="26" t="s">
        <v>183</v>
      </c>
      <c r="AV62" s="26"/>
      <c r="AW62" s="26"/>
      <c r="AX62" s="26"/>
      <c r="AY62" s="26"/>
      <c r="AZ62" s="1"/>
      <c r="BA62" s="1"/>
      <c r="BB62" s="1"/>
      <c r="BC62" s="1"/>
      <c r="BD62" s="1"/>
      <c r="BE62" s="1"/>
      <c r="BF62" s="56">
        <v>2</v>
      </c>
      <c r="BG62" s="57">
        <v>1</v>
      </c>
      <c r="BH62" s="57">
        <v>21</v>
      </c>
      <c r="BI62" s="57">
        <v>50</v>
      </c>
      <c r="BJ62" s="13" t="str">
        <f t="shared" si="3"/>
        <v>21,1</v>
      </c>
      <c r="BK62" s="35"/>
      <c r="BL62" s="8">
        <f t="shared" si="8"/>
        <v>58</v>
      </c>
      <c r="BM62" s="6">
        <f t="shared" si="6"/>
        <v>2</v>
      </c>
      <c r="BN62" s="6">
        <f t="shared" si="7"/>
        <v>22</v>
      </c>
      <c r="BO62" s="35"/>
      <c r="BP62" s="15">
        <v>57</v>
      </c>
      <c r="BQ62" s="60">
        <v>0</v>
      </c>
      <c r="BR62" s="57">
        <v>57</v>
      </c>
      <c r="BS62" s="57" t="s">
        <v>120</v>
      </c>
      <c r="BT62" s="57" t="s">
        <v>70</v>
      </c>
      <c r="BU62" s="57">
        <v>1</v>
      </c>
      <c r="BV62" s="60">
        <v>0</v>
      </c>
      <c r="BW62" s="57">
        <v>0</v>
      </c>
      <c r="BX62" s="60">
        <v>0</v>
      </c>
      <c r="BY62" s="60">
        <v>0</v>
      </c>
      <c r="BZ62" s="35"/>
      <c r="CA62" s="55">
        <v>0</v>
      </c>
      <c r="CB62" s="55">
        <v>0</v>
      </c>
      <c r="CC62" s="55">
        <v>1</v>
      </c>
      <c r="CD62" s="55">
        <v>1</v>
      </c>
      <c r="CE62" s="55">
        <v>1</v>
      </c>
      <c r="CF62" s="55">
        <v>1</v>
      </c>
      <c r="CG62" s="55">
        <v>1</v>
      </c>
      <c r="CH62" s="55">
        <v>1</v>
      </c>
      <c r="CI62" s="55">
        <v>1</v>
      </c>
      <c r="CJ62" s="55">
        <v>1</v>
      </c>
      <c r="CK62" s="55">
        <v>1</v>
      </c>
      <c r="CL62" s="55">
        <v>1</v>
      </c>
      <c r="CM62" s="55">
        <v>1</v>
      </c>
      <c r="CN62" s="55">
        <v>1</v>
      </c>
      <c r="CO62" s="55">
        <v>1</v>
      </c>
      <c r="CP62" s="55">
        <v>1</v>
      </c>
      <c r="CQ62" s="55">
        <v>1</v>
      </c>
      <c r="CR62" s="55">
        <v>1</v>
      </c>
      <c r="CS62" s="55">
        <v>1</v>
      </c>
      <c r="CT62" s="55">
        <v>1</v>
      </c>
      <c r="CU62" s="55">
        <v>1</v>
      </c>
      <c r="CV62" s="55">
        <v>1</v>
      </c>
      <c r="CW62" s="55">
        <v>1</v>
      </c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</row>
    <row r="63" spans="1:115" ht="11.25" customHeight="1" x14ac:dyDescent="0.25">
      <c r="A63" s="35"/>
      <c r="B63" s="37"/>
      <c r="C63" s="40">
        <v>-1</v>
      </c>
      <c r="D63" s="40">
        <v>-1</v>
      </c>
      <c r="E63" s="40">
        <v>-1</v>
      </c>
      <c r="F63" s="40">
        <v>-1</v>
      </c>
      <c r="G63" s="40">
        <v>-1</v>
      </c>
      <c r="H63" s="40">
        <v>-1</v>
      </c>
      <c r="I63" s="40">
        <v>-1</v>
      </c>
      <c r="J63" s="40">
        <v>-1</v>
      </c>
      <c r="K63" s="40">
        <v>-1</v>
      </c>
      <c r="L63" s="40">
        <v>-1</v>
      </c>
      <c r="M63" s="40">
        <v>-1</v>
      </c>
      <c r="N63" s="40">
        <v>-1</v>
      </c>
      <c r="O63" s="40">
        <v>-1</v>
      </c>
      <c r="P63" s="40">
        <v>-1</v>
      </c>
      <c r="Q63" s="40">
        <v>-1</v>
      </c>
      <c r="R63" s="40">
        <v>-1</v>
      </c>
      <c r="S63" s="40">
        <v>-1</v>
      </c>
      <c r="T63" s="40">
        <v>-1</v>
      </c>
      <c r="U63" s="40">
        <v>-1</v>
      </c>
      <c r="V63" s="40">
        <v>-1</v>
      </c>
      <c r="W63" s="40">
        <v>-1</v>
      </c>
      <c r="X63" s="40">
        <v>-1</v>
      </c>
      <c r="Y63" s="40">
        <v>-1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30">
        <f t="shared" ref="AS63:AS65" si="10">AS62</f>
        <v>2</v>
      </c>
      <c r="AT63" s="26" t="s">
        <v>184</v>
      </c>
      <c r="AV63" s="26"/>
      <c r="AW63" s="26"/>
      <c r="AX63" s="26"/>
      <c r="AY63" s="26"/>
      <c r="AZ63" s="1"/>
      <c r="BA63" s="1"/>
      <c r="BB63" s="1"/>
      <c r="BC63" s="1"/>
      <c r="BD63" s="1"/>
      <c r="BE63" s="1"/>
      <c r="BF63" s="56">
        <v>2</v>
      </c>
      <c r="BG63" s="57">
        <v>33</v>
      </c>
      <c r="BH63" s="57">
        <v>1</v>
      </c>
      <c r="BI63" s="57">
        <v>28</v>
      </c>
      <c r="BJ63" s="13" t="str">
        <f t="shared" si="3"/>
        <v>1,33</v>
      </c>
      <c r="BK63" s="35"/>
      <c r="BL63" s="8">
        <f t="shared" si="8"/>
        <v>59</v>
      </c>
      <c r="BM63" s="6">
        <f t="shared" si="6"/>
        <v>2</v>
      </c>
      <c r="BN63" s="6">
        <f t="shared" si="7"/>
        <v>23</v>
      </c>
      <c r="BO63" s="35"/>
      <c r="BP63" s="15">
        <v>58</v>
      </c>
      <c r="BQ63" s="60">
        <v>0</v>
      </c>
      <c r="BR63" s="57">
        <v>58</v>
      </c>
      <c r="BS63" s="57" t="s">
        <v>115</v>
      </c>
      <c r="BT63" s="57" t="s">
        <v>67</v>
      </c>
      <c r="BU63" s="57">
        <v>1</v>
      </c>
      <c r="BV63" s="60">
        <v>29.7</v>
      </c>
      <c r="BW63" s="57">
        <v>100</v>
      </c>
      <c r="BX63" s="60">
        <v>202.83249999999899</v>
      </c>
      <c r="BY63" s="60">
        <v>403.71699999999998</v>
      </c>
      <c r="BZ63" s="35"/>
      <c r="CA63" s="55">
        <v>0</v>
      </c>
      <c r="CB63" s="55">
        <v>0</v>
      </c>
      <c r="CC63" s="55">
        <v>1</v>
      </c>
      <c r="CD63" s="55">
        <v>1</v>
      </c>
      <c r="CE63" s="55">
        <v>1</v>
      </c>
      <c r="CF63" s="55">
        <v>1</v>
      </c>
      <c r="CG63" s="55">
        <v>1</v>
      </c>
      <c r="CH63" s="55">
        <v>1</v>
      </c>
      <c r="CI63" s="55">
        <v>1</v>
      </c>
      <c r="CJ63" s="55">
        <v>1</v>
      </c>
      <c r="CK63" s="55">
        <v>1</v>
      </c>
      <c r="CL63" s="55">
        <v>1</v>
      </c>
      <c r="CM63" s="55">
        <v>1</v>
      </c>
      <c r="CN63" s="55">
        <v>1</v>
      </c>
      <c r="CO63" s="55">
        <v>1</v>
      </c>
      <c r="CP63" s="55">
        <v>1</v>
      </c>
      <c r="CQ63" s="55">
        <v>1</v>
      </c>
      <c r="CR63" s="55">
        <v>1</v>
      </c>
      <c r="CS63" s="55">
        <v>1</v>
      </c>
      <c r="CT63" s="55">
        <v>1</v>
      </c>
      <c r="CU63" s="55">
        <v>1</v>
      </c>
      <c r="CV63" s="55">
        <v>1</v>
      </c>
      <c r="CW63" s="55">
        <v>1</v>
      </c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</row>
    <row r="64" spans="1:115" ht="11.25" customHeight="1" x14ac:dyDescent="0.25">
      <c r="A64" s="35"/>
      <c r="B64" s="37"/>
      <c r="C64" s="40">
        <v>-1</v>
      </c>
      <c r="D64" s="40">
        <v>1</v>
      </c>
      <c r="E64" s="40">
        <v>-1</v>
      </c>
      <c r="F64" s="40">
        <v>-1</v>
      </c>
      <c r="G64" s="40">
        <v>-1</v>
      </c>
      <c r="H64" s="40">
        <v>-1</v>
      </c>
      <c r="I64" s="40">
        <v>-1</v>
      </c>
      <c r="J64" s="40">
        <v>-1</v>
      </c>
      <c r="K64" s="40">
        <v>-1</v>
      </c>
      <c r="L64" s="40">
        <v>-1</v>
      </c>
      <c r="M64" s="40">
        <v>-1</v>
      </c>
      <c r="N64" s="40">
        <v>-1</v>
      </c>
      <c r="O64" s="40">
        <v>-1</v>
      </c>
      <c r="P64" s="40">
        <v>-1</v>
      </c>
      <c r="Q64" s="40">
        <v>-1</v>
      </c>
      <c r="R64" s="40">
        <v>-1</v>
      </c>
      <c r="S64" s="40">
        <v>-1</v>
      </c>
      <c r="T64" s="40">
        <v>-1</v>
      </c>
      <c r="U64" s="40">
        <v>-1</v>
      </c>
      <c r="V64" s="40">
        <v>-1</v>
      </c>
      <c r="W64" s="40">
        <v>-1</v>
      </c>
      <c r="X64" s="40">
        <v>-1</v>
      </c>
      <c r="Y64" s="40">
        <v>-1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30">
        <f t="shared" si="10"/>
        <v>2</v>
      </c>
      <c r="AT64" s="26" t="s">
        <v>185</v>
      </c>
      <c r="AV64" s="26"/>
      <c r="AW64" s="26"/>
      <c r="AX64" s="26"/>
      <c r="AY64" s="26"/>
      <c r="AZ64" s="1"/>
      <c r="BA64" s="1"/>
      <c r="BB64" s="1"/>
      <c r="BC64" s="1"/>
      <c r="BD64" s="1"/>
      <c r="BE64" s="1"/>
      <c r="BF64" s="56">
        <v>2</v>
      </c>
      <c r="BG64" s="57">
        <v>33</v>
      </c>
      <c r="BH64" s="57">
        <v>2</v>
      </c>
      <c r="BI64" s="57">
        <v>28</v>
      </c>
      <c r="BJ64" s="13" t="str">
        <f t="shared" si="3"/>
        <v>2,33</v>
      </c>
      <c r="BK64" s="35"/>
      <c r="BL64" s="8">
        <f t="shared" si="8"/>
        <v>60</v>
      </c>
      <c r="BM64" s="6">
        <f t="shared" si="6"/>
        <v>2</v>
      </c>
      <c r="BN64" s="6">
        <f t="shared" si="7"/>
        <v>24</v>
      </c>
      <c r="BO64" s="35"/>
      <c r="BP64" s="15">
        <v>59</v>
      </c>
      <c r="BQ64" s="60">
        <v>0</v>
      </c>
      <c r="BR64" s="57">
        <v>59</v>
      </c>
      <c r="BS64" s="57" t="s">
        <v>121</v>
      </c>
      <c r="BT64" s="57" t="s">
        <v>70</v>
      </c>
      <c r="BU64" s="57">
        <v>1</v>
      </c>
      <c r="BV64" s="60">
        <v>0</v>
      </c>
      <c r="BW64" s="57">
        <v>0</v>
      </c>
      <c r="BX64" s="60">
        <v>0</v>
      </c>
      <c r="BY64" s="60">
        <v>0</v>
      </c>
      <c r="BZ64" s="35"/>
      <c r="CA64" s="55">
        <v>0</v>
      </c>
      <c r="CB64" s="55">
        <v>0</v>
      </c>
      <c r="CC64" s="55">
        <v>0</v>
      </c>
      <c r="CD64" s="55">
        <v>1</v>
      </c>
      <c r="CE64" s="55">
        <v>1</v>
      </c>
      <c r="CF64" s="55">
        <v>1</v>
      </c>
      <c r="CG64" s="55">
        <v>1</v>
      </c>
      <c r="CH64" s="55">
        <v>1</v>
      </c>
      <c r="CI64" s="55">
        <v>1</v>
      </c>
      <c r="CJ64" s="55">
        <v>1</v>
      </c>
      <c r="CK64" s="55">
        <v>1</v>
      </c>
      <c r="CL64" s="55">
        <v>1</v>
      </c>
      <c r="CM64" s="55">
        <v>1</v>
      </c>
      <c r="CN64" s="55">
        <v>1</v>
      </c>
      <c r="CO64" s="55">
        <v>1</v>
      </c>
      <c r="CP64" s="55">
        <v>1</v>
      </c>
      <c r="CQ64" s="55">
        <v>1</v>
      </c>
      <c r="CR64" s="55">
        <v>1</v>
      </c>
      <c r="CS64" s="55">
        <v>1</v>
      </c>
      <c r="CT64" s="55">
        <v>1</v>
      </c>
      <c r="CU64" s="55">
        <v>1</v>
      </c>
      <c r="CV64" s="55">
        <v>1</v>
      </c>
      <c r="CW64" s="55">
        <v>1</v>
      </c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</row>
    <row r="65" spans="1:115" ht="11.25" customHeight="1" x14ac:dyDescent="0.25">
      <c r="A65" s="35"/>
      <c r="B65" s="37"/>
      <c r="C65" s="40">
        <v>-1</v>
      </c>
      <c r="D65" s="40">
        <v>1</v>
      </c>
      <c r="E65" s="40">
        <v>-1</v>
      </c>
      <c r="F65" s="40">
        <v>-1</v>
      </c>
      <c r="G65" s="40">
        <v>-1</v>
      </c>
      <c r="H65" s="40">
        <v>-1</v>
      </c>
      <c r="I65" s="40">
        <v>-1</v>
      </c>
      <c r="J65" s="40">
        <v>-1</v>
      </c>
      <c r="K65" s="40">
        <v>-1</v>
      </c>
      <c r="L65" s="40">
        <v>-1</v>
      </c>
      <c r="M65" s="40">
        <v>-1</v>
      </c>
      <c r="N65" s="40">
        <v>-1</v>
      </c>
      <c r="O65" s="40">
        <v>-1</v>
      </c>
      <c r="P65" s="40">
        <v>-1</v>
      </c>
      <c r="Q65" s="40">
        <v>-1</v>
      </c>
      <c r="R65" s="40">
        <v>-1</v>
      </c>
      <c r="S65" s="40">
        <v>-1</v>
      </c>
      <c r="T65" s="40">
        <v>-1</v>
      </c>
      <c r="U65" s="40">
        <v>-1</v>
      </c>
      <c r="V65" s="40">
        <v>-1</v>
      </c>
      <c r="W65" s="40">
        <v>-1</v>
      </c>
      <c r="X65" s="40">
        <v>-1</v>
      </c>
      <c r="Y65" s="40">
        <v>-1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30">
        <f t="shared" si="10"/>
        <v>2</v>
      </c>
      <c r="AT65" s="26" t="s">
        <v>186</v>
      </c>
      <c r="AV65" s="26"/>
      <c r="AW65" s="26"/>
      <c r="AX65" s="26"/>
      <c r="AY65" s="26"/>
      <c r="AZ65" s="1"/>
      <c r="BA65" s="1"/>
      <c r="BB65" s="1"/>
      <c r="BC65" s="1"/>
      <c r="BD65" s="1"/>
      <c r="BE65" s="1"/>
      <c r="BF65" s="56">
        <v>2</v>
      </c>
      <c r="BG65" s="57">
        <v>33</v>
      </c>
      <c r="BH65" s="57">
        <v>3</v>
      </c>
      <c r="BI65" s="57">
        <v>28</v>
      </c>
      <c r="BJ65" s="13" t="str">
        <f t="shared" si="3"/>
        <v>3,33</v>
      </c>
      <c r="BK65" s="35"/>
      <c r="BL65" s="8">
        <f t="shared" si="8"/>
        <v>61</v>
      </c>
      <c r="BM65" s="6">
        <f t="shared" si="6"/>
        <v>2</v>
      </c>
      <c r="BN65" s="6">
        <f t="shared" si="7"/>
        <v>25</v>
      </c>
      <c r="BO65" s="35"/>
      <c r="BP65" s="15">
        <v>60</v>
      </c>
      <c r="BQ65" s="60">
        <v>0</v>
      </c>
      <c r="BR65" s="57">
        <v>60</v>
      </c>
      <c r="BS65" s="57" t="s">
        <v>122</v>
      </c>
      <c r="BT65" s="57" t="s">
        <v>67</v>
      </c>
      <c r="BU65" s="57">
        <v>1</v>
      </c>
      <c r="BV65" s="60">
        <v>29.7</v>
      </c>
      <c r="BW65" s="57">
        <v>100</v>
      </c>
      <c r="BX65" s="60">
        <v>202.83249999999899</v>
      </c>
      <c r="BY65" s="60">
        <v>403.71699999999998</v>
      </c>
      <c r="BZ65" s="35"/>
      <c r="CA65" s="55">
        <v>0</v>
      </c>
      <c r="CB65" s="55">
        <v>0</v>
      </c>
      <c r="CC65" s="55">
        <v>0</v>
      </c>
      <c r="CD65" s="55">
        <v>0</v>
      </c>
      <c r="CE65" s="55">
        <v>1</v>
      </c>
      <c r="CF65" s="55">
        <v>1</v>
      </c>
      <c r="CG65" s="55">
        <v>1</v>
      </c>
      <c r="CH65" s="55">
        <v>1</v>
      </c>
      <c r="CI65" s="55">
        <v>1</v>
      </c>
      <c r="CJ65" s="55">
        <v>1</v>
      </c>
      <c r="CK65" s="55">
        <v>1</v>
      </c>
      <c r="CL65" s="55">
        <v>1</v>
      </c>
      <c r="CM65" s="55">
        <v>1</v>
      </c>
      <c r="CN65" s="55">
        <v>1</v>
      </c>
      <c r="CO65" s="55">
        <v>1</v>
      </c>
      <c r="CP65" s="55">
        <v>1</v>
      </c>
      <c r="CQ65" s="55">
        <v>1</v>
      </c>
      <c r="CR65" s="55">
        <v>1</v>
      </c>
      <c r="CS65" s="55">
        <v>1</v>
      </c>
      <c r="CT65" s="55">
        <v>1</v>
      </c>
      <c r="CU65" s="55">
        <v>1</v>
      </c>
      <c r="CV65" s="55">
        <v>1</v>
      </c>
      <c r="CW65" s="55">
        <v>1</v>
      </c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</row>
    <row r="66" spans="1:115" ht="11.25" customHeight="1" x14ac:dyDescent="0.25">
      <c r="A66" s="35"/>
      <c r="B66" s="37"/>
      <c r="C66" s="40">
        <v>-1</v>
      </c>
      <c r="D66" s="40">
        <v>1</v>
      </c>
      <c r="E66" s="40">
        <v>-1</v>
      </c>
      <c r="F66" s="40">
        <v>-1</v>
      </c>
      <c r="G66" s="40">
        <v>-1</v>
      </c>
      <c r="H66" s="40">
        <v>-1</v>
      </c>
      <c r="I66" s="40">
        <v>-1</v>
      </c>
      <c r="J66" s="40">
        <v>-1</v>
      </c>
      <c r="K66" s="40">
        <v>-1</v>
      </c>
      <c r="L66" s="40">
        <v>-1</v>
      </c>
      <c r="M66" s="40">
        <v>-1</v>
      </c>
      <c r="N66" s="40">
        <v>-1</v>
      </c>
      <c r="O66" s="40">
        <v>-1</v>
      </c>
      <c r="P66" s="40">
        <v>-1</v>
      </c>
      <c r="Q66" s="40">
        <v>-1</v>
      </c>
      <c r="R66" s="40">
        <v>-1</v>
      </c>
      <c r="S66" s="40">
        <v>-1</v>
      </c>
      <c r="T66" s="40">
        <v>-1</v>
      </c>
      <c r="U66" s="40">
        <v>-1</v>
      </c>
      <c r="V66" s="40">
        <v>-1</v>
      </c>
      <c r="W66" s="40">
        <v>-1</v>
      </c>
      <c r="X66" s="40">
        <v>-1</v>
      </c>
      <c r="Y66" s="40">
        <v>-1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30">
        <v>7</v>
      </c>
      <c r="AT66" s="26" t="s">
        <v>187</v>
      </c>
      <c r="AV66" s="26"/>
      <c r="AW66" s="26"/>
      <c r="AX66" s="26"/>
      <c r="AY66" s="26"/>
      <c r="AZ66" s="1"/>
      <c r="BA66" s="1"/>
      <c r="BB66" s="1"/>
      <c r="BC66" s="1"/>
      <c r="BD66" s="1"/>
      <c r="BE66" s="1"/>
      <c r="BF66" s="56">
        <v>2</v>
      </c>
      <c r="BG66" s="57">
        <v>33</v>
      </c>
      <c r="BH66" s="57">
        <v>4</v>
      </c>
      <c r="BI66" s="57">
        <v>28</v>
      </c>
      <c r="BJ66" s="13" t="str">
        <f t="shared" si="3"/>
        <v>4,33</v>
      </c>
      <c r="BK66" s="35"/>
      <c r="BL66" s="8">
        <f t="shared" si="8"/>
        <v>62</v>
      </c>
      <c r="BM66" s="6">
        <f t="shared" si="6"/>
        <v>2</v>
      </c>
      <c r="BN66" s="6">
        <f t="shared" si="7"/>
        <v>26</v>
      </c>
      <c r="BO66" s="35"/>
      <c r="BP66" s="15">
        <v>61</v>
      </c>
      <c r="BQ66" s="60">
        <v>0</v>
      </c>
      <c r="BR66" s="57">
        <v>61</v>
      </c>
      <c r="BS66" s="57" t="s">
        <v>123</v>
      </c>
      <c r="BT66" s="57" t="s">
        <v>70</v>
      </c>
      <c r="BU66" s="57">
        <v>1</v>
      </c>
      <c r="BV66" s="60">
        <v>0</v>
      </c>
      <c r="BW66" s="57">
        <v>0</v>
      </c>
      <c r="BX66" s="60">
        <v>0</v>
      </c>
      <c r="BY66" s="60">
        <v>0</v>
      </c>
      <c r="BZ66" s="35"/>
      <c r="CA66" s="55">
        <v>0</v>
      </c>
      <c r="CB66" s="55">
        <v>0</v>
      </c>
      <c r="CC66" s="55">
        <v>0</v>
      </c>
      <c r="CD66" s="55">
        <v>0</v>
      </c>
      <c r="CE66" s="55">
        <v>1</v>
      </c>
      <c r="CF66" s="55">
        <v>1</v>
      </c>
      <c r="CG66" s="55">
        <v>1</v>
      </c>
      <c r="CH66" s="55">
        <v>1</v>
      </c>
      <c r="CI66" s="55">
        <v>1</v>
      </c>
      <c r="CJ66" s="55">
        <v>1</v>
      </c>
      <c r="CK66" s="55">
        <v>1</v>
      </c>
      <c r="CL66" s="55">
        <v>1</v>
      </c>
      <c r="CM66" s="55">
        <v>1</v>
      </c>
      <c r="CN66" s="55">
        <v>1</v>
      </c>
      <c r="CO66" s="55">
        <v>1</v>
      </c>
      <c r="CP66" s="55">
        <v>1</v>
      </c>
      <c r="CQ66" s="55">
        <v>1</v>
      </c>
      <c r="CR66" s="55">
        <v>1</v>
      </c>
      <c r="CS66" s="55">
        <v>1</v>
      </c>
      <c r="CT66" s="55">
        <v>1</v>
      </c>
      <c r="CU66" s="55">
        <v>1</v>
      </c>
      <c r="CV66" s="55">
        <v>1</v>
      </c>
      <c r="CW66" s="55">
        <v>1</v>
      </c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</row>
    <row r="67" spans="1:115" ht="11.25" customHeight="1" x14ac:dyDescent="0.25">
      <c r="A67" s="35"/>
      <c r="B67" s="37"/>
      <c r="C67" s="40">
        <v>-1</v>
      </c>
      <c r="D67" s="40">
        <v>1</v>
      </c>
      <c r="E67" s="40">
        <v>1</v>
      </c>
      <c r="F67" s="40">
        <v>-1</v>
      </c>
      <c r="G67" s="40">
        <v>-1</v>
      </c>
      <c r="H67" s="40">
        <v>-1</v>
      </c>
      <c r="I67" s="40">
        <v>-1</v>
      </c>
      <c r="J67" s="40">
        <v>-1</v>
      </c>
      <c r="K67" s="40">
        <v>-1</v>
      </c>
      <c r="L67" s="40">
        <v>-1</v>
      </c>
      <c r="M67" s="40">
        <v>-1</v>
      </c>
      <c r="N67" s="40">
        <v>-1</v>
      </c>
      <c r="O67" s="40">
        <v>-1</v>
      </c>
      <c r="P67" s="40">
        <v>-1</v>
      </c>
      <c r="Q67" s="40">
        <v>-1</v>
      </c>
      <c r="R67" s="40">
        <v>-1</v>
      </c>
      <c r="S67" s="40">
        <v>-1</v>
      </c>
      <c r="T67" s="40">
        <v>-1</v>
      </c>
      <c r="U67" s="40">
        <v>-1</v>
      </c>
      <c r="V67" s="40">
        <v>-1</v>
      </c>
      <c r="W67" s="40">
        <v>-1</v>
      </c>
      <c r="X67" s="40">
        <v>-1</v>
      </c>
      <c r="Y67" s="40">
        <v>-1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30">
        <v>8</v>
      </c>
      <c r="AT67" s="26" t="s">
        <v>188</v>
      </c>
      <c r="AV67" s="26"/>
      <c r="AW67" s="26"/>
      <c r="AX67" s="26"/>
      <c r="AY67" s="26"/>
      <c r="AZ67" s="1"/>
      <c r="BA67" s="1"/>
      <c r="BB67" s="1"/>
      <c r="BC67" s="1"/>
      <c r="BD67" s="1"/>
      <c r="BE67" s="1"/>
      <c r="BF67" s="56">
        <v>2</v>
      </c>
      <c r="BG67" s="57">
        <v>33</v>
      </c>
      <c r="BH67" s="57">
        <v>5</v>
      </c>
      <c r="BI67" s="57">
        <v>28</v>
      </c>
      <c r="BJ67" s="13" t="str">
        <f t="shared" si="3"/>
        <v>5,33</v>
      </c>
      <c r="BK67" s="35"/>
      <c r="BL67" s="8">
        <f t="shared" si="8"/>
        <v>63</v>
      </c>
      <c r="BM67" s="6">
        <f t="shared" si="6"/>
        <v>2</v>
      </c>
      <c r="BN67" s="6">
        <f t="shared" si="7"/>
        <v>27</v>
      </c>
      <c r="BO67" s="35"/>
      <c r="BP67" s="15">
        <v>62</v>
      </c>
      <c r="BQ67" s="60">
        <v>0</v>
      </c>
      <c r="BR67" s="57">
        <v>62</v>
      </c>
      <c r="BS67" s="57" t="s">
        <v>124</v>
      </c>
      <c r="BT67" s="57" t="s">
        <v>70</v>
      </c>
      <c r="BU67" s="57">
        <v>1</v>
      </c>
      <c r="BV67" s="60">
        <v>0</v>
      </c>
      <c r="BW67" s="57">
        <v>0</v>
      </c>
      <c r="BX67" s="60">
        <v>0</v>
      </c>
      <c r="BY67" s="60">
        <v>0</v>
      </c>
      <c r="BZ67" s="35"/>
      <c r="CA67" s="55">
        <v>0</v>
      </c>
      <c r="CB67" s="55">
        <v>0</v>
      </c>
      <c r="CC67" s="55">
        <v>1</v>
      </c>
      <c r="CD67" s="55">
        <v>1</v>
      </c>
      <c r="CE67" s="55">
        <v>1</v>
      </c>
      <c r="CF67" s="55">
        <v>1</v>
      </c>
      <c r="CG67" s="55">
        <v>1</v>
      </c>
      <c r="CH67" s="55">
        <v>1</v>
      </c>
      <c r="CI67" s="55">
        <v>1</v>
      </c>
      <c r="CJ67" s="55">
        <v>1</v>
      </c>
      <c r="CK67" s="55">
        <v>1</v>
      </c>
      <c r="CL67" s="55">
        <v>1</v>
      </c>
      <c r="CM67" s="55">
        <v>1</v>
      </c>
      <c r="CN67" s="55">
        <v>1</v>
      </c>
      <c r="CO67" s="55">
        <v>1</v>
      </c>
      <c r="CP67" s="55">
        <v>1</v>
      </c>
      <c r="CQ67" s="55">
        <v>1</v>
      </c>
      <c r="CR67" s="55">
        <v>1</v>
      </c>
      <c r="CS67" s="55">
        <v>1</v>
      </c>
      <c r="CT67" s="55">
        <v>1</v>
      </c>
      <c r="CU67" s="55">
        <v>1</v>
      </c>
      <c r="CV67" s="55">
        <v>1</v>
      </c>
      <c r="CW67" s="55">
        <v>1</v>
      </c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</row>
    <row r="68" spans="1:115" ht="11.25" customHeight="1" x14ac:dyDescent="0.25">
      <c r="A68" s="35"/>
      <c r="B68" s="37"/>
      <c r="C68" s="40">
        <v>1</v>
      </c>
      <c r="D68" s="40">
        <v>1</v>
      </c>
      <c r="E68" s="40">
        <v>1</v>
      </c>
      <c r="F68" s="40">
        <v>1</v>
      </c>
      <c r="G68" s="40">
        <v>-1</v>
      </c>
      <c r="H68" s="40">
        <v>-1</v>
      </c>
      <c r="I68" s="40">
        <v>-1</v>
      </c>
      <c r="J68" s="40">
        <v>-1</v>
      </c>
      <c r="K68" s="40">
        <v>-1</v>
      </c>
      <c r="L68" s="40">
        <v>-1</v>
      </c>
      <c r="M68" s="40">
        <v>-1</v>
      </c>
      <c r="N68" s="40">
        <v>-1</v>
      </c>
      <c r="O68" s="40">
        <v>-1</v>
      </c>
      <c r="P68" s="40">
        <v>-1</v>
      </c>
      <c r="Q68" s="40">
        <v>-1</v>
      </c>
      <c r="R68" s="40">
        <v>-1</v>
      </c>
      <c r="S68" s="40">
        <v>-1</v>
      </c>
      <c r="T68" s="40">
        <v>-1</v>
      </c>
      <c r="U68" s="40">
        <v>-1</v>
      </c>
      <c r="V68" s="40">
        <v>-1</v>
      </c>
      <c r="W68" s="40">
        <v>-1</v>
      </c>
      <c r="X68" s="40">
        <v>-1</v>
      </c>
      <c r="Y68" s="40">
        <v>-1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30">
        <v>8</v>
      </c>
      <c r="AT68" s="26" t="s">
        <v>189</v>
      </c>
      <c r="AV68" s="26"/>
      <c r="AW68" s="26"/>
      <c r="AX68" s="26"/>
      <c r="AY68" s="26"/>
      <c r="AZ68" s="1"/>
      <c r="BA68" s="1"/>
      <c r="BB68" s="1"/>
      <c r="BC68" s="1"/>
      <c r="BD68" s="1"/>
      <c r="BE68" s="1"/>
      <c r="BF68" s="56">
        <v>2</v>
      </c>
      <c r="BG68" s="57">
        <v>33</v>
      </c>
      <c r="BH68" s="57">
        <v>6</v>
      </c>
      <c r="BI68" s="57">
        <v>28</v>
      </c>
      <c r="BJ68" s="13" t="str">
        <f t="shared" si="3"/>
        <v>6,33</v>
      </c>
      <c r="BK68" s="35"/>
      <c r="BL68" s="8">
        <f t="shared" si="8"/>
        <v>64</v>
      </c>
      <c r="BM68" s="6">
        <f t="shared" si="6"/>
        <v>2</v>
      </c>
      <c r="BN68" s="6">
        <f t="shared" si="7"/>
        <v>28</v>
      </c>
      <c r="BO68" s="35"/>
      <c r="BP68" s="15">
        <v>63</v>
      </c>
      <c r="BQ68" s="60">
        <v>0</v>
      </c>
      <c r="BR68" s="57">
        <v>63</v>
      </c>
      <c r="BS68" s="57" t="s">
        <v>125</v>
      </c>
      <c r="BT68" s="57" t="s">
        <v>70</v>
      </c>
      <c r="BU68" s="57">
        <v>1</v>
      </c>
      <c r="BV68" s="60">
        <v>0</v>
      </c>
      <c r="BW68" s="57">
        <v>0</v>
      </c>
      <c r="BX68" s="60">
        <v>0</v>
      </c>
      <c r="BY68" s="60">
        <v>0</v>
      </c>
      <c r="BZ68" s="35"/>
      <c r="CA68" s="55">
        <v>0</v>
      </c>
      <c r="CB68" s="55">
        <v>0</v>
      </c>
      <c r="CC68" s="55">
        <v>1</v>
      </c>
      <c r="CD68" s="55">
        <v>1</v>
      </c>
      <c r="CE68" s="55">
        <v>1</v>
      </c>
      <c r="CF68" s="55">
        <v>1</v>
      </c>
      <c r="CG68" s="55">
        <v>1</v>
      </c>
      <c r="CH68" s="55">
        <v>1</v>
      </c>
      <c r="CI68" s="55">
        <v>1</v>
      </c>
      <c r="CJ68" s="55">
        <v>1</v>
      </c>
      <c r="CK68" s="55">
        <v>1</v>
      </c>
      <c r="CL68" s="55">
        <v>1</v>
      </c>
      <c r="CM68" s="55">
        <v>1</v>
      </c>
      <c r="CN68" s="55">
        <v>1</v>
      </c>
      <c r="CO68" s="55">
        <v>1</v>
      </c>
      <c r="CP68" s="55">
        <v>1</v>
      </c>
      <c r="CQ68" s="55">
        <v>1</v>
      </c>
      <c r="CR68" s="55">
        <v>1</v>
      </c>
      <c r="CS68" s="55">
        <v>1</v>
      </c>
      <c r="CT68" s="55">
        <v>1</v>
      </c>
      <c r="CU68" s="55">
        <v>1</v>
      </c>
      <c r="CV68" s="55">
        <v>1</v>
      </c>
      <c r="CW68" s="55">
        <v>1</v>
      </c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</row>
    <row r="69" spans="1:115" ht="11.25" customHeight="1" x14ac:dyDescent="0.25">
      <c r="A69" s="35"/>
      <c r="B69" s="37"/>
      <c r="C69" s="40">
        <v>1</v>
      </c>
      <c r="D69" s="40">
        <v>1</v>
      </c>
      <c r="E69" s="40">
        <v>1</v>
      </c>
      <c r="F69" s="40">
        <v>1</v>
      </c>
      <c r="G69" s="40">
        <v>-1</v>
      </c>
      <c r="H69" s="40">
        <v>-1</v>
      </c>
      <c r="I69" s="40">
        <v>-1</v>
      </c>
      <c r="J69" s="40">
        <v>-1</v>
      </c>
      <c r="K69" s="40">
        <v>-1</v>
      </c>
      <c r="L69" s="40">
        <v>-1</v>
      </c>
      <c r="M69" s="40">
        <v>-1</v>
      </c>
      <c r="N69" s="40">
        <v>-1</v>
      </c>
      <c r="O69" s="40">
        <v>-1</v>
      </c>
      <c r="P69" s="40">
        <v>-1</v>
      </c>
      <c r="Q69" s="40">
        <v>-1</v>
      </c>
      <c r="R69" s="40">
        <v>-1</v>
      </c>
      <c r="S69" s="40">
        <v>-1</v>
      </c>
      <c r="T69" s="40">
        <v>-1</v>
      </c>
      <c r="U69" s="40">
        <v>-1</v>
      </c>
      <c r="V69" s="40">
        <v>-1</v>
      </c>
      <c r="W69" s="40">
        <v>-1</v>
      </c>
      <c r="X69" s="40">
        <v>-1</v>
      </c>
      <c r="Y69" s="40">
        <v>-1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56">
        <v>2</v>
      </c>
      <c r="BG69" s="57">
        <v>33</v>
      </c>
      <c r="BH69" s="57">
        <v>7</v>
      </c>
      <c r="BI69" s="57">
        <v>28</v>
      </c>
      <c r="BJ69" s="13" t="str">
        <f t="shared" si="3"/>
        <v>7,33</v>
      </c>
      <c r="BK69" s="35"/>
      <c r="BL69" s="8">
        <f t="shared" si="8"/>
        <v>65</v>
      </c>
      <c r="BM69" s="6">
        <f t="shared" si="6"/>
        <v>2</v>
      </c>
      <c r="BN69" s="6">
        <f t="shared" si="7"/>
        <v>29</v>
      </c>
      <c r="BO69" s="35"/>
      <c r="BP69" s="15">
        <v>64</v>
      </c>
      <c r="BQ69" s="60">
        <v>0</v>
      </c>
      <c r="BR69" s="57">
        <v>64</v>
      </c>
      <c r="BS69" s="57" t="s">
        <v>126</v>
      </c>
      <c r="BT69" s="57" t="s">
        <v>67</v>
      </c>
      <c r="BU69" s="57">
        <v>1</v>
      </c>
      <c r="BV69" s="60">
        <v>29.7</v>
      </c>
      <c r="BW69" s="57">
        <v>100</v>
      </c>
      <c r="BX69" s="60">
        <v>202.83249999999899</v>
      </c>
      <c r="BY69" s="60">
        <v>403.71699999999998</v>
      </c>
      <c r="BZ69" s="35"/>
      <c r="CA69" s="55">
        <v>1</v>
      </c>
      <c r="CB69" s="55">
        <v>1</v>
      </c>
      <c r="CC69" s="55">
        <v>1</v>
      </c>
      <c r="CD69" s="55">
        <v>1</v>
      </c>
      <c r="CE69" s="55">
        <v>1</v>
      </c>
      <c r="CF69" s="55">
        <v>1</v>
      </c>
      <c r="CG69" s="55">
        <v>1</v>
      </c>
      <c r="CH69" s="55">
        <v>1</v>
      </c>
      <c r="CI69" s="55">
        <v>1</v>
      </c>
      <c r="CJ69" s="55">
        <v>1</v>
      </c>
      <c r="CK69" s="55">
        <v>1</v>
      </c>
      <c r="CL69" s="55">
        <v>1</v>
      </c>
      <c r="CM69" s="55">
        <v>1</v>
      </c>
      <c r="CN69" s="55">
        <v>1</v>
      </c>
      <c r="CO69" s="55">
        <v>1</v>
      </c>
      <c r="CP69" s="55">
        <v>1</v>
      </c>
      <c r="CQ69" s="55">
        <v>1</v>
      </c>
      <c r="CR69" s="55">
        <v>1</v>
      </c>
      <c r="CS69" s="55">
        <v>1</v>
      </c>
      <c r="CT69" s="55">
        <v>1</v>
      </c>
      <c r="CU69" s="55">
        <v>1</v>
      </c>
      <c r="CV69" s="55">
        <v>1</v>
      </c>
      <c r="CW69" s="55">
        <v>1</v>
      </c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</row>
    <row r="70" spans="1:115" ht="11.25" customHeight="1" x14ac:dyDescent="0.25">
      <c r="A70" s="35"/>
      <c r="B70" s="37"/>
      <c r="C70" s="40">
        <v>1</v>
      </c>
      <c r="D70" s="40">
        <v>1</v>
      </c>
      <c r="E70" s="40">
        <v>-1</v>
      </c>
      <c r="F70" s="40">
        <v>-1</v>
      </c>
      <c r="G70" s="40">
        <v>-1</v>
      </c>
      <c r="H70" s="40">
        <v>-1</v>
      </c>
      <c r="I70" s="40">
        <v>-1</v>
      </c>
      <c r="J70" s="40">
        <v>-1</v>
      </c>
      <c r="K70" s="40">
        <v>-1</v>
      </c>
      <c r="L70" s="40">
        <v>-1</v>
      </c>
      <c r="M70" s="40">
        <v>-1</v>
      </c>
      <c r="N70" s="40">
        <v>-1</v>
      </c>
      <c r="O70" s="40">
        <v>-1</v>
      </c>
      <c r="P70" s="40">
        <v>-1</v>
      </c>
      <c r="Q70" s="40">
        <v>-1</v>
      </c>
      <c r="R70" s="40">
        <v>-1</v>
      </c>
      <c r="S70" s="40">
        <v>-1</v>
      </c>
      <c r="T70" s="40">
        <v>-1</v>
      </c>
      <c r="U70" s="40">
        <v>-1</v>
      </c>
      <c r="V70" s="40">
        <v>-1</v>
      </c>
      <c r="W70" s="40">
        <v>-1</v>
      </c>
      <c r="X70" s="40">
        <v>-1</v>
      </c>
      <c r="Y70" s="40">
        <v>-1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56">
        <v>2</v>
      </c>
      <c r="BG70" s="57">
        <v>34</v>
      </c>
      <c r="BH70" s="57">
        <v>8</v>
      </c>
      <c r="BI70" s="57">
        <v>28</v>
      </c>
      <c r="BJ70" s="13" t="str">
        <f t="shared" ref="BJ70:BJ133" si="11">_xlfn.CONCAT(BH70,",",BG70)</f>
        <v>8,34</v>
      </c>
      <c r="BK70" s="35"/>
      <c r="BL70" s="8">
        <f t="shared" ref="BL70:BL133" si="12">IF(ROW()&lt;=$BL$4,ROW()-ROW(BL$4),"")</f>
        <v>66</v>
      </c>
      <c r="BM70" s="6">
        <f t="shared" si="6"/>
        <v>2</v>
      </c>
      <c r="BN70" s="6">
        <f t="shared" si="7"/>
        <v>30</v>
      </c>
      <c r="BO70" s="35"/>
      <c r="BP70" s="15">
        <v>65</v>
      </c>
      <c r="BQ70" s="60">
        <v>0</v>
      </c>
      <c r="BR70" s="57">
        <v>65</v>
      </c>
      <c r="BS70" s="57" t="s">
        <v>127</v>
      </c>
      <c r="BT70" s="57" t="s">
        <v>67</v>
      </c>
      <c r="BU70" s="57">
        <v>1</v>
      </c>
      <c r="BV70" s="60">
        <v>29.7</v>
      </c>
      <c r="BW70" s="57">
        <v>100</v>
      </c>
      <c r="BX70" s="60">
        <v>201.858499999999</v>
      </c>
      <c r="BY70" s="60">
        <v>405.664999999999</v>
      </c>
      <c r="BZ70" s="35"/>
      <c r="CA70" s="55">
        <v>1</v>
      </c>
      <c r="CB70" s="55">
        <v>1</v>
      </c>
      <c r="CC70" s="55">
        <v>1</v>
      </c>
      <c r="CD70" s="55">
        <v>1</v>
      </c>
      <c r="CE70" s="55">
        <v>1</v>
      </c>
      <c r="CF70" s="55">
        <v>1</v>
      </c>
      <c r="CG70" s="55">
        <v>1</v>
      </c>
      <c r="CH70" s="55">
        <v>1</v>
      </c>
      <c r="CI70" s="55">
        <v>1</v>
      </c>
      <c r="CJ70" s="55">
        <v>1</v>
      </c>
      <c r="CK70" s="55">
        <v>1</v>
      </c>
      <c r="CL70" s="55">
        <v>1</v>
      </c>
      <c r="CM70" s="55">
        <v>1</v>
      </c>
      <c r="CN70" s="55">
        <v>1</v>
      </c>
      <c r="CO70" s="55">
        <v>1</v>
      </c>
      <c r="CP70" s="55">
        <v>1</v>
      </c>
      <c r="CQ70" s="55">
        <v>1</v>
      </c>
      <c r="CR70" s="55">
        <v>1</v>
      </c>
      <c r="CS70" s="55">
        <v>1</v>
      </c>
      <c r="CT70" s="55">
        <v>1</v>
      </c>
      <c r="CU70" s="55">
        <v>1</v>
      </c>
      <c r="CV70" s="55">
        <v>1</v>
      </c>
      <c r="CW70" s="55">
        <v>1</v>
      </c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</row>
    <row r="71" spans="1:115" ht="11.25" customHeight="1" x14ac:dyDescent="0.25">
      <c r="A71" s="35"/>
      <c r="B71" s="37"/>
      <c r="C71" s="40">
        <v>1</v>
      </c>
      <c r="D71" s="40">
        <v>1</v>
      </c>
      <c r="E71" s="40">
        <v>-1</v>
      </c>
      <c r="F71" s="40">
        <v>-1</v>
      </c>
      <c r="G71" s="40">
        <v>-1</v>
      </c>
      <c r="H71" s="40">
        <v>-1</v>
      </c>
      <c r="I71" s="40">
        <v>-1</v>
      </c>
      <c r="J71" s="40">
        <v>-1</v>
      </c>
      <c r="K71" s="40">
        <v>-1</v>
      </c>
      <c r="L71" s="40">
        <v>-1</v>
      </c>
      <c r="M71" s="40">
        <v>-1</v>
      </c>
      <c r="N71" s="40">
        <v>-1</v>
      </c>
      <c r="O71" s="40">
        <v>-1</v>
      </c>
      <c r="P71" s="40">
        <v>-1</v>
      </c>
      <c r="Q71" s="40">
        <v>-1</v>
      </c>
      <c r="R71" s="40">
        <v>-1</v>
      </c>
      <c r="S71" s="40">
        <v>-1</v>
      </c>
      <c r="T71" s="40">
        <v>-1</v>
      </c>
      <c r="U71" s="40">
        <v>-1</v>
      </c>
      <c r="V71" s="40">
        <v>-1</v>
      </c>
      <c r="W71" s="40">
        <v>-1</v>
      </c>
      <c r="X71" s="40">
        <v>-1</v>
      </c>
      <c r="Y71" s="40">
        <v>-1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56">
        <v>2</v>
      </c>
      <c r="BG71" s="57">
        <v>34</v>
      </c>
      <c r="BH71" s="57">
        <v>9</v>
      </c>
      <c r="BI71" s="57">
        <v>28</v>
      </c>
      <c r="BJ71" s="13" t="str">
        <f t="shared" si="11"/>
        <v>9,34</v>
      </c>
      <c r="BK71" s="35"/>
      <c r="BL71" s="8">
        <f t="shared" si="12"/>
        <v>67</v>
      </c>
      <c r="BM71" s="6">
        <f t="shared" si="6"/>
        <v>2</v>
      </c>
      <c r="BN71" s="6">
        <f t="shared" si="7"/>
        <v>31</v>
      </c>
      <c r="BO71" s="35"/>
      <c r="BP71" s="15">
        <v>66</v>
      </c>
      <c r="BQ71" s="60">
        <v>0</v>
      </c>
      <c r="BR71" s="57">
        <v>66</v>
      </c>
      <c r="BS71" s="57" t="s">
        <v>128</v>
      </c>
      <c r="BT71" s="57" t="s">
        <v>70</v>
      </c>
      <c r="BU71" s="57">
        <v>1</v>
      </c>
      <c r="BV71" s="60">
        <v>0</v>
      </c>
      <c r="BW71" s="57">
        <v>0</v>
      </c>
      <c r="BX71" s="60">
        <v>0</v>
      </c>
      <c r="BY71" s="60">
        <v>0</v>
      </c>
      <c r="BZ71" s="35"/>
      <c r="CA71" s="55">
        <v>1</v>
      </c>
      <c r="CB71" s="55">
        <v>1</v>
      </c>
      <c r="CC71" s="55">
        <v>1</v>
      </c>
      <c r="CD71" s="55">
        <v>1</v>
      </c>
      <c r="CE71" s="55">
        <v>1</v>
      </c>
      <c r="CF71" s="55">
        <v>1</v>
      </c>
      <c r="CG71" s="55">
        <v>1</v>
      </c>
      <c r="CH71" s="55">
        <v>1</v>
      </c>
      <c r="CI71" s="55">
        <v>1</v>
      </c>
      <c r="CJ71" s="55">
        <v>1</v>
      </c>
      <c r="CK71" s="55">
        <v>1</v>
      </c>
      <c r="CL71" s="55">
        <v>1</v>
      </c>
      <c r="CM71" s="55">
        <v>1</v>
      </c>
      <c r="CN71" s="55">
        <v>1</v>
      </c>
      <c r="CO71" s="55">
        <v>1</v>
      </c>
      <c r="CP71" s="55">
        <v>1</v>
      </c>
      <c r="CQ71" s="55">
        <v>1</v>
      </c>
      <c r="CR71" s="55">
        <v>1</v>
      </c>
      <c r="CS71" s="55">
        <v>1</v>
      </c>
      <c r="CT71" s="55">
        <v>1</v>
      </c>
      <c r="CU71" s="55">
        <v>1</v>
      </c>
      <c r="CV71" s="55">
        <v>1</v>
      </c>
      <c r="CW71" s="55">
        <v>1</v>
      </c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</row>
    <row r="72" spans="1:115" ht="11.25" customHeight="1" x14ac:dyDescent="0.25">
      <c r="A72" s="35"/>
      <c r="B72" s="37"/>
      <c r="C72" s="40">
        <v>-1</v>
      </c>
      <c r="D72" s="40">
        <v>-1</v>
      </c>
      <c r="E72" s="40">
        <v>-1</v>
      </c>
      <c r="F72" s="40">
        <v>-1</v>
      </c>
      <c r="G72" s="40">
        <v>-1</v>
      </c>
      <c r="H72" s="40">
        <v>-1</v>
      </c>
      <c r="I72" s="40">
        <v>-1</v>
      </c>
      <c r="J72" s="40">
        <v>-1</v>
      </c>
      <c r="K72" s="40">
        <v>-1</v>
      </c>
      <c r="L72" s="40">
        <v>-1</v>
      </c>
      <c r="M72" s="40">
        <v>-1</v>
      </c>
      <c r="N72" s="40">
        <v>-1</v>
      </c>
      <c r="O72" s="40">
        <v>-1</v>
      </c>
      <c r="P72" s="40">
        <v>-1</v>
      </c>
      <c r="Q72" s="40">
        <v>-1</v>
      </c>
      <c r="R72" s="40">
        <v>-1</v>
      </c>
      <c r="S72" s="40">
        <v>-1</v>
      </c>
      <c r="T72" s="40">
        <v>-1</v>
      </c>
      <c r="U72" s="40">
        <v>-1</v>
      </c>
      <c r="V72" s="40">
        <v>-1</v>
      </c>
      <c r="W72" s="40">
        <v>-1</v>
      </c>
      <c r="X72" s="40">
        <v>-1</v>
      </c>
      <c r="Y72" s="40">
        <v>-1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56">
        <v>2</v>
      </c>
      <c r="BG72" s="57">
        <v>34</v>
      </c>
      <c r="BH72" s="57">
        <v>10</v>
      </c>
      <c r="BI72" s="57">
        <v>28</v>
      </c>
      <c r="BJ72" s="13" t="str">
        <f t="shared" si="11"/>
        <v>10,34</v>
      </c>
      <c r="BK72" s="35"/>
      <c r="BL72" s="8">
        <f t="shared" si="12"/>
        <v>68</v>
      </c>
      <c r="BM72" s="6">
        <f t="shared" ref="BM72:BM135" si="13">IF(ISNUMBER(BL72),INT(BL71/$BN$4)+1,"")</f>
        <v>2</v>
      </c>
      <c r="BN72" s="6">
        <f t="shared" ref="BN72:BN135" si="14">IF(ISNUMBER(BL72),IF(BM71&lt;&gt;BM72,1,BN71+1),"")</f>
        <v>32</v>
      </c>
      <c r="BO72" s="35"/>
      <c r="BP72" s="15">
        <v>67</v>
      </c>
      <c r="BQ72" s="60">
        <v>0</v>
      </c>
      <c r="BR72" s="57">
        <v>67</v>
      </c>
      <c r="BS72" s="57" t="s">
        <v>129</v>
      </c>
      <c r="BT72" s="57" t="s">
        <v>67</v>
      </c>
      <c r="BU72" s="57">
        <v>1</v>
      </c>
      <c r="BV72" s="60">
        <v>29.7</v>
      </c>
      <c r="BW72" s="57">
        <v>100</v>
      </c>
      <c r="BX72" s="60">
        <v>202.83249999999899</v>
      </c>
      <c r="BY72" s="60">
        <v>403.716999999998</v>
      </c>
      <c r="BZ72" s="35"/>
      <c r="CA72" s="55">
        <v>1</v>
      </c>
      <c r="CB72" s="55">
        <v>1</v>
      </c>
      <c r="CC72" s="55">
        <v>1</v>
      </c>
      <c r="CD72" s="55">
        <v>1</v>
      </c>
      <c r="CE72" s="55">
        <v>1</v>
      </c>
      <c r="CF72" s="55">
        <v>1</v>
      </c>
      <c r="CG72" s="55">
        <v>1</v>
      </c>
      <c r="CH72" s="55">
        <v>1</v>
      </c>
      <c r="CI72" s="55">
        <v>1</v>
      </c>
      <c r="CJ72" s="55">
        <v>1</v>
      </c>
      <c r="CK72" s="55">
        <v>1</v>
      </c>
      <c r="CL72" s="55">
        <v>1</v>
      </c>
      <c r="CM72" s="55">
        <v>1</v>
      </c>
      <c r="CN72" s="55">
        <v>1</v>
      </c>
      <c r="CO72" s="55">
        <v>1</v>
      </c>
      <c r="CP72" s="55">
        <v>1</v>
      </c>
      <c r="CQ72" s="55">
        <v>1</v>
      </c>
      <c r="CR72" s="55">
        <v>1</v>
      </c>
      <c r="CS72" s="55">
        <v>1</v>
      </c>
      <c r="CT72" s="55">
        <v>1</v>
      </c>
      <c r="CU72" s="55">
        <v>1</v>
      </c>
      <c r="CV72" s="55">
        <v>1</v>
      </c>
      <c r="CW72" s="55">
        <v>1</v>
      </c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</row>
    <row r="73" spans="1:115" ht="11.25" customHeight="1" x14ac:dyDescent="0.25">
      <c r="A73" s="35"/>
      <c r="B73" s="37"/>
      <c r="C73" s="40">
        <v>-1</v>
      </c>
      <c r="D73" s="40">
        <v>-1</v>
      </c>
      <c r="E73" s="40">
        <v>-1</v>
      </c>
      <c r="F73" s="40">
        <v>-1</v>
      </c>
      <c r="G73" s="40">
        <v>-1</v>
      </c>
      <c r="H73" s="40">
        <v>-1</v>
      </c>
      <c r="I73" s="40">
        <v>-1</v>
      </c>
      <c r="J73" s="40">
        <v>-1</v>
      </c>
      <c r="K73" s="40">
        <v>-1</v>
      </c>
      <c r="L73" s="40">
        <v>-1</v>
      </c>
      <c r="M73" s="40">
        <v>-1</v>
      </c>
      <c r="N73" s="40">
        <v>-1</v>
      </c>
      <c r="O73" s="40">
        <v>-1</v>
      </c>
      <c r="P73" s="40">
        <v>-1</v>
      </c>
      <c r="Q73" s="40">
        <v>-1</v>
      </c>
      <c r="R73" s="40">
        <v>-1</v>
      </c>
      <c r="S73" s="40">
        <v>-1</v>
      </c>
      <c r="T73" s="40">
        <v>-1</v>
      </c>
      <c r="U73" s="40">
        <v>-1</v>
      </c>
      <c r="V73" s="40">
        <v>-1</v>
      </c>
      <c r="W73" s="40">
        <v>-1</v>
      </c>
      <c r="X73" s="40">
        <v>-1</v>
      </c>
      <c r="Y73" s="40">
        <v>-1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56">
        <v>2</v>
      </c>
      <c r="BG73" s="57">
        <v>34</v>
      </c>
      <c r="BH73" s="57">
        <v>11</v>
      </c>
      <c r="BI73" s="57">
        <v>28</v>
      </c>
      <c r="BJ73" s="13" t="str">
        <f t="shared" si="11"/>
        <v>11,34</v>
      </c>
      <c r="BK73" s="35"/>
      <c r="BL73" s="8">
        <f t="shared" si="12"/>
        <v>69</v>
      </c>
      <c r="BM73" s="6">
        <f t="shared" si="13"/>
        <v>2</v>
      </c>
      <c r="BN73" s="6">
        <f t="shared" si="14"/>
        <v>33</v>
      </c>
      <c r="BO73" s="35"/>
      <c r="BP73" s="15">
        <v>68</v>
      </c>
      <c r="BQ73" s="60">
        <v>0</v>
      </c>
      <c r="BR73" s="57">
        <v>68</v>
      </c>
      <c r="BS73" s="57" t="s">
        <v>130</v>
      </c>
      <c r="BT73" s="57" t="s">
        <v>67</v>
      </c>
      <c r="BU73" s="57">
        <v>1</v>
      </c>
      <c r="BV73" s="60">
        <v>29.7</v>
      </c>
      <c r="BW73" s="57">
        <v>100</v>
      </c>
      <c r="BX73" s="60">
        <v>201.858499999999</v>
      </c>
      <c r="BY73" s="60">
        <v>405.664999999999</v>
      </c>
      <c r="BZ73" s="35"/>
      <c r="CA73" s="55">
        <v>1</v>
      </c>
      <c r="CB73" s="55">
        <v>1</v>
      </c>
      <c r="CC73" s="55">
        <v>1</v>
      </c>
      <c r="CD73" s="55">
        <v>1</v>
      </c>
      <c r="CE73" s="55">
        <v>1</v>
      </c>
      <c r="CF73" s="55">
        <v>1</v>
      </c>
      <c r="CG73" s="55">
        <v>1</v>
      </c>
      <c r="CH73" s="55">
        <v>1</v>
      </c>
      <c r="CI73" s="55">
        <v>1</v>
      </c>
      <c r="CJ73" s="55">
        <v>1</v>
      </c>
      <c r="CK73" s="55">
        <v>1</v>
      </c>
      <c r="CL73" s="55">
        <v>1</v>
      </c>
      <c r="CM73" s="55">
        <v>1</v>
      </c>
      <c r="CN73" s="55">
        <v>1</v>
      </c>
      <c r="CO73" s="55">
        <v>1</v>
      </c>
      <c r="CP73" s="55">
        <v>1</v>
      </c>
      <c r="CQ73" s="55">
        <v>1</v>
      </c>
      <c r="CR73" s="55">
        <v>1</v>
      </c>
      <c r="CS73" s="55">
        <v>1</v>
      </c>
      <c r="CT73" s="55">
        <v>1</v>
      </c>
      <c r="CU73" s="55">
        <v>1</v>
      </c>
      <c r="CV73" s="55">
        <v>1</v>
      </c>
      <c r="CW73" s="55">
        <v>1</v>
      </c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</row>
    <row r="74" spans="1:115" ht="11.25" customHeight="1" x14ac:dyDescent="0.25">
      <c r="A74" s="35"/>
      <c r="B74" s="37"/>
      <c r="C74" s="40">
        <v>-1</v>
      </c>
      <c r="D74" s="40">
        <v>-1</v>
      </c>
      <c r="E74" s="40">
        <v>-1</v>
      </c>
      <c r="F74" s="40">
        <v>-1</v>
      </c>
      <c r="G74" s="40">
        <v>-1</v>
      </c>
      <c r="H74" s="40">
        <v>-1</v>
      </c>
      <c r="I74" s="40">
        <v>-1</v>
      </c>
      <c r="J74" s="40">
        <v>-1</v>
      </c>
      <c r="K74" s="40">
        <v>-1</v>
      </c>
      <c r="L74" s="40">
        <v>-1</v>
      </c>
      <c r="M74" s="40">
        <v>-1</v>
      </c>
      <c r="N74" s="40">
        <v>-1</v>
      </c>
      <c r="O74" s="40">
        <v>-1</v>
      </c>
      <c r="P74" s="40">
        <v>-1</v>
      </c>
      <c r="Q74" s="40">
        <v>-1</v>
      </c>
      <c r="R74" s="40">
        <v>-1</v>
      </c>
      <c r="S74" s="40">
        <v>-1</v>
      </c>
      <c r="T74" s="40">
        <v>-1</v>
      </c>
      <c r="U74" s="40">
        <v>-1</v>
      </c>
      <c r="V74" s="40">
        <v>-1</v>
      </c>
      <c r="W74" s="40">
        <v>-1</v>
      </c>
      <c r="X74" s="40">
        <v>-1</v>
      </c>
      <c r="Y74" s="40">
        <v>-1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56">
        <v>2</v>
      </c>
      <c r="BG74" s="57">
        <v>34</v>
      </c>
      <c r="BH74" s="57">
        <v>12</v>
      </c>
      <c r="BI74" s="57">
        <v>28</v>
      </c>
      <c r="BJ74" s="13" t="str">
        <f t="shared" si="11"/>
        <v>12,34</v>
      </c>
      <c r="BK74" s="35"/>
      <c r="BL74" s="8">
        <f t="shared" si="12"/>
        <v>70</v>
      </c>
      <c r="BM74" s="6">
        <f t="shared" si="13"/>
        <v>2</v>
      </c>
      <c r="BN74" s="6">
        <f t="shared" si="14"/>
        <v>34</v>
      </c>
      <c r="BO74" s="35"/>
      <c r="BP74" s="15">
        <v>69</v>
      </c>
      <c r="BQ74" s="60">
        <v>0</v>
      </c>
      <c r="BR74" s="57">
        <v>69</v>
      </c>
      <c r="BS74" s="57" t="s">
        <v>131</v>
      </c>
      <c r="BT74" s="57" t="s">
        <v>70</v>
      </c>
      <c r="BU74" s="57">
        <v>1</v>
      </c>
      <c r="BV74" s="60">
        <v>0</v>
      </c>
      <c r="BW74" s="57">
        <v>0</v>
      </c>
      <c r="BX74" s="60">
        <v>0</v>
      </c>
      <c r="BY74" s="60">
        <v>0</v>
      </c>
      <c r="BZ74" s="35"/>
      <c r="CA74" s="55">
        <v>1</v>
      </c>
      <c r="CB74" s="55">
        <v>1</v>
      </c>
      <c r="CC74" s="55">
        <v>1</v>
      </c>
      <c r="CD74" s="55">
        <v>1</v>
      </c>
      <c r="CE74" s="55">
        <v>1</v>
      </c>
      <c r="CF74" s="55">
        <v>1</v>
      </c>
      <c r="CG74" s="55">
        <v>1</v>
      </c>
      <c r="CH74" s="55">
        <v>1</v>
      </c>
      <c r="CI74" s="55">
        <v>1</v>
      </c>
      <c r="CJ74" s="55">
        <v>1</v>
      </c>
      <c r="CK74" s="55">
        <v>1</v>
      </c>
      <c r="CL74" s="55">
        <v>1</v>
      </c>
      <c r="CM74" s="55">
        <v>1</v>
      </c>
      <c r="CN74" s="55">
        <v>1</v>
      </c>
      <c r="CO74" s="55">
        <v>1</v>
      </c>
      <c r="CP74" s="55">
        <v>1</v>
      </c>
      <c r="CQ74" s="55">
        <v>1</v>
      </c>
      <c r="CR74" s="55">
        <v>1</v>
      </c>
      <c r="CS74" s="55">
        <v>1</v>
      </c>
      <c r="CT74" s="55">
        <v>1</v>
      </c>
      <c r="CU74" s="55">
        <v>1</v>
      </c>
      <c r="CV74" s="55">
        <v>1</v>
      </c>
      <c r="CW74" s="55">
        <v>1</v>
      </c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</row>
    <row r="75" spans="1:115" ht="11.25" customHeight="1" x14ac:dyDescent="0.25">
      <c r="A75" s="35"/>
      <c r="B75" s="37"/>
      <c r="C75" s="40">
        <v>-1</v>
      </c>
      <c r="D75" s="40">
        <v>-1</v>
      </c>
      <c r="E75" s="40">
        <v>-1</v>
      </c>
      <c r="F75" s="40">
        <v>-1</v>
      </c>
      <c r="G75" s="40">
        <v>-1</v>
      </c>
      <c r="H75" s="40">
        <v>-1</v>
      </c>
      <c r="I75" s="40">
        <v>-1</v>
      </c>
      <c r="J75" s="40">
        <v>-1</v>
      </c>
      <c r="K75" s="40">
        <v>-1</v>
      </c>
      <c r="L75" s="40">
        <v>-1</v>
      </c>
      <c r="M75" s="40">
        <v>-1</v>
      </c>
      <c r="N75" s="40">
        <v>-1</v>
      </c>
      <c r="O75" s="40">
        <v>-1</v>
      </c>
      <c r="P75" s="40">
        <v>-1</v>
      </c>
      <c r="Q75" s="40">
        <v>-1</v>
      </c>
      <c r="R75" s="40">
        <v>-1</v>
      </c>
      <c r="S75" s="40">
        <v>-1</v>
      </c>
      <c r="T75" s="40">
        <v>-1</v>
      </c>
      <c r="U75" s="40">
        <v>-1</v>
      </c>
      <c r="V75" s="40">
        <v>-1</v>
      </c>
      <c r="W75" s="40">
        <v>-1</v>
      </c>
      <c r="X75" s="40">
        <v>-1</v>
      </c>
      <c r="Y75" s="40">
        <v>-1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56">
        <v>2</v>
      </c>
      <c r="BG75" s="57">
        <v>34</v>
      </c>
      <c r="BH75" s="57">
        <v>13</v>
      </c>
      <c r="BI75" s="57">
        <v>28</v>
      </c>
      <c r="BJ75" s="13" t="str">
        <f t="shared" si="11"/>
        <v>13,34</v>
      </c>
      <c r="BK75" s="35"/>
      <c r="BL75" s="8">
        <f t="shared" si="12"/>
        <v>71</v>
      </c>
      <c r="BM75" s="6">
        <f t="shared" si="13"/>
        <v>2</v>
      </c>
      <c r="BN75" s="6">
        <f t="shared" si="14"/>
        <v>35</v>
      </c>
      <c r="BO75" s="35"/>
      <c r="BP75" s="15">
        <v>70</v>
      </c>
      <c r="BQ75" s="60">
        <v>0</v>
      </c>
      <c r="BR75" s="57">
        <v>70</v>
      </c>
      <c r="BS75" s="57" t="s">
        <v>132</v>
      </c>
      <c r="BT75" s="57" t="s">
        <v>70</v>
      </c>
      <c r="BU75" s="57">
        <v>1</v>
      </c>
      <c r="BV75" s="60">
        <v>0</v>
      </c>
      <c r="BW75" s="57">
        <v>0</v>
      </c>
      <c r="BX75" s="60">
        <v>0</v>
      </c>
      <c r="BY75" s="60">
        <v>0</v>
      </c>
      <c r="BZ75" s="35"/>
      <c r="CA75" s="55">
        <v>1</v>
      </c>
      <c r="CB75" s="55">
        <v>1</v>
      </c>
      <c r="CC75" s="55">
        <v>1</v>
      </c>
      <c r="CD75" s="55">
        <v>1</v>
      </c>
      <c r="CE75" s="55">
        <v>1</v>
      </c>
      <c r="CF75" s="55">
        <v>1</v>
      </c>
      <c r="CG75" s="55">
        <v>1</v>
      </c>
      <c r="CH75" s="55">
        <v>1</v>
      </c>
      <c r="CI75" s="55">
        <v>1</v>
      </c>
      <c r="CJ75" s="55">
        <v>1</v>
      </c>
      <c r="CK75" s="55">
        <v>1</v>
      </c>
      <c r="CL75" s="55">
        <v>1</v>
      </c>
      <c r="CM75" s="55">
        <v>1</v>
      </c>
      <c r="CN75" s="55">
        <v>1</v>
      </c>
      <c r="CO75" s="55">
        <v>1</v>
      </c>
      <c r="CP75" s="55">
        <v>1</v>
      </c>
      <c r="CQ75" s="55">
        <v>1</v>
      </c>
      <c r="CR75" s="55">
        <v>1</v>
      </c>
      <c r="CS75" s="55">
        <v>1</v>
      </c>
      <c r="CT75" s="55">
        <v>1</v>
      </c>
      <c r="CU75" s="55">
        <v>1</v>
      </c>
      <c r="CV75" s="55">
        <v>1</v>
      </c>
      <c r="CW75" s="55">
        <v>1</v>
      </c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</row>
    <row r="76" spans="1:115" ht="11.25" customHeight="1" x14ac:dyDescent="0.25">
      <c r="A76" s="35"/>
      <c r="B76" s="37"/>
      <c r="C76" s="40">
        <v>-1</v>
      </c>
      <c r="D76" s="40">
        <v>-1</v>
      </c>
      <c r="E76" s="40">
        <v>-1</v>
      </c>
      <c r="F76" s="40">
        <v>-1</v>
      </c>
      <c r="G76" s="40">
        <v>-1</v>
      </c>
      <c r="H76" s="40">
        <v>-1</v>
      </c>
      <c r="I76" s="40">
        <v>-1</v>
      </c>
      <c r="J76" s="40">
        <v>-1</v>
      </c>
      <c r="K76" s="40">
        <v>-1</v>
      </c>
      <c r="L76" s="40">
        <v>-1</v>
      </c>
      <c r="M76" s="40">
        <v>-1</v>
      </c>
      <c r="N76" s="40">
        <v>-1</v>
      </c>
      <c r="O76" s="40">
        <v>-1</v>
      </c>
      <c r="P76" s="40">
        <v>-1</v>
      </c>
      <c r="Q76" s="40">
        <v>-1</v>
      </c>
      <c r="R76" s="40">
        <v>-1</v>
      </c>
      <c r="S76" s="40">
        <v>-1</v>
      </c>
      <c r="T76" s="40">
        <v>-1</v>
      </c>
      <c r="U76" s="40">
        <v>-1</v>
      </c>
      <c r="V76" s="40">
        <v>-1</v>
      </c>
      <c r="W76" s="40">
        <v>-1</v>
      </c>
      <c r="X76" s="40">
        <v>-1</v>
      </c>
      <c r="Y76" s="40">
        <v>-1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56">
        <v>2</v>
      </c>
      <c r="BG76" s="57">
        <v>35</v>
      </c>
      <c r="BH76" s="57">
        <v>14</v>
      </c>
      <c r="BI76" s="57">
        <v>28</v>
      </c>
      <c r="BJ76" s="13" t="str">
        <f t="shared" si="11"/>
        <v>14,35</v>
      </c>
      <c r="BK76" s="35"/>
      <c r="BL76" s="8">
        <f t="shared" si="12"/>
        <v>72</v>
      </c>
      <c r="BM76" s="6">
        <f t="shared" si="13"/>
        <v>2</v>
      </c>
      <c r="BN76" s="6">
        <f t="shared" si="14"/>
        <v>36</v>
      </c>
      <c r="BO76" s="35"/>
      <c r="BP76" s="15">
        <v>71</v>
      </c>
      <c r="BQ76" s="60">
        <v>0</v>
      </c>
      <c r="BR76" s="57">
        <v>71</v>
      </c>
      <c r="BS76" s="57" t="s">
        <v>127</v>
      </c>
      <c r="BT76" s="57" t="s">
        <v>67</v>
      </c>
      <c r="BU76" s="57">
        <v>1</v>
      </c>
      <c r="BV76" s="60">
        <v>29.7</v>
      </c>
      <c r="BW76" s="57">
        <v>100</v>
      </c>
      <c r="BX76" s="60">
        <v>202.83249999999899</v>
      </c>
      <c r="BY76" s="60">
        <v>403.716999999998</v>
      </c>
      <c r="BZ76" s="35"/>
      <c r="CA76" s="55">
        <v>0</v>
      </c>
      <c r="CB76" s="55">
        <v>0</v>
      </c>
      <c r="CC76" s="55">
        <v>0</v>
      </c>
      <c r="CD76" s="55">
        <v>0</v>
      </c>
      <c r="CE76" s="55">
        <v>0</v>
      </c>
      <c r="CF76" s="55">
        <v>0</v>
      </c>
      <c r="CG76" s="55">
        <v>0</v>
      </c>
      <c r="CH76" s="55">
        <v>1</v>
      </c>
      <c r="CI76" s="55">
        <v>1</v>
      </c>
      <c r="CJ76" s="55">
        <v>1</v>
      </c>
      <c r="CK76" s="55">
        <v>1</v>
      </c>
      <c r="CL76" s="55">
        <v>1</v>
      </c>
      <c r="CM76" s="55">
        <v>1</v>
      </c>
      <c r="CN76" s="55">
        <v>1</v>
      </c>
      <c r="CO76" s="55">
        <v>1</v>
      </c>
      <c r="CP76" s="55">
        <v>1</v>
      </c>
      <c r="CQ76" s="55">
        <v>1</v>
      </c>
      <c r="CR76" s="55">
        <v>1</v>
      </c>
      <c r="CS76" s="55">
        <v>1</v>
      </c>
      <c r="CT76" s="55">
        <v>1</v>
      </c>
      <c r="CU76" s="55">
        <v>1</v>
      </c>
      <c r="CV76" s="55">
        <v>1</v>
      </c>
      <c r="CW76" s="55">
        <v>1</v>
      </c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</row>
    <row r="77" spans="1:115" ht="11.25" customHeight="1" x14ac:dyDescent="0.25">
      <c r="A77" s="35"/>
      <c r="B77" s="37"/>
      <c r="C77" s="40">
        <v>-1</v>
      </c>
      <c r="D77" s="40">
        <v>-1</v>
      </c>
      <c r="E77" s="40">
        <v>-1</v>
      </c>
      <c r="F77" s="40">
        <v>-1</v>
      </c>
      <c r="G77" s="40">
        <v>-1</v>
      </c>
      <c r="H77" s="40">
        <v>-1</v>
      </c>
      <c r="I77" s="40">
        <v>-1</v>
      </c>
      <c r="J77" s="40">
        <v>-1</v>
      </c>
      <c r="K77" s="40">
        <v>-1</v>
      </c>
      <c r="L77" s="40">
        <v>-1</v>
      </c>
      <c r="M77" s="40">
        <v>-1</v>
      </c>
      <c r="N77" s="40">
        <v>-1</v>
      </c>
      <c r="O77" s="40">
        <v>-1</v>
      </c>
      <c r="P77" s="40">
        <v>-1</v>
      </c>
      <c r="Q77" s="40">
        <v>-1</v>
      </c>
      <c r="R77" s="40">
        <v>-1</v>
      </c>
      <c r="S77" s="40">
        <v>-1</v>
      </c>
      <c r="T77" s="40">
        <v>-1</v>
      </c>
      <c r="U77" s="40">
        <v>-1</v>
      </c>
      <c r="V77" s="40">
        <v>-1</v>
      </c>
      <c r="W77" s="40">
        <v>-1</v>
      </c>
      <c r="X77" s="40">
        <v>-1</v>
      </c>
      <c r="Y77" s="40">
        <v>-1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56">
        <v>2</v>
      </c>
      <c r="BG77" s="57">
        <v>35</v>
      </c>
      <c r="BH77" s="57">
        <v>16</v>
      </c>
      <c r="BI77" s="57">
        <v>28</v>
      </c>
      <c r="BJ77" s="13" t="str">
        <f t="shared" si="11"/>
        <v>16,35</v>
      </c>
      <c r="BK77" s="35"/>
      <c r="BL77" s="8">
        <f t="shared" si="12"/>
        <v>73</v>
      </c>
      <c r="BM77" s="6">
        <f t="shared" si="13"/>
        <v>3</v>
      </c>
      <c r="BN77" s="6">
        <f t="shared" si="14"/>
        <v>1</v>
      </c>
      <c r="BO77" s="35"/>
      <c r="BP77" s="15">
        <v>72</v>
      </c>
      <c r="BQ77" s="60">
        <v>0</v>
      </c>
      <c r="BR77" s="57">
        <v>72</v>
      </c>
      <c r="BS77" s="57" t="s">
        <v>133</v>
      </c>
      <c r="BT77" s="57" t="s">
        <v>67</v>
      </c>
      <c r="BU77" s="57">
        <v>1</v>
      </c>
      <c r="BV77" s="60">
        <v>29.7</v>
      </c>
      <c r="BW77" s="57">
        <v>100</v>
      </c>
      <c r="BX77" s="60">
        <v>201.858499999999</v>
      </c>
      <c r="BY77" s="60">
        <v>405.664999999999</v>
      </c>
      <c r="BZ77" s="35"/>
      <c r="CA77" s="55">
        <v>0</v>
      </c>
      <c r="CB77" s="55">
        <v>0</v>
      </c>
      <c r="CC77" s="55">
        <v>0</v>
      </c>
      <c r="CD77" s="55">
        <v>0</v>
      </c>
      <c r="CE77" s="55">
        <v>0</v>
      </c>
      <c r="CF77" s="55">
        <v>0</v>
      </c>
      <c r="CG77" s="55">
        <v>0</v>
      </c>
      <c r="CH77" s="55">
        <v>0</v>
      </c>
      <c r="CI77" s="55">
        <v>0</v>
      </c>
      <c r="CJ77" s="55">
        <v>0</v>
      </c>
      <c r="CK77" s="55">
        <v>0</v>
      </c>
      <c r="CL77" s="55">
        <v>0</v>
      </c>
      <c r="CM77" s="55">
        <v>0</v>
      </c>
      <c r="CN77" s="55">
        <v>1</v>
      </c>
      <c r="CO77" s="55">
        <v>1</v>
      </c>
      <c r="CP77" s="55">
        <v>1</v>
      </c>
      <c r="CQ77" s="55">
        <v>1</v>
      </c>
      <c r="CR77" s="55">
        <v>1</v>
      </c>
      <c r="CS77" s="55">
        <v>1</v>
      </c>
      <c r="CT77" s="55">
        <v>1</v>
      </c>
      <c r="CU77" s="55">
        <v>1</v>
      </c>
      <c r="CV77" s="55">
        <v>1</v>
      </c>
      <c r="CW77" s="55">
        <v>1</v>
      </c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</row>
    <row r="78" spans="1:115" ht="11.25" customHeight="1" x14ac:dyDescent="0.25">
      <c r="A78" s="35"/>
      <c r="B78" s="37"/>
      <c r="C78" s="40">
        <v>-1</v>
      </c>
      <c r="D78" s="40">
        <v>-1</v>
      </c>
      <c r="E78" s="40">
        <v>-1</v>
      </c>
      <c r="F78" s="40">
        <v>-1</v>
      </c>
      <c r="G78" s="40">
        <v>-1</v>
      </c>
      <c r="H78" s="40">
        <v>-1</v>
      </c>
      <c r="I78" s="40">
        <v>-1</v>
      </c>
      <c r="J78" s="40">
        <v>-1</v>
      </c>
      <c r="K78" s="40">
        <v>-1</v>
      </c>
      <c r="L78" s="40">
        <v>-1</v>
      </c>
      <c r="M78" s="40">
        <v>-1</v>
      </c>
      <c r="N78" s="40">
        <v>-1</v>
      </c>
      <c r="O78" s="40">
        <v>-1</v>
      </c>
      <c r="P78" s="40">
        <v>-1</v>
      </c>
      <c r="Q78" s="40">
        <v>-1</v>
      </c>
      <c r="R78" s="40">
        <v>-1</v>
      </c>
      <c r="S78" s="40">
        <v>-1</v>
      </c>
      <c r="T78" s="40">
        <v>-1</v>
      </c>
      <c r="U78" s="40">
        <v>-1</v>
      </c>
      <c r="V78" s="40">
        <v>-1</v>
      </c>
      <c r="W78" s="40">
        <v>-1</v>
      </c>
      <c r="X78" s="40">
        <v>-1</v>
      </c>
      <c r="Y78" s="40">
        <v>-1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56">
        <v>2</v>
      </c>
      <c r="BG78" s="57">
        <v>35</v>
      </c>
      <c r="BH78" s="57">
        <v>17</v>
      </c>
      <c r="BI78" s="57">
        <v>28</v>
      </c>
      <c r="BJ78" s="13" t="str">
        <f t="shared" si="11"/>
        <v>17,35</v>
      </c>
      <c r="BK78" s="35"/>
      <c r="BL78" s="8">
        <f t="shared" si="12"/>
        <v>74</v>
      </c>
      <c r="BM78" s="6">
        <f t="shared" si="13"/>
        <v>3</v>
      </c>
      <c r="BN78" s="6">
        <f t="shared" si="14"/>
        <v>2</v>
      </c>
      <c r="BO78" s="35"/>
      <c r="BP78" s="15">
        <v>73</v>
      </c>
      <c r="BQ78" s="60">
        <v>0</v>
      </c>
      <c r="BR78" s="57">
        <v>73</v>
      </c>
      <c r="BS78" s="57" t="s">
        <v>134</v>
      </c>
      <c r="BT78" s="57" t="s">
        <v>70</v>
      </c>
      <c r="BU78" s="57">
        <v>1</v>
      </c>
      <c r="BV78" s="60">
        <v>0</v>
      </c>
      <c r="BW78" s="57">
        <v>0</v>
      </c>
      <c r="BX78" s="60">
        <v>0</v>
      </c>
      <c r="BY78" s="60">
        <v>0</v>
      </c>
      <c r="BZ78" s="35"/>
      <c r="CA78" s="55">
        <v>0</v>
      </c>
      <c r="CB78" s="55">
        <v>0</v>
      </c>
      <c r="CC78" s="55">
        <v>0</v>
      </c>
      <c r="CD78" s="55">
        <v>0</v>
      </c>
      <c r="CE78" s="55">
        <v>0</v>
      </c>
      <c r="CF78" s="55">
        <v>0</v>
      </c>
      <c r="CG78" s="55">
        <v>0</v>
      </c>
      <c r="CH78" s="55">
        <v>0</v>
      </c>
      <c r="CI78" s="55">
        <v>0</v>
      </c>
      <c r="CJ78" s="55">
        <v>0</v>
      </c>
      <c r="CK78" s="55">
        <v>0</v>
      </c>
      <c r="CL78" s="55">
        <v>0</v>
      </c>
      <c r="CM78" s="55">
        <v>0</v>
      </c>
      <c r="CN78" s="55">
        <v>0</v>
      </c>
      <c r="CO78" s="55">
        <v>0</v>
      </c>
      <c r="CP78" s="55">
        <v>0</v>
      </c>
      <c r="CQ78" s="55">
        <v>0</v>
      </c>
      <c r="CR78" s="55">
        <v>0</v>
      </c>
      <c r="CS78" s="55">
        <v>0</v>
      </c>
      <c r="CT78" s="55">
        <v>0</v>
      </c>
      <c r="CU78" s="55">
        <v>1</v>
      </c>
      <c r="CV78" s="55">
        <v>1</v>
      </c>
      <c r="CW78" s="55">
        <v>1</v>
      </c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</row>
    <row r="79" spans="1:115" ht="11.25" customHeight="1" x14ac:dyDescent="0.25">
      <c r="A79" s="35"/>
      <c r="B79" s="37"/>
      <c r="C79" s="40">
        <v>-1</v>
      </c>
      <c r="D79" s="40">
        <v>-1</v>
      </c>
      <c r="E79" s="40">
        <v>-1</v>
      </c>
      <c r="F79" s="40">
        <v>-1</v>
      </c>
      <c r="G79" s="40">
        <v>-1</v>
      </c>
      <c r="H79" s="40">
        <v>-1</v>
      </c>
      <c r="I79" s="40">
        <v>-1</v>
      </c>
      <c r="J79" s="40">
        <v>-1</v>
      </c>
      <c r="K79" s="40">
        <v>-1</v>
      </c>
      <c r="L79" s="40">
        <v>-1</v>
      </c>
      <c r="M79" s="40">
        <v>-1</v>
      </c>
      <c r="N79" s="40">
        <v>-1</v>
      </c>
      <c r="O79" s="40">
        <v>-1</v>
      </c>
      <c r="P79" s="40">
        <v>-1</v>
      </c>
      <c r="Q79" s="40">
        <v>-1</v>
      </c>
      <c r="R79" s="40">
        <v>-1</v>
      </c>
      <c r="S79" s="40">
        <v>-1</v>
      </c>
      <c r="T79" s="40">
        <v>-1</v>
      </c>
      <c r="U79" s="40">
        <v>-1</v>
      </c>
      <c r="V79" s="40">
        <v>-1</v>
      </c>
      <c r="W79" s="40">
        <v>-1</v>
      </c>
      <c r="X79" s="40">
        <v>-1</v>
      </c>
      <c r="Y79" s="40">
        <v>-1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56">
        <v>2</v>
      </c>
      <c r="BG79" s="57">
        <v>35</v>
      </c>
      <c r="BH79" s="57">
        <v>18</v>
      </c>
      <c r="BI79" s="57">
        <v>28</v>
      </c>
      <c r="BJ79" s="13" t="str">
        <f t="shared" si="11"/>
        <v>18,35</v>
      </c>
      <c r="BK79" s="35"/>
      <c r="BL79" s="8">
        <f t="shared" si="12"/>
        <v>75</v>
      </c>
      <c r="BM79" s="6">
        <f t="shared" si="13"/>
        <v>3</v>
      </c>
      <c r="BN79" s="6">
        <f t="shared" si="14"/>
        <v>3</v>
      </c>
      <c r="BO79" s="35"/>
      <c r="BP79" s="15">
        <v>74</v>
      </c>
      <c r="BQ79" s="60">
        <v>0</v>
      </c>
      <c r="BR79" s="57">
        <v>74</v>
      </c>
      <c r="BS79" s="57" t="s">
        <v>130</v>
      </c>
      <c r="BT79" s="57" t="s">
        <v>67</v>
      </c>
      <c r="BU79" s="57">
        <v>1</v>
      </c>
      <c r="BV79" s="60">
        <v>29.7</v>
      </c>
      <c r="BW79" s="57">
        <v>100</v>
      </c>
      <c r="BX79" s="60">
        <v>202.83249999999899</v>
      </c>
      <c r="BY79" s="60">
        <v>403.71699999999902</v>
      </c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</row>
    <row r="80" spans="1:115" ht="11.25" customHeight="1" x14ac:dyDescent="0.25">
      <c r="A80" s="35"/>
      <c r="B80" s="37"/>
      <c r="C80" s="40">
        <v>-1</v>
      </c>
      <c r="D80" s="40">
        <v>-1</v>
      </c>
      <c r="E80" s="40">
        <v>-1</v>
      </c>
      <c r="F80" s="40">
        <v>-1</v>
      </c>
      <c r="G80" s="40">
        <v>-1</v>
      </c>
      <c r="H80" s="40">
        <v>-1</v>
      </c>
      <c r="I80" s="40">
        <v>-1</v>
      </c>
      <c r="J80" s="40">
        <v>-1</v>
      </c>
      <c r="K80" s="40">
        <v>-1</v>
      </c>
      <c r="L80" s="40">
        <v>-1</v>
      </c>
      <c r="M80" s="40">
        <v>-1</v>
      </c>
      <c r="N80" s="40">
        <v>-1</v>
      </c>
      <c r="O80" s="40">
        <v>-1</v>
      </c>
      <c r="P80" s="40">
        <v>-1</v>
      </c>
      <c r="Q80" s="40">
        <v>-1</v>
      </c>
      <c r="R80" s="40">
        <v>-1</v>
      </c>
      <c r="S80" s="40">
        <v>-1</v>
      </c>
      <c r="T80" s="40">
        <v>-1</v>
      </c>
      <c r="U80" s="40">
        <v>-1</v>
      </c>
      <c r="V80" s="40">
        <v>-1</v>
      </c>
      <c r="W80" s="40">
        <v>-1</v>
      </c>
      <c r="X80" s="40">
        <v>-1</v>
      </c>
      <c r="Y80" s="40">
        <v>-1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56">
        <v>2</v>
      </c>
      <c r="BG80" s="57">
        <v>35</v>
      </c>
      <c r="BH80" s="57">
        <v>19</v>
      </c>
      <c r="BI80" s="57">
        <v>28</v>
      </c>
      <c r="BJ80" s="13" t="str">
        <f t="shared" si="11"/>
        <v>19,35</v>
      </c>
      <c r="BK80" s="35"/>
      <c r="BL80" s="8">
        <f t="shared" si="12"/>
        <v>76</v>
      </c>
      <c r="BM80" s="6">
        <f t="shared" si="13"/>
        <v>3</v>
      </c>
      <c r="BN80" s="6">
        <f t="shared" si="14"/>
        <v>4</v>
      </c>
      <c r="BO80" s="35"/>
      <c r="BP80" s="15">
        <v>75</v>
      </c>
      <c r="BQ80" s="60">
        <v>0</v>
      </c>
      <c r="BR80" s="57">
        <v>75</v>
      </c>
      <c r="BS80" s="57" t="s">
        <v>133</v>
      </c>
      <c r="BT80" s="57" t="s">
        <v>67</v>
      </c>
      <c r="BU80" s="57">
        <v>1</v>
      </c>
      <c r="BV80" s="60">
        <v>29.7</v>
      </c>
      <c r="BW80" s="57">
        <v>100</v>
      </c>
      <c r="BX80" s="60">
        <v>202.83249999999899</v>
      </c>
      <c r="BY80" s="60">
        <v>403.71699999999902</v>
      </c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</row>
    <row r="81" spans="1:115" ht="11.25" customHeight="1" x14ac:dyDescent="0.25">
      <c r="A81" s="35"/>
      <c r="B81" s="37"/>
      <c r="C81" s="40">
        <v>-1</v>
      </c>
      <c r="D81" s="40">
        <v>-1</v>
      </c>
      <c r="E81" s="40">
        <v>-1</v>
      </c>
      <c r="F81" s="40">
        <v>-1</v>
      </c>
      <c r="G81" s="40">
        <v>-1</v>
      </c>
      <c r="H81" s="40">
        <v>-1</v>
      </c>
      <c r="I81" s="40">
        <v>-1</v>
      </c>
      <c r="J81" s="40">
        <v>-1</v>
      </c>
      <c r="K81" s="40">
        <v>-1</v>
      </c>
      <c r="L81" s="40">
        <v>-1</v>
      </c>
      <c r="M81" s="40">
        <v>-1</v>
      </c>
      <c r="N81" s="40">
        <v>-1</v>
      </c>
      <c r="O81" s="40">
        <v>-1</v>
      </c>
      <c r="P81" s="40">
        <v>-1</v>
      </c>
      <c r="Q81" s="40">
        <v>-1</v>
      </c>
      <c r="R81" s="40">
        <v>-1</v>
      </c>
      <c r="S81" s="40">
        <v>-1</v>
      </c>
      <c r="T81" s="40">
        <v>-1</v>
      </c>
      <c r="U81" s="40">
        <v>-1</v>
      </c>
      <c r="V81" s="40">
        <v>-1</v>
      </c>
      <c r="W81" s="40">
        <v>-1</v>
      </c>
      <c r="X81" s="40">
        <v>-1</v>
      </c>
      <c r="Y81" s="40">
        <v>-1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56">
        <v>2</v>
      </c>
      <c r="BG81" s="57">
        <v>35</v>
      </c>
      <c r="BH81" s="57">
        <v>20</v>
      </c>
      <c r="BI81" s="57">
        <v>28</v>
      </c>
      <c r="BJ81" s="13" t="str">
        <f t="shared" si="11"/>
        <v>20,35</v>
      </c>
      <c r="BK81" s="35"/>
      <c r="BL81" s="8">
        <f t="shared" si="12"/>
        <v>77</v>
      </c>
      <c r="BM81" s="6">
        <f t="shared" si="13"/>
        <v>3</v>
      </c>
      <c r="BN81" s="6">
        <f t="shared" si="14"/>
        <v>5</v>
      </c>
      <c r="BO81" s="35"/>
      <c r="BP81" s="15">
        <v>76</v>
      </c>
      <c r="BQ81" s="60">
        <v>0</v>
      </c>
      <c r="BR81" s="57">
        <v>76</v>
      </c>
      <c r="BS81" s="57" t="s">
        <v>14</v>
      </c>
      <c r="BT81" s="57" t="s">
        <v>67</v>
      </c>
      <c r="BU81" s="57">
        <v>1</v>
      </c>
      <c r="BV81" s="60">
        <v>29.565470000000001</v>
      </c>
      <c r="BW81" s="57">
        <v>100</v>
      </c>
      <c r="BX81" s="60">
        <v>201.858499999999</v>
      </c>
      <c r="BY81" s="60">
        <v>405.664999999999</v>
      </c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</row>
    <row r="82" spans="1:115" ht="11.25" customHeight="1" x14ac:dyDescent="0.25">
      <c r="A82" s="35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56">
        <v>2</v>
      </c>
      <c r="BG82" s="57">
        <v>36</v>
      </c>
      <c r="BH82" s="57">
        <v>21</v>
      </c>
      <c r="BI82" s="57">
        <v>28</v>
      </c>
      <c r="BJ82" s="13" t="str">
        <f t="shared" si="11"/>
        <v>21,36</v>
      </c>
      <c r="BK82" s="35"/>
      <c r="BL82" s="8">
        <f t="shared" si="12"/>
        <v>78</v>
      </c>
      <c r="BM82" s="6">
        <f t="shared" si="13"/>
        <v>3</v>
      </c>
      <c r="BN82" s="6">
        <f t="shared" si="14"/>
        <v>6</v>
      </c>
      <c r="BO82" s="35"/>
      <c r="BP82" s="15">
        <v>77</v>
      </c>
      <c r="BQ82" s="60">
        <v>0</v>
      </c>
      <c r="BR82" s="57">
        <v>77</v>
      </c>
      <c r="BS82" s="57" t="s">
        <v>135</v>
      </c>
      <c r="BT82" s="57" t="s">
        <v>70</v>
      </c>
      <c r="BU82" s="57">
        <v>1</v>
      </c>
      <c r="BV82" s="60">
        <v>0</v>
      </c>
      <c r="BW82" s="57">
        <v>0</v>
      </c>
      <c r="BX82" s="60">
        <v>0</v>
      </c>
      <c r="BY82" s="60">
        <v>0</v>
      </c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</row>
    <row r="83" spans="1:115" ht="11.25" customHeight="1" x14ac:dyDescent="0.25">
      <c r="A83" s="35"/>
      <c r="B83" s="12">
        <f>COUNT('51'!#REF!)</f>
        <v>0</v>
      </c>
      <c r="C83" s="12">
        <f t="shared" ref="C83:L83" si="15">IF(ISNUMBER(C84),B83+1,"")</f>
        <v>1</v>
      </c>
      <c r="D83" s="12">
        <f t="shared" si="15"/>
        <v>2</v>
      </c>
      <c r="E83" s="12">
        <f t="shared" si="15"/>
        <v>3</v>
      </c>
      <c r="F83" s="12">
        <f t="shared" si="15"/>
        <v>4</v>
      </c>
      <c r="G83" s="12">
        <f t="shared" si="15"/>
        <v>5</v>
      </c>
      <c r="H83" s="12">
        <f t="shared" si="15"/>
        <v>6</v>
      </c>
      <c r="I83" s="12">
        <f t="shared" si="15"/>
        <v>7</v>
      </c>
      <c r="J83" s="12">
        <f t="shared" si="15"/>
        <v>8</v>
      </c>
      <c r="K83" s="12">
        <f t="shared" si="15"/>
        <v>9</v>
      </c>
      <c r="L83" s="12">
        <f t="shared" si="15"/>
        <v>10</v>
      </c>
      <c r="M83" s="12">
        <f t="shared" ref="M83:Y83" si="16">IF(ISNUMBER(M84),L83+1,"")</f>
        <v>11</v>
      </c>
      <c r="N83" s="12">
        <f t="shared" si="16"/>
        <v>12</v>
      </c>
      <c r="O83" s="12">
        <f t="shared" si="16"/>
        <v>13</v>
      </c>
      <c r="P83" s="12">
        <f t="shared" si="16"/>
        <v>14</v>
      </c>
      <c r="Q83" s="12">
        <f t="shared" si="16"/>
        <v>15</v>
      </c>
      <c r="R83" s="12">
        <f t="shared" si="16"/>
        <v>16</v>
      </c>
      <c r="S83" s="12">
        <f t="shared" si="16"/>
        <v>17</v>
      </c>
      <c r="T83" s="12">
        <f t="shared" si="16"/>
        <v>18</v>
      </c>
      <c r="U83" s="12">
        <f t="shared" si="16"/>
        <v>19</v>
      </c>
      <c r="V83" s="12">
        <f t="shared" si="16"/>
        <v>20</v>
      </c>
      <c r="W83" s="12">
        <f t="shared" si="16"/>
        <v>21</v>
      </c>
      <c r="X83" s="12">
        <f t="shared" si="16"/>
        <v>22</v>
      </c>
      <c r="Y83" s="12">
        <f t="shared" si="16"/>
        <v>23</v>
      </c>
      <c r="Z83" s="35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56">
        <v>2</v>
      </c>
      <c r="BG83" s="57">
        <v>36</v>
      </c>
      <c r="BH83" s="57">
        <v>22</v>
      </c>
      <c r="BI83" s="57">
        <v>28</v>
      </c>
      <c r="BJ83" s="13" t="str">
        <f t="shared" si="11"/>
        <v>22,36</v>
      </c>
      <c r="BK83" s="35"/>
      <c r="BL83" s="8">
        <f t="shared" si="12"/>
        <v>79</v>
      </c>
      <c r="BM83" s="6">
        <f t="shared" si="13"/>
        <v>3</v>
      </c>
      <c r="BN83" s="6">
        <f t="shared" si="14"/>
        <v>7</v>
      </c>
      <c r="BO83" s="35"/>
      <c r="BP83" s="15">
        <v>78</v>
      </c>
      <c r="BQ83" s="60">
        <v>1</v>
      </c>
      <c r="BR83" s="57">
        <v>0</v>
      </c>
      <c r="BS83" s="57" t="s">
        <v>136</v>
      </c>
      <c r="BT83" s="57" t="s">
        <v>67</v>
      </c>
      <c r="BU83" s="57">
        <v>1</v>
      </c>
      <c r="BV83" s="60">
        <v>20.2</v>
      </c>
      <c r="BW83" s="57">
        <v>100</v>
      </c>
      <c r="BX83" s="60">
        <v>201.858499999999</v>
      </c>
      <c r="BY83" s="60">
        <v>405.66500000000002</v>
      </c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</row>
    <row r="84" spans="1:115" ht="11.25" customHeight="1" x14ac:dyDescent="0.25">
      <c r="A84" s="35"/>
      <c r="B84" s="12">
        <f>COUNT('51'!#REF!)</f>
        <v>0</v>
      </c>
      <c r="C84" s="12">
        <f>ROW()</f>
        <v>84</v>
      </c>
      <c r="D84" s="12">
        <f>ROW()</f>
        <v>84</v>
      </c>
      <c r="E84" s="12">
        <f>ROW()</f>
        <v>84</v>
      </c>
      <c r="F84" s="12">
        <f>ROW()</f>
        <v>84</v>
      </c>
      <c r="G84" s="12">
        <f>ROW()</f>
        <v>84</v>
      </c>
      <c r="H84" s="12">
        <f>ROW()</f>
        <v>84</v>
      </c>
      <c r="I84" s="12">
        <f>ROW()</f>
        <v>84</v>
      </c>
      <c r="J84" s="12">
        <f>ROW()</f>
        <v>84</v>
      </c>
      <c r="K84" s="12">
        <f>ROW()</f>
        <v>84</v>
      </c>
      <c r="L84" s="12">
        <f>ROW()</f>
        <v>84</v>
      </c>
      <c r="M84" s="12">
        <f>ROW()</f>
        <v>84</v>
      </c>
      <c r="N84" s="12">
        <f>ROW()</f>
        <v>84</v>
      </c>
      <c r="O84" s="12">
        <f>ROW()</f>
        <v>84</v>
      </c>
      <c r="P84" s="12">
        <f>ROW()</f>
        <v>84</v>
      </c>
      <c r="Q84" s="12">
        <f>ROW()</f>
        <v>84</v>
      </c>
      <c r="R84" s="12">
        <f>ROW()</f>
        <v>84</v>
      </c>
      <c r="S84" s="12">
        <f>ROW()</f>
        <v>84</v>
      </c>
      <c r="T84" s="12">
        <f>ROW()</f>
        <v>84</v>
      </c>
      <c r="U84" s="12">
        <f>ROW()</f>
        <v>84</v>
      </c>
      <c r="V84" s="12">
        <f>ROW()</f>
        <v>84</v>
      </c>
      <c r="W84" s="12">
        <f>ROW()</f>
        <v>84</v>
      </c>
      <c r="X84" s="12">
        <f>ROW()</f>
        <v>84</v>
      </c>
      <c r="Y84" s="12">
        <f>ROW()</f>
        <v>84</v>
      </c>
      <c r="Z84" s="35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56">
        <v>2</v>
      </c>
      <c r="BG84" s="57">
        <v>36</v>
      </c>
      <c r="BH84" s="57">
        <v>23</v>
      </c>
      <c r="BI84" s="57">
        <v>28</v>
      </c>
      <c r="BJ84" s="13" t="str">
        <f t="shared" si="11"/>
        <v>23,36</v>
      </c>
      <c r="BK84" s="35"/>
      <c r="BL84" s="8">
        <f t="shared" si="12"/>
        <v>80</v>
      </c>
      <c r="BM84" s="6">
        <f t="shared" si="13"/>
        <v>3</v>
      </c>
      <c r="BN84" s="6">
        <f t="shared" si="14"/>
        <v>8</v>
      </c>
      <c r="BO84" s="35"/>
      <c r="BP84" s="15">
        <v>79</v>
      </c>
      <c r="BQ84" s="60">
        <v>1</v>
      </c>
      <c r="BR84" s="57">
        <v>1</v>
      </c>
      <c r="BS84" s="57" t="s">
        <v>137</v>
      </c>
      <c r="BT84" s="57" t="s">
        <v>67</v>
      </c>
      <c r="BU84" s="57">
        <v>1</v>
      </c>
      <c r="BV84" s="60">
        <v>20.2</v>
      </c>
      <c r="BW84" s="57">
        <v>100</v>
      </c>
      <c r="BX84" s="60">
        <v>202.83250000000001</v>
      </c>
      <c r="BY84" s="60">
        <v>403.71699999999902</v>
      </c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</row>
    <row r="85" spans="1:115" ht="11.25" customHeight="1" x14ac:dyDescent="0.25">
      <c r="A85" s="35"/>
      <c r="B85" s="12">
        <f>COLUMN()</f>
        <v>2</v>
      </c>
      <c r="C85" s="19" t="str">
        <f>_xlfn.CONCAT(COLUMN()-$B85,",",ROW()-C$84)</f>
        <v>1,1</v>
      </c>
      <c r="D85" s="19" t="str">
        <f>_xlfn.CONCAT(COLUMN()-$B85,",",ROW()-D$84)</f>
        <v>2,1</v>
      </c>
      <c r="E85" s="19" t="str">
        <f>_xlfn.CONCAT(COLUMN()-$B85,",",ROW()-E$84)</f>
        <v>3,1</v>
      </c>
      <c r="F85" s="19" t="str">
        <f>_xlfn.CONCAT(COLUMN()-$B85,",",ROW()-F$84)</f>
        <v>4,1</v>
      </c>
      <c r="G85" s="19" t="str">
        <f>_xlfn.CONCAT(COLUMN()-$B85,",",ROW()-G$84)</f>
        <v>5,1</v>
      </c>
      <c r="H85" s="19" t="str">
        <f>_xlfn.CONCAT(COLUMN()-$B85,",",ROW()-H$84)</f>
        <v>6,1</v>
      </c>
      <c r="I85" s="19" t="str">
        <f>_xlfn.CONCAT(COLUMN()-$B85,",",ROW()-I$84)</f>
        <v>7,1</v>
      </c>
      <c r="J85" s="19" t="str">
        <f>_xlfn.CONCAT(COLUMN()-$B85,",",ROW()-J$84)</f>
        <v>8,1</v>
      </c>
      <c r="K85" s="19" t="str">
        <f>_xlfn.CONCAT(COLUMN()-$B85,",",ROW()-K$84)</f>
        <v>9,1</v>
      </c>
      <c r="L85" s="19" t="str">
        <f>_xlfn.CONCAT(COLUMN()-$B85,",",ROW()-L$84)</f>
        <v>10,1</v>
      </c>
      <c r="M85" s="19" t="str">
        <f>_xlfn.CONCAT(COLUMN()-$B85,",",ROW()-M$84)</f>
        <v>11,1</v>
      </c>
      <c r="N85" s="19" t="str">
        <f>_xlfn.CONCAT(COLUMN()-$B85,",",ROW()-N$84)</f>
        <v>12,1</v>
      </c>
      <c r="O85" s="19" t="str">
        <f>_xlfn.CONCAT(COLUMN()-$B85,",",ROW()-O$84)</f>
        <v>13,1</v>
      </c>
      <c r="P85" s="19" t="str">
        <f>_xlfn.CONCAT(COLUMN()-$B85,",",ROW()-P$84)</f>
        <v>14,1</v>
      </c>
      <c r="Q85" s="19" t="str">
        <f>_xlfn.CONCAT(COLUMN()-$B85,",",ROW()-Q$84)</f>
        <v>15,1</v>
      </c>
      <c r="R85" s="19" t="str">
        <f>_xlfn.CONCAT(COLUMN()-$B85,",",ROW()-R$84)</f>
        <v>16,1</v>
      </c>
      <c r="S85" s="19" t="str">
        <f>_xlfn.CONCAT(COLUMN()-$B85,",",ROW()-S$84)</f>
        <v>17,1</v>
      </c>
      <c r="T85" s="19" t="str">
        <f>_xlfn.CONCAT(COLUMN()-$B85,",",ROW()-T$84)</f>
        <v>18,1</v>
      </c>
      <c r="U85" s="19" t="str">
        <f>_xlfn.CONCAT(COLUMN()-$B85,",",ROW()-U$84)</f>
        <v>19,1</v>
      </c>
      <c r="V85" s="19" t="str">
        <f>_xlfn.CONCAT(COLUMN()-$B85,",",ROW()-V$84)</f>
        <v>20,1</v>
      </c>
      <c r="W85" s="19" t="str">
        <f>_xlfn.CONCAT(COLUMN()-$B85,",",ROW()-W$84)</f>
        <v>21,1</v>
      </c>
      <c r="X85" s="19" t="str">
        <f>_xlfn.CONCAT(COLUMN()-$B85,",",ROW()-X$84)</f>
        <v>22,1</v>
      </c>
      <c r="Y85" s="19" t="str">
        <f>_xlfn.CONCAT(COLUMN()-$B85,",",ROW()-Y$84)</f>
        <v>23,1</v>
      </c>
      <c r="Z85" s="35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56">
        <v>3</v>
      </c>
      <c r="BG85" s="57">
        <v>1</v>
      </c>
      <c r="BH85" s="57">
        <v>4</v>
      </c>
      <c r="BI85" s="57">
        <v>50</v>
      </c>
      <c r="BJ85" s="13" t="str">
        <f t="shared" si="11"/>
        <v>4,1</v>
      </c>
      <c r="BK85" s="35"/>
      <c r="BL85" s="8">
        <f t="shared" si="12"/>
        <v>81</v>
      </c>
      <c r="BM85" s="6">
        <f t="shared" si="13"/>
        <v>3</v>
      </c>
      <c r="BN85" s="6">
        <f t="shared" si="14"/>
        <v>9</v>
      </c>
      <c r="BO85" s="35"/>
      <c r="BP85" s="15">
        <v>80</v>
      </c>
      <c r="BQ85" s="60">
        <v>1</v>
      </c>
      <c r="BR85" s="57">
        <v>2</v>
      </c>
      <c r="BS85" s="57" t="s">
        <v>138</v>
      </c>
      <c r="BT85" s="57" t="s">
        <v>70</v>
      </c>
      <c r="BU85" s="57">
        <v>1</v>
      </c>
      <c r="BV85" s="60">
        <v>0</v>
      </c>
      <c r="BW85" s="57">
        <v>0</v>
      </c>
      <c r="BX85" s="60">
        <v>0</v>
      </c>
      <c r="BY85" s="60">
        <v>0</v>
      </c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</row>
    <row r="86" spans="1:115" ht="11.25" customHeight="1" x14ac:dyDescent="0.25">
      <c r="A86" s="35"/>
      <c r="B86" s="12">
        <f>COLUMN()</f>
        <v>2</v>
      </c>
      <c r="C86" s="19" t="str">
        <f>_xlfn.CONCAT(COLUMN()-$B86,",",ROW()-C$84)</f>
        <v>1,2</v>
      </c>
      <c r="D86" s="19" t="str">
        <f>_xlfn.CONCAT(COLUMN()-$B86,",",ROW()-D$84)</f>
        <v>2,2</v>
      </c>
      <c r="E86" s="19" t="str">
        <f>_xlfn.CONCAT(COLUMN()-$B86,",",ROW()-E$84)</f>
        <v>3,2</v>
      </c>
      <c r="F86" s="19" t="str">
        <f>_xlfn.CONCAT(COLUMN()-$B86,",",ROW()-F$84)</f>
        <v>4,2</v>
      </c>
      <c r="G86" s="19" t="str">
        <f>_xlfn.CONCAT(COLUMN()-$B86,",",ROW()-G$84)</f>
        <v>5,2</v>
      </c>
      <c r="H86" s="19" t="str">
        <f>_xlfn.CONCAT(COLUMN()-$B86,",",ROW()-H$84)</f>
        <v>6,2</v>
      </c>
      <c r="I86" s="19" t="str">
        <f>_xlfn.CONCAT(COLUMN()-$B86,",",ROW()-I$84)</f>
        <v>7,2</v>
      </c>
      <c r="J86" s="19" t="str">
        <f>_xlfn.CONCAT(COLUMN()-$B86,",",ROW()-J$84)</f>
        <v>8,2</v>
      </c>
      <c r="K86" s="19" t="str">
        <f>_xlfn.CONCAT(COLUMN()-$B86,",",ROW()-K$84)</f>
        <v>9,2</v>
      </c>
      <c r="L86" s="19" t="str">
        <f>_xlfn.CONCAT(COLUMN()-$B86,",",ROW()-L$84)</f>
        <v>10,2</v>
      </c>
      <c r="M86" s="19" t="str">
        <f>_xlfn.CONCAT(COLUMN()-$B86,",",ROW()-M$84)</f>
        <v>11,2</v>
      </c>
      <c r="N86" s="19" t="str">
        <f>_xlfn.CONCAT(COLUMN()-$B86,",",ROW()-N$84)</f>
        <v>12,2</v>
      </c>
      <c r="O86" s="19" t="str">
        <f>_xlfn.CONCAT(COLUMN()-$B86,",",ROW()-O$84)</f>
        <v>13,2</v>
      </c>
      <c r="P86" s="19" t="str">
        <f>_xlfn.CONCAT(COLUMN()-$B86,",",ROW()-P$84)</f>
        <v>14,2</v>
      </c>
      <c r="Q86" s="19" t="str">
        <f>_xlfn.CONCAT(COLUMN()-$B86,",",ROW()-Q$84)</f>
        <v>15,2</v>
      </c>
      <c r="R86" s="19" t="str">
        <f>_xlfn.CONCAT(COLUMN()-$B86,",",ROW()-R$84)</f>
        <v>16,2</v>
      </c>
      <c r="S86" s="19" t="str">
        <f>_xlfn.CONCAT(COLUMN()-$B86,",",ROW()-S$84)</f>
        <v>17,2</v>
      </c>
      <c r="T86" s="19" t="str">
        <f>_xlfn.CONCAT(COLUMN()-$B86,",",ROW()-T$84)</f>
        <v>18,2</v>
      </c>
      <c r="U86" s="19" t="str">
        <f>_xlfn.CONCAT(COLUMN()-$B86,",",ROW()-U$84)</f>
        <v>19,2</v>
      </c>
      <c r="V86" s="19" t="str">
        <f>_xlfn.CONCAT(COLUMN()-$B86,",",ROW()-V$84)</f>
        <v>20,2</v>
      </c>
      <c r="W86" s="19" t="str">
        <f>_xlfn.CONCAT(COLUMN()-$B86,",",ROW()-W$84)</f>
        <v>21,2</v>
      </c>
      <c r="X86" s="19" t="str">
        <f>_xlfn.CONCAT(COLUMN()-$B86,",",ROW()-X$84)</f>
        <v>22,2</v>
      </c>
      <c r="Y86" s="19" t="str">
        <f>_xlfn.CONCAT(COLUMN()-$B86,",",ROW()-Y$84)</f>
        <v>23,2</v>
      </c>
      <c r="Z86" s="35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56">
        <v>3</v>
      </c>
      <c r="BG86" s="57">
        <v>1</v>
      </c>
      <c r="BH86" s="57">
        <v>5</v>
      </c>
      <c r="BI86" s="57">
        <v>50</v>
      </c>
      <c r="BJ86" s="13" t="str">
        <f t="shared" si="11"/>
        <v>5,1</v>
      </c>
      <c r="BK86" s="35"/>
      <c r="BL86" s="8">
        <f t="shared" si="12"/>
        <v>82</v>
      </c>
      <c r="BM86" s="6">
        <f t="shared" si="13"/>
        <v>3</v>
      </c>
      <c r="BN86" s="6">
        <f t="shared" si="14"/>
        <v>10</v>
      </c>
      <c r="BO86" s="35"/>
      <c r="BP86" s="15">
        <v>81</v>
      </c>
      <c r="BQ86" s="60">
        <v>1</v>
      </c>
      <c r="BR86" s="57">
        <v>3</v>
      </c>
      <c r="BS86" s="57" t="s">
        <v>139</v>
      </c>
      <c r="BT86" s="57" t="s">
        <v>67</v>
      </c>
      <c r="BU86" s="57">
        <v>1</v>
      </c>
      <c r="BV86" s="60">
        <v>20.2</v>
      </c>
      <c r="BW86" s="57">
        <v>100</v>
      </c>
      <c r="BX86" s="60">
        <v>202.83250000000001</v>
      </c>
      <c r="BY86" s="60">
        <v>403.71699999999902</v>
      </c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</row>
    <row r="87" spans="1:115" ht="11.25" customHeight="1" x14ac:dyDescent="0.25">
      <c r="A87" s="35"/>
      <c r="B87" s="12">
        <f>COLUMN()</f>
        <v>2</v>
      </c>
      <c r="C87" s="19" t="str">
        <f>_xlfn.CONCAT(COLUMN()-$B87,",",ROW()-C$84)</f>
        <v>1,3</v>
      </c>
      <c r="D87" s="19" t="str">
        <f>_xlfn.CONCAT(COLUMN()-$B87,",",ROW()-D$84)</f>
        <v>2,3</v>
      </c>
      <c r="E87" s="19" t="str">
        <f>_xlfn.CONCAT(COLUMN()-$B87,",",ROW()-E$84)</f>
        <v>3,3</v>
      </c>
      <c r="F87" s="19" t="str">
        <f>_xlfn.CONCAT(COLUMN()-$B87,",",ROW()-F$84)</f>
        <v>4,3</v>
      </c>
      <c r="G87" s="19" t="str">
        <f>_xlfn.CONCAT(COLUMN()-$B87,",",ROW()-G$84)</f>
        <v>5,3</v>
      </c>
      <c r="H87" s="19" t="str">
        <f>_xlfn.CONCAT(COLUMN()-$B87,",",ROW()-H$84)</f>
        <v>6,3</v>
      </c>
      <c r="I87" s="19" t="str">
        <f>_xlfn.CONCAT(COLUMN()-$B87,",",ROW()-I$84)</f>
        <v>7,3</v>
      </c>
      <c r="J87" s="19" t="str">
        <f>_xlfn.CONCAT(COLUMN()-$B87,",",ROW()-J$84)</f>
        <v>8,3</v>
      </c>
      <c r="K87" s="19" t="str">
        <f>_xlfn.CONCAT(COLUMN()-$B87,",",ROW()-K$84)</f>
        <v>9,3</v>
      </c>
      <c r="L87" s="19" t="str">
        <f>_xlfn.CONCAT(COLUMN()-$B87,",",ROW()-L$84)</f>
        <v>10,3</v>
      </c>
      <c r="M87" s="19" t="str">
        <f>_xlfn.CONCAT(COLUMN()-$B87,",",ROW()-M$84)</f>
        <v>11,3</v>
      </c>
      <c r="N87" s="19" t="str">
        <f>_xlfn.CONCAT(COLUMN()-$B87,",",ROW()-N$84)</f>
        <v>12,3</v>
      </c>
      <c r="O87" s="19" t="str">
        <f>_xlfn.CONCAT(COLUMN()-$B87,",",ROW()-O$84)</f>
        <v>13,3</v>
      </c>
      <c r="P87" s="19" t="str">
        <f>_xlfn.CONCAT(COLUMN()-$B87,",",ROW()-P$84)</f>
        <v>14,3</v>
      </c>
      <c r="Q87" s="19" t="str">
        <f>_xlfn.CONCAT(COLUMN()-$B87,",",ROW()-Q$84)</f>
        <v>15,3</v>
      </c>
      <c r="R87" s="19" t="str">
        <f>_xlfn.CONCAT(COLUMN()-$B87,",",ROW()-R$84)</f>
        <v>16,3</v>
      </c>
      <c r="S87" s="19" t="str">
        <f>_xlfn.CONCAT(COLUMN()-$B87,",",ROW()-S$84)</f>
        <v>17,3</v>
      </c>
      <c r="T87" s="19" t="str">
        <f>_xlfn.CONCAT(COLUMN()-$B87,",",ROW()-T$84)</f>
        <v>18,3</v>
      </c>
      <c r="U87" s="19" t="str">
        <f>_xlfn.CONCAT(COLUMN()-$B87,",",ROW()-U$84)</f>
        <v>19,3</v>
      </c>
      <c r="V87" s="19" t="str">
        <f>_xlfn.CONCAT(COLUMN()-$B87,",",ROW()-V$84)</f>
        <v>20,3</v>
      </c>
      <c r="W87" s="19" t="str">
        <f>_xlfn.CONCAT(COLUMN()-$B87,",",ROW()-W$84)</f>
        <v>21,3</v>
      </c>
      <c r="X87" s="19" t="str">
        <f>_xlfn.CONCAT(COLUMN()-$B87,",",ROW()-X$84)</f>
        <v>22,3</v>
      </c>
      <c r="Y87" s="19" t="str">
        <f>_xlfn.CONCAT(COLUMN()-$B87,",",ROW()-Y$84)</f>
        <v>23,3</v>
      </c>
      <c r="Z87" s="35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56">
        <v>3</v>
      </c>
      <c r="BG87" s="57">
        <v>1</v>
      </c>
      <c r="BH87" s="57">
        <v>6</v>
      </c>
      <c r="BI87" s="57">
        <v>50</v>
      </c>
      <c r="BJ87" s="13" t="str">
        <f t="shared" si="11"/>
        <v>6,1</v>
      </c>
      <c r="BK87" s="35"/>
      <c r="BL87" s="8">
        <f t="shared" si="12"/>
        <v>83</v>
      </c>
      <c r="BM87" s="6">
        <f t="shared" si="13"/>
        <v>3</v>
      </c>
      <c r="BN87" s="6">
        <f t="shared" si="14"/>
        <v>11</v>
      </c>
      <c r="BO87" s="35"/>
      <c r="BP87" s="15">
        <v>82</v>
      </c>
      <c r="BQ87" s="60">
        <v>1</v>
      </c>
      <c r="BR87" s="57">
        <v>4</v>
      </c>
      <c r="BS87" s="57" t="s">
        <v>140</v>
      </c>
      <c r="BT87" s="57" t="s">
        <v>70</v>
      </c>
      <c r="BU87" s="57">
        <v>1</v>
      </c>
      <c r="BV87" s="60">
        <v>0</v>
      </c>
      <c r="BW87" s="57">
        <v>0</v>
      </c>
      <c r="BX87" s="60">
        <v>0</v>
      </c>
      <c r="BY87" s="60">
        <v>0</v>
      </c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</row>
    <row r="88" spans="1:115" ht="11.25" customHeight="1" x14ac:dyDescent="0.25">
      <c r="A88" s="35"/>
      <c r="B88" s="12">
        <f>COLUMN()</f>
        <v>2</v>
      </c>
      <c r="C88" s="19" t="str">
        <f>_xlfn.CONCAT(COLUMN()-$B88,",",ROW()-C$84)</f>
        <v>1,4</v>
      </c>
      <c r="D88" s="19" t="str">
        <f>_xlfn.CONCAT(COLUMN()-$B88,",",ROW()-D$84)</f>
        <v>2,4</v>
      </c>
      <c r="E88" s="19" t="str">
        <f>_xlfn.CONCAT(COLUMN()-$B88,",",ROW()-E$84)</f>
        <v>3,4</v>
      </c>
      <c r="F88" s="19" t="str">
        <f>_xlfn.CONCAT(COLUMN()-$B88,",",ROW()-F$84)</f>
        <v>4,4</v>
      </c>
      <c r="G88" s="19" t="str">
        <f>_xlfn.CONCAT(COLUMN()-$B88,",",ROW()-G$84)</f>
        <v>5,4</v>
      </c>
      <c r="H88" s="19" t="str">
        <f>_xlfn.CONCAT(COLUMN()-$B88,",",ROW()-H$84)</f>
        <v>6,4</v>
      </c>
      <c r="I88" s="19" t="str">
        <f>_xlfn.CONCAT(COLUMN()-$B88,",",ROW()-I$84)</f>
        <v>7,4</v>
      </c>
      <c r="J88" s="19" t="str">
        <f>_xlfn.CONCAT(COLUMN()-$B88,",",ROW()-J$84)</f>
        <v>8,4</v>
      </c>
      <c r="K88" s="19" t="str">
        <f>_xlfn.CONCAT(COLUMN()-$B88,",",ROW()-K$84)</f>
        <v>9,4</v>
      </c>
      <c r="L88" s="19" t="str">
        <f>_xlfn.CONCAT(COLUMN()-$B88,",",ROW()-L$84)</f>
        <v>10,4</v>
      </c>
      <c r="M88" s="19" t="str">
        <f>_xlfn.CONCAT(COLUMN()-$B88,",",ROW()-M$84)</f>
        <v>11,4</v>
      </c>
      <c r="N88" s="19" t="str">
        <f>_xlfn.CONCAT(COLUMN()-$B88,",",ROW()-N$84)</f>
        <v>12,4</v>
      </c>
      <c r="O88" s="19" t="str">
        <f>_xlfn.CONCAT(COLUMN()-$B88,",",ROW()-O$84)</f>
        <v>13,4</v>
      </c>
      <c r="P88" s="19" t="str">
        <f>_xlfn.CONCAT(COLUMN()-$B88,",",ROW()-P$84)</f>
        <v>14,4</v>
      </c>
      <c r="Q88" s="19" t="str">
        <f>_xlfn.CONCAT(COLUMN()-$B88,",",ROW()-Q$84)</f>
        <v>15,4</v>
      </c>
      <c r="R88" s="19" t="str">
        <f>_xlfn.CONCAT(COLUMN()-$B88,",",ROW()-R$84)</f>
        <v>16,4</v>
      </c>
      <c r="S88" s="19" t="str">
        <f>_xlfn.CONCAT(COLUMN()-$B88,",",ROW()-S$84)</f>
        <v>17,4</v>
      </c>
      <c r="T88" s="19" t="str">
        <f>_xlfn.CONCAT(COLUMN()-$B88,",",ROW()-T$84)</f>
        <v>18,4</v>
      </c>
      <c r="U88" s="19" t="str">
        <f>_xlfn.CONCAT(COLUMN()-$B88,",",ROW()-U$84)</f>
        <v>19,4</v>
      </c>
      <c r="V88" s="19" t="str">
        <f>_xlfn.CONCAT(COLUMN()-$B88,",",ROW()-V$84)</f>
        <v>20,4</v>
      </c>
      <c r="W88" s="19" t="str">
        <f>_xlfn.CONCAT(COLUMN()-$B88,",",ROW()-W$84)</f>
        <v>21,4</v>
      </c>
      <c r="X88" s="19" t="str">
        <f>_xlfn.CONCAT(COLUMN()-$B88,",",ROW()-X$84)</f>
        <v>22,4</v>
      </c>
      <c r="Y88" s="19" t="str">
        <f>_xlfn.CONCAT(COLUMN()-$B88,",",ROW()-Y$84)</f>
        <v>23,4</v>
      </c>
      <c r="Z88" s="35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56">
        <v>3</v>
      </c>
      <c r="BG88" s="57">
        <v>1</v>
      </c>
      <c r="BH88" s="57">
        <v>7</v>
      </c>
      <c r="BI88" s="57">
        <v>50</v>
      </c>
      <c r="BJ88" s="13" t="str">
        <f t="shared" si="11"/>
        <v>7,1</v>
      </c>
      <c r="BK88" s="35"/>
      <c r="BL88" s="8">
        <f t="shared" si="12"/>
        <v>84</v>
      </c>
      <c r="BM88" s="6">
        <f t="shared" si="13"/>
        <v>3</v>
      </c>
      <c r="BN88" s="6">
        <f t="shared" si="14"/>
        <v>12</v>
      </c>
      <c r="BO88" s="35"/>
      <c r="BP88" s="15">
        <v>83</v>
      </c>
      <c r="BQ88" s="60">
        <v>1</v>
      </c>
      <c r="BR88" s="57">
        <v>5</v>
      </c>
      <c r="BS88" s="57" t="s">
        <v>141</v>
      </c>
      <c r="BT88" s="57" t="s">
        <v>67</v>
      </c>
      <c r="BU88" s="57">
        <v>1</v>
      </c>
      <c r="BV88" s="60">
        <v>20.2</v>
      </c>
      <c r="BW88" s="57">
        <v>100</v>
      </c>
      <c r="BX88" s="60">
        <v>202.83250000000001</v>
      </c>
      <c r="BY88" s="60">
        <v>403.71699999999902</v>
      </c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</row>
    <row r="89" spans="1:115" ht="11.25" customHeight="1" x14ac:dyDescent="0.25">
      <c r="A89" s="35"/>
      <c r="B89" s="12">
        <f>COLUMN()</f>
        <v>2</v>
      </c>
      <c r="C89" s="19" t="str">
        <f>_xlfn.CONCAT(COLUMN()-$B89,",",ROW()-C$84)</f>
        <v>1,5</v>
      </c>
      <c r="D89" s="19" t="str">
        <f>_xlfn.CONCAT(COLUMN()-$B89,",",ROW()-D$84)</f>
        <v>2,5</v>
      </c>
      <c r="E89" s="19" t="str">
        <f>_xlfn.CONCAT(COLUMN()-$B89,",",ROW()-E$84)</f>
        <v>3,5</v>
      </c>
      <c r="F89" s="19" t="str">
        <f>_xlfn.CONCAT(COLUMN()-$B89,",",ROW()-F$84)</f>
        <v>4,5</v>
      </c>
      <c r="G89" s="19" t="str">
        <f>_xlfn.CONCAT(COLUMN()-$B89,",",ROW()-G$84)</f>
        <v>5,5</v>
      </c>
      <c r="H89" s="19" t="str">
        <f>_xlfn.CONCAT(COLUMN()-$B89,",",ROW()-H$84)</f>
        <v>6,5</v>
      </c>
      <c r="I89" s="19" t="str">
        <f>_xlfn.CONCAT(COLUMN()-$B89,",",ROW()-I$84)</f>
        <v>7,5</v>
      </c>
      <c r="J89" s="19" t="str">
        <f>_xlfn.CONCAT(COLUMN()-$B89,",",ROW()-J$84)</f>
        <v>8,5</v>
      </c>
      <c r="K89" s="19" t="str">
        <f>_xlfn.CONCAT(COLUMN()-$B89,",",ROW()-K$84)</f>
        <v>9,5</v>
      </c>
      <c r="L89" s="19" t="str">
        <f>_xlfn.CONCAT(COLUMN()-$B89,",",ROW()-L$84)</f>
        <v>10,5</v>
      </c>
      <c r="M89" s="19" t="str">
        <f>_xlfn.CONCAT(COLUMN()-$B89,",",ROW()-M$84)</f>
        <v>11,5</v>
      </c>
      <c r="N89" s="19" t="str">
        <f>_xlfn.CONCAT(COLUMN()-$B89,",",ROW()-N$84)</f>
        <v>12,5</v>
      </c>
      <c r="O89" s="19" t="str">
        <f>_xlfn.CONCAT(COLUMN()-$B89,",",ROW()-O$84)</f>
        <v>13,5</v>
      </c>
      <c r="P89" s="19" t="str">
        <f>_xlfn.CONCAT(COLUMN()-$B89,",",ROW()-P$84)</f>
        <v>14,5</v>
      </c>
      <c r="Q89" s="19" t="str">
        <f>_xlfn.CONCAT(COLUMN()-$B89,",",ROW()-Q$84)</f>
        <v>15,5</v>
      </c>
      <c r="R89" s="19" t="str">
        <f>_xlfn.CONCAT(COLUMN()-$B89,",",ROW()-R$84)</f>
        <v>16,5</v>
      </c>
      <c r="S89" s="19" t="str">
        <f>_xlfn.CONCAT(COLUMN()-$B89,",",ROW()-S$84)</f>
        <v>17,5</v>
      </c>
      <c r="T89" s="19" t="str">
        <f>_xlfn.CONCAT(COLUMN()-$B89,",",ROW()-T$84)</f>
        <v>18,5</v>
      </c>
      <c r="U89" s="19" t="str">
        <f>_xlfn.CONCAT(COLUMN()-$B89,",",ROW()-U$84)</f>
        <v>19,5</v>
      </c>
      <c r="V89" s="19" t="str">
        <f>_xlfn.CONCAT(COLUMN()-$B89,",",ROW()-V$84)</f>
        <v>20,5</v>
      </c>
      <c r="W89" s="19" t="str">
        <f>_xlfn.CONCAT(COLUMN()-$B89,",",ROW()-W$84)</f>
        <v>21,5</v>
      </c>
      <c r="X89" s="19" t="str">
        <f>_xlfn.CONCAT(COLUMN()-$B89,",",ROW()-X$84)</f>
        <v>22,5</v>
      </c>
      <c r="Y89" s="19" t="str">
        <f>_xlfn.CONCAT(COLUMN()-$B89,",",ROW()-Y$84)</f>
        <v>23,5</v>
      </c>
      <c r="Z89" s="35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56">
        <v>3</v>
      </c>
      <c r="BG89" s="57">
        <v>1</v>
      </c>
      <c r="BH89" s="57">
        <v>8</v>
      </c>
      <c r="BI89" s="57">
        <v>50</v>
      </c>
      <c r="BJ89" s="13" t="str">
        <f t="shared" si="11"/>
        <v>8,1</v>
      </c>
      <c r="BK89" s="35"/>
      <c r="BL89" s="8">
        <f t="shared" si="12"/>
        <v>85</v>
      </c>
      <c r="BM89" s="6">
        <f t="shared" si="13"/>
        <v>3</v>
      </c>
      <c r="BN89" s="6">
        <f t="shared" si="14"/>
        <v>13</v>
      </c>
      <c r="BO89" s="35"/>
      <c r="BP89" s="15">
        <v>84</v>
      </c>
      <c r="BQ89" s="60">
        <v>1</v>
      </c>
      <c r="BR89" s="57">
        <v>6</v>
      </c>
      <c r="BS89" s="57" t="s">
        <v>142</v>
      </c>
      <c r="BT89" s="57" t="s">
        <v>70</v>
      </c>
      <c r="BU89" s="57">
        <v>1</v>
      </c>
      <c r="BV89" s="60">
        <v>0</v>
      </c>
      <c r="BW89" s="57">
        <v>0</v>
      </c>
      <c r="BX89" s="60">
        <v>0</v>
      </c>
      <c r="BY89" s="60">
        <v>0</v>
      </c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</row>
    <row r="90" spans="1:115" ht="11.25" customHeight="1" x14ac:dyDescent="0.25">
      <c r="A90" s="35"/>
      <c r="B90" s="12">
        <f>COLUMN()</f>
        <v>2</v>
      </c>
      <c r="C90" s="19" t="str">
        <f>_xlfn.CONCAT(COLUMN()-$B90,",",ROW()-C$84)</f>
        <v>1,6</v>
      </c>
      <c r="D90" s="19" t="str">
        <f>_xlfn.CONCAT(COLUMN()-$B90,",",ROW()-D$84)</f>
        <v>2,6</v>
      </c>
      <c r="E90" s="19" t="str">
        <f>_xlfn.CONCAT(COLUMN()-$B90,",",ROW()-E$84)</f>
        <v>3,6</v>
      </c>
      <c r="F90" s="19" t="str">
        <f>_xlfn.CONCAT(COLUMN()-$B90,",",ROW()-F$84)</f>
        <v>4,6</v>
      </c>
      <c r="G90" s="19" t="str">
        <f>_xlfn.CONCAT(COLUMN()-$B90,",",ROW()-G$84)</f>
        <v>5,6</v>
      </c>
      <c r="H90" s="19" t="str">
        <f>_xlfn.CONCAT(COLUMN()-$B90,",",ROW()-H$84)</f>
        <v>6,6</v>
      </c>
      <c r="I90" s="19" t="str">
        <f>_xlfn.CONCAT(COLUMN()-$B90,",",ROW()-I$84)</f>
        <v>7,6</v>
      </c>
      <c r="J90" s="19" t="str">
        <f>_xlfn.CONCAT(COLUMN()-$B90,",",ROW()-J$84)</f>
        <v>8,6</v>
      </c>
      <c r="K90" s="19" t="str">
        <f>_xlfn.CONCAT(COLUMN()-$B90,",",ROW()-K$84)</f>
        <v>9,6</v>
      </c>
      <c r="L90" s="19" t="str">
        <f>_xlfn.CONCAT(COLUMN()-$B90,",",ROW()-L$84)</f>
        <v>10,6</v>
      </c>
      <c r="M90" s="19" t="str">
        <f>_xlfn.CONCAT(COLUMN()-$B90,",",ROW()-M$84)</f>
        <v>11,6</v>
      </c>
      <c r="N90" s="19" t="str">
        <f>_xlfn.CONCAT(COLUMN()-$B90,",",ROW()-N$84)</f>
        <v>12,6</v>
      </c>
      <c r="O90" s="19" t="str">
        <f>_xlfn.CONCAT(COLUMN()-$B90,",",ROW()-O$84)</f>
        <v>13,6</v>
      </c>
      <c r="P90" s="19" t="str">
        <f>_xlfn.CONCAT(COLUMN()-$B90,",",ROW()-P$84)</f>
        <v>14,6</v>
      </c>
      <c r="Q90" s="19" t="str">
        <f>_xlfn.CONCAT(COLUMN()-$B90,",",ROW()-Q$84)</f>
        <v>15,6</v>
      </c>
      <c r="R90" s="19" t="str">
        <f>_xlfn.CONCAT(COLUMN()-$B90,",",ROW()-R$84)</f>
        <v>16,6</v>
      </c>
      <c r="S90" s="19" t="str">
        <f>_xlfn.CONCAT(COLUMN()-$B90,",",ROW()-S$84)</f>
        <v>17,6</v>
      </c>
      <c r="T90" s="19" t="str">
        <f>_xlfn.CONCAT(COLUMN()-$B90,",",ROW()-T$84)</f>
        <v>18,6</v>
      </c>
      <c r="U90" s="19" t="str">
        <f>_xlfn.CONCAT(COLUMN()-$B90,",",ROW()-U$84)</f>
        <v>19,6</v>
      </c>
      <c r="V90" s="19" t="str">
        <f>_xlfn.CONCAT(COLUMN()-$B90,",",ROW()-V$84)</f>
        <v>20,6</v>
      </c>
      <c r="W90" s="19" t="str">
        <f>_xlfn.CONCAT(COLUMN()-$B90,",",ROW()-W$84)</f>
        <v>21,6</v>
      </c>
      <c r="X90" s="19" t="str">
        <f>_xlfn.CONCAT(COLUMN()-$B90,",",ROW()-X$84)</f>
        <v>22,6</v>
      </c>
      <c r="Y90" s="19" t="str">
        <f>_xlfn.CONCAT(COLUMN()-$B90,",",ROW()-Y$84)</f>
        <v>23,6</v>
      </c>
      <c r="Z90" s="35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56">
        <v>3</v>
      </c>
      <c r="BG90" s="57">
        <v>1</v>
      </c>
      <c r="BH90" s="57">
        <v>9</v>
      </c>
      <c r="BI90" s="57">
        <v>50</v>
      </c>
      <c r="BJ90" s="13" t="str">
        <f t="shared" si="11"/>
        <v>9,1</v>
      </c>
      <c r="BK90" s="35"/>
      <c r="BL90" s="8">
        <f t="shared" si="12"/>
        <v>86</v>
      </c>
      <c r="BM90" s="6">
        <f t="shared" si="13"/>
        <v>3</v>
      </c>
      <c r="BN90" s="6">
        <f t="shared" si="14"/>
        <v>14</v>
      </c>
      <c r="BO90" s="35"/>
      <c r="BP90" s="15">
        <v>85</v>
      </c>
      <c r="BQ90" s="60">
        <v>1</v>
      </c>
      <c r="BR90" s="57">
        <v>7</v>
      </c>
      <c r="BS90" s="57" t="s">
        <v>143</v>
      </c>
      <c r="BT90" s="57" t="s">
        <v>70</v>
      </c>
      <c r="BU90" s="57">
        <v>1</v>
      </c>
      <c r="BV90" s="60">
        <v>0</v>
      </c>
      <c r="BW90" s="57">
        <v>0</v>
      </c>
      <c r="BX90" s="60">
        <v>0</v>
      </c>
      <c r="BY90" s="60">
        <v>0</v>
      </c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</row>
    <row r="91" spans="1:115" ht="11.25" customHeight="1" x14ac:dyDescent="0.25">
      <c r="A91" s="35"/>
      <c r="B91" s="12">
        <f>COLUMN()</f>
        <v>2</v>
      </c>
      <c r="C91" s="19" t="str">
        <f>_xlfn.CONCAT(COLUMN()-$B91,",",ROW()-C$84)</f>
        <v>1,7</v>
      </c>
      <c r="D91" s="19" t="str">
        <f>_xlfn.CONCAT(COLUMN()-$B91,",",ROW()-D$84)</f>
        <v>2,7</v>
      </c>
      <c r="E91" s="19" t="str">
        <f>_xlfn.CONCAT(COLUMN()-$B91,",",ROW()-E$84)</f>
        <v>3,7</v>
      </c>
      <c r="F91" s="19" t="str">
        <f>_xlfn.CONCAT(COLUMN()-$B91,",",ROW()-F$84)</f>
        <v>4,7</v>
      </c>
      <c r="G91" s="19" t="str">
        <f>_xlfn.CONCAT(COLUMN()-$B91,",",ROW()-G$84)</f>
        <v>5,7</v>
      </c>
      <c r="H91" s="19" t="str">
        <f>_xlfn.CONCAT(COLUMN()-$B91,",",ROW()-H$84)</f>
        <v>6,7</v>
      </c>
      <c r="I91" s="19" t="str">
        <f>_xlfn.CONCAT(COLUMN()-$B91,",",ROW()-I$84)</f>
        <v>7,7</v>
      </c>
      <c r="J91" s="19" t="str">
        <f>_xlfn.CONCAT(COLUMN()-$B91,",",ROW()-J$84)</f>
        <v>8,7</v>
      </c>
      <c r="K91" s="19" t="str">
        <f>_xlfn.CONCAT(COLUMN()-$B91,",",ROW()-K$84)</f>
        <v>9,7</v>
      </c>
      <c r="L91" s="19" t="str">
        <f>_xlfn.CONCAT(COLUMN()-$B91,",",ROW()-L$84)</f>
        <v>10,7</v>
      </c>
      <c r="M91" s="19" t="str">
        <f>_xlfn.CONCAT(COLUMN()-$B91,",",ROW()-M$84)</f>
        <v>11,7</v>
      </c>
      <c r="N91" s="19" t="str">
        <f>_xlfn.CONCAT(COLUMN()-$B91,",",ROW()-N$84)</f>
        <v>12,7</v>
      </c>
      <c r="O91" s="19" t="str">
        <f>_xlfn.CONCAT(COLUMN()-$B91,",",ROW()-O$84)</f>
        <v>13,7</v>
      </c>
      <c r="P91" s="19" t="str">
        <f>_xlfn.CONCAT(COLUMN()-$B91,",",ROW()-P$84)</f>
        <v>14,7</v>
      </c>
      <c r="Q91" s="19" t="str">
        <f>_xlfn.CONCAT(COLUMN()-$B91,",",ROW()-Q$84)</f>
        <v>15,7</v>
      </c>
      <c r="R91" s="19" t="str">
        <f>_xlfn.CONCAT(COLUMN()-$B91,",",ROW()-R$84)</f>
        <v>16,7</v>
      </c>
      <c r="S91" s="19" t="str">
        <f>_xlfn.CONCAT(COLUMN()-$B91,",",ROW()-S$84)</f>
        <v>17,7</v>
      </c>
      <c r="T91" s="19" t="str">
        <f>_xlfn.CONCAT(COLUMN()-$B91,",",ROW()-T$84)</f>
        <v>18,7</v>
      </c>
      <c r="U91" s="19" t="str">
        <f>_xlfn.CONCAT(COLUMN()-$B91,",",ROW()-U$84)</f>
        <v>19,7</v>
      </c>
      <c r="V91" s="19" t="str">
        <f>_xlfn.CONCAT(COLUMN()-$B91,",",ROW()-V$84)</f>
        <v>20,7</v>
      </c>
      <c r="W91" s="19" t="str">
        <f>_xlfn.CONCAT(COLUMN()-$B91,",",ROW()-W$84)</f>
        <v>21,7</v>
      </c>
      <c r="X91" s="19" t="str">
        <f>_xlfn.CONCAT(COLUMN()-$B91,",",ROW()-X$84)</f>
        <v>22,7</v>
      </c>
      <c r="Y91" s="19" t="str">
        <f>_xlfn.CONCAT(COLUMN()-$B91,",",ROW()-Y$84)</f>
        <v>23,7</v>
      </c>
      <c r="Z91" s="35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56">
        <v>3</v>
      </c>
      <c r="BG91" s="57">
        <v>1</v>
      </c>
      <c r="BH91" s="57">
        <v>10</v>
      </c>
      <c r="BI91" s="57">
        <v>50</v>
      </c>
      <c r="BJ91" s="13" t="str">
        <f t="shared" si="11"/>
        <v>10,1</v>
      </c>
      <c r="BK91" s="35"/>
      <c r="BL91" s="8">
        <f t="shared" si="12"/>
        <v>87</v>
      </c>
      <c r="BM91" s="6">
        <f t="shared" si="13"/>
        <v>3</v>
      </c>
      <c r="BN91" s="6">
        <f t="shared" si="14"/>
        <v>15</v>
      </c>
      <c r="BO91" s="35"/>
      <c r="BP91" s="15">
        <v>86</v>
      </c>
      <c r="BQ91" s="60">
        <v>1</v>
      </c>
      <c r="BR91" s="57">
        <v>8</v>
      </c>
      <c r="BS91" s="57" t="s">
        <v>141</v>
      </c>
      <c r="BT91" s="57" t="s">
        <v>67</v>
      </c>
      <c r="BU91" s="57">
        <v>1</v>
      </c>
      <c r="BV91" s="60">
        <v>20.2</v>
      </c>
      <c r="BW91" s="57">
        <v>100</v>
      </c>
      <c r="BX91" s="60">
        <v>201.858499999999</v>
      </c>
      <c r="BY91" s="60">
        <v>405.66500000000002</v>
      </c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</row>
    <row r="92" spans="1:115" ht="11.25" customHeight="1" x14ac:dyDescent="0.25">
      <c r="A92" s="35"/>
      <c r="B92" s="12">
        <f>COLUMN()</f>
        <v>2</v>
      </c>
      <c r="C92" s="19" t="str">
        <f>_xlfn.CONCAT(COLUMN()-$B92,",",ROW()-C$84)</f>
        <v>1,8</v>
      </c>
      <c r="D92" s="19" t="str">
        <f>_xlfn.CONCAT(COLUMN()-$B92,",",ROW()-D$84)</f>
        <v>2,8</v>
      </c>
      <c r="E92" s="19" t="str">
        <f>_xlfn.CONCAT(COLUMN()-$B92,",",ROW()-E$84)</f>
        <v>3,8</v>
      </c>
      <c r="F92" s="19" t="str">
        <f>_xlfn.CONCAT(COLUMN()-$B92,",",ROW()-F$84)</f>
        <v>4,8</v>
      </c>
      <c r="G92" s="19" t="str">
        <f>_xlfn.CONCAT(COLUMN()-$B92,",",ROW()-G$84)</f>
        <v>5,8</v>
      </c>
      <c r="H92" s="19" t="str">
        <f>_xlfn.CONCAT(COLUMN()-$B92,",",ROW()-H$84)</f>
        <v>6,8</v>
      </c>
      <c r="I92" s="19" t="str">
        <f>_xlfn.CONCAT(COLUMN()-$B92,",",ROW()-I$84)</f>
        <v>7,8</v>
      </c>
      <c r="J92" s="19" t="str">
        <f>_xlfn.CONCAT(COLUMN()-$B92,",",ROW()-J$84)</f>
        <v>8,8</v>
      </c>
      <c r="K92" s="19" t="str">
        <f>_xlfn.CONCAT(COLUMN()-$B92,",",ROW()-K$84)</f>
        <v>9,8</v>
      </c>
      <c r="L92" s="19" t="str">
        <f>_xlfn.CONCAT(COLUMN()-$B92,",",ROW()-L$84)</f>
        <v>10,8</v>
      </c>
      <c r="M92" s="19" t="str">
        <f>_xlfn.CONCAT(COLUMN()-$B92,",",ROW()-M$84)</f>
        <v>11,8</v>
      </c>
      <c r="N92" s="19" t="str">
        <f>_xlfn.CONCAT(COLUMN()-$B92,",",ROW()-N$84)</f>
        <v>12,8</v>
      </c>
      <c r="O92" s="19" t="str">
        <f>_xlfn.CONCAT(COLUMN()-$B92,",",ROW()-O$84)</f>
        <v>13,8</v>
      </c>
      <c r="P92" s="19" t="str">
        <f>_xlfn.CONCAT(COLUMN()-$B92,",",ROW()-P$84)</f>
        <v>14,8</v>
      </c>
      <c r="Q92" s="19" t="str">
        <f>_xlfn.CONCAT(COLUMN()-$B92,",",ROW()-Q$84)</f>
        <v>15,8</v>
      </c>
      <c r="R92" s="19" t="str">
        <f>_xlfn.CONCAT(COLUMN()-$B92,",",ROW()-R$84)</f>
        <v>16,8</v>
      </c>
      <c r="S92" s="19" t="str">
        <f>_xlfn.CONCAT(COLUMN()-$B92,",",ROW()-S$84)</f>
        <v>17,8</v>
      </c>
      <c r="T92" s="19" t="str">
        <f>_xlfn.CONCAT(COLUMN()-$B92,",",ROW()-T$84)</f>
        <v>18,8</v>
      </c>
      <c r="U92" s="19" t="str">
        <f>_xlfn.CONCAT(COLUMN()-$B92,",",ROW()-U$84)</f>
        <v>19,8</v>
      </c>
      <c r="V92" s="19" t="str">
        <f>_xlfn.CONCAT(COLUMN()-$B92,",",ROW()-V$84)</f>
        <v>20,8</v>
      </c>
      <c r="W92" s="19" t="str">
        <f>_xlfn.CONCAT(COLUMN()-$B92,",",ROW()-W$84)</f>
        <v>21,8</v>
      </c>
      <c r="X92" s="19" t="str">
        <f>_xlfn.CONCAT(COLUMN()-$B92,",",ROW()-X$84)</f>
        <v>22,8</v>
      </c>
      <c r="Y92" s="19" t="str">
        <f>_xlfn.CONCAT(COLUMN()-$B92,",",ROW()-Y$84)</f>
        <v>23,8</v>
      </c>
      <c r="Z92" s="35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56">
        <v>3</v>
      </c>
      <c r="BG92" s="57">
        <v>1</v>
      </c>
      <c r="BH92" s="57">
        <v>11</v>
      </c>
      <c r="BI92" s="57">
        <v>50</v>
      </c>
      <c r="BJ92" s="13" t="str">
        <f t="shared" si="11"/>
        <v>11,1</v>
      </c>
      <c r="BK92" s="35"/>
      <c r="BL92" s="8">
        <f t="shared" si="12"/>
        <v>88</v>
      </c>
      <c r="BM92" s="6">
        <f t="shared" si="13"/>
        <v>3</v>
      </c>
      <c r="BN92" s="6">
        <f t="shared" si="14"/>
        <v>16</v>
      </c>
      <c r="BO92" s="35"/>
      <c r="BP92" s="15">
        <v>87</v>
      </c>
      <c r="BQ92" s="60">
        <v>1</v>
      </c>
      <c r="BR92" s="57">
        <v>9</v>
      </c>
      <c r="BS92" s="57" t="s">
        <v>144</v>
      </c>
      <c r="BT92" s="57" t="s">
        <v>67</v>
      </c>
      <c r="BU92" s="57">
        <v>1</v>
      </c>
      <c r="BV92" s="60">
        <v>20.2</v>
      </c>
      <c r="BW92" s="57">
        <v>100</v>
      </c>
      <c r="BX92" s="60">
        <v>202.83249999999899</v>
      </c>
      <c r="BY92" s="60">
        <v>403.71699999999998</v>
      </c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</row>
    <row r="93" spans="1:115" ht="11.25" customHeight="1" x14ac:dyDescent="0.25">
      <c r="A93" s="35"/>
      <c r="B93" s="12">
        <f>COLUMN()</f>
        <v>2</v>
      </c>
      <c r="C93" s="19" t="str">
        <f>_xlfn.CONCAT(COLUMN()-$B93,",",ROW()-C$84)</f>
        <v>1,9</v>
      </c>
      <c r="D93" s="19" t="str">
        <f>_xlfn.CONCAT(COLUMN()-$B93,",",ROW()-D$84)</f>
        <v>2,9</v>
      </c>
      <c r="E93" s="19" t="str">
        <f>_xlfn.CONCAT(COLUMN()-$B93,",",ROW()-E$84)</f>
        <v>3,9</v>
      </c>
      <c r="F93" s="19" t="str">
        <f>_xlfn.CONCAT(COLUMN()-$B93,",",ROW()-F$84)</f>
        <v>4,9</v>
      </c>
      <c r="G93" s="19" t="str">
        <f>_xlfn.CONCAT(COLUMN()-$B93,",",ROW()-G$84)</f>
        <v>5,9</v>
      </c>
      <c r="H93" s="19" t="str">
        <f>_xlfn.CONCAT(COLUMN()-$B93,",",ROW()-H$84)</f>
        <v>6,9</v>
      </c>
      <c r="I93" s="19" t="str">
        <f>_xlfn.CONCAT(COLUMN()-$B93,",",ROW()-I$84)</f>
        <v>7,9</v>
      </c>
      <c r="J93" s="19" t="str">
        <f>_xlfn.CONCAT(COLUMN()-$B93,",",ROW()-J$84)</f>
        <v>8,9</v>
      </c>
      <c r="K93" s="19" t="str">
        <f>_xlfn.CONCAT(COLUMN()-$B93,",",ROW()-K$84)</f>
        <v>9,9</v>
      </c>
      <c r="L93" s="19" t="str">
        <f>_xlfn.CONCAT(COLUMN()-$B93,",",ROW()-L$84)</f>
        <v>10,9</v>
      </c>
      <c r="M93" s="19" t="str">
        <f>_xlfn.CONCAT(COLUMN()-$B93,",",ROW()-M$84)</f>
        <v>11,9</v>
      </c>
      <c r="N93" s="19" t="str">
        <f>_xlfn.CONCAT(COLUMN()-$B93,",",ROW()-N$84)</f>
        <v>12,9</v>
      </c>
      <c r="O93" s="19" t="str">
        <f>_xlfn.CONCAT(COLUMN()-$B93,",",ROW()-O$84)</f>
        <v>13,9</v>
      </c>
      <c r="P93" s="19" t="str">
        <f>_xlfn.CONCAT(COLUMN()-$B93,",",ROW()-P$84)</f>
        <v>14,9</v>
      </c>
      <c r="Q93" s="19" t="str">
        <f>_xlfn.CONCAT(COLUMN()-$B93,",",ROW()-Q$84)</f>
        <v>15,9</v>
      </c>
      <c r="R93" s="19" t="str">
        <f>_xlfn.CONCAT(COLUMN()-$B93,",",ROW()-R$84)</f>
        <v>16,9</v>
      </c>
      <c r="S93" s="19" t="str">
        <f>_xlfn.CONCAT(COLUMN()-$B93,",",ROW()-S$84)</f>
        <v>17,9</v>
      </c>
      <c r="T93" s="19" t="str">
        <f>_xlfn.CONCAT(COLUMN()-$B93,",",ROW()-T$84)</f>
        <v>18,9</v>
      </c>
      <c r="U93" s="19" t="str">
        <f>_xlfn.CONCAT(COLUMN()-$B93,",",ROW()-U$84)</f>
        <v>19,9</v>
      </c>
      <c r="V93" s="19" t="str">
        <f>_xlfn.CONCAT(COLUMN()-$B93,",",ROW()-V$84)</f>
        <v>20,9</v>
      </c>
      <c r="W93" s="19" t="str">
        <f>_xlfn.CONCAT(COLUMN()-$B93,",",ROW()-W$84)</f>
        <v>21,9</v>
      </c>
      <c r="X93" s="19" t="str">
        <f>_xlfn.CONCAT(COLUMN()-$B93,",",ROW()-X$84)</f>
        <v>22,9</v>
      </c>
      <c r="Y93" s="19" t="str">
        <f>_xlfn.CONCAT(COLUMN()-$B93,",",ROW()-Y$84)</f>
        <v>23,9</v>
      </c>
      <c r="Z93" s="35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56">
        <v>3</v>
      </c>
      <c r="BG93" s="57">
        <v>1</v>
      </c>
      <c r="BH93" s="57">
        <v>16</v>
      </c>
      <c r="BI93" s="57">
        <v>50</v>
      </c>
      <c r="BJ93" s="13" t="str">
        <f t="shared" si="11"/>
        <v>16,1</v>
      </c>
      <c r="BK93" s="35"/>
      <c r="BL93" s="8">
        <f t="shared" si="12"/>
        <v>89</v>
      </c>
      <c r="BM93" s="6">
        <f t="shared" si="13"/>
        <v>3</v>
      </c>
      <c r="BN93" s="6">
        <f t="shared" si="14"/>
        <v>17</v>
      </c>
      <c r="BO93" s="35"/>
      <c r="BP93" s="15">
        <v>88</v>
      </c>
      <c r="BQ93" s="60">
        <v>1</v>
      </c>
      <c r="BR93" s="57">
        <v>10</v>
      </c>
      <c r="BS93" s="57" t="s">
        <v>145</v>
      </c>
      <c r="BT93" s="57" t="s">
        <v>70</v>
      </c>
      <c r="BU93" s="57">
        <v>1</v>
      </c>
      <c r="BV93" s="60">
        <v>0</v>
      </c>
      <c r="BW93" s="57">
        <v>0</v>
      </c>
      <c r="BX93" s="60">
        <v>0</v>
      </c>
      <c r="BY93" s="60">
        <v>0</v>
      </c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</row>
    <row r="94" spans="1:115" ht="11.25" customHeight="1" x14ac:dyDescent="0.25">
      <c r="A94" s="35"/>
      <c r="B94" s="12">
        <f>COLUMN()</f>
        <v>2</v>
      </c>
      <c r="C94" s="19" t="str">
        <f>_xlfn.CONCAT(COLUMN()-$B94,",",ROW()-C$84)</f>
        <v>1,10</v>
      </c>
      <c r="D94" s="19" t="str">
        <f>_xlfn.CONCAT(COLUMN()-$B94,",",ROW()-D$84)</f>
        <v>2,10</v>
      </c>
      <c r="E94" s="19" t="str">
        <f>_xlfn.CONCAT(COLUMN()-$B94,",",ROW()-E$84)</f>
        <v>3,10</v>
      </c>
      <c r="F94" s="19" t="str">
        <f>_xlfn.CONCAT(COLUMN()-$B94,",",ROW()-F$84)</f>
        <v>4,10</v>
      </c>
      <c r="G94" s="19" t="str">
        <f>_xlfn.CONCAT(COLUMN()-$B94,",",ROW()-G$84)</f>
        <v>5,10</v>
      </c>
      <c r="H94" s="19" t="str">
        <f>_xlfn.CONCAT(COLUMN()-$B94,",",ROW()-H$84)</f>
        <v>6,10</v>
      </c>
      <c r="I94" s="19" t="str">
        <f>_xlfn.CONCAT(COLUMN()-$B94,",",ROW()-I$84)</f>
        <v>7,10</v>
      </c>
      <c r="J94" s="19" t="str">
        <f>_xlfn.CONCAT(COLUMN()-$B94,",",ROW()-J$84)</f>
        <v>8,10</v>
      </c>
      <c r="K94" s="19" t="str">
        <f>_xlfn.CONCAT(COLUMN()-$B94,",",ROW()-K$84)</f>
        <v>9,10</v>
      </c>
      <c r="L94" s="19" t="str">
        <f>_xlfn.CONCAT(COLUMN()-$B94,",",ROW()-L$84)</f>
        <v>10,10</v>
      </c>
      <c r="M94" s="19" t="str">
        <f>_xlfn.CONCAT(COLUMN()-$B94,",",ROW()-M$84)</f>
        <v>11,10</v>
      </c>
      <c r="N94" s="19" t="str">
        <f>_xlfn.CONCAT(COLUMN()-$B94,",",ROW()-N$84)</f>
        <v>12,10</v>
      </c>
      <c r="O94" s="19" t="str">
        <f>_xlfn.CONCAT(COLUMN()-$B94,",",ROW()-O$84)</f>
        <v>13,10</v>
      </c>
      <c r="P94" s="19" t="str">
        <f>_xlfn.CONCAT(COLUMN()-$B94,",",ROW()-P$84)</f>
        <v>14,10</v>
      </c>
      <c r="Q94" s="19" t="str">
        <f>_xlfn.CONCAT(COLUMN()-$B94,",",ROW()-Q$84)</f>
        <v>15,10</v>
      </c>
      <c r="R94" s="19" t="str">
        <f>_xlfn.CONCAT(COLUMN()-$B94,",",ROW()-R$84)</f>
        <v>16,10</v>
      </c>
      <c r="S94" s="19" t="str">
        <f>_xlfn.CONCAT(COLUMN()-$B94,",",ROW()-S$84)</f>
        <v>17,10</v>
      </c>
      <c r="T94" s="19" t="str">
        <f>_xlfn.CONCAT(COLUMN()-$B94,",",ROW()-T$84)</f>
        <v>18,10</v>
      </c>
      <c r="U94" s="19" t="str">
        <f>_xlfn.CONCAT(COLUMN()-$B94,",",ROW()-U$84)</f>
        <v>19,10</v>
      </c>
      <c r="V94" s="19" t="str">
        <f>_xlfn.CONCAT(COLUMN()-$B94,",",ROW()-V$84)</f>
        <v>20,10</v>
      </c>
      <c r="W94" s="19" t="str">
        <f>_xlfn.CONCAT(COLUMN()-$B94,",",ROW()-W$84)</f>
        <v>21,10</v>
      </c>
      <c r="X94" s="19" t="str">
        <f>_xlfn.CONCAT(COLUMN()-$B94,",",ROW()-X$84)</f>
        <v>22,10</v>
      </c>
      <c r="Y94" s="19" t="str">
        <f>_xlfn.CONCAT(COLUMN()-$B94,",",ROW()-Y$84)</f>
        <v>23,10</v>
      </c>
      <c r="Z94" s="35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56">
        <v>3</v>
      </c>
      <c r="BG94" s="57">
        <v>1</v>
      </c>
      <c r="BH94" s="57">
        <v>17</v>
      </c>
      <c r="BI94" s="57">
        <v>50</v>
      </c>
      <c r="BJ94" s="13" t="str">
        <f t="shared" si="11"/>
        <v>17,1</v>
      </c>
      <c r="BK94" s="35"/>
      <c r="BL94" s="8">
        <f t="shared" si="12"/>
        <v>90</v>
      </c>
      <c r="BM94" s="6">
        <f t="shared" si="13"/>
        <v>3</v>
      </c>
      <c r="BN94" s="6">
        <f t="shared" si="14"/>
        <v>18</v>
      </c>
      <c r="BO94" s="35"/>
      <c r="BP94" s="15">
        <v>89</v>
      </c>
      <c r="BQ94" s="60">
        <v>1</v>
      </c>
      <c r="BR94" s="57">
        <v>11</v>
      </c>
      <c r="BS94" s="57" t="s">
        <v>146</v>
      </c>
      <c r="BT94" s="57" t="s">
        <v>70</v>
      </c>
      <c r="BU94" s="57">
        <v>1</v>
      </c>
      <c r="BV94" s="60">
        <v>0</v>
      </c>
      <c r="BW94" s="57">
        <v>0</v>
      </c>
      <c r="BX94" s="60">
        <v>0</v>
      </c>
      <c r="BY94" s="60">
        <v>0</v>
      </c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</row>
    <row r="95" spans="1:115" ht="11.25" customHeight="1" x14ac:dyDescent="0.25">
      <c r="A95" s="35"/>
      <c r="B95" s="12">
        <f>COLUMN()</f>
        <v>2</v>
      </c>
      <c r="C95" s="19" t="str">
        <f>_xlfn.CONCAT(COLUMN()-$B95,",",ROW()-C$84)</f>
        <v>1,11</v>
      </c>
      <c r="D95" s="19" t="str">
        <f>_xlfn.CONCAT(COLUMN()-$B95,",",ROW()-D$84)</f>
        <v>2,11</v>
      </c>
      <c r="E95" s="19" t="str">
        <f>_xlfn.CONCAT(COLUMN()-$B95,",",ROW()-E$84)</f>
        <v>3,11</v>
      </c>
      <c r="F95" s="19" t="str">
        <f>_xlfn.CONCAT(COLUMN()-$B95,",",ROW()-F$84)</f>
        <v>4,11</v>
      </c>
      <c r="G95" s="19" t="str">
        <f>_xlfn.CONCAT(COLUMN()-$B95,",",ROW()-G$84)</f>
        <v>5,11</v>
      </c>
      <c r="H95" s="19" t="str">
        <f>_xlfn.CONCAT(COLUMN()-$B95,",",ROW()-H$84)</f>
        <v>6,11</v>
      </c>
      <c r="I95" s="19" t="str">
        <f>_xlfn.CONCAT(COLUMN()-$B95,",",ROW()-I$84)</f>
        <v>7,11</v>
      </c>
      <c r="J95" s="19" t="str">
        <f>_xlfn.CONCAT(COLUMN()-$B95,",",ROW()-J$84)</f>
        <v>8,11</v>
      </c>
      <c r="K95" s="19" t="str">
        <f>_xlfn.CONCAT(COLUMN()-$B95,",",ROW()-K$84)</f>
        <v>9,11</v>
      </c>
      <c r="L95" s="19" t="str">
        <f>_xlfn.CONCAT(COLUMN()-$B95,",",ROW()-L$84)</f>
        <v>10,11</v>
      </c>
      <c r="M95" s="19" t="str">
        <f>_xlfn.CONCAT(COLUMN()-$B95,",",ROW()-M$84)</f>
        <v>11,11</v>
      </c>
      <c r="N95" s="19" t="str">
        <f>_xlfn.CONCAT(COLUMN()-$B95,",",ROW()-N$84)</f>
        <v>12,11</v>
      </c>
      <c r="O95" s="19" t="str">
        <f>_xlfn.CONCAT(COLUMN()-$B95,",",ROW()-O$84)</f>
        <v>13,11</v>
      </c>
      <c r="P95" s="19" t="str">
        <f>_xlfn.CONCAT(COLUMN()-$B95,",",ROW()-P$84)</f>
        <v>14,11</v>
      </c>
      <c r="Q95" s="19" t="str">
        <f>_xlfn.CONCAT(COLUMN()-$B95,",",ROW()-Q$84)</f>
        <v>15,11</v>
      </c>
      <c r="R95" s="19" t="str">
        <f>_xlfn.CONCAT(COLUMN()-$B95,",",ROW()-R$84)</f>
        <v>16,11</v>
      </c>
      <c r="S95" s="19" t="str">
        <f>_xlfn.CONCAT(COLUMN()-$B95,",",ROW()-S$84)</f>
        <v>17,11</v>
      </c>
      <c r="T95" s="19" t="str">
        <f>_xlfn.CONCAT(COLUMN()-$B95,",",ROW()-T$84)</f>
        <v>18,11</v>
      </c>
      <c r="U95" s="19" t="str">
        <f>_xlfn.CONCAT(COLUMN()-$B95,",",ROW()-U$84)</f>
        <v>19,11</v>
      </c>
      <c r="V95" s="19" t="str">
        <f>_xlfn.CONCAT(COLUMN()-$B95,",",ROW()-V$84)</f>
        <v>20,11</v>
      </c>
      <c r="W95" s="19" t="str">
        <f>_xlfn.CONCAT(COLUMN()-$B95,",",ROW()-W$84)</f>
        <v>21,11</v>
      </c>
      <c r="X95" s="19" t="str">
        <f>_xlfn.CONCAT(COLUMN()-$B95,",",ROW()-X$84)</f>
        <v>22,11</v>
      </c>
      <c r="Y95" s="19" t="str">
        <f>_xlfn.CONCAT(COLUMN()-$B95,",",ROW()-Y$84)</f>
        <v>23,11</v>
      </c>
      <c r="Z95" s="35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56">
        <v>3</v>
      </c>
      <c r="BG95" s="57">
        <v>1</v>
      </c>
      <c r="BH95" s="57">
        <v>18</v>
      </c>
      <c r="BI95" s="57">
        <v>50</v>
      </c>
      <c r="BJ95" s="13" t="str">
        <f t="shared" si="11"/>
        <v>18,1</v>
      </c>
      <c r="BK95" s="35"/>
      <c r="BL95" s="8">
        <f t="shared" si="12"/>
        <v>91</v>
      </c>
      <c r="BM95" s="6">
        <f t="shared" si="13"/>
        <v>3</v>
      </c>
      <c r="BN95" s="6">
        <f t="shared" si="14"/>
        <v>19</v>
      </c>
      <c r="BO95" s="35"/>
      <c r="BP95" s="15">
        <v>90</v>
      </c>
      <c r="BQ95" s="60">
        <v>1</v>
      </c>
      <c r="BR95" s="57">
        <v>12</v>
      </c>
      <c r="BS95" s="57" t="s">
        <v>147</v>
      </c>
      <c r="BT95" s="57" t="s">
        <v>70</v>
      </c>
      <c r="BU95" s="57">
        <v>1</v>
      </c>
      <c r="BV95" s="60">
        <v>0</v>
      </c>
      <c r="BW95" s="57">
        <v>0</v>
      </c>
      <c r="BX95" s="60">
        <v>0</v>
      </c>
      <c r="BY95" s="60">
        <v>0</v>
      </c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</row>
    <row r="96" spans="1:115" ht="11.25" customHeight="1" x14ac:dyDescent="0.25">
      <c r="A96" s="35"/>
      <c r="B96" s="12">
        <f>COLUMN()</f>
        <v>2</v>
      </c>
      <c r="C96" s="19" t="str">
        <f>_xlfn.CONCAT(COLUMN()-$B96,",",ROW()-C$84)</f>
        <v>1,12</v>
      </c>
      <c r="D96" s="19" t="str">
        <f>_xlfn.CONCAT(COLUMN()-$B96,",",ROW()-D$84)</f>
        <v>2,12</v>
      </c>
      <c r="E96" s="19" t="str">
        <f>_xlfn.CONCAT(COLUMN()-$B96,",",ROW()-E$84)</f>
        <v>3,12</v>
      </c>
      <c r="F96" s="19" t="str">
        <f>_xlfn.CONCAT(COLUMN()-$B96,",",ROW()-F$84)</f>
        <v>4,12</v>
      </c>
      <c r="G96" s="19" t="str">
        <f>_xlfn.CONCAT(COLUMN()-$B96,",",ROW()-G$84)</f>
        <v>5,12</v>
      </c>
      <c r="H96" s="19" t="str">
        <f>_xlfn.CONCAT(COLUMN()-$B96,",",ROW()-H$84)</f>
        <v>6,12</v>
      </c>
      <c r="I96" s="19" t="str">
        <f>_xlfn.CONCAT(COLUMN()-$B96,",",ROW()-I$84)</f>
        <v>7,12</v>
      </c>
      <c r="J96" s="19" t="str">
        <f>_xlfn.CONCAT(COLUMN()-$B96,",",ROW()-J$84)</f>
        <v>8,12</v>
      </c>
      <c r="K96" s="19" t="str">
        <f>_xlfn.CONCAT(COLUMN()-$B96,",",ROW()-K$84)</f>
        <v>9,12</v>
      </c>
      <c r="L96" s="19" t="str">
        <f>_xlfn.CONCAT(COLUMN()-$B96,",",ROW()-L$84)</f>
        <v>10,12</v>
      </c>
      <c r="M96" s="19" t="str">
        <f>_xlfn.CONCAT(COLUMN()-$B96,",",ROW()-M$84)</f>
        <v>11,12</v>
      </c>
      <c r="N96" s="19" t="str">
        <f>_xlfn.CONCAT(COLUMN()-$B96,",",ROW()-N$84)</f>
        <v>12,12</v>
      </c>
      <c r="O96" s="19" t="str">
        <f>_xlfn.CONCAT(COLUMN()-$B96,",",ROW()-O$84)</f>
        <v>13,12</v>
      </c>
      <c r="P96" s="19" t="str">
        <f>_xlfn.CONCAT(COLUMN()-$B96,",",ROW()-P$84)</f>
        <v>14,12</v>
      </c>
      <c r="Q96" s="19" t="str">
        <f>_xlfn.CONCAT(COLUMN()-$B96,",",ROW()-Q$84)</f>
        <v>15,12</v>
      </c>
      <c r="R96" s="19" t="str">
        <f>_xlfn.CONCAT(COLUMN()-$B96,",",ROW()-R$84)</f>
        <v>16,12</v>
      </c>
      <c r="S96" s="19" t="str">
        <f>_xlfn.CONCAT(COLUMN()-$B96,",",ROW()-S$84)</f>
        <v>17,12</v>
      </c>
      <c r="T96" s="19" t="str">
        <f>_xlfn.CONCAT(COLUMN()-$B96,",",ROW()-T$84)</f>
        <v>18,12</v>
      </c>
      <c r="U96" s="19" t="str">
        <f>_xlfn.CONCAT(COLUMN()-$B96,",",ROW()-U$84)</f>
        <v>19,12</v>
      </c>
      <c r="V96" s="19" t="str">
        <f>_xlfn.CONCAT(COLUMN()-$B96,",",ROW()-V$84)</f>
        <v>20,12</v>
      </c>
      <c r="W96" s="19" t="str">
        <f>_xlfn.CONCAT(COLUMN()-$B96,",",ROW()-W$84)</f>
        <v>21,12</v>
      </c>
      <c r="X96" s="19" t="str">
        <f>_xlfn.CONCAT(COLUMN()-$B96,",",ROW()-X$84)</f>
        <v>22,12</v>
      </c>
      <c r="Y96" s="19" t="str">
        <f>_xlfn.CONCAT(COLUMN()-$B96,",",ROW()-Y$84)</f>
        <v>23,12</v>
      </c>
      <c r="Z96" s="35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56">
        <v>3</v>
      </c>
      <c r="BG96" s="57">
        <v>1</v>
      </c>
      <c r="BH96" s="57">
        <v>19</v>
      </c>
      <c r="BI96" s="57">
        <v>50</v>
      </c>
      <c r="BJ96" s="13" t="str">
        <f t="shared" si="11"/>
        <v>19,1</v>
      </c>
      <c r="BK96" s="35"/>
      <c r="BL96" s="8">
        <f t="shared" si="12"/>
        <v>92</v>
      </c>
      <c r="BM96" s="6">
        <f t="shared" si="13"/>
        <v>3</v>
      </c>
      <c r="BN96" s="6">
        <f t="shared" si="14"/>
        <v>20</v>
      </c>
      <c r="BO96" s="35"/>
      <c r="BP96" s="15">
        <v>91</v>
      </c>
      <c r="BQ96" s="60">
        <v>1</v>
      </c>
      <c r="BR96" s="57">
        <v>13</v>
      </c>
      <c r="BS96" s="57" t="s">
        <v>148</v>
      </c>
      <c r="BT96" s="57" t="s">
        <v>70</v>
      </c>
      <c r="BU96" s="57">
        <v>1</v>
      </c>
      <c r="BV96" s="60">
        <v>0</v>
      </c>
      <c r="BW96" s="57">
        <v>0</v>
      </c>
      <c r="BX96" s="60">
        <v>0</v>
      </c>
      <c r="BY96" s="60">
        <v>0</v>
      </c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</row>
    <row r="97" spans="1:115" ht="11.25" customHeight="1" x14ac:dyDescent="0.25">
      <c r="A97" s="35"/>
      <c r="B97" s="12">
        <f>COLUMN()</f>
        <v>2</v>
      </c>
      <c r="C97" s="19" t="str">
        <f>_xlfn.CONCAT(COLUMN()-$B97,",",ROW()-C$84)</f>
        <v>1,13</v>
      </c>
      <c r="D97" s="19" t="str">
        <f>_xlfn.CONCAT(COLUMN()-$B97,",",ROW()-D$84)</f>
        <v>2,13</v>
      </c>
      <c r="E97" s="19" t="str">
        <f>_xlfn.CONCAT(COLUMN()-$B97,",",ROW()-E$84)</f>
        <v>3,13</v>
      </c>
      <c r="F97" s="19" t="str">
        <f>_xlfn.CONCAT(COLUMN()-$B97,",",ROW()-F$84)</f>
        <v>4,13</v>
      </c>
      <c r="G97" s="19" t="str">
        <f>_xlfn.CONCAT(COLUMN()-$B97,",",ROW()-G$84)</f>
        <v>5,13</v>
      </c>
      <c r="H97" s="19" t="str">
        <f>_xlfn.CONCAT(COLUMN()-$B97,",",ROW()-H$84)</f>
        <v>6,13</v>
      </c>
      <c r="I97" s="19" t="str">
        <f>_xlfn.CONCAT(COLUMN()-$B97,",",ROW()-I$84)</f>
        <v>7,13</v>
      </c>
      <c r="J97" s="19" t="str">
        <f>_xlfn.CONCAT(COLUMN()-$B97,",",ROW()-J$84)</f>
        <v>8,13</v>
      </c>
      <c r="K97" s="19" t="str">
        <f>_xlfn.CONCAT(COLUMN()-$B97,",",ROW()-K$84)</f>
        <v>9,13</v>
      </c>
      <c r="L97" s="19" t="str">
        <f>_xlfn.CONCAT(COLUMN()-$B97,",",ROW()-L$84)</f>
        <v>10,13</v>
      </c>
      <c r="M97" s="19" t="str">
        <f>_xlfn.CONCAT(COLUMN()-$B97,",",ROW()-M$84)</f>
        <v>11,13</v>
      </c>
      <c r="N97" s="19" t="str">
        <f>_xlfn.CONCAT(COLUMN()-$B97,",",ROW()-N$84)</f>
        <v>12,13</v>
      </c>
      <c r="O97" s="19" t="str">
        <f>_xlfn.CONCAT(COLUMN()-$B97,",",ROW()-O$84)</f>
        <v>13,13</v>
      </c>
      <c r="P97" s="19" t="str">
        <f>_xlfn.CONCAT(COLUMN()-$B97,",",ROW()-P$84)</f>
        <v>14,13</v>
      </c>
      <c r="Q97" s="19" t="str">
        <f>_xlfn.CONCAT(COLUMN()-$B97,",",ROW()-Q$84)</f>
        <v>15,13</v>
      </c>
      <c r="R97" s="19" t="str">
        <f>_xlfn.CONCAT(COLUMN()-$B97,",",ROW()-R$84)</f>
        <v>16,13</v>
      </c>
      <c r="S97" s="19" t="str">
        <f>_xlfn.CONCAT(COLUMN()-$B97,",",ROW()-S$84)</f>
        <v>17,13</v>
      </c>
      <c r="T97" s="19" t="str">
        <f>_xlfn.CONCAT(COLUMN()-$B97,",",ROW()-T$84)</f>
        <v>18,13</v>
      </c>
      <c r="U97" s="19" t="str">
        <f>_xlfn.CONCAT(COLUMN()-$B97,",",ROW()-U$84)</f>
        <v>19,13</v>
      </c>
      <c r="V97" s="19" t="str">
        <f>_xlfn.CONCAT(COLUMN()-$B97,",",ROW()-V$84)</f>
        <v>20,13</v>
      </c>
      <c r="W97" s="19" t="str">
        <f>_xlfn.CONCAT(COLUMN()-$B97,",",ROW()-W$84)</f>
        <v>21,13</v>
      </c>
      <c r="X97" s="19" t="str">
        <f>_xlfn.CONCAT(COLUMN()-$B97,",",ROW()-X$84)</f>
        <v>22,13</v>
      </c>
      <c r="Y97" s="19" t="str">
        <f>_xlfn.CONCAT(COLUMN()-$B97,",",ROW()-Y$84)</f>
        <v>23,13</v>
      </c>
      <c r="Z97" s="35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56">
        <v>3</v>
      </c>
      <c r="BG97" s="57">
        <v>1</v>
      </c>
      <c r="BH97" s="57">
        <v>20</v>
      </c>
      <c r="BI97" s="57">
        <v>50</v>
      </c>
      <c r="BJ97" s="13" t="str">
        <f t="shared" si="11"/>
        <v>20,1</v>
      </c>
      <c r="BK97" s="35"/>
      <c r="BL97" s="8">
        <f t="shared" si="12"/>
        <v>93</v>
      </c>
      <c r="BM97" s="6">
        <f t="shared" si="13"/>
        <v>3</v>
      </c>
      <c r="BN97" s="6">
        <f t="shared" si="14"/>
        <v>21</v>
      </c>
      <c r="BO97" s="35"/>
      <c r="BP97" s="15">
        <v>92</v>
      </c>
      <c r="BQ97" s="60">
        <v>1</v>
      </c>
      <c r="BR97" s="57">
        <v>14</v>
      </c>
      <c r="BS97" s="57" t="s">
        <v>144</v>
      </c>
      <c r="BT97" s="57" t="s">
        <v>67</v>
      </c>
      <c r="BU97" s="57">
        <v>1</v>
      </c>
      <c r="BV97" s="60">
        <v>20.2</v>
      </c>
      <c r="BW97" s="57">
        <v>100</v>
      </c>
      <c r="BX97" s="60">
        <v>201.85849999999999</v>
      </c>
      <c r="BY97" s="60">
        <v>405.664999999999</v>
      </c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</row>
    <row r="98" spans="1:115" ht="11.25" customHeight="1" x14ac:dyDescent="0.25">
      <c r="A98" s="35"/>
      <c r="B98" s="12">
        <f>COLUMN()</f>
        <v>2</v>
      </c>
      <c r="C98" s="19" t="str">
        <f>_xlfn.CONCAT(COLUMN()-$B98,",",ROW()-C$84)</f>
        <v>1,14</v>
      </c>
      <c r="D98" s="19" t="str">
        <f>_xlfn.CONCAT(COLUMN()-$B98,",",ROW()-D$84)</f>
        <v>2,14</v>
      </c>
      <c r="E98" s="19" t="str">
        <f>_xlfn.CONCAT(COLUMN()-$B98,",",ROW()-E$84)</f>
        <v>3,14</v>
      </c>
      <c r="F98" s="19" t="str">
        <f>_xlfn.CONCAT(COLUMN()-$B98,",",ROW()-F$84)</f>
        <v>4,14</v>
      </c>
      <c r="G98" s="19" t="str">
        <f>_xlfn.CONCAT(COLUMN()-$B98,",",ROW()-G$84)</f>
        <v>5,14</v>
      </c>
      <c r="H98" s="19" t="str">
        <f>_xlfn.CONCAT(COLUMN()-$B98,",",ROW()-H$84)</f>
        <v>6,14</v>
      </c>
      <c r="I98" s="19" t="str">
        <f>_xlfn.CONCAT(COLUMN()-$B98,",",ROW()-I$84)</f>
        <v>7,14</v>
      </c>
      <c r="J98" s="19" t="str">
        <f>_xlfn.CONCAT(COLUMN()-$B98,",",ROW()-J$84)</f>
        <v>8,14</v>
      </c>
      <c r="K98" s="19" t="str">
        <f>_xlfn.CONCAT(COLUMN()-$B98,",",ROW()-K$84)</f>
        <v>9,14</v>
      </c>
      <c r="L98" s="19" t="str">
        <f>_xlfn.CONCAT(COLUMN()-$B98,",",ROW()-L$84)</f>
        <v>10,14</v>
      </c>
      <c r="M98" s="19" t="str">
        <f>_xlfn.CONCAT(COLUMN()-$B98,",",ROW()-M$84)</f>
        <v>11,14</v>
      </c>
      <c r="N98" s="19" t="str">
        <f>_xlfn.CONCAT(COLUMN()-$B98,",",ROW()-N$84)</f>
        <v>12,14</v>
      </c>
      <c r="O98" s="19" t="str">
        <f>_xlfn.CONCAT(COLUMN()-$B98,",",ROW()-O$84)</f>
        <v>13,14</v>
      </c>
      <c r="P98" s="19" t="str">
        <f>_xlfn.CONCAT(COLUMN()-$B98,",",ROW()-P$84)</f>
        <v>14,14</v>
      </c>
      <c r="Q98" s="19" t="str">
        <f>_xlfn.CONCAT(COLUMN()-$B98,",",ROW()-Q$84)</f>
        <v>15,14</v>
      </c>
      <c r="R98" s="19" t="str">
        <f>_xlfn.CONCAT(COLUMN()-$B98,",",ROW()-R$84)</f>
        <v>16,14</v>
      </c>
      <c r="S98" s="19" t="str">
        <f>_xlfn.CONCAT(COLUMN()-$B98,",",ROW()-S$84)</f>
        <v>17,14</v>
      </c>
      <c r="T98" s="19" t="str">
        <f>_xlfn.CONCAT(COLUMN()-$B98,",",ROW()-T$84)</f>
        <v>18,14</v>
      </c>
      <c r="U98" s="19" t="str">
        <f>_xlfn.CONCAT(COLUMN()-$B98,",",ROW()-U$84)</f>
        <v>19,14</v>
      </c>
      <c r="V98" s="19" t="str">
        <f>_xlfn.CONCAT(COLUMN()-$B98,",",ROW()-V$84)</f>
        <v>20,14</v>
      </c>
      <c r="W98" s="19" t="str">
        <f>_xlfn.CONCAT(COLUMN()-$B98,",",ROW()-W$84)</f>
        <v>21,14</v>
      </c>
      <c r="X98" s="19" t="str">
        <f>_xlfn.CONCAT(COLUMN()-$B98,",",ROW()-X$84)</f>
        <v>22,14</v>
      </c>
      <c r="Y98" s="19" t="str">
        <f>_xlfn.CONCAT(COLUMN()-$B98,",",ROW()-Y$84)</f>
        <v>23,14</v>
      </c>
      <c r="Z98" s="35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56">
        <v>3</v>
      </c>
      <c r="BG98" s="57">
        <v>1</v>
      </c>
      <c r="BH98" s="57">
        <v>21</v>
      </c>
      <c r="BI98" s="57">
        <v>50</v>
      </c>
      <c r="BJ98" s="13" t="str">
        <f t="shared" si="11"/>
        <v>21,1</v>
      </c>
      <c r="BK98" s="35"/>
      <c r="BL98" s="8">
        <f t="shared" si="12"/>
        <v>94</v>
      </c>
      <c r="BM98" s="6">
        <f t="shared" si="13"/>
        <v>3</v>
      </c>
      <c r="BN98" s="6">
        <f t="shared" si="14"/>
        <v>22</v>
      </c>
      <c r="BO98" s="35"/>
      <c r="BP98" s="15">
        <v>93</v>
      </c>
      <c r="BQ98" s="60">
        <v>1</v>
      </c>
      <c r="BR98" s="57">
        <v>15</v>
      </c>
      <c r="BS98" s="57" t="s">
        <v>149</v>
      </c>
      <c r="BT98" s="57" t="s">
        <v>67</v>
      </c>
      <c r="BU98" s="57">
        <v>1</v>
      </c>
      <c r="BV98" s="60">
        <v>20.2</v>
      </c>
      <c r="BW98" s="57">
        <v>100</v>
      </c>
      <c r="BX98" s="60">
        <v>202.83249999999899</v>
      </c>
      <c r="BY98" s="60">
        <v>403.71699999999998</v>
      </c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</row>
    <row r="99" spans="1:115" ht="11.25" customHeight="1" x14ac:dyDescent="0.25">
      <c r="A99" s="35"/>
      <c r="B99" s="12">
        <f>COLUMN()</f>
        <v>2</v>
      </c>
      <c r="C99" s="19" t="str">
        <f>_xlfn.CONCAT(COLUMN()-$B99,",",ROW()-C$84)</f>
        <v>1,15</v>
      </c>
      <c r="D99" s="19" t="str">
        <f>_xlfn.CONCAT(COLUMN()-$B99,",",ROW()-D$84)</f>
        <v>2,15</v>
      </c>
      <c r="E99" s="19" t="str">
        <f>_xlfn.CONCAT(COLUMN()-$B99,",",ROW()-E$84)</f>
        <v>3,15</v>
      </c>
      <c r="F99" s="19" t="str">
        <f>_xlfn.CONCAT(COLUMN()-$B99,",",ROW()-F$84)</f>
        <v>4,15</v>
      </c>
      <c r="G99" s="19" t="str">
        <f>_xlfn.CONCAT(COLUMN()-$B99,",",ROW()-G$84)</f>
        <v>5,15</v>
      </c>
      <c r="H99" s="19" t="str">
        <f>_xlfn.CONCAT(COLUMN()-$B99,",",ROW()-H$84)</f>
        <v>6,15</v>
      </c>
      <c r="I99" s="19" t="str">
        <f>_xlfn.CONCAT(COLUMN()-$B99,",",ROW()-I$84)</f>
        <v>7,15</v>
      </c>
      <c r="J99" s="19" t="str">
        <f>_xlfn.CONCAT(COLUMN()-$B99,",",ROW()-J$84)</f>
        <v>8,15</v>
      </c>
      <c r="K99" s="19" t="str">
        <f>_xlfn.CONCAT(COLUMN()-$B99,",",ROW()-K$84)</f>
        <v>9,15</v>
      </c>
      <c r="L99" s="19" t="str">
        <f>_xlfn.CONCAT(COLUMN()-$B99,",",ROW()-L$84)</f>
        <v>10,15</v>
      </c>
      <c r="M99" s="19" t="str">
        <f>_xlfn.CONCAT(COLUMN()-$B99,",",ROW()-M$84)</f>
        <v>11,15</v>
      </c>
      <c r="N99" s="19" t="str">
        <f>_xlfn.CONCAT(COLUMN()-$B99,",",ROW()-N$84)</f>
        <v>12,15</v>
      </c>
      <c r="O99" s="19" t="str">
        <f>_xlfn.CONCAT(COLUMN()-$B99,",",ROW()-O$84)</f>
        <v>13,15</v>
      </c>
      <c r="P99" s="19" t="str">
        <f>_xlfn.CONCAT(COLUMN()-$B99,",",ROW()-P$84)</f>
        <v>14,15</v>
      </c>
      <c r="Q99" s="19" t="str">
        <f>_xlfn.CONCAT(COLUMN()-$B99,",",ROW()-Q$84)</f>
        <v>15,15</v>
      </c>
      <c r="R99" s="19" t="str">
        <f>_xlfn.CONCAT(COLUMN()-$B99,",",ROW()-R$84)</f>
        <v>16,15</v>
      </c>
      <c r="S99" s="19" t="str">
        <f>_xlfn.CONCAT(COLUMN()-$B99,",",ROW()-S$84)</f>
        <v>17,15</v>
      </c>
      <c r="T99" s="19" t="str">
        <f>_xlfn.CONCAT(COLUMN()-$B99,",",ROW()-T$84)</f>
        <v>18,15</v>
      </c>
      <c r="U99" s="19" t="str">
        <f>_xlfn.CONCAT(COLUMN()-$B99,",",ROW()-U$84)</f>
        <v>19,15</v>
      </c>
      <c r="V99" s="19" t="str">
        <f>_xlfn.CONCAT(COLUMN()-$B99,",",ROW()-V$84)</f>
        <v>20,15</v>
      </c>
      <c r="W99" s="19" t="str">
        <f>_xlfn.CONCAT(COLUMN()-$B99,",",ROW()-W$84)</f>
        <v>21,15</v>
      </c>
      <c r="X99" s="19" t="str">
        <f>_xlfn.CONCAT(COLUMN()-$B99,",",ROW()-X$84)</f>
        <v>22,15</v>
      </c>
      <c r="Y99" s="19" t="str">
        <f>_xlfn.CONCAT(COLUMN()-$B99,",",ROW()-Y$84)</f>
        <v>23,15</v>
      </c>
      <c r="Z99" s="35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56">
        <v>3</v>
      </c>
      <c r="BG99" s="57">
        <v>33</v>
      </c>
      <c r="BH99" s="57">
        <v>1</v>
      </c>
      <c r="BI99" s="57">
        <v>28</v>
      </c>
      <c r="BJ99" s="13" t="str">
        <f t="shared" si="11"/>
        <v>1,33</v>
      </c>
      <c r="BK99" s="35"/>
      <c r="BL99" s="8">
        <f t="shared" si="12"/>
        <v>95</v>
      </c>
      <c r="BM99" s="6">
        <f t="shared" si="13"/>
        <v>3</v>
      </c>
      <c r="BN99" s="6">
        <f t="shared" si="14"/>
        <v>23</v>
      </c>
      <c r="BO99" s="35"/>
      <c r="BP99" s="15">
        <v>94</v>
      </c>
      <c r="BQ99" s="60">
        <v>1</v>
      </c>
      <c r="BR99" s="57">
        <v>16</v>
      </c>
      <c r="BS99" s="57" t="s">
        <v>150</v>
      </c>
      <c r="BT99" s="57" t="s">
        <v>70</v>
      </c>
      <c r="BU99" s="57">
        <v>1</v>
      </c>
      <c r="BV99" s="60">
        <v>0</v>
      </c>
      <c r="BW99" s="57">
        <v>0</v>
      </c>
      <c r="BX99" s="60">
        <v>0</v>
      </c>
      <c r="BY99" s="60">
        <v>0</v>
      </c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</row>
    <row r="100" spans="1:115" ht="11.25" customHeight="1" x14ac:dyDescent="0.25">
      <c r="A100" s="35"/>
      <c r="B100" s="12">
        <f>COLUMN()</f>
        <v>2</v>
      </c>
      <c r="C100" s="19" t="str">
        <f>_xlfn.CONCAT(COLUMN()-$B100,",",ROW()-C$84)</f>
        <v>1,16</v>
      </c>
      <c r="D100" s="19" t="str">
        <f>_xlfn.CONCAT(COLUMN()-$B100,",",ROW()-D$84)</f>
        <v>2,16</v>
      </c>
      <c r="E100" s="19" t="str">
        <f>_xlfn.CONCAT(COLUMN()-$B100,",",ROW()-E$84)</f>
        <v>3,16</v>
      </c>
      <c r="F100" s="19" t="str">
        <f>_xlfn.CONCAT(COLUMN()-$B100,",",ROW()-F$84)</f>
        <v>4,16</v>
      </c>
      <c r="G100" s="19" t="str">
        <f>_xlfn.CONCAT(COLUMN()-$B100,",",ROW()-G$84)</f>
        <v>5,16</v>
      </c>
      <c r="H100" s="19" t="str">
        <f>_xlfn.CONCAT(COLUMN()-$B100,",",ROW()-H$84)</f>
        <v>6,16</v>
      </c>
      <c r="I100" s="19" t="str">
        <f>_xlfn.CONCAT(COLUMN()-$B100,",",ROW()-I$84)</f>
        <v>7,16</v>
      </c>
      <c r="J100" s="19" t="str">
        <f>_xlfn.CONCAT(COLUMN()-$B100,",",ROW()-J$84)</f>
        <v>8,16</v>
      </c>
      <c r="K100" s="19" t="str">
        <f>_xlfn.CONCAT(COLUMN()-$B100,",",ROW()-K$84)</f>
        <v>9,16</v>
      </c>
      <c r="L100" s="19" t="str">
        <f>_xlfn.CONCAT(COLUMN()-$B100,",",ROW()-L$84)</f>
        <v>10,16</v>
      </c>
      <c r="M100" s="19" t="str">
        <f>_xlfn.CONCAT(COLUMN()-$B100,",",ROW()-M$84)</f>
        <v>11,16</v>
      </c>
      <c r="N100" s="19" t="str">
        <f>_xlfn.CONCAT(COLUMN()-$B100,",",ROW()-N$84)</f>
        <v>12,16</v>
      </c>
      <c r="O100" s="19" t="str">
        <f>_xlfn.CONCAT(COLUMN()-$B100,",",ROW()-O$84)</f>
        <v>13,16</v>
      </c>
      <c r="P100" s="19" t="str">
        <f>_xlfn.CONCAT(COLUMN()-$B100,",",ROW()-P$84)</f>
        <v>14,16</v>
      </c>
      <c r="Q100" s="19" t="str">
        <f>_xlfn.CONCAT(COLUMN()-$B100,",",ROW()-Q$84)</f>
        <v>15,16</v>
      </c>
      <c r="R100" s="19" t="str">
        <f>_xlfn.CONCAT(COLUMN()-$B100,",",ROW()-R$84)</f>
        <v>16,16</v>
      </c>
      <c r="S100" s="19" t="str">
        <f>_xlfn.CONCAT(COLUMN()-$B100,",",ROW()-S$84)</f>
        <v>17,16</v>
      </c>
      <c r="T100" s="19" t="str">
        <f>_xlfn.CONCAT(COLUMN()-$B100,",",ROW()-T$84)</f>
        <v>18,16</v>
      </c>
      <c r="U100" s="19" t="str">
        <f>_xlfn.CONCAT(COLUMN()-$B100,",",ROW()-U$84)</f>
        <v>19,16</v>
      </c>
      <c r="V100" s="19" t="str">
        <f>_xlfn.CONCAT(COLUMN()-$B100,",",ROW()-V$84)</f>
        <v>20,16</v>
      </c>
      <c r="W100" s="19" t="str">
        <f>_xlfn.CONCAT(COLUMN()-$B100,",",ROW()-W$84)</f>
        <v>21,16</v>
      </c>
      <c r="X100" s="19" t="str">
        <f>_xlfn.CONCAT(COLUMN()-$B100,",",ROW()-X$84)</f>
        <v>22,16</v>
      </c>
      <c r="Y100" s="19" t="str">
        <f>_xlfn.CONCAT(COLUMN()-$B100,",",ROW()-Y$84)</f>
        <v>23,16</v>
      </c>
      <c r="Z100" s="35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56">
        <v>3</v>
      </c>
      <c r="BG100" s="57">
        <v>33</v>
      </c>
      <c r="BH100" s="57">
        <v>2</v>
      </c>
      <c r="BI100" s="57">
        <v>28</v>
      </c>
      <c r="BJ100" s="13" t="str">
        <f t="shared" si="11"/>
        <v>2,33</v>
      </c>
      <c r="BK100" s="35"/>
      <c r="BL100" s="8">
        <f t="shared" si="12"/>
        <v>96</v>
      </c>
      <c r="BM100" s="6">
        <f t="shared" si="13"/>
        <v>3</v>
      </c>
      <c r="BN100" s="6">
        <f t="shared" si="14"/>
        <v>24</v>
      </c>
      <c r="BO100" s="35"/>
      <c r="BP100" s="15">
        <v>95</v>
      </c>
      <c r="BQ100" s="60">
        <v>1</v>
      </c>
      <c r="BR100" s="57">
        <v>17</v>
      </c>
      <c r="BS100" s="57" t="s">
        <v>151</v>
      </c>
      <c r="BT100" s="57" t="s">
        <v>70</v>
      </c>
      <c r="BU100" s="57">
        <v>1</v>
      </c>
      <c r="BV100" s="60">
        <v>0</v>
      </c>
      <c r="BW100" s="57">
        <v>0</v>
      </c>
      <c r="BX100" s="60">
        <v>0</v>
      </c>
      <c r="BY100" s="60">
        <v>0</v>
      </c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</row>
    <row r="101" spans="1:115" ht="11.25" customHeight="1" x14ac:dyDescent="0.25">
      <c r="A101" s="35"/>
      <c r="B101" s="12">
        <f>COLUMN()</f>
        <v>2</v>
      </c>
      <c r="C101" s="19" t="str">
        <f>_xlfn.CONCAT(COLUMN()-$B101,",",ROW()-C$84)</f>
        <v>1,17</v>
      </c>
      <c r="D101" s="19" t="str">
        <f>_xlfn.CONCAT(COLUMN()-$B101,",",ROW()-D$84)</f>
        <v>2,17</v>
      </c>
      <c r="E101" s="19" t="str">
        <f>_xlfn.CONCAT(COLUMN()-$B101,",",ROW()-E$84)</f>
        <v>3,17</v>
      </c>
      <c r="F101" s="19" t="str">
        <f>_xlfn.CONCAT(COLUMN()-$B101,",",ROW()-F$84)</f>
        <v>4,17</v>
      </c>
      <c r="G101" s="19" t="str">
        <f>_xlfn.CONCAT(COLUMN()-$B101,",",ROW()-G$84)</f>
        <v>5,17</v>
      </c>
      <c r="H101" s="19" t="str">
        <f>_xlfn.CONCAT(COLUMN()-$B101,",",ROW()-H$84)</f>
        <v>6,17</v>
      </c>
      <c r="I101" s="19" t="str">
        <f>_xlfn.CONCAT(COLUMN()-$B101,",",ROW()-I$84)</f>
        <v>7,17</v>
      </c>
      <c r="J101" s="19" t="str">
        <f>_xlfn.CONCAT(COLUMN()-$B101,",",ROW()-J$84)</f>
        <v>8,17</v>
      </c>
      <c r="K101" s="19" t="str">
        <f>_xlfn.CONCAT(COLUMN()-$B101,",",ROW()-K$84)</f>
        <v>9,17</v>
      </c>
      <c r="L101" s="19" t="str">
        <f>_xlfn.CONCAT(COLUMN()-$B101,",",ROW()-L$84)</f>
        <v>10,17</v>
      </c>
      <c r="M101" s="19" t="str">
        <f>_xlfn.CONCAT(COLUMN()-$B101,",",ROW()-M$84)</f>
        <v>11,17</v>
      </c>
      <c r="N101" s="19" t="str">
        <f>_xlfn.CONCAT(COLUMN()-$B101,",",ROW()-N$84)</f>
        <v>12,17</v>
      </c>
      <c r="O101" s="19" t="str">
        <f>_xlfn.CONCAT(COLUMN()-$B101,",",ROW()-O$84)</f>
        <v>13,17</v>
      </c>
      <c r="P101" s="19" t="str">
        <f>_xlfn.CONCAT(COLUMN()-$B101,",",ROW()-P$84)</f>
        <v>14,17</v>
      </c>
      <c r="Q101" s="19" t="str">
        <f>_xlfn.CONCAT(COLUMN()-$B101,",",ROW()-Q$84)</f>
        <v>15,17</v>
      </c>
      <c r="R101" s="19" t="str">
        <f>_xlfn.CONCAT(COLUMN()-$B101,",",ROW()-R$84)</f>
        <v>16,17</v>
      </c>
      <c r="S101" s="19" t="str">
        <f>_xlfn.CONCAT(COLUMN()-$B101,",",ROW()-S$84)</f>
        <v>17,17</v>
      </c>
      <c r="T101" s="19" t="str">
        <f>_xlfn.CONCAT(COLUMN()-$B101,",",ROW()-T$84)</f>
        <v>18,17</v>
      </c>
      <c r="U101" s="19" t="str">
        <f>_xlfn.CONCAT(COLUMN()-$B101,",",ROW()-U$84)</f>
        <v>19,17</v>
      </c>
      <c r="V101" s="19" t="str">
        <f>_xlfn.CONCAT(COLUMN()-$B101,",",ROW()-V$84)</f>
        <v>20,17</v>
      </c>
      <c r="W101" s="19" t="str">
        <f>_xlfn.CONCAT(COLUMN()-$B101,",",ROW()-W$84)</f>
        <v>21,17</v>
      </c>
      <c r="X101" s="19" t="str">
        <f>_xlfn.CONCAT(COLUMN()-$B101,",",ROW()-X$84)</f>
        <v>22,17</v>
      </c>
      <c r="Y101" s="19" t="str">
        <f>_xlfn.CONCAT(COLUMN()-$B101,",",ROW()-Y$84)</f>
        <v>23,17</v>
      </c>
      <c r="Z101" s="35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56">
        <v>3</v>
      </c>
      <c r="BG101" s="57">
        <v>33</v>
      </c>
      <c r="BH101" s="57">
        <v>3</v>
      </c>
      <c r="BI101" s="57">
        <v>28</v>
      </c>
      <c r="BJ101" s="13" t="str">
        <f t="shared" si="11"/>
        <v>3,33</v>
      </c>
      <c r="BK101" s="35"/>
      <c r="BL101" s="8">
        <f t="shared" si="12"/>
        <v>97</v>
      </c>
      <c r="BM101" s="6">
        <f t="shared" si="13"/>
        <v>3</v>
      </c>
      <c r="BN101" s="6">
        <f t="shared" si="14"/>
        <v>25</v>
      </c>
      <c r="BO101" s="35"/>
      <c r="BP101" s="15">
        <v>96</v>
      </c>
      <c r="BQ101" s="60">
        <v>1</v>
      </c>
      <c r="BR101" s="57">
        <v>18</v>
      </c>
      <c r="BS101" s="57" t="s">
        <v>152</v>
      </c>
      <c r="BT101" s="57" t="s">
        <v>70</v>
      </c>
      <c r="BU101" s="57">
        <v>1</v>
      </c>
      <c r="BV101" s="60">
        <v>0</v>
      </c>
      <c r="BW101" s="57">
        <v>0</v>
      </c>
      <c r="BX101" s="60">
        <v>0</v>
      </c>
      <c r="BY101" s="60">
        <v>0</v>
      </c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</row>
    <row r="102" spans="1:115" ht="11.25" customHeight="1" x14ac:dyDescent="0.25">
      <c r="A102" s="35"/>
      <c r="B102" s="12">
        <f>COLUMN()</f>
        <v>2</v>
      </c>
      <c r="C102" s="19" t="str">
        <f>_xlfn.CONCAT(COLUMN()-$B102,",",ROW()-C$84)</f>
        <v>1,18</v>
      </c>
      <c r="D102" s="19" t="str">
        <f>_xlfn.CONCAT(COLUMN()-$B102,",",ROW()-D$84)</f>
        <v>2,18</v>
      </c>
      <c r="E102" s="19" t="str">
        <f>_xlfn.CONCAT(COLUMN()-$B102,",",ROW()-E$84)</f>
        <v>3,18</v>
      </c>
      <c r="F102" s="19" t="str">
        <f>_xlfn.CONCAT(COLUMN()-$B102,",",ROW()-F$84)</f>
        <v>4,18</v>
      </c>
      <c r="G102" s="19" t="str">
        <f>_xlfn.CONCAT(COLUMN()-$B102,",",ROW()-G$84)</f>
        <v>5,18</v>
      </c>
      <c r="H102" s="19" t="str">
        <f>_xlfn.CONCAT(COLUMN()-$B102,",",ROW()-H$84)</f>
        <v>6,18</v>
      </c>
      <c r="I102" s="19" t="str">
        <f>_xlfn.CONCAT(COLUMN()-$B102,",",ROW()-I$84)</f>
        <v>7,18</v>
      </c>
      <c r="J102" s="19" t="str">
        <f>_xlfn.CONCAT(COLUMN()-$B102,",",ROW()-J$84)</f>
        <v>8,18</v>
      </c>
      <c r="K102" s="19" t="str">
        <f>_xlfn.CONCAT(COLUMN()-$B102,",",ROW()-K$84)</f>
        <v>9,18</v>
      </c>
      <c r="L102" s="19" t="str">
        <f>_xlfn.CONCAT(COLUMN()-$B102,",",ROW()-L$84)</f>
        <v>10,18</v>
      </c>
      <c r="M102" s="19" t="str">
        <f>_xlfn.CONCAT(COLUMN()-$B102,",",ROW()-M$84)</f>
        <v>11,18</v>
      </c>
      <c r="N102" s="19" t="str">
        <f>_xlfn.CONCAT(COLUMN()-$B102,",",ROW()-N$84)</f>
        <v>12,18</v>
      </c>
      <c r="O102" s="19" t="str">
        <f>_xlfn.CONCAT(COLUMN()-$B102,",",ROW()-O$84)</f>
        <v>13,18</v>
      </c>
      <c r="P102" s="19" t="str">
        <f>_xlfn.CONCAT(COLUMN()-$B102,",",ROW()-P$84)</f>
        <v>14,18</v>
      </c>
      <c r="Q102" s="19" t="str">
        <f>_xlfn.CONCAT(COLUMN()-$B102,",",ROW()-Q$84)</f>
        <v>15,18</v>
      </c>
      <c r="R102" s="19" t="str">
        <f>_xlfn.CONCAT(COLUMN()-$B102,",",ROW()-R$84)</f>
        <v>16,18</v>
      </c>
      <c r="S102" s="19" t="str">
        <f>_xlfn.CONCAT(COLUMN()-$B102,",",ROW()-S$84)</f>
        <v>17,18</v>
      </c>
      <c r="T102" s="19" t="str">
        <f>_xlfn.CONCAT(COLUMN()-$B102,",",ROW()-T$84)</f>
        <v>18,18</v>
      </c>
      <c r="U102" s="19" t="str">
        <f>_xlfn.CONCAT(COLUMN()-$B102,",",ROW()-U$84)</f>
        <v>19,18</v>
      </c>
      <c r="V102" s="19" t="str">
        <f>_xlfn.CONCAT(COLUMN()-$B102,",",ROW()-V$84)</f>
        <v>20,18</v>
      </c>
      <c r="W102" s="19" t="str">
        <f>_xlfn.CONCAT(COLUMN()-$B102,",",ROW()-W$84)</f>
        <v>21,18</v>
      </c>
      <c r="X102" s="19" t="str">
        <f>_xlfn.CONCAT(COLUMN()-$B102,",",ROW()-X$84)</f>
        <v>22,18</v>
      </c>
      <c r="Y102" s="19" t="str">
        <f>_xlfn.CONCAT(COLUMN()-$B102,",",ROW()-Y$84)</f>
        <v>23,18</v>
      </c>
      <c r="Z102" s="35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56">
        <v>3</v>
      </c>
      <c r="BG102" s="57">
        <v>33</v>
      </c>
      <c r="BH102" s="57">
        <v>4</v>
      </c>
      <c r="BI102" s="57">
        <v>28</v>
      </c>
      <c r="BJ102" s="13" t="str">
        <f t="shared" si="11"/>
        <v>4,33</v>
      </c>
      <c r="BK102" s="35"/>
      <c r="BL102" s="8">
        <f t="shared" si="12"/>
        <v>98</v>
      </c>
      <c r="BM102" s="6">
        <f t="shared" si="13"/>
        <v>3</v>
      </c>
      <c r="BN102" s="6">
        <f t="shared" si="14"/>
        <v>26</v>
      </c>
      <c r="BO102" s="35"/>
      <c r="BP102" s="15">
        <v>97</v>
      </c>
      <c r="BQ102" s="60">
        <v>1</v>
      </c>
      <c r="BR102" s="57">
        <v>19</v>
      </c>
      <c r="BS102" s="57" t="s">
        <v>153</v>
      </c>
      <c r="BT102" s="57" t="s">
        <v>67</v>
      </c>
      <c r="BU102" s="57">
        <v>1</v>
      </c>
      <c r="BV102" s="60">
        <v>20.2</v>
      </c>
      <c r="BW102" s="57">
        <v>100</v>
      </c>
      <c r="BX102" s="60">
        <v>201.85849999999999</v>
      </c>
      <c r="BY102" s="60">
        <v>405.66500000000002</v>
      </c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</row>
    <row r="103" spans="1:115" ht="11.25" customHeight="1" x14ac:dyDescent="0.25">
      <c r="A103" s="35"/>
      <c r="B103" s="12">
        <f>COLUMN()</f>
        <v>2</v>
      </c>
      <c r="C103" s="19" t="str">
        <f>_xlfn.CONCAT(COLUMN()-$B103,",",ROW()-C$84)</f>
        <v>1,19</v>
      </c>
      <c r="D103" s="19" t="str">
        <f>_xlfn.CONCAT(COLUMN()-$B103,",",ROW()-D$84)</f>
        <v>2,19</v>
      </c>
      <c r="E103" s="19" t="str">
        <f>_xlfn.CONCAT(COLUMN()-$B103,",",ROW()-E$84)</f>
        <v>3,19</v>
      </c>
      <c r="F103" s="19" t="str">
        <f>_xlfn.CONCAT(COLUMN()-$B103,",",ROW()-F$84)</f>
        <v>4,19</v>
      </c>
      <c r="G103" s="19" t="str">
        <f>_xlfn.CONCAT(COLUMN()-$B103,",",ROW()-G$84)</f>
        <v>5,19</v>
      </c>
      <c r="H103" s="19" t="str">
        <f>_xlfn.CONCAT(COLUMN()-$B103,",",ROW()-H$84)</f>
        <v>6,19</v>
      </c>
      <c r="I103" s="19" t="str">
        <f>_xlfn.CONCAT(COLUMN()-$B103,",",ROW()-I$84)</f>
        <v>7,19</v>
      </c>
      <c r="J103" s="19" t="str">
        <f>_xlfn.CONCAT(COLUMN()-$B103,",",ROW()-J$84)</f>
        <v>8,19</v>
      </c>
      <c r="K103" s="19" t="str">
        <f>_xlfn.CONCAT(COLUMN()-$B103,",",ROW()-K$84)</f>
        <v>9,19</v>
      </c>
      <c r="L103" s="19" t="str">
        <f>_xlfn.CONCAT(COLUMN()-$B103,",",ROW()-L$84)</f>
        <v>10,19</v>
      </c>
      <c r="M103" s="19" t="str">
        <f>_xlfn.CONCAT(COLUMN()-$B103,",",ROW()-M$84)</f>
        <v>11,19</v>
      </c>
      <c r="N103" s="19" t="str">
        <f>_xlfn.CONCAT(COLUMN()-$B103,",",ROW()-N$84)</f>
        <v>12,19</v>
      </c>
      <c r="O103" s="19" t="str">
        <f>_xlfn.CONCAT(COLUMN()-$B103,",",ROW()-O$84)</f>
        <v>13,19</v>
      </c>
      <c r="P103" s="19" t="str">
        <f>_xlfn.CONCAT(COLUMN()-$B103,",",ROW()-P$84)</f>
        <v>14,19</v>
      </c>
      <c r="Q103" s="19" t="str">
        <f>_xlfn.CONCAT(COLUMN()-$B103,",",ROW()-Q$84)</f>
        <v>15,19</v>
      </c>
      <c r="R103" s="19" t="str">
        <f>_xlfn.CONCAT(COLUMN()-$B103,",",ROW()-R$84)</f>
        <v>16,19</v>
      </c>
      <c r="S103" s="19" t="str">
        <f>_xlfn.CONCAT(COLUMN()-$B103,",",ROW()-S$84)</f>
        <v>17,19</v>
      </c>
      <c r="T103" s="19" t="str">
        <f>_xlfn.CONCAT(COLUMN()-$B103,",",ROW()-T$84)</f>
        <v>18,19</v>
      </c>
      <c r="U103" s="19" t="str">
        <f>_xlfn.CONCAT(COLUMN()-$B103,",",ROW()-U$84)</f>
        <v>19,19</v>
      </c>
      <c r="V103" s="19" t="str">
        <f>_xlfn.CONCAT(COLUMN()-$B103,",",ROW()-V$84)</f>
        <v>20,19</v>
      </c>
      <c r="W103" s="19" t="str">
        <f>_xlfn.CONCAT(COLUMN()-$B103,",",ROW()-W$84)</f>
        <v>21,19</v>
      </c>
      <c r="X103" s="19" t="str">
        <f>_xlfn.CONCAT(COLUMN()-$B103,",",ROW()-X$84)</f>
        <v>22,19</v>
      </c>
      <c r="Y103" s="19" t="str">
        <f>_xlfn.CONCAT(COLUMN()-$B103,",",ROW()-Y$84)</f>
        <v>23,19</v>
      </c>
      <c r="Z103" s="35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56">
        <v>3</v>
      </c>
      <c r="BG103" s="57">
        <v>33</v>
      </c>
      <c r="BH103" s="57">
        <v>5</v>
      </c>
      <c r="BI103" s="57">
        <v>28</v>
      </c>
      <c r="BJ103" s="13" t="str">
        <f t="shared" si="11"/>
        <v>5,33</v>
      </c>
      <c r="BK103" s="35"/>
      <c r="BL103" s="8">
        <f t="shared" si="12"/>
        <v>99</v>
      </c>
      <c r="BM103" s="6">
        <f t="shared" si="13"/>
        <v>3</v>
      </c>
      <c r="BN103" s="6">
        <f t="shared" si="14"/>
        <v>27</v>
      </c>
      <c r="BO103" s="35"/>
      <c r="BP103" s="15">
        <v>98</v>
      </c>
      <c r="BQ103" s="60">
        <v>1</v>
      </c>
      <c r="BR103" s="57">
        <v>20</v>
      </c>
      <c r="BS103" s="57" t="s">
        <v>154</v>
      </c>
      <c r="BT103" s="57" t="s">
        <v>70</v>
      </c>
      <c r="BU103" s="57">
        <v>1</v>
      </c>
      <c r="BV103" s="60">
        <v>0</v>
      </c>
      <c r="BW103" s="57">
        <v>0</v>
      </c>
      <c r="BX103" s="60">
        <v>0</v>
      </c>
      <c r="BY103" s="60">
        <v>0</v>
      </c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</row>
    <row r="104" spans="1:115" ht="11.25" customHeight="1" x14ac:dyDescent="0.25">
      <c r="A104" s="35"/>
      <c r="B104" s="12">
        <f>COLUMN()</f>
        <v>2</v>
      </c>
      <c r="C104" s="19" t="str">
        <f>_xlfn.CONCAT(COLUMN()-$B104,",",ROW()-C$84)</f>
        <v>1,20</v>
      </c>
      <c r="D104" s="19" t="str">
        <f>_xlfn.CONCAT(COLUMN()-$B104,",",ROW()-D$84)</f>
        <v>2,20</v>
      </c>
      <c r="E104" s="19" t="str">
        <f>_xlfn.CONCAT(COLUMN()-$B104,",",ROW()-E$84)</f>
        <v>3,20</v>
      </c>
      <c r="F104" s="19" t="str">
        <f>_xlfn.CONCAT(COLUMN()-$B104,",",ROW()-F$84)</f>
        <v>4,20</v>
      </c>
      <c r="G104" s="19" t="str">
        <f>_xlfn.CONCAT(COLUMN()-$B104,",",ROW()-G$84)</f>
        <v>5,20</v>
      </c>
      <c r="H104" s="19" t="str">
        <f>_xlfn.CONCAT(COLUMN()-$B104,",",ROW()-H$84)</f>
        <v>6,20</v>
      </c>
      <c r="I104" s="19" t="str">
        <f>_xlfn.CONCAT(COLUMN()-$B104,",",ROW()-I$84)</f>
        <v>7,20</v>
      </c>
      <c r="J104" s="19" t="str">
        <f>_xlfn.CONCAT(COLUMN()-$B104,",",ROW()-J$84)</f>
        <v>8,20</v>
      </c>
      <c r="K104" s="19" t="str">
        <f>_xlfn.CONCAT(COLUMN()-$B104,",",ROW()-K$84)</f>
        <v>9,20</v>
      </c>
      <c r="L104" s="19" t="str">
        <f>_xlfn.CONCAT(COLUMN()-$B104,",",ROW()-L$84)</f>
        <v>10,20</v>
      </c>
      <c r="M104" s="19" t="str">
        <f>_xlfn.CONCAT(COLUMN()-$B104,",",ROW()-M$84)</f>
        <v>11,20</v>
      </c>
      <c r="N104" s="19" t="str">
        <f>_xlfn.CONCAT(COLUMN()-$B104,",",ROW()-N$84)</f>
        <v>12,20</v>
      </c>
      <c r="O104" s="19" t="str">
        <f>_xlfn.CONCAT(COLUMN()-$B104,",",ROW()-O$84)</f>
        <v>13,20</v>
      </c>
      <c r="P104" s="19" t="str">
        <f>_xlfn.CONCAT(COLUMN()-$B104,",",ROW()-P$84)</f>
        <v>14,20</v>
      </c>
      <c r="Q104" s="19" t="str">
        <f>_xlfn.CONCAT(COLUMN()-$B104,",",ROW()-Q$84)</f>
        <v>15,20</v>
      </c>
      <c r="R104" s="19" t="str">
        <f>_xlfn.CONCAT(COLUMN()-$B104,",",ROW()-R$84)</f>
        <v>16,20</v>
      </c>
      <c r="S104" s="19" t="str">
        <f>_xlfn.CONCAT(COLUMN()-$B104,",",ROW()-S$84)</f>
        <v>17,20</v>
      </c>
      <c r="T104" s="19" t="str">
        <f>_xlfn.CONCAT(COLUMN()-$B104,",",ROW()-T$84)</f>
        <v>18,20</v>
      </c>
      <c r="U104" s="19" t="str">
        <f>_xlfn.CONCAT(COLUMN()-$B104,",",ROW()-U$84)</f>
        <v>19,20</v>
      </c>
      <c r="V104" s="19" t="str">
        <f>_xlfn.CONCAT(COLUMN()-$B104,",",ROW()-V$84)</f>
        <v>20,20</v>
      </c>
      <c r="W104" s="19" t="str">
        <f>_xlfn.CONCAT(COLUMN()-$B104,",",ROW()-W$84)</f>
        <v>21,20</v>
      </c>
      <c r="X104" s="19" t="str">
        <f>_xlfn.CONCAT(COLUMN()-$B104,",",ROW()-X$84)</f>
        <v>22,20</v>
      </c>
      <c r="Y104" s="19" t="str">
        <f>_xlfn.CONCAT(COLUMN()-$B104,",",ROW()-Y$84)</f>
        <v>23,20</v>
      </c>
      <c r="Z104" s="35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56">
        <v>3</v>
      </c>
      <c r="BG104" s="57">
        <v>33</v>
      </c>
      <c r="BH104" s="57">
        <v>6</v>
      </c>
      <c r="BI104" s="57">
        <v>28</v>
      </c>
      <c r="BJ104" s="13" t="str">
        <f t="shared" si="11"/>
        <v>6,33</v>
      </c>
      <c r="BK104" s="35"/>
      <c r="BL104" s="8">
        <f t="shared" si="12"/>
        <v>100</v>
      </c>
      <c r="BM104" s="6">
        <f t="shared" si="13"/>
        <v>3</v>
      </c>
      <c r="BN104" s="6">
        <f t="shared" si="14"/>
        <v>28</v>
      </c>
      <c r="BO104" s="35"/>
      <c r="BP104" s="15">
        <v>99</v>
      </c>
      <c r="BQ104" s="60">
        <v>1</v>
      </c>
      <c r="BR104" s="57">
        <v>21</v>
      </c>
      <c r="BS104" s="57" t="s">
        <v>155</v>
      </c>
      <c r="BT104" s="57" t="s">
        <v>67</v>
      </c>
      <c r="BU104" s="57">
        <v>1</v>
      </c>
      <c r="BV104" s="60">
        <v>20.2</v>
      </c>
      <c r="BW104" s="57">
        <v>100</v>
      </c>
      <c r="BX104" s="60">
        <v>202.83249999999899</v>
      </c>
      <c r="BY104" s="60">
        <v>403.71699999999998</v>
      </c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</row>
    <row r="105" spans="1:115" ht="11.25" customHeight="1" x14ac:dyDescent="0.25">
      <c r="A105" s="35"/>
      <c r="B105" s="12">
        <f>COLUMN()</f>
        <v>2</v>
      </c>
      <c r="C105" s="19" t="str">
        <f>_xlfn.CONCAT(COLUMN()-$B105,",",ROW()-C$84)</f>
        <v>1,21</v>
      </c>
      <c r="D105" s="19" t="str">
        <f>_xlfn.CONCAT(COLUMN()-$B105,",",ROW()-D$84)</f>
        <v>2,21</v>
      </c>
      <c r="E105" s="19" t="str">
        <f>_xlfn.CONCAT(COLUMN()-$B105,",",ROW()-E$84)</f>
        <v>3,21</v>
      </c>
      <c r="F105" s="19" t="str">
        <f>_xlfn.CONCAT(COLUMN()-$B105,",",ROW()-F$84)</f>
        <v>4,21</v>
      </c>
      <c r="G105" s="19" t="str">
        <f>_xlfn.CONCAT(COLUMN()-$B105,",",ROW()-G$84)</f>
        <v>5,21</v>
      </c>
      <c r="H105" s="19" t="str">
        <f>_xlfn.CONCAT(COLUMN()-$B105,",",ROW()-H$84)</f>
        <v>6,21</v>
      </c>
      <c r="I105" s="19" t="str">
        <f>_xlfn.CONCAT(COLUMN()-$B105,",",ROW()-I$84)</f>
        <v>7,21</v>
      </c>
      <c r="J105" s="19" t="str">
        <f>_xlfn.CONCAT(COLUMN()-$B105,",",ROW()-J$84)</f>
        <v>8,21</v>
      </c>
      <c r="K105" s="19" t="str">
        <f>_xlfn.CONCAT(COLUMN()-$B105,",",ROW()-K$84)</f>
        <v>9,21</v>
      </c>
      <c r="L105" s="19" t="str">
        <f>_xlfn.CONCAT(COLUMN()-$B105,",",ROW()-L$84)</f>
        <v>10,21</v>
      </c>
      <c r="M105" s="19" t="str">
        <f>_xlfn.CONCAT(COLUMN()-$B105,",",ROW()-M$84)</f>
        <v>11,21</v>
      </c>
      <c r="N105" s="19" t="str">
        <f>_xlfn.CONCAT(COLUMN()-$B105,",",ROW()-N$84)</f>
        <v>12,21</v>
      </c>
      <c r="O105" s="19" t="str">
        <f>_xlfn.CONCAT(COLUMN()-$B105,",",ROW()-O$84)</f>
        <v>13,21</v>
      </c>
      <c r="P105" s="19" t="str">
        <f>_xlfn.CONCAT(COLUMN()-$B105,",",ROW()-P$84)</f>
        <v>14,21</v>
      </c>
      <c r="Q105" s="19" t="str">
        <f>_xlfn.CONCAT(COLUMN()-$B105,",",ROW()-Q$84)</f>
        <v>15,21</v>
      </c>
      <c r="R105" s="19" t="str">
        <f>_xlfn.CONCAT(COLUMN()-$B105,",",ROW()-R$84)</f>
        <v>16,21</v>
      </c>
      <c r="S105" s="19" t="str">
        <f>_xlfn.CONCAT(COLUMN()-$B105,",",ROW()-S$84)</f>
        <v>17,21</v>
      </c>
      <c r="T105" s="19" t="str">
        <f>_xlfn.CONCAT(COLUMN()-$B105,",",ROW()-T$84)</f>
        <v>18,21</v>
      </c>
      <c r="U105" s="19" t="str">
        <f>_xlfn.CONCAT(COLUMN()-$B105,",",ROW()-U$84)</f>
        <v>19,21</v>
      </c>
      <c r="V105" s="19" t="str">
        <f>_xlfn.CONCAT(COLUMN()-$B105,",",ROW()-V$84)</f>
        <v>20,21</v>
      </c>
      <c r="W105" s="19" t="str">
        <f>_xlfn.CONCAT(COLUMN()-$B105,",",ROW()-W$84)</f>
        <v>21,21</v>
      </c>
      <c r="X105" s="19" t="str">
        <f>_xlfn.CONCAT(COLUMN()-$B105,",",ROW()-X$84)</f>
        <v>22,21</v>
      </c>
      <c r="Y105" s="19" t="str">
        <f>_xlfn.CONCAT(COLUMN()-$B105,",",ROW()-Y$84)</f>
        <v>23,21</v>
      </c>
      <c r="Z105" s="35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56">
        <v>3</v>
      </c>
      <c r="BG105" s="57">
        <v>33</v>
      </c>
      <c r="BH105" s="57">
        <v>7</v>
      </c>
      <c r="BI105" s="57">
        <v>28</v>
      </c>
      <c r="BJ105" s="13" t="str">
        <f t="shared" si="11"/>
        <v>7,33</v>
      </c>
      <c r="BK105" s="35"/>
      <c r="BL105" s="8">
        <f t="shared" si="12"/>
        <v>101</v>
      </c>
      <c r="BM105" s="6">
        <f t="shared" si="13"/>
        <v>3</v>
      </c>
      <c r="BN105" s="6">
        <f t="shared" si="14"/>
        <v>29</v>
      </c>
      <c r="BO105" s="35"/>
      <c r="BP105" s="15">
        <v>100</v>
      </c>
      <c r="BQ105" s="60">
        <v>1</v>
      </c>
      <c r="BR105" s="57">
        <v>22</v>
      </c>
      <c r="BS105" s="57" t="s">
        <v>156</v>
      </c>
      <c r="BT105" s="57" t="s">
        <v>67</v>
      </c>
      <c r="BU105" s="57">
        <v>1</v>
      </c>
      <c r="BV105" s="60">
        <v>20.2</v>
      </c>
      <c r="BW105" s="57">
        <v>100</v>
      </c>
      <c r="BX105" s="60">
        <v>201.85849999999999</v>
      </c>
      <c r="BY105" s="60">
        <v>405.664999999999</v>
      </c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</row>
    <row r="106" spans="1:115" ht="11.25" customHeight="1" x14ac:dyDescent="0.25">
      <c r="A106" s="35"/>
      <c r="B106" s="12">
        <f>COLUMN()</f>
        <v>2</v>
      </c>
      <c r="C106" s="19" t="str">
        <f>_xlfn.CONCAT(COLUMN()-$B106,",",ROW()-C$84)</f>
        <v>1,22</v>
      </c>
      <c r="D106" s="19" t="str">
        <f>_xlfn.CONCAT(COLUMN()-$B106,",",ROW()-D$84)</f>
        <v>2,22</v>
      </c>
      <c r="E106" s="19" t="str">
        <f>_xlfn.CONCAT(COLUMN()-$B106,",",ROW()-E$84)</f>
        <v>3,22</v>
      </c>
      <c r="F106" s="19" t="str">
        <f>_xlfn.CONCAT(COLUMN()-$B106,",",ROW()-F$84)</f>
        <v>4,22</v>
      </c>
      <c r="G106" s="19" t="str">
        <f>_xlfn.CONCAT(COLUMN()-$B106,",",ROW()-G$84)</f>
        <v>5,22</v>
      </c>
      <c r="H106" s="19" t="str">
        <f>_xlfn.CONCAT(COLUMN()-$B106,",",ROW()-H$84)</f>
        <v>6,22</v>
      </c>
      <c r="I106" s="19" t="str">
        <f>_xlfn.CONCAT(COLUMN()-$B106,",",ROW()-I$84)</f>
        <v>7,22</v>
      </c>
      <c r="J106" s="19" t="str">
        <f>_xlfn.CONCAT(COLUMN()-$B106,",",ROW()-J$84)</f>
        <v>8,22</v>
      </c>
      <c r="K106" s="19" t="str">
        <f>_xlfn.CONCAT(COLUMN()-$B106,",",ROW()-K$84)</f>
        <v>9,22</v>
      </c>
      <c r="L106" s="19" t="str">
        <f>_xlfn.CONCAT(COLUMN()-$B106,",",ROW()-L$84)</f>
        <v>10,22</v>
      </c>
      <c r="M106" s="19" t="str">
        <f>_xlfn.CONCAT(COLUMN()-$B106,",",ROW()-M$84)</f>
        <v>11,22</v>
      </c>
      <c r="N106" s="19" t="str">
        <f>_xlfn.CONCAT(COLUMN()-$B106,",",ROW()-N$84)</f>
        <v>12,22</v>
      </c>
      <c r="O106" s="19" t="str">
        <f>_xlfn.CONCAT(COLUMN()-$B106,",",ROW()-O$84)</f>
        <v>13,22</v>
      </c>
      <c r="P106" s="19" t="str">
        <f>_xlfn.CONCAT(COLUMN()-$B106,",",ROW()-P$84)</f>
        <v>14,22</v>
      </c>
      <c r="Q106" s="19" t="str">
        <f>_xlfn.CONCAT(COLUMN()-$B106,",",ROW()-Q$84)</f>
        <v>15,22</v>
      </c>
      <c r="R106" s="19" t="str">
        <f>_xlfn.CONCAT(COLUMN()-$B106,",",ROW()-R$84)</f>
        <v>16,22</v>
      </c>
      <c r="S106" s="19" t="str">
        <f>_xlfn.CONCAT(COLUMN()-$B106,",",ROW()-S$84)</f>
        <v>17,22</v>
      </c>
      <c r="T106" s="19" t="str">
        <f>_xlfn.CONCAT(COLUMN()-$B106,",",ROW()-T$84)</f>
        <v>18,22</v>
      </c>
      <c r="U106" s="19" t="str">
        <f>_xlfn.CONCAT(COLUMN()-$B106,",",ROW()-U$84)</f>
        <v>19,22</v>
      </c>
      <c r="V106" s="19" t="str">
        <f>_xlfn.CONCAT(COLUMN()-$B106,",",ROW()-V$84)</f>
        <v>20,22</v>
      </c>
      <c r="W106" s="19" t="str">
        <f>_xlfn.CONCAT(COLUMN()-$B106,",",ROW()-W$84)</f>
        <v>21,22</v>
      </c>
      <c r="X106" s="19" t="str">
        <f>_xlfn.CONCAT(COLUMN()-$B106,",",ROW()-X$84)</f>
        <v>22,22</v>
      </c>
      <c r="Y106" s="19" t="str">
        <f>_xlfn.CONCAT(COLUMN()-$B106,",",ROW()-Y$84)</f>
        <v>23,22</v>
      </c>
      <c r="Z106" s="35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56">
        <v>3</v>
      </c>
      <c r="BG106" s="57">
        <v>34</v>
      </c>
      <c r="BH106" s="57">
        <v>8</v>
      </c>
      <c r="BI106" s="57">
        <v>28</v>
      </c>
      <c r="BJ106" s="13" t="str">
        <f t="shared" si="11"/>
        <v>8,34</v>
      </c>
      <c r="BK106" s="35"/>
      <c r="BL106" s="8">
        <f t="shared" si="12"/>
        <v>102</v>
      </c>
      <c r="BM106" s="6">
        <f t="shared" si="13"/>
        <v>3</v>
      </c>
      <c r="BN106" s="6">
        <f t="shared" si="14"/>
        <v>30</v>
      </c>
      <c r="BO106" s="35"/>
      <c r="BP106" s="15">
        <v>101</v>
      </c>
      <c r="BQ106" s="60">
        <v>1</v>
      </c>
      <c r="BR106" s="57">
        <v>23</v>
      </c>
      <c r="BS106" s="57" t="s">
        <v>157</v>
      </c>
      <c r="BT106" s="57" t="s">
        <v>70</v>
      </c>
      <c r="BU106" s="57">
        <v>1</v>
      </c>
      <c r="BV106" s="60">
        <v>0</v>
      </c>
      <c r="BW106" s="57">
        <v>0</v>
      </c>
      <c r="BX106" s="60">
        <v>0</v>
      </c>
      <c r="BY106" s="60">
        <v>0</v>
      </c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</row>
    <row r="107" spans="1:115" ht="11.25" customHeight="1" x14ac:dyDescent="0.25">
      <c r="A107" s="35"/>
      <c r="B107" s="12">
        <f>COLUMN()</f>
        <v>2</v>
      </c>
      <c r="C107" s="19" t="str">
        <f>_xlfn.CONCAT(COLUMN()-$B107,",",ROW()-C$84)</f>
        <v>1,23</v>
      </c>
      <c r="D107" s="19" t="str">
        <f>_xlfn.CONCAT(COLUMN()-$B107,",",ROW()-D$84)</f>
        <v>2,23</v>
      </c>
      <c r="E107" s="19" t="str">
        <f>_xlfn.CONCAT(COLUMN()-$B107,",",ROW()-E$84)</f>
        <v>3,23</v>
      </c>
      <c r="F107" s="19" t="str">
        <f>_xlfn.CONCAT(COLUMN()-$B107,",",ROW()-F$84)</f>
        <v>4,23</v>
      </c>
      <c r="G107" s="19" t="str">
        <f>_xlfn.CONCAT(COLUMN()-$B107,",",ROW()-G$84)</f>
        <v>5,23</v>
      </c>
      <c r="H107" s="19" t="str">
        <f>_xlfn.CONCAT(COLUMN()-$B107,",",ROW()-H$84)</f>
        <v>6,23</v>
      </c>
      <c r="I107" s="19" t="str">
        <f>_xlfn.CONCAT(COLUMN()-$B107,",",ROW()-I$84)</f>
        <v>7,23</v>
      </c>
      <c r="J107" s="19" t="str">
        <f>_xlfn.CONCAT(COLUMN()-$B107,",",ROW()-J$84)</f>
        <v>8,23</v>
      </c>
      <c r="K107" s="19" t="str">
        <f>_xlfn.CONCAT(COLUMN()-$B107,",",ROW()-K$84)</f>
        <v>9,23</v>
      </c>
      <c r="L107" s="19" t="str">
        <f>_xlfn.CONCAT(COLUMN()-$B107,",",ROW()-L$84)</f>
        <v>10,23</v>
      </c>
      <c r="M107" s="19" t="str">
        <f>_xlfn.CONCAT(COLUMN()-$B107,",",ROW()-M$84)</f>
        <v>11,23</v>
      </c>
      <c r="N107" s="19" t="str">
        <f>_xlfn.CONCAT(COLUMN()-$B107,",",ROW()-N$84)</f>
        <v>12,23</v>
      </c>
      <c r="O107" s="19" t="str">
        <f>_xlfn.CONCAT(COLUMN()-$B107,",",ROW()-O$84)</f>
        <v>13,23</v>
      </c>
      <c r="P107" s="19" t="str">
        <f>_xlfn.CONCAT(COLUMN()-$B107,",",ROW()-P$84)</f>
        <v>14,23</v>
      </c>
      <c r="Q107" s="19" t="str">
        <f>_xlfn.CONCAT(COLUMN()-$B107,",",ROW()-Q$84)</f>
        <v>15,23</v>
      </c>
      <c r="R107" s="19" t="str">
        <f>_xlfn.CONCAT(COLUMN()-$B107,",",ROW()-R$84)</f>
        <v>16,23</v>
      </c>
      <c r="S107" s="19" t="str">
        <f>_xlfn.CONCAT(COLUMN()-$B107,",",ROW()-S$84)</f>
        <v>17,23</v>
      </c>
      <c r="T107" s="19" t="str">
        <f>_xlfn.CONCAT(COLUMN()-$B107,",",ROW()-T$84)</f>
        <v>18,23</v>
      </c>
      <c r="U107" s="19" t="str">
        <f>_xlfn.CONCAT(COLUMN()-$B107,",",ROW()-U$84)</f>
        <v>19,23</v>
      </c>
      <c r="V107" s="19" t="str">
        <f>_xlfn.CONCAT(COLUMN()-$B107,",",ROW()-V$84)</f>
        <v>20,23</v>
      </c>
      <c r="W107" s="19" t="str">
        <f>_xlfn.CONCAT(COLUMN()-$B107,",",ROW()-W$84)</f>
        <v>21,23</v>
      </c>
      <c r="X107" s="19" t="str">
        <f>_xlfn.CONCAT(COLUMN()-$B107,",",ROW()-X$84)</f>
        <v>22,23</v>
      </c>
      <c r="Y107" s="19" t="str">
        <f>_xlfn.CONCAT(COLUMN()-$B107,",",ROW()-Y$84)</f>
        <v>23,23</v>
      </c>
      <c r="Z107" s="35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56">
        <v>3</v>
      </c>
      <c r="BG107" s="57">
        <v>34</v>
      </c>
      <c r="BH107" s="57">
        <v>9</v>
      </c>
      <c r="BI107" s="57">
        <v>28</v>
      </c>
      <c r="BJ107" s="13" t="str">
        <f t="shared" si="11"/>
        <v>9,34</v>
      </c>
      <c r="BK107" s="35"/>
      <c r="BL107" s="8">
        <f t="shared" si="12"/>
        <v>103</v>
      </c>
      <c r="BM107" s="6">
        <f t="shared" si="13"/>
        <v>3</v>
      </c>
      <c r="BN107" s="6">
        <f t="shared" si="14"/>
        <v>31</v>
      </c>
      <c r="BO107" s="35"/>
      <c r="BP107" s="15">
        <v>102</v>
      </c>
      <c r="BQ107" s="60">
        <v>1</v>
      </c>
      <c r="BR107" s="57">
        <v>24</v>
      </c>
      <c r="BS107" s="57" t="s">
        <v>158</v>
      </c>
      <c r="BT107" s="57" t="s">
        <v>70</v>
      </c>
      <c r="BU107" s="57">
        <v>1</v>
      </c>
      <c r="BV107" s="60">
        <v>0</v>
      </c>
      <c r="BW107" s="57">
        <v>0</v>
      </c>
      <c r="BX107" s="60">
        <v>0</v>
      </c>
      <c r="BY107" s="60">
        <v>0</v>
      </c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</row>
    <row r="108" spans="1:115" ht="11.25" customHeight="1" x14ac:dyDescent="0.25">
      <c r="A108" s="35"/>
      <c r="B108" s="12">
        <f>COLUMN()</f>
        <v>2</v>
      </c>
      <c r="C108" s="19" t="str">
        <f>_xlfn.CONCAT(COLUMN()-$B108,",",ROW()-C$84)</f>
        <v>1,24</v>
      </c>
      <c r="D108" s="19" t="str">
        <f>_xlfn.CONCAT(COLUMN()-$B108,",",ROW()-D$84)</f>
        <v>2,24</v>
      </c>
      <c r="E108" s="19" t="str">
        <f>_xlfn.CONCAT(COLUMN()-$B108,",",ROW()-E$84)</f>
        <v>3,24</v>
      </c>
      <c r="F108" s="19" t="str">
        <f>_xlfn.CONCAT(COLUMN()-$B108,",",ROW()-F$84)</f>
        <v>4,24</v>
      </c>
      <c r="G108" s="19" t="str">
        <f>_xlfn.CONCAT(COLUMN()-$B108,",",ROW()-G$84)</f>
        <v>5,24</v>
      </c>
      <c r="H108" s="19" t="str">
        <f>_xlfn.CONCAT(COLUMN()-$B108,",",ROW()-H$84)</f>
        <v>6,24</v>
      </c>
      <c r="I108" s="19" t="str">
        <f>_xlfn.CONCAT(COLUMN()-$B108,",",ROW()-I$84)</f>
        <v>7,24</v>
      </c>
      <c r="J108" s="19" t="str">
        <f>_xlfn.CONCAT(COLUMN()-$B108,",",ROW()-J$84)</f>
        <v>8,24</v>
      </c>
      <c r="K108" s="19" t="str">
        <f>_xlfn.CONCAT(COLUMN()-$B108,",",ROW()-K$84)</f>
        <v>9,24</v>
      </c>
      <c r="L108" s="19" t="str">
        <f>_xlfn.CONCAT(COLUMN()-$B108,",",ROW()-L$84)</f>
        <v>10,24</v>
      </c>
      <c r="M108" s="19" t="str">
        <f>_xlfn.CONCAT(COLUMN()-$B108,",",ROW()-M$84)</f>
        <v>11,24</v>
      </c>
      <c r="N108" s="19" t="str">
        <f>_xlfn.CONCAT(COLUMN()-$B108,",",ROW()-N$84)</f>
        <v>12,24</v>
      </c>
      <c r="O108" s="19" t="str">
        <f>_xlfn.CONCAT(COLUMN()-$B108,",",ROW()-O$84)</f>
        <v>13,24</v>
      </c>
      <c r="P108" s="19" t="str">
        <f>_xlfn.CONCAT(COLUMN()-$B108,",",ROW()-P$84)</f>
        <v>14,24</v>
      </c>
      <c r="Q108" s="19" t="str">
        <f>_xlfn.CONCAT(COLUMN()-$B108,",",ROW()-Q$84)</f>
        <v>15,24</v>
      </c>
      <c r="R108" s="19" t="str">
        <f>_xlfn.CONCAT(COLUMN()-$B108,",",ROW()-R$84)</f>
        <v>16,24</v>
      </c>
      <c r="S108" s="19" t="str">
        <f>_xlfn.CONCAT(COLUMN()-$B108,",",ROW()-S$84)</f>
        <v>17,24</v>
      </c>
      <c r="T108" s="19" t="str">
        <f>_xlfn.CONCAT(COLUMN()-$B108,",",ROW()-T$84)</f>
        <v>18,24</v>
      </c>
      <c r="U108" s="19" t="str">
        <f>_xlfn.CONCAT(COLUMN()-$B108,",",ROW()-U$84)</f>
        <v>19,24</v>
      </c>
      <c r="V108" s="19" t="str">
        <f>_xlfn.CONCAT(COLUMN()-$B108,",",ROW()-V$84)</f>
        <v>20,24</v>
      </c>
      <c r="W108" s="19" t="str">
        <f>_xlfn.CONCAT(COLUMN()-$B108,",",ROW()-W$84)</f>
        <v>21,24</v>
      </c>
      <c r="X108" s="19" t="str">
        <f>_xlfn.CONCAT(COLUMN()-$B108,",",ROW()-X$84)</f>
        <v>22,24</v>
      </c>
      <c r="Y108" s="19" t="str">
        <f>_xlfn.CONCAT(COLUMN()-$B108,",",ROW()-Y$84)</f>
        <v>23,24</v>
      </c>
      <c r="Z108" s="35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56">
        <v>3</v>
      </c>
      <c r="BG108" s="57">
        <v>34</v>
      </c>
      <c r="BH108" s="57">
        <v>10</v>
      </c>
      <c r="BI108" s="57">
        <v>28</v>
      </c>
      <c r="BJ108" s="13" t="str">
        <f t="shared" si="11"/>
        <v>10,34</v>
      </c>
      <c r="BK108" s="35"/>
      <c r="BL108" s="8">
        <f t="shared" si="12"/>
        <v>104</v>
      </c>
      <c r="BM108" s="6">
        <f t="shared" si="13"/>
        <v>3</v>
      </c>
      <c r="BN108" s="6">
        <f t="shared" si="14"/>
        <v>32</v>
      </c>
      <c r="BO108" s="35"/>
      <c r="BP108" s="15">
        <v>103</v>
      </c>
      <c r="BQ108" s="60">
        <v>1</v>
      </c>
      <c r="BR108" s="57">
        <v>25</v>
      </c>
      <c r="BS108" s="57" t="s">
        <v>153</v>
      </c>
      <c r="BT108" s="57" t="s">
        <v>67</v>
      </c>
      <c r="BU108" s="57">
        <v>1</v>
      </c>
      <c r="BV108" s="60">
        <v>20.2</v>
      </c>
      <c r="BW108" s="57">
        <v>100</v>
      </c>
      <c r="BX108" s="60">
        <v>202.83250000000001</v>
      </c>
      <c r="BY108" s="60">
        <v>403.71699999999998</v>
      </c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</row>
    <row r="109" spans="1:115" ht="11.25" customHeight="1" x14ac:dyDescent="0.25">
      <c r="A109" s="35"/>
      <c r="B109" s="12">
        <f>COLUMN()</f>
        <v>2</v>
      </c>
      <c r="C109" s="19" t="str">
        <f>_xlfn.CONCAT(COLUMN()-$B109,",",ROW()-C$84)</f>
        <v>1,25</v>
      </c>
      <c r="D109" s="19" t="str">
        <f>_xlfn.CONCAT(COLUMN()-$B109,",",ROW()-D$84)</f>
        <v>2,25</v>
      </c>
      <c r="E109" s="19" t="str">
        <f>_xlfn.CONCAT(COLUMN()-$B109,",",ROW()-E$84)</f>
        <v>3,25</v>
      </c>
      <c r="F109" s="19" t="str">
        <f>_xlfn.CONCAT(COLUMN()-$B109,",",ROW()-F$84)</f>
        <v>4,25</v>
      </c>
      <c r="G109" s="19" t="str">
        <f>_xlfn.CONCAT(COLUMN()-$B109,",",ROW()-G$84)</f>
        <v>5,25</v>
      </c>
      <c r="H109" s="19" t="str">
        <f>_xlfn.CONCAT(COLUMN()-$B109,",",ROW()-H$84)</f>
        <v>6,25</v>
      </c>
      <c r="I109" s="19" t="str">
        <f>_xlfn.CONCAT(COLUMN()-$B109,",",ROW()-I$84)</f>
        <v>7,25</v>
      </c>
      <c r="J109" s="19" t="str">
        <f>_xlfn.CONCAT(COLUMN()-$B109,",",ROW()-J$84)</f>
        <v>8,25</v>
      </c>
      <c r="K109" s="19" t="str">
        <f>_xlfn.CONCAT(COLUMN()-$B109,",",ROW()-K$84)</f>
        <v>9,25</v>
      </c>
      <c r="L109" s="19" t="str">
        <f>_xlfn.CONCAT(COLUMN()-$B109,",",ROW()-L$84)</f>
        <v>10,25</v>
      </c>
      <c r="M109" s="19" t="str">
        <f>_xlfn.CONCAT(COLUMN()-$B109,",",ROW()-M$84)</f>
        <v>11,25</v>
      </c>
      <c r="N109" s="19" t="str">
        <f>_xlfn.CONCAT(COLUMN()-$B109,",",ROW()-N$84)</f>
        <v>12,25</v>
      </c>
      <c r="O109" s="19" t="str">
        <f>_xlfn.CONCAT(COLUMN()-$B109,",",ROW()-O$84)</f>
        <v>13,25</v>
      </c>
      <c r="P109" s="19" t="str">
        <f>_xlfn.CONCAT(COLUMN()-$B109,",",ROW()-P$84)</f>
        <v>14,25</v>
      </c>
      <c r="Q109" s="19" t="str">
        <f>_xlfn.CONCAT(COLUMN()-$B109,",",ROW()-Q$84)</f>
        <v>15,25</v>
      </c>
      <c r="R109" s="19" t="str">
        <f>_xlfn.CONCAT(COLUMN()-$B109,",",ROW()-R$84)</f>
        <v>16,25</v>
      </c>
      <c r="S109" s="19" t="str">
        <f>_xlfn.CONCAT(COLUMN()-$B109,",",ROW()-S$84)</f>
        <v>17,25</v>
      </c>
      <c r="T109" s="19" t="str">
        <f>_xlfn.CONCAT(COLUMN()-$B109,",",ROW()-T$84)</f>
        <v>18,25</v>
      </c>
      <c r="U109" s="19" t="str">
        <f>_xlfn.CONCAT(COLUMN()-$B109,",",ROW()-U$84)</f>
        <v>19,25</v>
      </c>
      <c r="V109" s="19" t="str">
        <f>_xlfn.CONCAT(COLUMN()-$B109,",",ROW()-V$84)</f>
        <v>20,25</v>
      </c>
      <c r="W109" s="19" t="str">
        <f>_xlfn.CONCAT(COLUMN()-$B109,",",ROW()-W$84)</f>
        <v>21,25</v>
      </c>
      <c r="X109" s="19" t="str">
        <f>_xlfn.CONCAT(COLUMN()-$B109,",",ROW()-X$84)</f>
        <v>22,25</v>
      </c>
      <c r="Y109" s="19" t="str">
        <f>_xlfn.CONCAT(COLUMN()-$B109,",",ROW()-Y$84)</f>
        <v>23,25</v>
      </c>
      <c r="Z109" s="35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56">
        <v>3</v>
      </c>
      <c r="BG109" s="57">
        <v>34</v>
      </c>
      <c r="BH109" s="57">
        <v>11</v>
      </c>
      <c r="BI109" s="57">
        <v>28</v>
      </c>
      <c r="BJ109" s="13" t="str">
        <f t="shared" si="11"/>
        <v>11,34</v>
      </c>
      <c r="BK109" s="35"/>
      <c r="BL109" s="8">
        <f t="shared" si="12"/>
        <v>105</v>
      </c>
      <c r="BM109" s="6">
        <f t="shared" si="13"/>
        <v>3</v>
      </c>
      <c r="BN109" s="6">
        <f t="shared" si="14"/>
        <v>33</v>
      </c>
      <c r="BO109" s="35"/>
      <c r="BP109" s="15">
        <v>104</v>
      </c>
      <c r="BQ109" s="60">
        <v>1</v>
      </c>
      <c r="BR109" s="57">
        <v>26</v>
      </c>
      <c r="BS109" s="57" t="s">
        <v>159</v>
      </c>
      <c r="BT109" s="57" t="s">
        <v>70</v>
      </c>
      <c r="BU109" s="57">
        <v>1</v>
      </c>
      <c r="BV109" s="60">
        <v>0</v>
      </c>
      <c r="BW109" s="57">
        <v>0</v>
      </c>
      <c r="BX109" s="60">
        <v>0</v>
      </c>
      <c r="BY109" s="60">
        <v>0</v>
      </c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</row>
    <row r="110" spans="1:115" ht="11.25" customHeight="1" x14ac:dyDescent="0.25">
      <c r="A110" s="35"/>
      <c r="B110" s="12">
        <f>COLUMN()</f>
        <v>2</v>
      </c>
      <c r="C110" s="19" t="str">
        <f>_xlfn.CONCAT(COLUMN()-$B110,",",ROW()-C$84)</f>
        <v>1,26</v>
      </c>
      <c r="D110" s="19" t="str">
        <f>_xlfn.CONCAT(COLUMN()-$B110,",",ROW()-D$84)</f>
        <v>2,26</v>
      </c>
      <c r="E110" s="19" t="str">
        <f>_xlfn.CONCAT(COLUMN()-$B110,",",ROW()-E$84)</f>
        <v>3,26</v>
      </c>
      <c r="F110" s="19" t="str">
        <f>_xlfn.CONCAT(COLUMN()-$B110,",",ROW()-F$84)</f>
        <v>4,26</v>
      </c>
      <c r="G110" s="19" t="str">
        <f>_xlfn.CONCAT(COLUMN()-$B110,",",ROW()-G$84)</f>
        <v>5,26</v>
      </c>
      <c r="H110" s="19" t="str">
        <f>_xlfn.CONCAT(COLUMN()-$B110,",",ROW()-H$84)</f>
        <v>6,26</v>
      </c>
      <c r="I110" s="19" t="str">
        <f>_xlfn.CONCAT(COLUMN()-$B110,",",ROW()-I$84)</f>
        <v>7,26</v>
      </c>
      <c r="J110" s="19" t="str">
        <f>_xlfn.CONCAT(COLUMN()-$B110,",",ROW()-J$84)</f>
        <v>8,26</v>
      </c>
      <c r="K110" s="19" t="str">
        <f>_xlfn.CONCAT(COLUMN()-$B110,",",ROW()-K$84)</f>
        <v>9,26</v>
      </c>
      <c r="L110" s="19" t="str">
        <f>_xlfn.CONCAT(COLUMN()-$B110,",",ROW()-L$84)</f>
        <v>10,26</v>
      </c>
      <c r="M110" s="19" t="str">
        <f>_xlfn.CONCAT(COLUMN()-$B110,",",ROW()-M$84)</f>
        <v>11,26</v>
      </c>
      <c r="N110" s="19" t="str">
        <f>_xlfn.CONCAT(COLUMN()-$B110,",",ROW()-N$84)</f>
        <v>12,26</v>
      </c>
      <c r="O110" s="19" t="str">
        <f>_xlfn.CONCAT(COLUMN()-$B110,",",ROW()-O$84)</f>
        <v>13,26</v>
      </c>
      <c r="P110" s="19" t="str">
        <f>_xlfn.CONCAT(COLUMN()-$B110,",",ROW()-P$84)</f>
        <v>14,26</v>
      </c>
      <c r="Q110" s="19" t="str">
        <f>_xlfn.CONCAT(COLUMN()-$B110,",",ROW()-Q$84)</f>
        <v>15,26</v>
      </c>
      <c r="R110" s="19" t="str">
        <f>_xlfn.CONCAT(COLUMN()-$B110,",",ROW()-R$84)</f>
        <v>16,26</v>
      </c>
      <c r="S110" s="19" t="str">
        <f>_xlfn.CONCAT(COLUMN()-$B110,",",ROW()-S$84)</f>
        <v>17,26</v>
      </c>
      <c r="T110" s="19" t="str">
        <f>_xlfn.CONCAT(COLUMN()-$B110,",",ROW()-T$84)</f>
        <v>18,26</v>
      </c>
      <c r="U110" s="19" t="str">
        <f>_xlfn.CONCAT(COLUMN()-$B110,",",ROW()-U$84)</f>
        <v>19,26</v>
      </c>
      <c r="V110" s="19" t="str">
        <f>_xlfn.CONCAT(COLUMN()-$B110,",",ROW()-V$84)</f>
        <v>20,26</v>
      </c>
      <c r="W110" s="19" t="str">
        <f>_xlfn.CONCAT(COLUMN()-$B110,",",ROW()-W$84)</f>
        <v>21,26</v>
      </c>
      <c r="X110" s="19" t="str">
        <f>_xlfn.CONCAT(COLUMN()-$B110,",",ROW()-X$84)</f>
        <v>22,26</v>
      </c>
      <c r="Y110" s="19" t="str">
        <f>_xlfn.CONCAT(COLUMN()-$B110,",",ROW()-Y$84)</f>
        <v>23,26</v>
      </c>
      <c r="Z110" s="35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56">
        <v>3</v>
      </c>
      <c r="BG110" s="57">
        <v>34</v>
      </c>
      <c r="BH110" s="57">
        <v>12</v>
      </c>
      <c r="BI110" s="57">
        <v>28</v>
      </c>
      <c r="BJ110" s="13" t="str">
        <f t="shared" si="11"/>
        <v>12,34</v>
      </c>
      <c r="BK110" s="35"/>
      <c r="BL110" s="8">
        <f t="shared" si="12"/>
        <v>106</v>
      </c>
      <c r="BM110" s="6">
        <f t="shared" si="13"/>
        <v>3</v>
      </c>
      <c r="BN110" s="6">
        <f t="shared" si="14"/>
        <v>34</v>
      </c>
      <c r="BO110" s="35"/>
      <c r="BP110" s="15">
        <v>105</v>
      </c>
      <c r="BQ110" s="60">
        <v>1</v>
      </c>
      <c r="BR110" s="57">
        <v>27</v>
      </c>
      <c r="BS110" s="57" t="s">
        <v>160</v>
      </c>
      <c r="BT110" s="57" t="s">
        <v>67</v>
      </c>
      <c r="BU110" s="57">
        <v>1</v>
      </c>
      <c r="BV110" s="60">
        <v>20.2</v>
      </c>
      <c r="BW110" s="57">
        <v>100</v>
      </c>
      <c r="BX110" s="60">
        <v>201.85849999999999</v>
      </c>
      <c r="BY110" s="60">
        <v>405.66500000000002</v>
      </c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</row>
    <row r="111" spans="1:115" ht="11.25" customHeight="1" x14ac:dyDescent="0.25">
      <c r="A111" s="35"/>
      <c r="B111" s="12">
        <f>COLUMN()</f>
        <v>2</v>
      </c>
      <c r="C111" s="19" t="str">
        <f>_xlfn.CONCAT(COLUMN()-$B111,",",ROW()-C$84)</f>
        <v>1,27</v>
      </c>
      <c r="D111" s="19" t="str">
        <f>_xlfn.CONCAT(COLUMN()-$B111,",",ROW()-D$84)</f>
        <v>2,27</v>
      </c>
      <c r="E111" s="19" t="str">
        <f>_xlfn.CONCAT(COLUMN()-$B111,",",ROW()-E$84)</f>
        <v>3,27</v>
      </c>
      <c r="F111" s="19" t="str">
        <f>_xlfn.CONCAT(COLUMN()-$B111,",",ROW()-F$84)</f>
        <v>4,27</v>
      </c>
      <c r="G111" s="19" t="str">
        <f>_xlfn.CONCAT(COLUMN()-$B111,",",ROW()-G$84)</f>
        <v>5,27</v>
      </c>
      <c r="H111" s="19" t="str">
        <f>_xlfn.CONCAT(COLUMN()-$B111,",",ROW()-H$84)</f>
        <v>6,27</v>
      </c>
      <c r="I111" s="19" t="str">
        <f>_xlfn.CONCAT(COLUMN()-$B111,",",ROW()-I$84)</f>
        <v>7,27</v>
      </c>
      <c r="J111" s="19" t="str">
        <f>_xlfn.CONCAT(COLUMN()-$B111,",",ROW()-J$84)</f>
        <v>8,27</v>
      </c>
      <c r="K111" s="19" t="str">
        <f>_xlfn.CONCAT(COLUMN()-$B111,",",ROW()-K$84)</f>
        <v>9,27</v>
      </c>
      <c r="L111" s="19" t="str">
        <f>_xlfn.CONCAT(COLUMN()-$B111,",",ROW()-L$84)</f>
        <v>10,27</v>
      </c>
      <c r="M111" s="19" t="str">
        <f>_xlfn.CONCAT(COLUMN()-$B111,",",ROW()-M$84)</f>
        <v>11,27</v>
      </c>
      <c r="N111" s="19" t="str">
        <f>_xlfn.CONCAT(COLUMN()-$B111,",",ROW()-N$84)</f>
        <v>12,27</v>
      </c>
      <c r="O111" s="19" t="str">
        <f>_xlfn.CONCAT(COLUMN()-$B111,",",ROW()-O$84)</f>
        <v>13,27</v>
      </c>
      <c r="P111" s="19" t="str">
        <f>_xlfn.CONCAT(COLUMN()-$B111,",",ROW()-P$84)</f>
        <v>14,27</v>
      </c>
      <c r="Q111" s="19" t="str">
        <f>_xlfn.CONCAT(COLUMN()-$B111,",",ROW()-Q$84)</f>
        <v>15,27</v>
      </c>
      <c r="R111" s="19" t="str">
        <f>_xlfn.CONCAT(COLUMN()-$B111,",",ROW()-R$84)</f>
        <v>16,27</v>
      </c>
      <c r="S111" s="19" t="str">
        <f>_xlfn.CONCAT(COLUMN()-$B111,",",ROW()-S$84)</f>
        <v>17,27</v>
      </c>
      <c r="T111" s="19" t="str">
        <f>_xlfn.CONCAT(COLUMN()-$B111,",",ROW()-T$84)</f>
        <v>18,27</v>
      </c>
      <c r="U111" s="19" t="str">
        <f>_xlfn.CONCAT(COLUMN()-$B111,",",ROW()-U$84)</f>
        <v>19,27</v>
      </c>
      <c r="V111" s="19" t="str">
        <f>_xlfn.CONCAT(COLUMN()-$B111,",",ROW()-V$84)</f>
        <v>20,27</v>
      </c>
      <c r="W111" s="19" t="str">
        <f>_xlfn.CONCAT(COLUMN()-$B111,",",ROW()-W$84)</f>
        <v>21,27</v>
      </c>
      <c r="X111" s="19" t="str">
        <f>_xlfn.CONCAT(COLUMN()-$B111,",",ROW()-X$84)</f>
        <v>22,27</v>
      </c>
      <c r="Y111" s="19" t="str">
        <f>_xlfn.CONCAT(COLUMN()-$B111,",",ROW()-Y$84)</f>
        <v>23,27</v>
      </c>
      <c r="Z111" s="35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56">
        <v>3</v>
      </c>
      <c r="BG111" s="57">
        <v>34</v>
      </c>
      <c r="BH111" s="57">
        <v>13</v>
      </c>
      <c r="BI111" s="57">
        <v>28</v>
      </c>
      <c r="BJ111" s="13" t="str">
        <f t="shared" si="11"/>
        <v>13,34</v>
      </c>
      <c r="BK111" s="35"/>
      <c r="BL111" s="8">
        <f t="shared" si="12"/>
        <v>107</v>
      </c>
      <c r="BM111" s="6">
        <f t="shared" si="13"/>
        <v>3</v>
      </c>
      <c r="BN111" s="6">
        <f t="shared" si="14"/>
        <v>35</v>
      </c>
      <c r="BO111" s="35"/>
      <c r="BP111" s="15">
        <v>106</v>
      </c>
      <c r="BQ111" s="60">
        <v>1</v>
      </c>
      <c r="BR111" s="57">
        <v>28</v>
      </c>
      <c r="BS111" s="57" t="s">
        <v>161</v>
      </c>
      <c r="BT111" s="57" t="s">
        <v>70</v>
      </c>
      <c r="BU111" s="57">
        <v>1</v>
      </c>
      <c r="BV111" s="60">
        <v>0</v>
      </c>
      <c r="BW111" s="57">
        <v>0</v>
      </c>
      <c r="BX111" s="60">
        <v>0</v>
      </c>
      <c r="BY111" s="60">
        <v>0</v>
      </c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</row>
    <row r="112" spans="1:115" ht="11.25" customHeight="1" x14ac:dyDescent="0.25">
      <c r="A112" s="35"/>
      <c r="B112" s="12">
        <f>COLUMN()</f>
        <v>2</v>
      </c>
      <c r="C112" s="19" t="str">
        <f>_xlfn.CONCAT(COLUMN()-$B112,",",ROW()-C$84)</f>
        <v>1,28</v>
      </c>
      <c r="D112" s="19" t="str">
        <f>_xlfn.CONCAT(COLUMN()-$B112,",",ROW()-D$84)</f>
        <v>2,28</v>
      </c>
      <c r="E112" s="19" t="str">
        <f>_xlfn.CONCAT(COLUMN()-$B112,",",ROW()-E$84)</f>
        <v>3,28</v>
      </c>
      <c r="F112" s="19" t="str">
        <f>_xlfn.CONCAT(COLUMN()-$B112,",",ROW()-F$84)</f>
        <v>4,28</v>
      </c>
      <c r="G112" s="19" t="str">
        <f>_xlfn.CONCAT(COLUMN()-$B112,",",ROW()-G$84)</f>
        <v>5,28</v>
      </c>
      <c r="H112" s="19" t="str">
        <f>_xlfn.CONCAT(COLUMN()-$B112,",",ROW()-H$84)</f>
        <v>6,28</v>
      </c>
      <c r="I112" s="19" t="str">
        <f>_xlfn.CONCAT(COLUMN()-$B112,",",ROW()-I$84)</f>
        <v>7,28</v>
      </c>
      <c r="J112" s="19" t="str">
        <f>_xlfn.CONCAT(COLUMN()-$B112,",",ROW()-J$84)</f>
        <v>8,28</v>
      </c>
      <c r="K112" s="19" t="str">
        <f>_xlfn.CONCAT(COLUMN()-$B112,",",ROW()-K$84)</f>
        <v>9,28</v>
      </c>
      <c r="L112" s="19" t="str">
        <f>_xlfn.CONCAT(COLUMN()-$B112,",",ROW()-L$84)</f>
        <v>10,28</v>
      </c>
      <c r="M112" s="19" t="str">
        <f>_xlfn.CONCAT(COLUMN()-$B112,",",ROW()-M$84)</f>
        <v>11,28</v>
      </c>
      <c r="N112" s="19" t="str">
        <f>_xlfn.CONCAT(COLUMN()-$B112,",",ROW()-N$84)</f>
        <v>12,28</v>
      </c>
      <c r="O112" s="19" t="str">
        <f>_xlfn.CONCAT(COLUMN()-$B112,",",ROW()-O$84)</f>
        <v>13,28</v>
      </c>
      <c r="P112" s="19" t="str">
        <f>_xlfn.CONCAT(COLUMN()-$B112,",",ROW()-P$84)</f>
        <v>14,28</v>
      </c>
      <c r="Q112" s="19" t="str">
        <f>_xlfn.CONCAT(COLUMN()-$B112,",",ROW()-Q$84)</f>
        <v>15,28</v>
      </c>
      <c r="R112" s="19" t="str">
        <f>_xlfn.CONCAT(COLUMN()-$B112,",",ROW()-R$84)</f>
        <v>16,28</v>
      </c>
      <c r="S112" s="19" t="str">
        <f>_xlfn.CONCAT(COLUMN()-$B112,",",ROW()-S$84)</f>
        <v>17,28</v>
      </c>
      <c r="T112" s="19" t="str">
        <f>_xlfn.CONCAT(COLUMN()-$B112,",",ROW()-T$84)</f>
        <v>18,28</v>
      </c>
      <c r="U112" s="19" t="str">
        <f>_xlfn.CONCAT(COLUMN()-$B112,",",ROW()-U$84)</f>
        <v>19,28</v>
      </c>
      <c r="V112" s="19" t="str">
        <f>_xlfn.CONCAT(COLUMN()-$B112,",",ROW()-V$84)</f>
        <v>20,28</v>
      </c>
      <c r="W112" s="19" t="str">
        <f>_xlfn.CONCAT(COLUMN()-$B112,",",ROW()-W$84)</f>
        <v>21,28</v>
      </c>
      <c r="X112" s="19" t="str">
        <f>_xlfn.CONCAT(COLUMN()-$B112,",",ROW()-X$84)</f>
        <v>22,28</v>
      </c>
      <c r="Y112" s="19" t="str">
        <f>_xlfn.CONCAT(COLUMN()-$B112,",",ROW()-Y$84)</f>
        <v>23,28</v>
      </c>
      <c r="Z112" s="35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56">
        <v>3</v>
      </c>
      <c r="BG112" s="57">
        <v>35</v>
      </c>
      <c r="BH112" s="57">
        <v>14</v>
      </c>
      <c r="BI112" s="57">
        <v>28</v>
      </c>
      <c r="BJ112" s="13" t="str">
        <f t="shared" si="11"/>
        <v>14,35</v>
      </c>
      <c r="BK112" s="35"/>
      <c r="BL112" s="8">
        <f t="shared" si="12"/>
        <v>108</v>
      </c>
      <c r="BM112" s="6">
        <f t="shared" si="13"/>
        <v>3</v>
      </c>
      <c r="BN112" s="6">
        <f t="shared" si="14"/>
        <v>36</v>
      </c>
      <c r="BO112" s="35"/>
      <c r="BP112" s="15">
        <v>107</v>
      </c>
      <c r="BQ112" s="60">
        <v>1</v>
      </c>
      <c r="BR112" s="57">
        <v>29</v>
      </c>
      <c r="BS112" s="57" t="s">
        <v>162</v>
      </c>
      <c r="BT112" s="57" t="s">
        <v>67</v>
      </c>
      <c r="BU112" s="57">
        <v>1</v>
      </c>
      <c r="BV112" s="60">
        <v>20.2</v>
      </c>
      <c r="BW112" s="57">
        <v>100</v>
      </c>
      <c r="BX112" s="60">
        <v>202.83250000000001</v>
      </c>
      <c r="BY112" s="60">
        <v>403.71699999999998</v>
      </c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</row>
    <row r="113" spans="1:115" ht="11.25" customHeight="1" x14ac:dyDescent="0.25">
      <c r="A113" s="35"/>
      <c r="B113" s="12">
        <f>COLUMN()</f>
        <v>2</v>
      </c>
      <c r="C113" s="19" t="str">
        <f>_xlfn.CONCAT(COLUMN()-$B113,",",ROW()-C$84)</f>
        <v>1,29</v>
      </c>
      <c r="D113" s="19" t="str">
        <f>_xlfn.CONCAT(COLUMN()-$B113,",",ROW()-D$84)</f>
        <v>2,29</v>
      </c>
      <c r="E113" s="19" t="str">
        <f>_xlfn.CONCAT(COLUMN()-$B113,",",ROW()-E$84)</f>
        <v>3,29</v>
      </c>
      <c r="F113" s="19" t="str">
        <f>_xlfn.CONCAT(COLUMN()-$B113,",",ROW()-F$84)</f>
        <v>4,29</v>
      </c>
      <c r="G113" s="19" t="str">
        <f>_xlfn.CONCAT(COLUMN()-$B113,",",ROW()-G$84)</f>
        <v>5,29</v>
      </c>
      <c r="H113" s="19" t="str">
        <f>_xlfn.CONCAT(COLUMN()-$B113,",",ROW()-H$84)</f>
        <v>6,29</v>
      </c>
      <c r="I113" s="19" t="str">
        <f>_xlfn.CONCAT(COLUMN()-$B113,",",ROW()-I$84)</f>
        <v>7,29</v>
      </c>
      <c r="J113" s="19" t="str">
        <f>_xlfn.CONCAT(COLUMN()-$B113,",",ROW()-J$84)</f>
        <v>8,29</v>
      </c>
      <c r="K113" s="19" t="str">
        <f>_xlfn.CONCAT(COLUMN()-$B113,",",ROW()-K$84)</f>
        <v>9,29</v>
      </c>
      <c r="L113" s="19" t="str">
        <f>_xlfn.CONCAT(COLUMN()-$B113,",",ROW()-L$84)</f>
        <v>10,29</v>
      </c>
      <c r="M113" s="19" t="str">
        <f>_xlfn.CONCAT(COLUMN()-$B113,",",ROW()-M$84)</f>
        <v>11,29</v>
      </c>
      <c r="N113" s="19" t="str">
        <f>_xlfn.CONCAT(COLUMN()-$B113,",",ROW()-N$84)</f>
        <v>12,29</v>
      </c>
      <c r="O113" s="19" t="str">
        <f>_xlfn.CONCAT(COLUMN()-$B113,",",ROW()-O$84)</f>
        <v>13,29</v>
      </c>
      <c r="P113" s="19" t="str">
        <f>_xlfn.CONCAT(COLUMN()-$B113,",",ROW()-P$84)</f>
        <v>14,29</v>
      </c>
      <c r="Q113" s="19" t="str">
        <f>_xlfn.CONCAT(COLUMN()-$B113,",",ROW()-Q$84)</f>
        <v>15,29</v>
      </c>
      <c r="R113" s="19" t="str">
        <f>_xlfn.CONCAT(COLUMN()-$B113,",",ROW()-R$84)</f>
        <v>16,29</v>
      </c>
      <c r="S113" s="19" t="str">
        <f>_xlfn.CONCAT(COLUMN()-$B113,",",ROW()-S$84)</f>
        <v>17,29</v>
      </c>
      <c r="T113" s="19" t="str">
        <f>_xlfn.CONCAT(COLUMN()-$B113,",",ROW()-T$84)</f>
        <v>18,29</v>
      </c>
      <c r="U113" s="19" t="str">
        <f>_xlfn.CONCAT(COLUMN()-$B113,",",ROW()-U$84)</f>
        <v>19,29</v>
      </c>
      <c r="V113" s="19" t="str">
        <f>_xlfn.CONCAT(COLUMN()-$B113,",",ROW()-V$84)</f>
        <v>20,29</v>
      </c>
      <c r="W113" s="19" t="str">
        <f>_xlfn.CONCAT(COLUMN()-$B113,",",ROW()-W$84)</f>
        <v>21,29</v>
      </c>
      <c r="X113" s="19" t="str">
        <f>_xlfn.CONCAT(COLUMN()-$B113,",",ROW()-X$84)</f>
        <v>22,29</v>
      </c>
      <c r="Y113" s="19" t="str">
        <f>_xlfn.CONCAT(COLUMN()-$B113,",",ROW()-Y$84)</f>
        <v>23,29</v>
      </c>
      <c r="Z113" s="35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56">
        <v>3</v>
      </c>
      <c r="BG113" s="57">
        <v>35</v>
      </c>
      <c r="BH113" s="57">
        <v>15</v>
      </c>
      <c r="BI113" s="57">
        <v>28</v>
      </c>
      <c r="BJ113" s="13" t="str">
        <f t="shared" si="11"/>
        <v>15,35</v>
      </c>
      <c r="BK113" s="35"/>
      <c r="BL113" s="8">
        <f t="shared" si="12"/>
        <v>109</v>
      </c>
      <c r="BM113" s="6">
        <f t="shared" si="13"/>
        <v>4</v>
      </c>
      <c r="BN113" s="6">
        <f t="shared" si="14"/>
        <v>1</v>
      </c>
      <c r="BO113" s="35"/>
      <c r="BP113" s="15">
        <v>108</v>
      </c>
      <c r="BQ113" s="60">
        <v>1</v>
      </c>
      <c r="BR113" s="57">
        <v>30</v>
      </c>
      <c r="BS113" s="57" t="s">
        <v>163</v>
      </c>
      <c r="BT113" s="57" t="s">
        <v>67</v>
      </c>
      <c r="BU113" s="57">
        <v>1</v>
      </c>
      <c r="BV113" s="60">
        <v>20.2</v>
      </c>
      <c r="BW113" s="57">
        <v>100</v>
      </c>
      <c r="BX113" s="60">
        <v>201.85849999999999</v>
      </c>
      <c r="BY113" s="60">
        <v>405.66500000000002</v>
      </c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</row>
    <row r="114" spans="1:115" ht="11.25" customHeight="1" x14ac:dyDescent="0.25">
      <c r="A114" s="35"/>
      <c r="B114" s="12">
        <f>COLUMN()</f>
        <v>2</v>
      </c>
      <c r="C114" s="19" t="str">
        <f>_xlfn.CONCAT(COLUMN()-$B114,",",ROW()-C$84)</f>
        <v>1,30</v>
      </c>
      <c r="D114" s="19" t="str">
        <f>_xlfn.CONCAT(COLUMN()-$B114,",",ROW()-D$84)</f>
        <v>2,30</v>
      </c>
      <c r="E114" s="19" t="str">
        <f>_xlfn.CONCAT(COLUMN()-$B114,",",ROW()-E$84)</f>
        <v>3,30</v>
      </c>
      <c r="F114" s="19" t="str">
        <f>_xlfn.CONCAT(COLUMN()-$B114,",",ROW()-F$84)</f>
        <v>4,30</v>
      </c>
      <c r="G114" s="19" t="str">
        <f>_xlfn.CONCAT(COLUMN()-$B114,",",ROW()-G$84)</f>
        <v>5,30</v>
      </c>
      <c r="H114" s="19" t="str">
        <f>_xlfn.CONCAT(COLUMN()-$B114,",",ROW()-H$84)</f>
        <v>6,30</v>
      </c>
      <c r="I114" s="19" t="str">
        <f>_xlfn.CONCAT(COLUMN()-$B114,",",ROW()-I$84)</f>
        <v>7,30</v>
      </c>
      <c r="J114" s="19" t="str">
        <f>_xlfn.CONCAT(COLUMN()-$B114,",",ROW()-J$84)</f>
        <v>8,30</v>
      </c>
      <c r="K114" s="19" t="str">
        <f>_xlfn.CONCAT(COLUMN()-$B114,",",ROW()-K$84)</f>
        <v>9,30</v>
      </c>
      <c r="L114" s="19" t="str">
        <f>_xlfn.CONCAT(COLUMN()-$B114,",",ROW()-L$84)</f>
        <v>10,30</v>
      </c>
      <c r="M114" s="19" t="str">
        <f>_xlfn.CONCAT(COLUMN()-$B114,",",ROW()-M$84)</f>
        <v>11,30</v>
      </c>
      <c r="N114" s="19" t="str">
        <f>_xlfn.CONCAT(COLUMN()-$B114,",",ROW()-N$84)</f>
        <v>12,30</v>
      </c>
      <c r="O114" s="19" t="str">
        <f>_xlfn.CONCAT(COLUMN()-$B114,",",ROW()-O$84)</f>
        <v>13,30</v>
      </c>
      <c r="P114" s="19" t="str">
        <f>_xlfn.CONCAT(COLUMN()-$B114,",",ROW()-P$84)</f>
        <v>14,30</v>
      </c>
      <c r="Q114" s="19" t="str">
        <f>_xlfn.CONCAT(COLUMN()-$B114,",",ROW()-Q$84)</f>
        <v>15,30</v>
      </c>
      <c r="R114" s="19" t="str">
        <f>_xlfn.CONCAT(COLUMN()-$B114,",",ROW()-R$84)</f>
        <v>16,30</v>
      </c>
      <c r="S114" s="19" t="str">
        <f>_xlfn.CONCAT(COLUMN()-$B114,",",ROW()-S$84)</f>
        <v>17,30</v>
      </c>
      <c r="T114" s="19" t="str">
        <f>_xlfn.CONCAT(COLUMN()-$B114,",",ROW()-T$84)</f>
        <v>18,30</v>
      </c>
      <c r="U114" s="19" t="str">
        <f>_xlfn.CONCAT(COLUMN()-$B114,",",ROW()-U$84)</f>
        <v>19,30</v>
      </c>
      <c r="V114" s="19" t="str">
        <f>_xlfn.CONCAT(COLUMN()-$B114,",",ROW()-V$84)</f>
        <v>20,30</v>
      </c>
      <c r="W114" s="19" t="str">
        <f>_xlfn.CONCAT(COLUMN()-$B114,",",ROW()-W$84)</f>
        <v>21,30</v>
      </c>
      <c r="X114" s="19" t="str">
        <f>_xlfn.CONCAT(COLUMN()-$B114,",",ROW()-X$84)</f>
        <v>22,30</v>
      </c>
      <c r="Y114" s="19" t="str">
        <f>_xlfn.CONCAT(COLUMN()-$B114,",",ROW()-Y$84)</f>
        <v>23,30</v>
      </c>
      <c r="Z114" s="35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56">
        <v>3</v>
      </c>
      <c r="BG114" s="57">
        <v>35</v>
      </c>
      <c r="BH114" s="57">
        <v>16</v>
      </c>
      <c r="BI114" s="57">
        <v>28</v>
      </c>
      <c r="BJ114" s="13" t="str">
        <f t="shared" si="11"/>
        <v>16,35</v>
      </c>
      <c r="BK114" s="35"/>
      <c r="BL114" s="8">
        <f t="shared" si="12"/>
        <v>110</v>
      </c>
      <c r="BM114" s="6">
        <f t="shared" si="13"/>
        <v>4</v>
      </c>
      <c r="BN114" s="6">
        <f t="shared" si="14"/>
        <v>2</v>
      </c>
      <c r="BO114" s="35"/>
      <c r="BP114" s="15">
        <v>109</v>
      </c>
      <c r="BQ114" s="60">
        <v>1</v>
      </c>
      <c r="BR114" s="57">
        <v>31</v>
      </c>
      <c r="BS114" s="57" t="s">
        <v>164</v>
      </c>
      <c r="BT114" s="57" t="s">
        <v>70</v>
      </c>
      <c r="BU114" s="57">
        <v>1</v>
      </c>
      <c r="BV114" s="60">
        <v>0</v>
      </c>
      <c r="BW114" s="57">
        <v>0</v>
      </c>
      <c r="BX114" s="60">
        <v>0</v>
      </c>
      <c r="BY114" s="60">
        <v>0</v>
      </c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</row>
    <row r="115" spans="1:115" ht="11.25" customHeight="1" x14ac:dyDescent="0.25">
      <c r="A115" s="35"/>
      <c r="B115" s="12">
        <f>COLUMN()</f>
        <v>2</v>
      </c>
      <c r="C115" s="19" t="str">
        <f>_xlfn.CONCAT(COLUMN()-$B115,",",ROW()-C$84)</f>
        <v>1,31</v>
      </c>
      <c r="D115" s="19" t="str">
        <f>_xlfn.CONCAT(COLUMN()-$B115,",",ROW()-D$84)</f>
        <v>2,31</v>
      </c>
      <c r="E115" s="19" t="str">
        <f>_xlfn.CONCAT(COLUMN()-$B115,",",ROW()-E$84)</f>
        <v>3,31</v>
      </c>
      <c r="F115" s="19" t="str">
        <f>_xlfn.CONCAT(COLUMN()-$B115,",",ROW()-F$84)</f>
        <v>4,31</v>
      </c>
      <c r="G115" s="19" t="str">
        <f>_xlfn.CONCAT(COLUMN()-$B115,",",ROW()-G$84)</f>
        <v>5,31</v>
      </c>
      <c r="H115" s="19" t="str">
        <f>_xlfn.CONCAT(COLUMN()-$B115,",",ROW()-H$84)</f>
        <v>6,31</v>
      </c>
      <c r="I115" s="19" t="str">
        <f>_xlfn.CONCAT(COLUMN()-$B115,",",ROW()-I$84)</f>
        <v>7,31</v>
      </c>
      <c r="J115" s="19" t="str">
        <f>_xlfn.CONCAT(COLUMN()-$B115,",",ROW()-J$84)</f>
        <v>8,31</v>
      </c>
      <c r="K115" s="19" t="str">
        <f>_xlfn.CONCAT(COLUMN()-$B115,",",ROW()-K$84)</f>
        <v>9,31</v>
      </c>
      <c r="L115" s="19" t="str">
        <f>_xlfn.CONCAT(COLUMN()-$B115,",",ROW()-L$84)</f>
        <v>10,31</v>
      </c>
      <c r="M115" s="19" t="str">
        <f>_xlfn.CONCAT(COLUMN()-$B115,",",ROW()-M$84)</f>
        <v>11,31</v>
      </c>
      <c r="N115" s="19" t="str">
        <f>_xlfn.CONCAT(COLUMN()-$B115,",",ROW()-N$84)</f>
        <v>12,31</v>
      </c>
      <c r="O115" s="19" t="str">
        <f>_xlfn.CONCAT(COLUMN()-$B115,",",ROW()-O$84)</f>
        <v>13,31</v>
      </c>
      <c r="P115" s="19" t="str">
        <f>_xlfn.CONCAT(COLUMN()-$B115,",",ROW()-P$84)</f>
        <v>14,31</v>
      </c>
      <c r="Q115" s="19" t="str">
        <f>_xlfn.CONCAT(COLUMN()-$B115,",",ROW()-Q$84)</f>
        <v>15,31</v>
      </c>
      <c r="R115" s="19" t="str">
        <f>_xlfn.CONCAT(COLUMN()-$B115,",",ROW()-R$84)</f>
        <v>16,31</v>
      </c>
      <c r="S115" s="19" t="str">
        <f>_xlfn.CONCAT(COLUMN()-$B115,",",ROW()-S$84)</f>
        <v>17,31</v>
      </c>
      <c r="T115" s="19" t="str">
        <f>_xlfn.CONCAT(COLUMN()-$B115,",",ROW()-T$84)</f>
        <v>18,31</v>
      </c>
      <c r="U115" s="19" t="str">
        <f>_xlfn.CONCAT(COLUMN()-$B115,",",ROW()-U$84)</f>
        <v>19,31</v>
      </c>
      <c r="V115" s="19" t="str">
        <f>_xlfn.CONCAT(COLUMN()-$B115,",",ROW()-V$84)</f>
        <v>20,31</v>
      </c>
      <c r="W115" s="19" t="str">
        <f>_xlfn.CONCAT(COLUMN()-$B115,",",ROW()-W$84)</f>
        <v>21,31</v>
      </c>
      <c r="X115" s="19" t="str">
        <f>_xlfn.CONCAT(COLUMN()-$B115,",",ROW()-X$84)</f>
        <v>22,31</v>
      </c>
      <c r="Y115" s="19" t="str">
        <f>_xlfn.CONCAT(COLUMN()-$B115,",",ROW()-Y$84)</f>
        <v>23,31</v>
      </c>
      <c r="Z115" s="35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56">
        <v>3</v>
      </c>
      <c r="BG115" s="57">
        <v>35</v>
      </c>
      <c r="BH115" s="57">
        <v>17</v>
      </c>
      <c r="BI115" s="57">
        <v>28</v>
      </c>
      <c r="BJ115" s="13" t="str">
        <f t="shared" si="11"/>
        <v>17,35</v>
      </c>
      <c r="BK115" s="35"/>
      <c r="BL115" s="8">
        <f t="shared" si="12"/>
        <v>111</v>
      </c>
      <c r="BM115" s="6">
        <f t="shared" si="13"/>
        <v>4</v>
      </c>
      <c r="BN115" s="6">
        <f t="shared" si="14"/>
        <v>3</v>
      </c>
      <c r="BO115" s="35"/>
      <c r="BP115" s="1"/>
      <c r="BQ115" s="1"/>
      <c r="BR115" s="1"/>
      <c r="BS115" s="1"/>
      <c r="BT115" s="1"/>
      <c r="BU115" s="1"/>
      <c r="BV115" s="32"/>
      <c r="BW115" s="1"/>
      <c r="BX115" s="32"/>
      <c r="BY115" s="32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</row>
    <row r="116" spans="1:115" ht="11.25" customHeight="1" x14ac:dyDescent="0.25">
      <c r="A116" s="35"/>
      <c r="B116" s="12">
        <f>COLUMN()</f>
        <v>2</v>
      </c>
      <c r="C116" s="19" t="str">
        <f>_xlfn.CONCAT(COLUMN()-$B116,",",ROW()-C$84)</f>
        <v>1,32</v>
      </c>
      <c r="D116" s="19" t="str">
        <f>_xlfn.CONCAT(COLUMN()-$B116,",",ROW()-D$84)</f>
        <v>2,32</v>
      </c>
      <c r="E116" s="19" t="str">
        <f>_xlfn.CONCAT(COLUMN()-$B116,",",ROW()-E$84)</f>
        <v>3,32</v>
      </c>
      <c r="F116" s="19" t="str">
        <f>_xlfn.CONCAT(COLUMN()-$B116,",",ROW()-F$84)</f>
        <v>4,32</v>
      </c>
      <c r="G116" s="19" t="str">
        <f>_xlfn.CONCAT(COLUMN()-$B116,",",ROW()-G$84)</f>
        <v>5,32</v>
      </c>
      <c r="H116" s="19" t="str">
        <f>_xlfn.CONCAT(COLUMN()-$B116,",",ROW()-H$84)</f>
        <v>6,32</v>
      </c>
      <c r="I116" s="19" t="str">
        <f>_xlfn.CONCAT(COLUMN()-$B116,",",ROW()-I$84)</f>
        <v>7,32</v>
      </c>
      <c r="J116" s="19" t="str">
        <f>_xlfn.CONCAT(COLUMN()-$B116,",",ROW()-J$84)</f>
        <v>8,32</v>
      </c>
      <c r="K116" s="19" t="str">
        <f>_xlfn.CONCAT(COLUMN()-$B116,",",ROW()-K$84)</f>
        <v>9,32</v>
      </c>
      <c r="L116" s="19" t="str">
        <f>_xlfn.CONCAT(COLUMN()-$B116,",",ROW()-L$84)</f>
        <v>10,32</v>
      </c>
      <c r="M116" s="19" t="str">
        <f>_xlfn.CONCAT(COLUMN()-$B116,",",ROW()-M$84)</f>
        <v>11,32</v>
      </c>
      <c r="N116" s="19" t="str">
        <f>_xlfn.CONCAT(COLUMN()-$B116,",",ROW()-N$84)</f>
        <v>12,32</v>
      </c>
      <c r="O116" s="19" t="str">
        <f>_xlfn.CONCAT(COLUMN()-$B116,",",ROW()-O$84)</f>
        <v>13,32</v>
      </c>
      <c r="P116" s="19" t="str">
        <f>_xlfn.CONCAT(COLUMN()-$B116,",",ROW()-P$84)</f>
        <v>14,32</v>
      </c>
      <c r="Q116" s="19" t="str">
        <f>_xlfn.CONCAT(COLUMN()-$B116,",",ROW()-Q$84)</f>
        <v>15,32</v>
      </c>
      <c r="R116" s="19" t="str">
        <f>_xlfn.CONCAT(COLUMN()-$B116,",",ROW()-R$84)</f>
        <v>16,32</v>
      </c>
      <c r="S116" s="19" t="str">
        <f>_xlfn.CONCAT(COLUMN()-$B116,",",ROW()-S$84)</f>
        <v>17,32</v>
      </c>
      <c r="T116" s="19" t="str">
        <f>_xlfn.CONCAT(COLUMN()-$B116,",",ROW()-T$84)</f>
        <v>18,32</v>
      </c>
      <c r="U116" s="19" t="str">
        <f>_xlfn.CONCAT(COLUMN()-$B116,",",ROW()-U$84)</f>
        <v>19,32</v>
      </c>
      <c r="V116" s="19" t="str">
        <f>_xlfn.CONCAT(COLUMN()-$B116,",",ROW()-V$84)</f>
        <v>20,32</v>
      </c>
      <c r="W116" s="19" t="str">
        <f>_xlfn.CONCAT(COLUMN()-$B116,",",ROW()-W$84)</f>
        <v>21,32</v>
      </c>
      <c r="X116" s="19" t="str">
        <f>_xlfn.CONCAT(COLUMN()-$B116,",",ROW()-X$84)</f>
        <v>22,32</v>
      </c>
      <c r="Y116" s="19" t="str">
        <f>_xlfn.CONCAT(COLUMN()-$B116,",",ROW()-Y$84)</f>
        <v>23,32</v>
      </c>
      <c r="Z116" s="35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56">
        <v>3</v>
      </c>
      <c r="BG116" s="57">
        <v>35</v>
      </c>
      <c r="BH116" s="57">
        <v>18</v>
      </c>
      <c r="BI116" s="57">
        <v>28</v>
      </c>
      <c r="BJ116" s="13" t="str">
        <f t="shared" si="11"/>
        <v>18,35</v>
      </c>
      <c r="BK116" s="35"/>
      <c r="BL116" s="8">
        <f t="shared" si="12"/>
        <v>112</v>
      </c>
      <c r="BM116" s="6">
        <f t="shared" si="13"/>
        <v>4</v>
      </c>
      <c r="BN116" s="6">
        <f t="shared" si="14"/>
        <v>4</v>
      </c>
      <c r="BO116" s="35"/>
      <c r="BP116" s="1"/>
      <c r="BQ116" s="1"/>
      <c r="BR116" s="1"/>
      <c r="BS116" s="1"/>
      <c r="BT116" s="1"/>
      <c r="BU116" s="1"/>
      <c r="BV116" s="32"/>
      <c r="BW116" s="1"/>
      <c r="BX116" s="32"/>
      <c r="BY116" s="32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</row>
    <row r="117" spans="1:115" ht="11.25" customHeight="1" x14ac:dyDescent="0.25">
      <c r="A117" s="35"/>
      <c r="B117" s="12">
        <f>COLUMN()</f>
        <v>2</v>
      </c>
      <c r="C117" s="19" t="str">
        <f>_xlfn.CONCAT(COLUMN()-$B117,",",ROW()-C$84)</f>
        <v>1,33</v>
      </c>
      <c r="D117" s="19" t="str">
        <f>_xlfn.CONCAT(COLUMN()-$B117,",",ROW()-D$84)</f>
        <v>2,33</v>
      </c>
      <c r="E117" s="19" t="str">
        <f>_xlfn.CONCAT(COLUMN()-$B117,",",ROW()-E$84)</f>
        <v>3,33</v>
      </c>
      <c r="F117" s="19" t="str">
        <f>_xlfn.CONCAT(COLUMN()-$B117,",",ROW()-F$84)</f>
        <v>4,33</v>
      </c>
      <c r="G117" s="19" t="str">
        <f>_xlfn.CONCAT(COLUMN()-$B117,",",ROW()-G$84)</f>
        <v>5,33</v>
      </c>
      <c r="H117" s="19" t="str">
        <f>_xlfn.CONCAT(COLUMN()-$B117,",",ROW()-H$84)</f>
        <v>6,33</v>
      </c>
      <c r="I117" s="19" t="str">
        <f>_xlfn.CONCAT(COLUMN()-$B117,",",ROW()-I$84)</f>
        <v>7,33</v>
      </c>
      <c r="J117" s="19" t="str">
        <f>_xlfn.CONCAT(COLUMN()-$B117,",",ROW()-J$84)</f>
        <v>8,33</v>
      </c>
      <c r="K117" s="19" t="str">
        <f>_xlfn.CONCAT(COLUMN()-$B117,",",ROW()-K$84)</f>
        <v>9,33</v>
      </c>
      <c r="L117" s="19" t="str">
        <f>_xlfn.CONCAT(COLUMN()-$B117,",",ROW()-L$84)</f>
        <v>10,33</v>
      </c>
      <c r="M117" s="19" t="str">
        <f>_xlfn.CONCAT(COLUMN()-$B117,",",ROW()-M$84)</f>
        <v>11,33</v>
      </c>
      <c r="N117" s="19" t="str">
        <f>_xlfn.CONCAT(COLUMN()-$B117,",",ROW()-N$84)</f>
        <v>12,33</v>
      </c>
      <c r="O117" s="19" t="str">
        <f>_xlfn.CONCAT(COLUMN()-$B117,",",ROW()-O$84)</f>
        <v>13,33</v>
      </c>
      <c r="P117" s="19" t="str">
        <f>_xlfn.CONCAT(COLUMN()-$B117,",",ROW()-P$84)</f>
        <v>14,33</v>
      </c>
      <c r="Q117" s="19" t="str">
        <f>_xlfn.CONCAT(COLUMN()-$B117,",",ROW()-Q$84)</f>
        <v>15,33</v>
      </c>
      <c r="R117" s="19" t="str">
        <f>_xlfn.CONCAT(COLUMN()-$B117,",",ROW()-R$84)</f>
        <v>16,33</v>
      </c>
      <c r="S117" s="19" t="str">
        <f>_xlfn.CONCAT(COLUMN()-$B117,",",ROW()-S$84)</f>
        <v>17,33</v>
      </c>
      <c r="T117" s="19" t="str">
        <f>_xlfn.CONCAT(COLUMN()-$B117,",",ROW()-T$84)</f>
        <v>18,33</v>
      </c>
      <c r="U117" s="19" t="str">
        <f>_xlfn.CONCAT(COLUMN()-$B117,",",ROW()-U$84)</f>
        <v>19,33</v>
      </c>
      <c r="V117" s="19" t="str">
        <f>_xlfn.CONCAT(COLUMN()-$B117,",",ROW()-V$84)</f>
        <v>20,33</v>
      </c>
      <c r="W117" s="19" t="str">
        <f>_xlfn.CONCAT(COLUMN()-$B117,",",ROW()-W$84)</f>
        <v>21,33</v>
      </c>
      <c r="X117" s="19" t="str">
        <f>_xlfn.CONCAT(COLUMN()-$B117,",",ROW()-X$84)</f>
        <v>22,33</v>
      </c>
      <c r="Y117" s="19" t="str">
        <f>_xlfn.CONCAT(COLUMN()-$B117,",",ROW()-Y$84)</f>
        <v>23,33</v>
      </c>
      <c r="Z117" s="35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56">
        <v>3</v>
      </c>
      <c r="BG117" s="57">
        <v>35</v>
      </c>
      <c r="BH117" s="57">
        <v>19</v>
      </c>
      <c r="BI117" s="57">
        <v>28</v>
      </c>
      <c r="BJ117" s="13" t="str">
        <f t="shared" si="11"/>
        <v>19,35</v>
      </c>
      <c r="BK117" s="35"/>
      <c r="BL117" s="8">
        <f t="shared" si="12"/>
        <v>113</v>
      </c>
      <c r="BM117" s="6">
        <f t="shared" si="13"/>
        <v>4</v>
      </c>
      <c r="BN117" s="6">
        <f t="shared" si="14"/>
        <v>5</v>
      </c>
      <c r="BO117" s="35"/>
      <c r="BP117" s="1"/>
      <c r="BQ117" s="1"/>
      <c r="BR117" s="1"/>
      <c r="BS117" s="1"/>
      <c r="BT117" s="1"/>
      <c r="BU117" s="1"/>
      <c r="BV117" s="32"/>
      <c r="BW117" s="1"/>
      <c r="BX117" s="32"/>
      <c r="BY117" s="32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</row>
    <row r="118" spans="1:115" ht="11.25" customHeight="1" x14ac:dyDescent="0.25">
      <c r="A118" s="35"/>
      <c r="B118" s="12">
        <f>COLUMN()</f>
        <v>2</v>
      </c>
      <c r="C118" s="19" t="str">
        <f>_xlfn.CONCAT(COLUMN()-$B118,",",ROW()-C$84)</f>
        <v>1,34</v>
      </c>
      <c r="D118" s="19" t="str">
        <f>_xlfn.CONCAT(COLUMN()-$B118,",",ROW()-D$84)</f>
        <v>2,34</v>
      </c>
      <c r="E118" s="19" t="str">
        <f>_xlfn.CONCAT(COLUMN()-$B118,",",ROW()-E$84)</f>
        <v>3,34</v>
      </c>
      <c r="F118" s="19" t="str">
        <f>_xlfn.CONCAT(COLUMN()-$B118,",",ROW()-F$84)</f>
        <v>4,34</v>
      </c>
      <c r="G118" s="19" t="str">
        <f>_xlfn.CONCAT(COLUMN()-$B118,",",ROW()-G$84)</f>
        <v>5,34</v>
      </c>
      <c r="H118" s="19" t="str">
        <f>_xlfn.CONCAT(COLUMN()-$B118,",",ROW()-H$84)</f>
        <v>6,34</v>
      </c>
      <c r="I118" s="19" t="str">
        <f>_xlfn.CONCAT(COLUMN()-$B118,",",ROW()-I$84)</f>
        <v>7,34</v>
      </c>
      <c r="J118" s="19" t="str">
        <f>_xlfn.CONCAT(COLUMN()-$B118,",",ROW()-J$84)</f>
        <v>8,34</v>
      </c>
      <c r="K118" s="19" t="str">
        <f>_xlfn.CONCAT(COLUMN()-$B118,",",ROW()-K$84)</f>
        <v>9,34</v>
      </c>
      <c r="L118" s="19" t="str">
        <f>_xlfn.CONCAT(COLUMN()-$B118,",",ROW()-L$84)</f>
        <v>10,34</v>
      </c>
      <c r="M118" s="19" t="str">
        <f>_xlfn.CONCAT(COLUMN()-$B118,",",ROW()-M$84)</f>
        <v>11,34</v>
      </c>
      <c r="N118" s="19" t="str">
        <f>_xlfn.CONCAT(COLUMN()-$B118,",",ROW()-N$84)</f>
        <v>12,34</v>
      </c>
      <c r="O118" s="19" t="str">
        <f>_xlfn.CONCAT(COLUMN()-$B118,",",ROW()-O$84)</f>
        <v>13,34</v>
      </c>
      <c r="P118" s="19" t="str">
        <f>_xlfn.CONCAT(COLUMN()-$B118,",",ROW()-P$84)</f>
        <v>14,34</v>
      </c>
      <c r="Q118" s="19" t="str">
        <f>_xlfn.CONCAT(COLUMN()-$B118,",",ROW()-Q$84)</f>
        <v>15,34</v>
      </c>
      <c r="R118" s="19" t="str">
        <f>_xlfn.CONCAT(COLUMN()-$B118,",",ROW()-R$84)</f>
        <v>16,34</v>
      </c>
      <c r="S118" s="19" t="str">
        <f>_xlfn.CONCAT(COLUMN()-$B118,",",ROW()-S$84)</f>
        <v>17,34</v>
      </c>
      <c r="T118" s="19" t="str">
        <f>_xlfn.CONCAT(COLUMN()-$B118,",",ROW()-T$84)</f>
        <v>18,34</v>
      </c>
      <c r="U118" s="19" t="str">
        <f>_xlfn.CONCAT(COLUMN()-$B118,",",ROW()-U$84)</f>
        <v>19,34</v>
      </c>
      <c r="V118" s="19" t="str">
        <f>_xlfn.CONCAT(COLUMN()-$B118,",",ROW()-V$84)</f>
        <v>20,34</v>
      </c>
      <c r="W118" s="19" t="str">
        <f>_xlfn.CONCAT(COLUMN()-$B118,",",ROW()-W$84)</f>
        <v>21,34</v>
      </c>
      <c r="X118" s="19" t="str">
        <f>_xlfn.CONCAT(COLUMN()-$B118,",",ROW()-X$84)</f>
        <v>22,34</v>
      </c>
      <c r="Y118" s="19" t="str">
        <f>_xlfn.CONCAT(COLUMN()-$B118,",",ROW()-Y$84)</f>
        <v>23,34</v>
      </c>
      <c r="Z118" s="35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56">
        <v>3</v>
      </c>
      <c r="BG118" s="57">
        <v>35</v>
      </c>
      <c r="BH118" s="57">
        <v>20</v>
      </c>
      <c r="BI118" s="57">
        <v>28</v>
      </c>
      <c r="BJ118" s="13" t="str">
        <f t="shared" si="11"/>
        <v>20,35</v>
      </c>
      <c r="BK118" s="35"/>
      <c r="BL118" s="8">
        <f t="shared" si="12"/>
        <v>114</v>
      </c>
      <c r="BM118" s="6">
        <f t="shared" si="13"/>
        <v>4</v>
      </c>
      <c r="BN118" s="6">
        <f t="shared" si="14"/>
        <v>6</v>
      </c>
      <c r="BO118" s="35"/>
      <c r="BP118" s="1"/>
      <c r="BQ118" s="1"/>
      <c r="BR118" s="1"/>
      <c r="BS118" s="1"/>
      <c r="BT118" s="1"/>
      <c r="BU118" s="1"/>
      <c r="BV118" s="32"/>
      <c r="BW118" s="1"/>
      <c r="BX118" s="32"/>
      <c r="BY118" s="32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</row>
    <row r="119" spans="1:115" ht="11.25" customHeight="1" x14ac:dyDescent="0.25">
      <c r="A119" s="35"/>
      <c r="B119" s="12">
        <f>COLUMN()</f>
        <v>2</v>
      </c>
      <c r="C119" s="19" t="str">
        <f>_xlfn.CONCAT(COLUMN()-$B119,",",ROW()-C$84)</f>
        <v>1,35</v>
      </c>
      <c r="D119" s="19" t="str">
        <f>_xlfn.CONCAT(COLUMN()-$B119,",",ROW()-D$84)</f>
        <v>2,35</v>
      </c>
      <c r="E119" s="19" t="str">
        <f>_xlfn.CONCAT(COLUMN()-$B119,",",ROW()-E$84)</f>
        <v>3,35</v>
      </c>
      <c r="F119" s="19" t="str">
        <f>_xlfn.CONCAT(COLUMN()-$B119,",",ROW()-F$84)</f>
        <v>4,35</v>
      </c>
      <c r="G119" s="19" t="str">
        <f>_xlfn.CONCAT(COLUMN()-$B119,",",ROW()-G$84)</f>
        <v>5,35</v>
      </c>
      <c r="H119" s="19" t="str">
        <f>_xlfn.CONCAT(COLUMN()-$B119,",",ROW()-H$84)</f>
        <v>6,35</v>
      </c>
      <c r="I119" s="19" t="str">
        <f>_xlfn.CONCAT(COLUMN()-$B119,",",ROW()-I$84)</f>
        <v>7,35</v>
      </c>
      <c r="J119" s="19" t="str">
        <f>_xlfn.CONCAT(COLUMN()-$B119,",",ROW()-J$84)</f>
        <v>8,35</v>
      </c>
      <c r="K119" s="19" t="str">
        <f>_xlfn.CONCAT(COLUMN()-$B119,",",ROW()-K$84)</f>
        <v>9,35</v>
      </c>
      <c r="L119" s="19" t="str">
        <f>_xlfn.CONCAT(COLUMN()-$B119,",",ROW()-L$84)</f>
        <v>10,35</v>
      </c>
      <c r="M119" s="19" t="str">
        <f>_xlfn.CONCAT(COLUMN()-$B119,",",ROW()-M$84)</f>
        <v>11,35</v>
      </c>
      <c r="N119" s="19" t="str">
        <f>_xlfn.CONCAT(COLUMN()-$B119,",",ROW()-N$84)</f>
        <v>12,35</v>
      </c>
      <c r="O119" s="19" t="str">
        <f>_xlfn.CONCAT(COLUMN()-$B119,",",ROW()-O$84)</f>
        <v>13,35</v>
      </c>
      <c r="P119" s="19" t="str">
        <f>_xlfn.CONCAT(COLUMN()-$B119,",",ROW()-P$84)</f>
        <v>14,35</v>
      </c>
      <c r="Q119" s="19" t="str">
        <f>_xlfn.CONCAT(COLUMN()-$B119,",",ROW()-Q$84)</f>
        <v>15,35</v>
      </c>
      <c r="R119" s="19" t="str">
        <f>_xlfn.CONCAT(COLUMN()-$B119,",",ROW()-R$84)</f>
        <v>16,35</v>
      </c>
      <c r="S119" s="19" t="str">
        <f>_xlfn.CONCAT(COLUMN()-$B119,",",ROW()-S$84)</f>
        <v>17,35</v>
      </c>
      <c r="T119" s="19" t="str">
        <f>_xlfn.CONCAT(COLUMN()-$B119,",",ROW()-T$84)</f>
        <v>18,35</v>
      </c>
      <c r="U119" s="19" t="str">
        <f>_xlfn.CONCAT(COLUMN()-$B119,",",ROW()-U$84)</f>
        <v>19,35</v>
      </c>
      <c r="V119" s="19" t="str">
        <f>_xlfn.CONCAT(COLUMN()-$B119,",",ROW()-V$84)</f>
        <v>20,35</v>
      </c>
      <c r="W119" s="19" t="str">
        <f>_xlfn.CONCAT(COLUMN()-$B119,",",ROW()-W$84)</f>
        <v>21,35</v>
      </c>
      <c r="X119" s="19" t="str">
        <f>_xlfn.CONCAT(COLUMN()-$B119,",",ROW()-X$84)</f>
        <v>22,35</v>
      </c>
      <c r="Y119" s="19" t="str">
        <f>_xlfn.CONCAT(COLUMN()-$B119,",",ROW()-Y$84)</f>
        <v>23,35</v>
      </c>
      <c r="Z119" s="35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56">
        <v>3</v>
      </c>
      <c r="BG119" s="57">
        <v>36</v>
      </c>
      <c r="BH119" s="57">
        <v>21</v>
      </c>
      <c r="BI119" s="57">
        <v>28</v>
      </c>
      <c r="BJ119" s="13" t="str">
        <f t="shared" si="11"/>
        <v>21,36</v>
      </c>
      <c r="BK119" s="35"/>
      <c r="BL119" s="8">
        <f t="shared" si="12"/>
        <v>115</v>
      </c>
      <c r="BM119" s="6">
        <f t="shared" si="13"/>
        <v>4</v>
      </c>
      <c r="BN119" s="6">
        <f t="shared" si="14"/>
        <v>7</v>
      </c>
      <c r="BO119" s="35"/>
      <c r="BP119" s="1"/>
      <c r="BQ119" s="1"/>
      <c r="BR119" s="1"/>
      <c r="BS119" s="1"/>
      <c r="BT119" s="1"/>
      <c r="BU119" s="1"/>
      <c r="BV119" s="32"/>
      <c r="BW119" s="1"/>
      <c r="BX119" s="32"/>
      <c r="BY119" s="32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</row>
    <row r="120" spans="1:115" ht="11.25" customHeight="1" x14ac:dyDescent="0.25">
      <c r="A120" s="35"/>
      <c r="B120" s="12">
        <f>COLUMN()</f>
        <v>2</v>
      </c>
      <c r="C120" s="19" t="str">
        <f>_xlfn.CONCAT(COLUMN()-$B120,",",ROW()-C$84)</f>
        <v>1,36</v>
      </c>
      <c r="D120" s="19" t="str">
        <f>_xlfn.CONCAT(COLUMN()-$B120,",",ROW()-D$84)</f>
        <v>2,36</v>
      </c>
      <c r="E120" s="19" t="str">
        <f>_xlfn.CONCAT(COLUMN()-$B120,",",ROW()-E$84)</f>
        <v>3,36</v>
      </c>
      <c r="F120" s="19" t="str">
        <f>_xlfn.CONCAT(COLUMN()-$B120,",",ROW()-F$84)</f>
        <v>4,36</v>
      </c>
      <c r="G120" s="19" t="str">
        <f>_xlfn.CONCAT(COLUMN()-$B120,",",ROW()-G$84)</f>
        <v>5,36</v>
      </c>
      <c r="H120" s="19" t="str">
        <f>_xlfn.CONCAT(COLUMN()-$B120,",",ROW()-H$84)</f>
        <v>6,36</v>
      </c>
      <c r="I120" s="19" t="str">
        <f>_xlfn.CONCAT(COLUMN()-$B120,",",ROW()-I$84)</f>
        <v>7,36</v>
      </c>
      <c r="J120" s="19" t="str">
        <f>_xlfn.CONCAT(COLUMN()-$B120,",",ROW()-J$84)</f>
        <v>8,36</v>
      </c>
      <c r="K120" s="19" t="str">
        <f>_xlfn.CONCAT(COLUMN()-$B120,",",ROW()-K$84)</f>
        <v>9,36</v>
      </c>
      <c r="L120" s="19" t="str">
        <f>_xlfn.CONCAT(COLUMN()-$B120,",",ROW()-L$84)</f>
        <v>10,36</v>
      </c>
      <c r="M120" s="19" t="str">
        <f>_xlfn.CONCAT(COLUMN()-$B120,",",ROW()-M$84)</f>
        <v>11,36</v>
      </c>
      <c r="N120" s="19" t="str">
        <f>_xlfn.CONCAT(COLUMN()-$B120,",",ROW()-N$84)</f>
        <v>12,36</v>
      </c>
      <c r="O120" s="19" t="str">
        <f>_xlfn.CONCAT(COLUMN()-$B120,",",ROW()-O$84)</f>
        <v>13,36</v>
      </c>
      <c r="P120" s="19" t="str">
        <f>_xlfn.CONCAT(COLUMN()-$B120,",",ROW()-P$84)</f>
        <v>14,36</v>
      </c>
      <c r="Q120" s="19" t="str">
        <f>_xlfn.CONCAT(COLUMN()-$B120,",",ROW()-Q$84)</f>
        <v>15,36</v>
      </c>
      <c r="R120" s="19" t="str">
        <f>_xlfn.CONCAT(COLUMN()-$B120,",",ROW()-R$84)</f>
        <v>16,36</v>
      </c>
      <c r="S120" s="19" t="str">
        <f>_xlfn.CONCAT(COLUMN()-$B120,",",ROW()-S$84)</f>
        <v>17,36</v>
      </c>
      <c r="T120" s="19" t="str">
        <f>_xlfn.CONCAT(COLUMN()-$B120,",",ROW()-T$84)</f>
        <v>18,36</v>
      </c>
      <c r="U120" s="19" t="str">
        <f>_xlfn.CONCAT(COLUMN()-$B120,",",ROW()-U$84)</f>
        <v>19,36</v>
      </c>
      <c r="V120" s="19" t="str">
        <f>_xlfn.CONCAT(COLUMN()-$B120,",",ROW()-V$84)</f>
        <v>20,36</v>
      </c>
      <c r="W120" s="19" t="str">
        <f>_xlfn.CONCAT(COLUMN()-$B120,",",ROW()-W$84)</f>
        <v>21,36</v>
      </c>
      <c r="X120" s="19" t="str">
        <f>_xlfn.CONCAT(COLUMN()-$B120,",",ROW()-X$84)</f>
        <v>22,36</v>
      </c>
      <c r="Y120" s="19" t="str">
        <f>_xlfn.CONCAT(COLUMN()-$B120,",",ROW()-Y$84)</f>
        <v>23,36</v>
      </c>
      <c r="Z120" s="35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56">
        <v>3</v>
      </c>
      <c r="BG120" s="57">
        <v>36</v>
      </c>
      <c r="BH120" s="57">
        <v>22</v>
      </c>
      <c r="BI120" s="57">
        <v>28</v>
      </c>
      <c r="BJ120" s="13" t="str">
        <f t="shared" si="11"/>
        <v>22,36</v>
      </c>
      <c r="BK120" s="35"/>
      <c r="BL120" s="8">
        <f t="shared" si="12"/>
        <v>116</v>
      </c>
      <c r="BM120" s="6">
        <f t="shared" si="13"/>
        <v>4</v>
      </c>
      <c r="BN120" s="6">
        <f t="shared" si="14"/>
        <v>8</v>
      </c>
      <c r="BO120" s="35"/>
      <c r="BP120" s="1"/>
      <c r="BQ120" s="1"/>
      <c r="BR120" s="1"/>
      <c r="BS120" s="1"/>
      <c r="BT120" s="1"/>
      <c r="BU120" s="1"/>
      <c r="BV120" s="32"/>
      <c r="BW120" s="1"/>
      <c r="BX120" s="32"/>
      <c r="BY120" s="32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</row>
    <row r="121" spans="1:115" ht="11.25" customHeight="1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56">
        <v>3</v>
      </c>
      <c r="BG121" s="57">
        <v>36</v>
      </c>
      <c r="BH121" s="57">
        <v>23</v>
      </c>
      <c r="BI121" s="57">
        <v>28</v>
      </c>
      <c r="BJ121" s="13" t="str">
        <f t="shared" si="11"/>
        <v>23,36</v>
      </c>
      <c r="BK121" s="35"/>
      <c r="BL121" s="8">
        <f t="shared" si="12"/>
        <v>117</v>
      </c>
      <c r="BM121" s="6">
        <f t="shared" si="13"/>
        <v>4</v>
      </c>
      <c r="BN121" s="6">
        <f t="shared" si="14"/>
        <v>9</v>
      </c>
      <c r="BO121" s="35"/>
      <c r="BP121" s="1"/>
      <c r="BQ121" s="1"/>
      <c r="BR121" s="1"/>
      <c r="BS121" s="1"/>
      <c r="BT121" s="1"/>
      <c r="BU121" s="1"/>
      <c r="BV121" s="32"/>
      <c r="BW121" s="1"/>
      <c r="BX121" s="32"/>
      <c r="BY121" s="32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</row>
    <row r="122" spans="1:115" ht="11.25" customHeight="1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56">
        <v>4</v>
      </c>
      <c r="BG122" s="57">
        <v>1</v>
      </c>
      <c r="BH122" s="57">
        <v>4</v>
      </c>
      <c r="BI122" s="57">
        <v>50</v>
      </c>
      <c r="BJ122" s="13" t="str">
        <f t="shared" si="11"/>
        <v>4,1</v>
      </c>
      <c r="BK122" s="35"/>
      <c r="BL122" s="8">
        <f t="shared" si="12"/>
        <v>118</v>
      </c>
      <c r="BM122" s="6">
        <f t="shared" si="13"/>
        <v>4</v>
      </c>
      <c r="BN122" s="6">
        <f t="shared" si="14"/>
        <v>10</v>
      </c>
      <c r="BO122" s="35"/>
      <c r="BP122" s="1"/>
      <c r="BQ122" s="1"/>
      <c r="BR122" s="1"/>
      <c r="BS122" s="1"/>
      <c r="BT122" s="1"/>
      <c r="BU122" s="1"/>
      <c r="BV122" s="32"/>
      <c r="BW122" s="1"/>
      <c r="BX122" s="32"/>
      <c r="BY122" s="32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</row>
    <row r="123" spans="1:115" ht="11.25" customHeight="1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56">
        <v>4</v>
      </c>
      <c r="BG123" s="57">
        <v>1</v>
      </c>
      <c r="BH123" s="57">
        <v>5</v>
      </c>
      <c r="BI123" s="57">
        <v>50</v>
      </c>
      <c r="BJ123" s="13" t="str">
        <f t="shared" si="11"/>
        <v>5,1</v>
      </c>
      <c r="BK123" s="35"/>
      <c r="BL123" s="8">
        <f t="shared" si="12"/>
        <v>119</v>
      </c>
      <c r="BM123" s="6">
        <f t="shared" si="13"/>
        <v>4</v>
      </c>
      <c r="BN123" s="6">
        <f t="shared" si="14"/>
        <v>11</v>
      </c>
      <c r="BO123" s="35"/>
      <c r="BP123" s="1"/>
      <c r="BQ123" s="1"/>
      <c r="BR123" s="1"/>
      <c r="BS123" s="1"/>
      <c r="BT123" s="1"/>
      <c r="BU123" s="1"/>
      <c r="BV123" s="32"/>
      <c r="BW123" s="1"/>
      <c r="BX123" s="32"/>
      <c r="BY123" s="32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</row>
    <row r="124" spans="1:115" ht="11.25" customHeight="1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56">
        <v>4</v>
      </c>
      <c r="BG124" s="57">
        <v>1</v>
      </c>
      <c r="BH124" s="57">
        <v>6</v>
      </c>
      <c r="BI124" s="57">
        <v>50</v>
      </c>
      <c r="BJ124" s="13" t="str">
        <f t="shared" si="11"/>
        <v>6,1</v>
      </c>
      <c r="BK124" s="35"/>
      <c r="BL124" s="8">
        <f t="shared" si="12"/>
        <v>120</v>
      </c>
      <c r="BM124" s="6">
        <f t="shared" si="13"/>
        <v>4</v>
      </c>
      <c r="BN124" s="6">
        <f t="shared" si="14"/>
        <v>12</v>
      </c>
      <c r="BO124" s="35"/>
      <c r="BP124" s="1"/>
      <c r="BQ124" s="1"/>
      <c r="BR124" s="1"/>
      <c r="BS124" s="1"/>
      <c r="BT124" s="1"/>
      <c r="BU124" s="1"/>
      <c r="BV124" s="32"/>
      <c r="BW124" s="1"/>
      <c r="BX124" s="32"/>
      <c r="BY124" s="32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</row>
    <row r="125" spans="1:115" ht="11.25" customHeight="1" x14ac:dyDescent="0.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56">
        <v>4</v>
      </c>
      <c r="BG125" s="57">
        <v>1</v>
      </c>
      <c r="BH125" s="57">
        <v>7</v>
      </c>
      <c r="BI125" s="57">
        <v>50</v>
      </c>
      <c r="BJ125" s="13" t="str">
        <f t="shared" si="11"/>
        <v>7,1</v>
      </c>
      <c r="BK125" s="35"/>
      <c r="BL125" s="8">
        <f t="shared" si="12"/>
        <v>121</v>
      </c>
      <c r="BM125" s="6">
        <f t="shared" si="13"/>
        <v>4</v>
      </c>
      <c r="BN125" s="6">
        <f t="shared" si="14"/>
        <v>13</v>
      </c>
      <c r="BO125" s="35"/>
      <c r="BP125" s="1"/>
      <c r="BQ125" s="1"/>
      <c r="BR125" s="1"/>
      <c r="BS125" s="1"/>
      <c r="BT125" s="1"/>
      <c r="BU125" s="1"/>
      <c r="BV125" s="32"/>
      <c r="BW125" s="1"/>
      <c r="BX125" s="32"/>
      <c r="BY125" s="32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</row>
    <row r="126" spans="1:115" ht="11.25" customHeight="1" x14ac:dyDescent="0.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6">
        <v>4</v>
      </c>
      <c r="BG126" s="57">
        <v>1</v>
      </c>
      <c r="BH126" s="57">
        <v>8</v>
      </c>
      <c r="BI126" s="57">
        <v>50</v>
      </c>
      <c r="BJ126" s="13" t="str">
        <f t="shared" si="11"/>
        <v>8,1</v>
      </c>
      <c r="BK126" s="35"/>
      <c r="BL126" s="8">
        <f t="shared" si="12"/>
        <v>122</v>
      </c>
      <c r="BM126" s="6">
        <f t="shared" si="13"/>
        <v>4</v>
      </c>
      <c r="BN126" s="6">
        <f t="shared" si="14"/>
        <v>14</v>
      </c>
      <c r="BO126" s="35"/>
      <c r="BP126" s="1"/>
      <c r="BQ126" s="1"/>
      <c r="BR126" s="1"/>
      <c r="BS126" s="1"/>
      <c r="BT126" s="1"/>
      <c r="BU126" s="1"/>
      <c r="BV126" s="32"/>
      <c r="BW126" s="1"/>
      <c r="BX126" s="32"/>
      <c r="BY126" s="32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</row>
    <row r="127" spans="1:115" ht="11.25" customHeight="1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56">
        <v>4</v>
      </c>
      <c r="BG127" s="57">
        <v>1</v>
      </c>
      <c r="BH127" s="57">
        <v>9</v>
      </c>
      <c r="BI127" s="57">
        <v>50</v>
      </c>
      <c r="BJ127" s="13" t="str">
        <f t="shared" si="11"/>
        <v>9,1</v>
      </c>
      <c r="BK127" s="35"/>
      <c r="BL127" s="8">
        <f t="shared" si="12"/>
        <v>123</v>
      </c>
      <c r="BM127" s="6">
        <f t="shared" si="13"/>
        <v>4</v>
      </c>
      <c r="BN127" s="6">
        <f t="shared" si="14"/>
        <v>15</v>
      </c>
      <c r="BO127" s="35"/>
      <c r="BP127" s="1"/>
      <c r="BQ127" s="1"/>
      <c r="BR127" s="1"/>
      <c r="BS127" s="1"/>
      <c r="BT127" s="1"/>
      <c r="BU127" s="1"/>
      <c r="BV127" s="32"/>
      <c r="BW127" s="1"/>
      <c r="BX127" s="32"/>
      <c r="BY127" s="32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</row>
    <row r="128" spans="1:115" ht="11.25" customHeight="1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56">
        <v>4</v>
      </c>
      <c r="BG128" s="57">
        <v>1</v>
      </c>
      <c r="BH128" s="57">
        <v>10</v>
      </c>
      <c r="BI128" s="57">
        <v>50</v>
      </c>
      <c r="BJ128" s="13" t="str">
        <f t="shared" si="11"/>
        <v>10,1</v>
      </c>
      <c r="BK128" s="35"/>
      <c r="BL128" s="8">
        <f t="shared" si="12"/>
        <v>124</v>
      </c>
      <c r="BM128" s="6">
        <f t="shared" si="13"/>
        <v>4</v>
      </c>
      <c r="BN128" s="6">
        <f t="shared" si="14"/>
        <v>16</v>
      </c>
      <c r="BO128" s="35"/>
      <c r="BP128" s="1"/>
      <c r="BQ128" s="1"/>
      <c r="BR128" s="1"/>
      <c r="BS128" s="1"/>
      <c r="BT128" s="1"/>
      <c r="BU128" s="1"/>
      <c r="BV128" s="32"/>
      <c r="BW128" s="1"/>
      <c r="BX128" s="32"/>
      <c r="BY128" s="32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</row>
    <row r="129" spans="1:115" ht="11.25" customHeight="1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56">
        <v>4</v>
      </c>
      <c r="BG129" s="57">
        <v>1</v>
      </c>
      <c r="BH129" s="57">
        <v>11</v>
      </c>
      <c r="BI129" s="57">
        <v>50</v>
      </c>
      <c r="BJ129" s="13" t="str">
        <f t="shared" si="11"/>
        <v>11,1</v>
      </c>
      <c r="BK129" s="35"/>
      <c r="BL129" s="8">
        <f t="shared" si="12"/>
        <v>125</v>
      </c>
      <c r="BM129" s="6">
        <f t="shared" si="13"/>
        <v>4</v>
      </c>
      <c r="BN129" s="6">
        <f t="shared" si="14"/>
        <v>17</v>
      </c>
      <c r="BO129" s="35"/>
      <c r="BP129" s="1"/>
      <c r="BQ129" s="1"/>
      <c r="BR129" s="1"/>
      <c r="BS129" s="1"/>
      <c r="BT129" s="1"/>
      <c r="BU129" s="1"/>
      <c r="BV129" s="32"/>
      <c r="BW129" s="1"/>
      <c r="BX129" s="32"/>
      <c r="BY129" s="32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</row>
    <row r="130" spans="1:115" ht="11.25" customHeight="1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56">
        <v>4</v>
      </c>
      <c r="BG130" s="57">
        <v>1</v>
      </c>
      <c r="BH130" s="57">
        <v>12</v>
      </c>
      <c r="BI130" s="57">
        <v>50.09</v>
      </c>
      <c r="BJ130" s="13" t="str">
        <f t="shared" si="11"/>
        <v>12,1</v>
      </c>
      <c r="BK130" s="35"/>
      <c r="BL130" s="8">
        <f t="shared" si="12"/>
        <v>126</v>
      </c>
      <c r="BM130" s="6">
        <f t="shared" si="13"/>
        <v>4</v>
      </c>
      <c r="BN130" s="6">
        <f t="shared" si="14"/>
        <v>18</v>
      </c>
      <c r="BO130" s="35"/>
      <c r="BP130" s="1"/>
      <c r="BQ130" s="1"/>
      <c r="BR130" s="1"/>
      <c r="BS130" s="1"/>
      <c r="BT130" s="1"/>
      <c r="BU130" s="1"/>
      <c r="BV130" s="32"/>
      <c r="BW130" s="1"/>
      <c r="BX130" s="32"/>
      <c r="BY130" s="32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</row>
    <row r="131" spans="1:115" ht="11.25" customHeight="1" x14ac:dyDescent="0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56">
        <v>4</v>
      </c>
      <c r="BG131" s="57">
        <v>1</v>
      </c>
      <c r="BH131" s="57">
        <v>13</v>
      </c>
      <c r="BI131" s="57">
        <v>50.14</v>
      </c>
      <c r="BJ131" s="13" t="str">
        <f t="shared" si="11"/>
        <v>13,1</v>
      </c>
      <c r="BK131" s="35"/>
      <c r="BL131" s="8">
        <f t="shared" si="12"/>
        <v>127</v>
      </c>
      <c r="BM131" s="6">
        <f t="shared" si="13"/>
        <v>4</v>
      </c>
      <c r="BN131" s="6">
        <f t="shared" si="14"/>
        <v>19</v>
      </c>
      <c r="BO131" s="35"/>
      <c r="BP131" s="1"/>
      <c r="BQ131" s="1"/>
      <c r="BR131" s="1"/>
      <c r="BS131" s="1"/>
      <c r="BT131" s="1"/>
      <c r="BU131" s="1"/>
      <c r="BV131" s="32"/>
      <c r="BW131" s="1"/>
      <c r="BX131" s="32"/>
      <c r="BY131" s="32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</row>
    <row r="132" spans="1:115" ht="11.25" customHeight="1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56">
        <v>4</v>
      </c>
      <c r="BG132" s="57">
        <v>1</v>
      </c>
      <c r="BH132" s="57">
        <v>14</v>
      </c>
      <c r="BI132" s="57">
        <v>50.14</v>
      </c>
      <c r="BJ132" s="13" t="str">
        <f t="shared" si="11"/>
        <v>14,1</v>
      </c>
      <c r="BK132" s="35"/>
      <c r="BL132" s="8">
        <f t="shared" si="12"/>
        <v>128</v>
      </c>
      <c r="BM132" s="6">
        <f t="shared" si="13"/>
        <v>4</v>
      </c>
      <c r="BN132" s="6">
        <f t="shared" si="14"/>
        <v>20</v>
      </c>
      <c r="BO132" s="35"/>
      <c r="BP132" s="1"/>
      <c r="BQ132" s="1"/>
      <c r="BR132" s="1"/>
      <c r="BS132" s="1"/>
      <c r="BT132" s="1"/>
      <c r="BU132" s="1"/>
      <c r="BV132" s="32"/>
      <c r="BW132" s="1"/>
      <c r="BX132" s="32"/>
      <c r="BY132" s="32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</row>
    <row r="133" spans="1:115" ht="11.25" customHeight="1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56">
        <v>4</v>
      </c>
      <c r="BG133" s="57">
        <v>1</v>
      </c>
      <c r="BH133" s="57">
        <v>15</v>
      </c>
      <c r="BI133" s="57">
        <v>50.09</v>
      </c>
      <c r="BJ133" s="13" t="str">
        <f t="shared" si="11"/>
        <v>15,1</v>
      </c>
      <c r="BK133" s="35"/>
      <c r="BL133" s="8">
        <f t="shared" si="12"/>
        <v>129</v>
      </c>
      <c r="BM133" s="6">
        <f t="shared" si="13"/>
        <v>4</v>
      </c>
      <c r="BN133" s="6">
        <f t="shared" si="14"/>
        <v>21</v>
      </c>
      <c r="BO133" s="35"/>
      <c r="BP133" s="1"/>
      <c r="BQ133" s="1"/>
      <c r="BR133" s="1"/>
      <c r="BS133" s="1"/>
      <c r="BT133" s="1"/>
      <c r="BU133" s="1"/>
      <c r="BV133" s="32"/>
      <c r="BW133" s="1"/>
      <c r="BX133" s="32"/>
      <c r="BY133" s="32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</row>
    <row r="134" spans="1:115" ht="11.25" customHeight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56">
        <v>4</v>
      </c>
      <c r="BG134" s="57">
        <v>1</v>
      </c>
      <c r="BH134" s="57">
        <v>16</v>
      </c>
      <c r="BI134" s="57">
        <v>50</v>
      </c>
      <c r="BJ134" s="13" t="str">
        <f t="shared" ref="BJ134:BJ197" si="17">_xlfn.CONCAT(BH134,",",BG134)</f>
        <v>16,1</v>
      </c>
      <c r="BK134" s="35"/>
      <c r="BL134" s="8">
        <f t="shared" ref="BL134:BL197" si="18">IF(ROW()&lt;=$BL$4,ROW()-ROW(BL$4),"")</f>
        <v>130</v>
      </c>
      <c r="BM134" s="6">
        <f t="shared" si="13"/>
        <v>4</v>
      </c>
      <c r="BN134" s="6">
        <f t="shared" si="14"/>
        <v>22</v>
      </c>
      <c r="BO134" s="35"/>
      <c r="BP134" s="1"/>
      <c r="BQ134" s="1"/>
      <c r="BR134" s="1"/>
      <c r="BS134" s="1"/>
      <c r="BT134" s="1"/>
      <c r="BU134" s="1"/>
      <c r="BV134" s="32"/>
      <c r="BW134" s="1"/>
      <c r="BX134" s="32"/>
      <c r="BY134" s="32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</row>
    <row r="135" spans="1:115" ht="11.25" customHeight="1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56">
        <v>4</v>
      </c>
      <c r="BG135" s="57">
        <v>1</v>
      </c>
      <c r="BH135" s="57">
        <v>17</v>
      </c>
      <c r="BI135" s="57">
        <v>50</v>
      </c>
      <c r="BJ135" s="13" t="str">
        <f t="shared" si="17"/>
        <v>17,1</v>
      </c>
      <c r="BK135" s="35"/>
      <c r="BL135" s="8">
        <f t="shared" si="18"/>
        <v>131</v>
      </c>
      <c r="BM135" s="6">
        <f t="shared" si="13"/>
        <v>4</v>
      </c>
      <c r="BN135" s="6">
        <f t="shared" si="14"/>
        <v>23</v>
      </c>
      <c r="BO135" s="35"/>
      <c r="BP135" s="1"/>
      <c r="BQ135" s="1"/>
      <c r="BR135" s="1"/>
      <c r="BS135" s="1"/>
      <c r="BT135" s="1"/>
      <c r="BU135" s="1"/>
      <c r="BV135" s="32"/>
      <c r="BW135" s="1"/>
      <c r="BX135" s="32"/>
      <c r="BY135" s="32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</row>
    <row r="136" spans="1:115" ht="11.25" customHeight="1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56">
        <v>4</v>
      </c>
      <c r="BG136" s="57">
        <v>1</v>
      </c>
      <c r="BH136" s="57">
        <v>18</v>
      </c>
      <c r="BI136" s="57">
        <v>50</v>
      </c>
      <c r="BJ136" s="13" t="str">
        <f t="shared" si="17"/>
        <v>18,1</v>
      </c>
      <c r="BK136" s="35"/>
      <c r="BL136" s="8">
        <f t="shared" si="18"/>
        <v>132</v>
      </c>
      <c r="BM136" s="6">
        <f t="shared" ref="BM136:BM199" si="19">IF(ISNUMBER(BL136),INT(BL135/$BN$4)+1,"")</f>
        <v>4</v>
      </c>
      <c r="BN136" s="6">
        <f t="shared" ref="BN136:BN199" si="20">IF(ISNUMBER(BL136),IF(BM135&lt;&gt;BM136,1,BN135+1),"")</f>
        <v>24</v>
      </c>
      <c r="BO136" s="35"/>
      <c r="BP136" s="1"/>
      <c r="BQ136" s="1"/>
      <c r="BR136" s="1"/>
      <c r="BS136" s="1"/>
      <c r="BT136" s="1"/>
      <c r="BU136" s="1"/>
      <c r="BV136" s="32"/>
      <c r="BW136" s="1"/>
      <c r="BX136" s="32"/>
      <c r="BY136" s="32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</row>
    <row r="137" spans="1:115" ht="11.25" customHeight="1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56">
        <v>4</v>
      </c>
      <c r="BG137" s="57">
        <v>1</v>
      </c>
      <c r="BH137" s="57">
        <v>19</v>
      </c>
      <c r="BI137" s="57">
        <v>50</v>
      </c>
      <c r="BJ137" s="13" t="str">
        <f t="shared" si="17"/>
        <v>19,1</v>
      </c>
      <c r="BK137" s="35"/>
      <c r="BL137" s="8">
        <f t="shared" si="18"/>
        <v>133</v>
      </c>
      <c r="BM137" s="6">
        <f t="shared" si="19"/>
        <v>4</v>
      </c>
      <c r="BN137" s="6">
        <f t="shared" si="20"/>
        <v>25</v>
      </c>
      <c r="BO137" s="35"/>
      <c r="BP137" s="1"/>
      <c r="BQ137" s="1"/>
      <c r="BR137" s="1"/>
      <c r="BS137" s="1"/>
      <c r="BT137" s="1"/>
      <c r="BU137" s="1"/>
      <c r="BV137" s="32"/>
      <c r="BW137" s="1"/>
      <c r="BX137" s="32"/>
      <c r="BY137" s="32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</row>
    <row r="138" spans="1:115" ht="11.25" customHeight="1" x14ac:dyDescent="0.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56">
        <v>4</v>
      </c>
      <c r="BG138" s="57">
        <v>1</v>
      </c>
      <c r="BH138" s="57">
        <v>20</v>
      </c>
      <c r="BI138" s="57">
        <v>50</v>
      </c>
      <c r="BJ138" s="13" t="str">
        <f t="shared" si="17"/>
        <v>20,1</v>
      </c>
      <c r="BK138" s="35"/>
      <c r="BL138" s="8">
        <f t="shared" si="18"/>
        <v>134</v>
      </c>
      <c r="BM138" s="6">
        <f t="shared" si="19"/>
        <v>4</v>
      </c>
      <c r="BN138" s="6">
        <f t="shared" si="20"/>
        <v>26</v>
      </c>
      <c r="BO138" s="35"/>
      <c r="BP138" s="1"/>
      <c r="BQ138" s="1"/>
      <c r="BR138" s="1"/>
      <c r="BS138" s="1"/>
      <c r="BT138" s="1"/>
      <c r="BU138" s="1"/>
      <c r="BV138" s="32"/>
      <c r="BW138" s="1"/>
      <c r="BX138" s="32"/>
      <c r="BY138" s="32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</row>
    <row r="139" spans="1:115" ht="11.25" customHeight="1" x14ac:dyDescent="0.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56">
        <v>4</v>
      </c>
      <c r="BG139" s="57">
        <v>1</v>
      </c>
      <c r="BH139" s="57">
        <v>21</v>
      </c>
      <c r="BI139" s="57">
        <v>50</v>
      </c>
      <c r="BJ139" s="13" t="str">
        <f t="shared" si="17"/>
        <v>21,1</v>
      </c>
      <c r="BK139" s="35"/>
      <c r="BL139" s="8">
        <f t="shared" si="18"/>
        <v>135</v>
      </c>
      <c r="BM139" s="6">
        <f t="shared" si="19"/>
        <v>4</v>
      </c>
      <c r="BN139" s="6">
        <f t="shared" si="20"/>
        <v>27</v>
      </c>
      <c r="BO139" s="35"/>
      <c r="BP139" s="1"/>
      <c r="BQ139" s="1"/>
      <c r="BR139" s="1"/>
      <c r="BS139" s="1"/>
      <c r="BT139" s="1"/>
      <c r="BU139" s="1"/>
      <c r="BV139" s="32"/>
      <c r="BW139" s="1"/>
      <c r="BX139" s="32"/>
      <c r="BY139" s="32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</row>
    <row r="140" spans="1:115" ht="11.25" customHeight="1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56">
        <v>4</v>
      </c>
      <c r="BG140" s="57">
        <v>33</v>
      </c>
      <c r="BH140" s="57">
        <v>1</v>
      </c>
      <c r="BI140" s="57">
        <v>28</v>
      </c>
      <c r="BJ140" s="13" t="str">
        <f t="shared" si="17"/>
        <v>1,33</v>
      </c>
      <c r="BK140" s="35"/>
      <c r="BL140" s="8">
        <f t="shared" si="18"/>
        <v>136</v>
      </c>
      <c r="BM140" s="6">
        <f t="shared" si="19"/>
        <v>4</v>
      </c>
      <c r="BN140" s="6">
        <f t="shared" si="20"/>
        <v>28</v>
      </c>
      <c r="BO140" s="35"/>
      <c r="BP140" s="1"/>
      <c r="BQ140" s="1"/>
      <c r="BR140" s="1"/>
      <c r="BS140" s="1"/>
      <c r="BT140" s="1"/>
      <c r="BU140" s="1"/>
      <c r="BV140" s="32"/>
      <c r="BW140" s="1"/>
      <c r="BX140" s="32"/>
      <c r="BY140" s="32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</row>
    <row r="141" spans="1:115" ht="11.25" customHeight="1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56">
        <v>4</v>
      </c>
      <c r="BG141" s="57">
        <v>33</v>
      </c>
      <c r="BH141" s="57">
        <v>2</v>
      </c>
      <c r="BI141" s="57">
        <v>28</v>
      </c>
      <c r="BJ141" s="13" t="str">
        <f t="shared" si="17"/>
        <v>2,33</v>
      </c>
      <c r="BK141" s="35"/>
      <c r="BL141" s="8">
        <f t="shared" si="18"/>
        <v>137</v>
      </c>
      <c r="BM141" s="6">
        <f t="shared" si="19"/>
        <v>4</v>
      </c>
      <c r="BN141" s="6">
        <f t="shared" si="20"/>
        <v>29</v>
      </c>
      <c r="BO141" s="35"/>
      <c r="BP141" s="1"/>
      <c r="BQ141" s="1"/>
      <c r="BR141" s="1"/>
      <c r="BS141" s="1"/>
      <c r="BT141" s="1"/>
      <c r="BU141" s="1"/>
      <c r="BV141" s="32"/>
      <c r="BW141" s="1"/>
      <c r="BX141" s="32"/>
      <c r="BY141" s="32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</row>
    <row r="142" spans="1:115" ht="11.25" customHeight="1" x14ac:dyDescent="0.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56">
        <v>4</v>
      </c>
      <c r="BG142" s="57">
        <v>33</v>
      </c>
      <c r="BH142" s="57">
        <v>3</v>
      </c>
      <c r="BI142" s="57">
        <v>28</v>
      </c>
      <c r="BJ142" s="13" t="str">
        <f t="shared" si="17"/>
        <v>3,33</v>
      </c>
      <c r="BK142" s="35"/>
      <c r="BL142" s="8">
        <f t="shared" si="18"/>
        <v>138</v>
      </c>
      <c r="BM142" s="6">
        <f t="shared" si="19"/>
        <v>4</v>
      </c>
      <c r="BN142" s="6">
        <f t="shared" si="20"/>
        <v>30</v>
      </c>
      <c r="BO142" s="35"/>
      <c r="BP142" s="1"/>
      <c r="BQ142" s="1"/>
      <c r="BR142" s="1"/>
      <c r="BS142" s="1"/>
      <c r="BT142" s="1"/>
      <c r="BU142" s="1"/>
      <c r="BV142" s="32"/>
      <c r="BW142" s="1"/>
      <c r="BX142" s="32"/>
      <c r="BY142" s="32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</row>
    <row r="143" spans="1:115" ht="11.25" customHeight="1" x14ac:dyDescent="0.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56">
        <v>4</v>
      </c>
      <c r="BG143" s="57">
        <v>33</v>
      </c>
      <c r="BH143" s="57">
        <v>4</v>
      </c>
      <c r="BI143" s="57">
        <v>28</v>
      </c>
      <c r="BJ143" s="13" t="str">
        <f t="shared" si="17"/>
        <v>4,33</v>
      </c>
      <c r="BK143" s="35"/>
      <c r="BL143" s="8">
        <f t="shared" si="18"/>
        <v>139</v>
      </c>
      <c r="BM143" s="6">
        <f t="shared" si="19"/>
        <v>4</v>
      </c>
      <c r="BN143" s="6">
        <f t="shared" si="20"/>
        <v>31</v>
      </c>
      <c r="BO143" s="35"/>
      <c r="BP143" s="1"/>
      <c r="BQ143" s="1"/>
      <c r="BR143" s="1"/>
      <c r="BS143" s="1"/>
      <c r="BT143" s="1"/>
      <c r="BU143" s="1"/>
      <c r="BV143" s="32"/>
      <c r="BW143" s="1"/>
      <c r="BX143" s="32"/>
      <c r="BY143" s="32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</row>
    <row r="144" spans="1:115" ht="11.25" customHeight="1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56">
        <v>4</v>
      </c>
      <c r="BG144" s="57">
        <v>33</v>
      </c>
      <c r="BH144" s="57">
        <v>5</v>
      </c>
      <c r="BI144" s="57">
        <v>28</v>
      </c>
      <c r="BJ144" s="13" t="str">
        <f t="shared" si="17"/>
        <v>5,33</v>
      </c>
      <c r="BK144" s="35"/>
      <c r="BL144" s="8">
        <f t="shared" si="18"/>
        <v>140</v>
      </c>
      <c r="BM144" s="6">
        <f t="shared" si="19"/>
        <v>4</v>
      </c>
      <c r="BN144" s="6">
        <f t="shared" si="20"/>
        <v>32</v>
      </c>
      <c r="BO144" s="35"/>
      <c r="BP144" s="1"/>
      <c r="BQ144" s="1"/>
      <c r="BR144" s="1"/>
      <c r="BS144" s="1"/>
      <c r="BT144" s="1"/>
      <c r="BU144" s="1"/>
      <c r="BV144" s="32"/>
      <c r="BW144" s="1"/>
      <c r="BX144" s="32"/>
      <c r="BY144" s="32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</row>
    <row r="145" spans="1:115" ht="11.25" customHeight="1" x14ac:dyDescent="0.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56">
        <v>4</v>
      </c>
      <c r="BG145" s="57">
        <v>33</v>
      </c>
      <c r="BH145" s="57">
        <v>6</v>
      </c>
      <c r="BI145" s="57">
        <v>28</v>
      </c>
      <c r="BJ145" s="13" t="str">
        <f t="shared" si="17"/>
        <v>6,33</v>
      </c>
      <c r="BK145" s="35"/>
      <c r="BL145" s="8">
        <f t="shared" si="18"/>
        <v>141</v>
      </c>
      <c r="BM145" s="6">
        <f t="shared" si="19"/>
        <v>4</v>
      </c>
      <c r="BN145" s="6">
        <f t="shared" si="20"/>
        <v>33</v>
      </c>
      <c r="BO145" s="35"/>
      <c r="BP145" s="1"/>
      <c r="BQ145" s="1"/>
      <c r="BR145" s="1"/>
      <c r="BS145" s="1"/>
      <c r="BT145" s="1"/>
      <c r="BU145" s="1"/>
      <c r="BV145" s="32"/>
      <c r="BW145" s="1"/>
      <c r="BX145" s="32"/>
      <c r="BY145" s="32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</row>
    <row r="146" spans="1:115" ht="11.25" customHeight="1" x14ac:dyDescent="0.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56">
        <v>4</v>
      </c>
      <c r="BG146" s="57">
        <v>33</v>
      </c>
      <c r="BH146" s="57">
        <v>7</v>
      </c>
      <c r="BI146" s="57">
        <v>28</v>
      </c>
      <c r="BJ146" s="13" t="str">
        <f t="shared" si="17"/>
        <v>7,33</v>
      </c>
      <c r="BK146" s="35"/>
      <c r="BL146" s="8">
        <f t="shared" si="18"/>
        <v>142</v>
      </c>
      <c r="BM146" s="6">
        <f t="shared" si="19"/>
        <v>4</v>
      </c>
      <c r="BN146" s="6">
        <f t="shared" si="20"/>
        <v>34</v>
      </c>
      <c r="BO146" s="35"/>
      <c r="BP146" s="1"/>
      <c r="BQ146" s="1"/>
      <c r="BR146" s="1"/>
      <c r="BS146" s="1"/>
      <c r="BT146" s="1"/>
      <c r="BU146" s="1"/>
      <c r="BV146" s="32"/>
      <c r="BW146" s="1"/>
      <c r="BX146" s="32"/>
      <c r="BY146" s="32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</row>
    <row r="147" spans="1:115" ht="11.25" customHeight="1" x14ac:dyDescent="0.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56">
        <v>4</v>
      </c>
      <c r="BG147" s="57">
        <v>34</v>
      </c>
      <c r="BH147" s="57">
        <v>8</v>
      </c>
      <c r="BI147" s="57">
        <v>28</v>
      </c>
      <c r="BJ147" s="13" t="str">
        <f t="shared" si="17"/>
        <v>8,34</v>
      </c>
      <c r="BK147" s="35"/>
      <c r="BL147" s="8">
        <f t="shared" si="18"/>
        <v>143</v>
      </c>
      <c r="BM147" s="6">
        <f t="shared" si="19"/>
        <v>4</v>
      </c>
      <c r="BN147" s="6">
        <f t="shared" si="20"/>
        <v>35</v>
      </c>
      <c r="BO147" s="35"/>
      <c r="BP147" s="1"/>
      <c r="BQ147" s="1"/>
      <c r="BR147" s="1"/>
      <c r="BS147" s="1"/>
      <c r="BT147" s="1"/>
      <c r="BU147" s="1"/>
      <c r="BV147" s="32"/>
      <c r="BW147" s="1"/>
      <c r="BX147" s="32"/>
      <c r="BY147" s="32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</row>
    <row r="148" spans="1:115" ht="11.25" customHeight="1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56">
        <v>4</v>
      </c>
      <c r="BG148" s="57">
        <v>34</v>
      </c>
      <c r="BH148" s="57">
        <v>9</v>
      </c>
      <c r="BI148" s="57">
        <v>28</v>
      </c>
      <c r="BJ148" s="13" t="str">
        <f t="shared" si="17"/>
        <v>9,34</v>
      </c>
      <c r="BK148" s="35"/>
      <c r="BL148" s="8">
        <f t="shared" si="18"/>
        <v>144</v>
      </c>
      <c r="BM148" s="6">
        <f t="shared" si="19"/>
        <v>4</v>
      </c>
      <c r="BN148" s="6">
        <f t="shared" si="20"/>
        <v>36</v>
      </c>
      <c r="BO148" s="35"/>
      <c r="BP148" s="1"/>
      <c r="BQ148" s="1"/>
      <c r="BR148" s="1"/>
      <c r="BS148" s="1"/>
      <c r="BT148" s="1"/>
      <c r="BU148" s="1"/>
      <c r="BV148" s="32"/>
      <c r="BW148" s="1"/>
      <c r="BX148" s="32"/>
      <c r="BY148" s="32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</row>
    <row r="149" spans="1:115" ht="11.25" customHeight="1" x14ac:dyDescent="0.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56">
        <v>4</v>
      </c>
      <c r="BG149" s="57">
        <v>34</v>
      </c>
      <c r="BH149" s="57">
        <v>10</v>
      </c>
      <c r="BI149" s="57">
        <v>28</v>
      </c>
      <c r="BJ149" s="13" t="str">
        <f t="shared" si="17"/>
        <v>10,34</v>
      </c>
      <c r="BK149" s="35"/>
      <c r="BL149" s="8">
        <f t="shared" si="18"/>
        <v>145</v>
      </c>
      <c r="BM149" s="6">
        <f t="shared" si="19"/>
        <v>5</v>
      </c>
      <c r="BN149" s="6">
        <f t="shared" si="20"/>
        <v>1</v>
      </c>
      <c r="BO149" s="35"/>
      <c r="BP149" s="1"/>
      <c r="BQ149" s="1"/>
      <c r="BR149" s="1"/>
      <c r="BS149" s="1"/>
      <c r="BT149" s="1"/>
      <c r="BU149" s="1"/>
      <c r="BV149" s="32"/>
      <c r="BW149" s="1"/>
      <c r="BX149" s="32"/>
      <c r="BY149" s="32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</row>
    <row r="150" spans="1:115" ht="11.25" customHeight="1" x14ac:dyDescent="0.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56">
        <v>4</v>
      </c>
      <c r="BG150" s="57">
        <v>34</v>
      </c>
      <c r="BH150" s="57">
        <v>11</v>
      </c>
      <c r="BI150" s="57">
        <v>28</v>
      </c>
      <c r="BJ150" s="13" t="str">
        <f t="shared" si="17"/>
        <v>11,34</v>
      </c>
      <c r="BK150" s="35"/>
      <c r="BL150" s="8">
        <f t="shared" si="18"/>
        <v>146</v>
      </c>
      <c r="BM150" s="6">
        <f t="shared" si="19"/>
        <v>5</v>
      </c>
      <c r="BN150" s="6">
        <f t="shared" si="20"/>
        <v>2</v>
      </c>
      <c r="BO150" s="35"/>
      <c r="BP150" s="1"/>
      <c r="BQ150" s="1"/>
      <c r="BR150" s="1"/>
      <c r="BS150" s="1"/>
      <c r="BT150" s="1"/>
      <c r="BU150" s="1"/>
      <c r="BV150" s="32"/>
      <c r="BW150" s="1"/>
      <c r="BX150" s="32"/>
      <c r="BY150" s="32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</row>
    <row r="151" spans="1:115" ht="11.25" customHeight="1" x14ac:dyDescent="0.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56">
        <v>4</v>
      </c>
      <c r="BG151" s="57">
        <v>34</v>
      </c>
      <c r="BH151" s="57">
        <v>12</v>
      </c>
      <c r="BI151" s="57">
        <v>28</v>
      </c>
      <c r="BJ151" s="13" t="str">
        <f t="shared" si="17"/>
        <v>12,34</v>
      </c>
      <c r="BK151" s="35"/>
      <c r="BL151" s="8">
        <f t="shared" si="18"/>
        <v>147</v>
      </c>
      <c r="BM151" s="6">
        <f t="shared" si="19"/>
        <v>5</v>
      </c>
      <c r="BN151" s="6">
        <f t="shared" si="20"/>
        <v>3</v>
      </c>
      <c r="BO151" s="35"/>
      <c r="BP151" s="1"/>
      <c r="BQ151" s="1"/>
      <c r="BR151" s="1"/>
      <c r="BS151" s="1"/>
      <c r="BT151" s="1"/>
      <c r="BU151" s="1"/>
      <c r="BV151" s="32"/>
      <c r="BW151" s="1"/>
      <c r="BX151" s="32"/>
      <c r="BY151" s="32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</row>
    <row r="152" spans="1:115" ht="11.25" customHeight="1" x14ac:dyDescent="0.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56">
        <v>4</v>
      </c>
      <c r="BG152" s="57">
        <v>34</v>
      </c>
      <c r="BH152" s="57">
        <v>13</v>
      </c>
      <c r="BI152" s="57">
        <v>28</v>
      </c>
      <c r="BJ152" s="13" t="str">
        <f t="shared" si="17"/>
        <v>13,34</v>
      </c>
      <c r="BK152" s="35"/>
      <c r="BL152" s="8">
        <f t="shared" si="18"/>
        <v>148</v>
      </c>
      <c r="BM152" s="6">
        <f t="shared" si="19"/>
        <v>5</v>
      </c>
      <c r="BN152" s="6">
        <f t="shared" si="20"/>
        <v>4</v>
      </c>
      <c r="BO152" s="35"/>
      <c r="BP152" s="1"/>
      <c r="BQ152" s="1"/>
      <c r="BR152" s="1"/>
      <c r="BS152" s="1"/>
      <c r="BT152" s="1"/>
      <c r="BU152" s="1"/>
      <c r="BV152" s="32"/>
      <c r="BW152" s="1"/>
      <c r="BX152" s="32"/>
      <c r="BY152" s="32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</row>
    <row r="153" spans="1:115" ht="11.25" customHeight="1" x14ac:dyDescent="0.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56">
        <v>4</v>
      </c>
      <c r="BG153" s="57">
        <v>35</v>
      </c>
      <c r="BH153" s="57">
        <v>14</v>
      </c>
      <c r="BI153" s="57">
        <v>28</v>
      </c>
      <c r="BJ153" s="13" t="str">
        <f t="shared" si="17"/>
        <v>14,35</v>
      </c>
      <c r="BK153" s="35"/>
      <c r="BL153" s="8">
        <f t="shared" si="18"/>
        <v>149</v>
      </c>
      <c r="BM153" s="6">
        <f t="shared" si="19"/>
        <v>5</v>
      </c>
      <c r="BN153" s="6">
        <f t="shared" si="20"/>
        <v>5</v>
      </c>
      <c r="BO153" s="35"/>
      <c r="BP153" s="1"/>
      <c r="BQ153" s="1"/>
      <c r="BR153" s="1"/>
      <c r="BS153" s="1"/>
      <c r="BT153" s="1"/>
      <c r="BU153" s="1"/>
      <c r="BV153" s="32"/>
      <c r="BW153" s="1"/>
      <c r="BX153" s="32"/>
      <c r="BY153" s="32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</row>
    <row r="154" spans="1:115" ht="11.25" customHeight="1" x14ac:dyDescent="0.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56">
        <v>4</v>
      </c>
      <c r="BG154" s="57">
        <v>35</v>
      </c>
      <c r="BH154" s="57">
        <v>15</v>
      </c>
      <c r="BI154" s="57">
        <v>28</v>
      </c>
      <c r="BJ154" s="13" t="str">
        <f t="shared" si="17"/>
        <v>15,35</v>
      </c>
      <c r="BK154" s="35"/>
      <c r="BL154" s="8">
        <f t="shared" si="18"/>
        <v>150</v>
      </c>
      <c r="BM154" s="6">
        <f t="shared" si="19"/>
        <v>5</v>
      </c>
      <c r="BN154" s="6">
        <f t="shared" si="20"/>
        <v>6</v>
      </c>
      <c r="BO154" s="35"/>
      <c r="BP154" s="1"/>
      <c r="BQ154" s="1"/>
      <c r="BR154" s="1"/>
      <c r="BS154" s="1"/>
      <c r="BT154" s="1"/>
      <c r="BU154" s="1"/>
      <c r="BV154" s="32"/>
      <c r="BW154" s="1"/>
      <c r="BX154" s="32"/>
      <c r="BY154" s="32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</row>
    <row r="155" spans="1:115" ht="11.25" customHeight="1" x14ac:dyDescent="0.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56">
        <v>4</v>
      </c>
      <c r="BG155" s="57">
        <v>35</v>
      </c>
      <c r="BH155" s="57">
        <v>16</v>
      </c>
      <c r="BI155" s="57">
        <v>28</v>
      </c>
      <c r="BJ155" s="13" t="str">
        <f t="shared" si="17"/>
        <v>16,35</v>
      </c>
      <c r="BK155" s="35"/>
      <c r="BL155" s="8">
        <f t="shared" si="18"/>
        <v>151</v>
      </c>
      <c r="BM155" s="6">
        <f t="shared" si="19"/>
        <v>5</v>
      </c>
      <c r="BN155" s="6">
        <f t="shared" si="20"/>
        <v>7</v>
      </c>
      <c r="BO155" s="35"/>
      <c r="BP155" s="1"/>
      <c r="BQ155" s="1"/>
      <c r="BR155" s="1"/>
      <c r="BS155" s="1"/>
      <c r="BT155" s="1"/>
      <c r="BU155" s="1"/>
      <c r="BV155" s="32"/>
      <c r="BW155" s="1"/>
      <c r="BX155" s="32"/>
      <c r="BY155" s="32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</row>
    <row r="156" spans="1:115" ht="11.25" customHeight="1" x14ac:dyDescent="0.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56">
        <v>4</v>
      </c>
      <c r="BG156" s="57">
        <v>35</v>
      </c>
      <c r="BH156" s="57">
        <v>17</v>
      </c>
      <c r="BI156" s="57">
        <v>28</v>
      </c>
      <c r="BJ156" s="13" t="str">
        <f t="shared" si="17"/>
        <v>17,35</v>
      </c>
      <c r="BK156" s="35"/>
      <c r="BL156" s="8">
        <f t="shared" si="18"/>
        <v>152</v>
      </c>
      <c r="BM156" s="6">
        <f t="shared" si="19"/>
        <v>5</v>
      </c>
      <c r="BN156" s="6">
        <f t="shared" si="20"/>
        <v>8</v>
      </c>
      <c r="BO156" s="35"/>
      <c r="BP156" s="1"/>
      <c r="BQ156" s="1"/>
      <c r="BR156" s="1"/>
      <c r="BS156" s="1"/>
      <c r="BT156" s="1"/>
      <c r="BU156" s="1"/>
      <c r="BV156" s="32"/>
      <c r="BW156" s="1"/>
      <c r="BX156" s="32"/>
      <c r="BY156" s="32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</row>
    <row r="157" spans="1:115" ht="11.25" customHeight="1" x14ac:dyDescent="0.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56">
        <v>4</v>
      </c>
      <c r="BG157" s="57">
        <v>35</v>
      </c>
      <c r="BH157" s="57">
        <v>18</v>
      </c>
      <c r="BI157" s="57">
        <v>28</v>
      </c>
      <c r="BJ157" s="13" t="str">
        <f t="shared" si="17"/>
        <v>18,35</v>
      </c>
      <c r="BK157" s="35"/>
      <c r="BL157" s="8">
        <f t="shared" si="18"/>
        <v>153</v>
      </c>
      <c r="BM157" s="6">
        <f t="shared" si="19"/>
        <v>5</v>
      </c>
      <c r="BN157" s="6">
        <f t="shared" si="20"/>
        <v>9</v>
      </c>
      <c r="BO157" s="35"/>
      <c r="BP157" s="1"/>
      <c r="BQ157" s="1"/>
      <c r="BR157" s="1"/>
      <c r="BS157" s="1"/>
      <c r="BT157" s="1"/>
      <c r="BU157" s="1"/>
      <c r="BV157" s="32"/>
      <c r="BW157" s="1"/>
      <c r="BX157" s="32"/>
      <c r="BY157" s="32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</row>
    <row r="158" spans="1:115" ht="11.25" customHeight="1" x14ac:dyDescent="0.2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56">
        <v>4</v>
      </c>
      <c r="BG158" s="57">
        <v>35</v>
      </c>
      <c r="BH158" s="57">
        <v>19</v>
      </c>
      <c r="BI158" s="57">
        <v>28</v>
      </c>
      <c r="BJ158" s="13" t="str">
        <f t="shared" si="17"/>
        <v>19,35</v>
      </c>
      <c r="BK158" s="35"/>
      <c r="BL158" s="8">
        <f t="shared" si="18"/>
        <v>154</v>
      </c>
      <c r="BM158" s="6">
        <f t="shared" si="19"/>
        <v>5</v>
      </c>
      <c r="BN158" s="6">
        <f t="shared" si="20"/>
        <v>10</v>
      </c>
      <c r="BO158" s="35"/>
      <c r="BP158" s="1"/>
      <c r="BQ158" s="1"/>
      <c r="BR158" s="1"/>
      <c r="BS158" s="1"/>
      <c r="BT158" s="1"/>
      <c r="BU158" s="1"/>
      <c r="BV158" s="32"/>
      <c r="BW158" s="1"/>
      <c r="BX158" s="32"/>
      <c r="BY158" s="32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</row>
    <row r="159" spans="1:115" ht="11.25" customHeight="1" x14ac:dyDescent="0.2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56">
        <v>4</v>
      </c>
      <c r="BG159" s="57">
        <v>35</v>
      </c>
      <c r="BH159" s="57">
        <v>20</v>
      </c>
      <c r="BI159" s="57">
        <v>28</v>
      </c>
      <c r="BJ159" s="13" t="str">
        <f t="shared" si="17"/>
        <v>20,35</v>
      </c>
      <c r="BK159" s="35"/>
      <c r="BL159" s="8">
        <f t="shared" si="18"/>
        <v>155</v>
      </c>
      <c r="BM159" s="6">
        <f t="shared" si="19"/>
        <v>5</v>
      </c>
      <c r="BN159" s="6">
        <f t="shared" si="20"/>
        <v>11</v>
      </c>
      <c r="BO159" s="35"/>
      <c r="BP159" s="1"/>
      <c r="BQ159" s="1"/>
      <c r="BR159" s="1"/>
      <c r="BS159" s="1"/>
      <c r="BT159" s="1"/>
      <c r="BU159" s="1"/>
      <c r="BV159" s="32"/>
      <c r="BW159" s="1"/>
      <c r="BX159" s="32"/>
      <c r="BY159" s="32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</row>
    <row r="160" spans="1:115" ht="11.25" customHeight="1" x14ac:dyDescent="0.2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56">
        <v>4</v>
      </c>
      <c r="BG160" s="57">
        <v>36</v>
      </c>
      <c r="BH160" s="57">
        <v>21</v>
      </c>
      <c r="BI160" s="57">
        <v>28</v>
      </c>
      <c r="BJ160" s="13" t="str">
        <f t="shared" si="17"/>
        <v>21,36</v>
      </c>
      <c r="BK160" s="35"/>
      <c r="BL160" s="8">
        <f t="shared" si="18"/>
        <v>156</v>
      </c>
      <c r="BM160" s="6">
        <f t="shared" si="19"/>
        <v>5</v>
      </c>
      <c r="BN160" s="6">
        <f t="shared" si="20"/>
        <v>12</v>
      </c>
      <c r="BO160" s="35"/>
      <c r="BP160" s="1"/>
      <c r="BQ160" s="1"/>
      <c r="BR160" s="1"/>
      <c r="BS160" s="1"/>
      <c r="BT160" s="1"/>
      <c r="BU160" s="1"/>
      <c r="BV160" s="32"/>
      <c r="BW160" s="1"/>
      <c r="BX160" s="32"/>
      <c r="BY160" s="32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</row>
    <row r="161" spans="1:115" ht="11.25" customHeight="1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56">
        <v>4</v>
      </c>
      <c r="BG161" s="57">
        <v>36</v>
      </c>
      <c r="BH161" s="57">
        <v>22</v>
      </c>
      <c r="BI161" s="57">
        <v>28</v>
      </c>
      <c r="BJ161" s="13" t="str">
        <f t="shared" si="17"/>
        <v>22,36</v>
      </c>
      <c r="BK161" s="35"/>
      <c r="BL161" s="8">
        <f t="shared" si="18"/>
        <v>157</v>
      </c>
      <c r="BM161" s="6">
        <f t="shared" si="19"/>
        <v>5</v>
      </c>
      <c r="BN161" s="6">
        <f t="shared" si="20"/>
        <v>13</v>
      </c>
      <c r="BO161" s="35"/>
      <c r="BP161" s="1"/>
      <c r="BQ161" s="1"/>
      <c r="BR161" s="1"/>
      <c r="BS161" s="1"/>
      <c r="BT161" s="1"/>
      <c r="BU161" s="1"/>
      <c r="BV161" s="32"/>
      <c r="BW161" s="1"/>
      <c r="BX161" s="32"/>
      <c r="BY161" s="32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  <c r="CZ161" s="35"/>
      <c r="DA161" s="35"/>
      <c r="DB161" s="35"/>
      <c r="DC161" s="35"/>
      <c r="DD161" s="35"/>
      <c r="DE161" s="35"/>
      <c r="DF161" s="35"/>
      <c r="DG161" s="35"/>
      <c r="DH161" s="35"/>
      <c r="DI161" s="35"/>
      <c r="DJ161" s="35"/>
      <c r="DK161" s="35"/>
    </row>
    <row r="162" spans="1:115" ht="11.25" customHeight="1" x14ac:dyDescent="0.2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56">
        <v>4</v>
      </c>
      <c r="BG162" s="57">
        <v>36</v>
      </c>
      <c r="BH162" s="57">
        <v>23</v>
      </c>
      <c r="BI162" s="57">
        <v>28</v>
      </c>
      <c r="BJ162" s="13" t="str">
        <f t="shared" si="17"/>
        <v>23,36</v>
      </c>
      <c r="BK162" s="35"/>
      <c r="BL162" s="8">
        <f t="shared" si="18"/>
        <v>158</v>
      </c>
      <c r="BM162" s="6">
        <f t="shared" si="19"/>
        <v>5</v>
      </c>
      <c r="BN162" s="6">
        <f t="shared" si="20"/>
        <v>14</v>
      </c>
      <c r="BO162" s="35"/>
      <c r="BP162" s="1"/>
      <c r="BQ162" s="1"/>
      <c r="BR162" s="1"/>
      <c r="BS162" s="1"/>
      <c r="BT162" s="1"/>
      <c r="BU162" s="1"/>
      <c r="BV162" s="32"/>
      <c r="BW162" s="1"/>
      <c r="BX162" s="32"/>
      <c r="BY162" s="32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  <c r="DI162" s="35"/>
      <c r="DJ162" s="35"/>
      <c r="DK162" s="35"/>
    </row>
    <row r="163" spans="1:115" ht="11.25" customHeight="1" x14ac:dyDescent="0.2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56">
        <v>5</v>
      </c>
      <c r="BG163" s="57">
        <v>1</v>
      </c>
      <c r="BH163" s="57">
        <v>4</v>
      </c>
      <c r="BI163" s="57">
        <v>50</v>
      </c>
      <c r="BJ163" s="13" t="str">
        <f t="shared" si="17"/>
        <v>4,1</v>
      </c>
      <c r="BK163" s="35"/>
      <c r="BL163" s="8">
        <f t="shared" si="18"/>
        <v>159</v>
      </c>
      <c r="BM163" s="6">
        <f t="shared" si="19"/>
        <v>5</v>
      </c>
      <c r="BN163" s="6">
        <f t="shared" si="20"/>
        <v>15</v>
      </c>
      <c r="BO163" s="35"/>
      <c r="BP163" s="1"/>
      <c r="BQ163" s="1"/>
      <c r="BR163" s="1"/>
      <c r="BS163" s="1"/>
      <c r="BT163" s="1"/>
      <c r="BU163" s="1"/>
      <c r="BV163" s="32"/>
      <c r="BW163" s="1"/>
      <c r="BX163" s="32"/>
      <c r="BY163" s="32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  <c r="DI163" s="35"/>
      <c r="DJ163" s="35"/>
      <c r="DK163" s="35"/>
    </row>
    <row r="164" spans="1:115" ht="11.25" customHeight="1" x14ac:dyDescent="0.2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56">
        <v>5</v>
      </c>
      <c r="BG164" s="57">
        <v>1</v>
      </c>
      <c r="BH164" s="57">
        <v>5</v>
      </c>
      <c r="BI164" s="57">
        <v>50</v>
      </c>
      <c r="BJ164" s="13" t="str">
        <f t="shared" si="17"/>
        <v>5,1</v>
      </c>
      <c r="BK164" s="35"/>
      <c r="BL164" s="8">
        <f t="shared" si="18"/>
        <v>160</v>
      </c>
      <c r="BM164" s="6">
        <f t="shared" si="19"/>
        <v>5</v>
      </c>
      <c r="BN164" s="6">
        <f t="shared" si="20"/>
        <v>16</v>
      </c>
      <c r="BO164" s="35"/>
      <c r="BP164" s="1"/>
      <c r="BQ164" s="1"/>
      <c r="BR164" s="1"/>
      <c r="BS164" s="1"/>
      <c r="BT164" s="1"/>
      <c r="BU164" s="1"/>
      <c r="BV164" s="32"/>
      <c r="BW164" s="1"/>
      <c r="BX164" s="32"/>
      <c r="BY164" s="32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</row>
    <row r="165" spans="1:115" ht="11.25" customHeight="1" x14ac:dyDescent="0.2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56">
        <v>5</v>
      </c>
      <c r="BG165" s="57">
        <v>1</v>
      </c>
      <c r="BH165" s="57">
        <v>6</v>
      </c>
      <c r="BI165" s="57">
        <v>50</v>
      </c>
      <c r="BJ165" s="13" t="str">
        <f t="shared" si="17"/>
        <v>6,1</v>
      </c>
      <c r="BK165" s="35"/>
      <c r="BL165" s="8">
        <f t="shared" si="18"/>
        <v>161</v>
      </c>
      <c r="BM165" s="6">
        <f t="shared" si="19"/>
        <v>5</v>
      </c>
      <c r="BN165" s="6">
        <f t="shared" si="20"/>
        <v>17</v>
      </c>
      <c r="BO165" s="35"/>
      <c r="BP165" s="1"/>
      <c r="BQ165" s="1"/>
      <c r="BR165" s="1"/>
      <c r="BS165" s="1"/>
      <c r="BT165" s="1"/>
      <c r="BU165" s="1"/>
      <c r="BV165" s="32"/>
      <c r="BW165" s="1"/>
      <c r="BX165" s="32"/>
      <c r="BY165" s="32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</row>
    <row r="166" spans="1:115" ht="11.25" customHeight="1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56">
        <v>5</v>
      </c>
      <c r="BG166" s="57">
        <v>1</v>
      </c>
      <c r="BH166" s="57">
        <v>7</v>
      </c>
      <c r="BI166" s="57">
        <v>50</v>
      </c>
      <c r="BJ166" s="13" t="str">
        <f t="shared" si="17"/>
        <v>7,1</v>
      </c>
      <c r="BK166" s="35"/>
      <c r="BL166" s="8">
        <f t="shared" si="18"/>
        <v>162</v>
      </c>
      <c r="BM166" s="6">
        <f t="shared" si="19"/>
        <v>5</v>
      </c>
      <c r="BN166" s="6">
        <f t="shared" si="20"/>
        <v>18</v>
      </c>
      <c r="BO166" s="35"/>
      <c r="BP166" s="1"/>
      <c r="BQ166" s="1"/>
      <c r="BR166" s="1"/>
      <c r="BS166" s="1"/>
      <c r="BT166" s="1"/>
      <c r="BU166" s="1"/>
      <c r="BV166" s="32"/>
      <c r="BW166" s="1"/>
      <c r="BX166" s="32"/>
      <c r="BY166" s="32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</row>
    <row r="167" spans="1:115" ht="11.25" customHeight="1" x14ac:dyDescent="0.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56">
        <v>5</v>
      </c>
      <c r="BG167" s="57">
        <v>1</v>
      </c>
      <c r="BH167" s="57">
        <v>8</v>
      </c>
      <c r="BI167" s="57">
        <v>50</v>
      </c>
      <c r="BJ167" s="13" t="str">
        <f t="shared" si="17"/>
        <v>8,1</v>
      </c>
      <c r="BK167" s="35"/>
      <c r="BL167" s="8">
        <f t="shared" si="18"/>
        <v>163</v>
      </c>
      <c r="BM167" s="6">
        <f t="shared" si="19"/>
        <v>5</v>
      </c>
      <c r="BN167" s="6">
        <f t="shared" si="20"/>
        <v>19</v>
      </c>
      <c r="BO167" s="35"/>
      <c r="BP167" s="1"/>
      <c r="BQ167" s="1"/>
      <c r="BR167" s="1"/>
      <c r="BS167" s="1"/>
      <c r="BT167" s="1"/>
      <c r="BU167" s="1"/>
      <c r="BV167" s="32"/>
      <c r="BW167" s="1"/>
      <c r="BX167" s="32"/>
      <c r="BY167" s="32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</row>
    <row r="168" spans="1:115" ht="11.25" customHeight="1" x14ac:dyDescent="0.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56">
        <v>5</v>
      </c>
      <c r="BG168" s="57">
        <v>1</v>
      </c>
      <c r="BH168" s="57">
        <v>9</v>
      </c>
      <c r="BI168" s="57">
        <v>50</v>
      </c>
      <c r="BJ168" s="13" t="str">
        <f t="shared" si="17"/>
        <v>9,1</v>
      </c>
      <c r="BK168" s="35"/>
      <c r="BL168" s="8">
        <f t="shared" si="18"/>
        <v>164</v>
      </c>
      <c r="BM168" s="6">
        <f t="shared" si="19"/>
        <v>5</v>
      </c>
      <c r="BN168" s="6">
        <f t="shared" si="20"/>
        <v>20</v>
      </c>
      <c r="BO168" s="35"/>
      <c r="BP168" s="1"/>
      <c r="BQ168" s="1"/>
      <c r="BR168" s="1"/>
      <c r="BS168" s="1"/>
      <c r="BT168" s="1"/>
      <c r="BU168" s="1"/>
      <c r="BV168" s="32"/>
      <c r="BW168" s="1"/>
      <c r="BX168" s="32"/>
      <c r="BY168" s="32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</row>
    <row r="169" spans="1:115" ht="11.25" customHeight="1" x14ac:dyDescent="0.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56">
        <v>5</v>
      </c>
      <c r="BG169" s="57">
        <v>1</v>
      </c>
      <c r="BH169" s="57">
        <v>10</v>
      </c>
      <c r="BI169" s="57">
        <v>50</v>
      </c>
      <c r="BJ169" s="13" t="str">
        <f t="shared" si="17"/>
        <v>10,1</v>
      </c>
      <c r="BK169" s="35"/>
      <c r="BL169" s="8">
        <f t="shared" si="18"/>
        <v>165</v>
      </c>
      <c r="BM169" s="6">
        <f t="shared" si="19"/>
        <v>5</v>
      </c>
      <c r="BN169" s="6">
        <f t="shared" si="20"/>
        <v>21</v>
      </c>
      <c r="BO169" s="35"/>
      <c r="BP169" s="1"/>
      <c r="BQ169" s="1"/>
      <c r="BR169" s="1"/>
      <c r="BS169" s="1"/>
      <c r="BT169" s="1"/>
      <c r="BU169" s="1"/>
      <c r="BV169" s="32"/>
      <c r="BW169" s="1"/>
      <c r="BX169" s="32"/>
      <c r="BY169" s="32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</row>
    <row r="170" spans="1:115" ht="11.25" customHeight="1" x14ac:dyDescent="0.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56">
        <v>5</v>
      </c>
      <c r="BG170" s="57">
        <v>1</v>
      </c>
      <c r="BH170" s="57">
        <v>11</v>
      </c>
      <c r="BI170" s="57">
        <v>50</v>
      </c>
      <c r="BJ170" s="13" t="str">
        <f t="shared" si="17"/>
        <v>11,1</v>
      </c>
      <c r="BK170" s="35"/>
      <c r="BL170" s="8">
        <f t="shared" si="18"/>
        <v>166</v>
      </c>
      <c r="BM170" s="6">
        <f t="shared" si="19"/>
        <v>5</v>
      </c>
      <c r="BN170" s="6">
        <f t="shared" si="20"/>
        <v>22</v>
      </c>
      <c r="BO170" s="35"/>
      <c r="BP170" s="1"/>
      <c r="BQ170" s="1"/>
      <c r="BR170" s="1"/>
      <c r="BS170" s="1"/>
      <c r="BT170" s="1"/>
      <c r="BU170" s="1"/>
      <c r="BV170" s="32"/>
      <c r="BW170" s="1"/>
      <c r="BX170" s="32"/>
      <c r="BY170" s="32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F170" s="35"/>
      <c r="DG170" s="35"/>
      <c r="DH170" s="35"/>
      <c r="DI170" s="35"/>
      <c r="DJ170" s="35"/>
      <c r="DK170" s="35"/>
    </row>
    <row r="171" spans="1:115" ht="11.25" customHeight="1" x14ac:dyDescent="0.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56">
        <v>5</v>
      </c>
      <c r="BG171" s="57">
        <v>1</v>
      </c>
      <c r="BH171" s="57">
        <v>12</v>
      </c>
      <c r="BI171" s="57">
        <v>50.09</v>
      </c>
      <c r="BJ171" s="13" t="str">
        <f t="shared" si="17"/>
        <v>12,1</v>
      </c>
      <c r="BK171" s="35"/>
      <c r="BL171" s="8">
        <f t="shared" si="18"/>
        <v>167</v>
      </c>
      <c r="BM171" s="6">
        <f t="shared" si="19"/>
        <v>5</v>
      </c>
      <c r="BN171" s="6">
        <f t="shared" si="20"/>
        <v>23</v>
      </c>
      <c r="BO171" s="35"/>
      <c r="BP171" s="1"/>
      <c r="BQ171" s="1"/>
      <c r="BR171" s="1"/>
      <c r="BS171" s="1"/>
      <c r="BT171" s="1"/>
      <c r="BU171" s="1"/>
      <c r="BV171" s="32"/>
      <c r="BW171" s="1"/>
      <c r="BX171" s="32"/>
      <c r="BY171" s="32"/>
      <c r="BZ171" s="35"/>
      <c r="CA171" s="35"/>
      <c r="CB171" s="35"/>
      <c r="CC171" s="35"/>
      <c r="CD171" s="35"/>
      <c r="CE171" s="35"/>
      <c r="CF171" s="35"/>
      <c r="CG171" s="35"/>
      <c r="CH171" s="35"/>
      <c r="CI171" s="35"/>
      <c r="CJ171" s="35"/>
      <c r="CK171" s="35"/>
      <c r="CL171" s="35"/>
      <c r="CM171" s="35"/>
      <c r="CN171" s="35"/>
      <c r="CO171" s="35"/>
      <c r="CP171" s="35"/>
      <c r="CQ171" s="35"/>
      <c r="CR171" s="35"/>
      <c r="CS171" s="35"/>
      <c r="CT171" s="35"/>
      <c r="CU171" s="35"/>
      <c r="CV171" s="35"/>
      <c r="CW171" s="35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  <c r="DI171" s="35"/>
      <c r="DJ171" s="35"/>
      <c r="DK171" s="35"/>
    </row>
    <row r="172" spans="1:115" ht="11.25" customHeight="1" x14ac:dyDescent="0.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56">
        <v>5</v>
      </c>
      <c r="BG172" s="57">
        <v>1</v>
      </c>
      <c r="BH172" s="57">
        <v>13</v>
      </c>
      <c r="BI172" s="57">
        <v>50.14</v>
      </c>
      <c r="BJ172" s="13" t="str">
        <f t="shared" si="17"/>
        <v>13,1</v>
      </c>
      <c r="BK172" s="35"/>
      <c r="BL172" s="8">
        <f t="shared" si="18"/>
        <v>168</v>
      </c>
      <c r="BM172" s="6">
        <f t="shared" si="19"/>
        <v>5</v>
      </c>
      <c r="BN172" s="6">
        <f t="shared" si="20"/>
        <v>24</v>
      </c>
      <c r="BO172" s="35"/>
      <c r="BP172" s="1"/>
      <c r="BQ172" s="1"/>
      <c r="BR172" s="1"/>
      <c r="BS172" s="1"/>
      <c r="BT172" s="1"/>
      <c r="BU172" s="1"/>
      <c r="BV172" s="32"/>
      <c r="BW172" s="1"/>
      <c r="BX172" s="32"/>
      <c r="BY172" s="32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</row>
    <row r="173" spans="1:115" ht="11.25" customHeight="1" x14ac:dyDescent="0.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56">
        <v>5</v>
      </c>
      <c r="BG173" s="57">
        <v>1</v>
      </c>
      <c r="BH173" s="57">
        <v>14</v>
      </c>
      <c r="BI173" s="57">
        <v>50.14</v>
      </c>
      <c r="BJ173" s="13" t="str">
        <f t="shared" si="17"/>
        <v>14,1</v>
      </c>
      <c r="BK173" s="35"/>
      <c r="BL173" s="8">
        <f t="shared" si="18"/>
        <v>169</v>
      </c>
      <c r="BM173" s="6">
        <f t="shared" si="19"/>
        <v>5</v>
      </c>
      <c r="BN173" s="6">
        <f t="shared" si="20"/>
        <v>25</v>
      </c>
      <c r="BO173" s="35"/>
      <c r="BP173" s="1"/>
      <c r="BQ173" s="1"/>
      <c r="BR173" s="1"/>
      <c r="BS173" s="1"/>
      <c r="BT173" s="1"/>
      <c r="BU173" s="1"/>
      <c r="BV173" s="32"/>
      <c r="BW173" s="1"/>
      <c r="BX173" s="32"/>
      <c r="BY173" s="32"/>
      <c r="BZ173" s="35"/>
      <c r="CA173" s="35"/>
      <c r="CB173" s="35"/>
      <c r="CC173" s="35"/>
      <c r="CD173" s="35"/>
      <c r="CE173" s="35"/>
      <c r="CF173" s="35"/>
      <c r="CG173" s="35"/>
      <c r="CH173" s="35"/>
      <c r="CI173" s="35"/>
      <c r="CJ173" s="35"/>
      <c r="CK173" s="35"/>
      <c r="CL173" s="35"/>
      <c r="CM173" s="35"/>
      <c r="CN173" s="35"/>
      <c r="CO173" s="35"/>
      <c r="CP173" s="35"/>
      <c r="CQ173" s="35"/>
      <c r="CR173" s="35"/>
      <c r="CS173" s="35"/>
      <c r="CT173" s="35"/>
      <c r="CU173" s="35"/>
      <c r="CV173" s="35"/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  <c r="DI173" s="35"/>
      <c r="DJ173" s="35"/>
      <c r="DK173" s="35"/>
    </row>
    <row r="174" spans="1:115" ht="11.25" customHeight="1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56">
        <v>5</v>
      </c>
      <c r="BG174" s="57">
        <v>1</v>
      </c>
      <c r="BH174" s="57">
        <v>15</v>
      </c>
      <c r="BI174" s="57">
        <v>50.09</v>
      </c>
      <c r="BJ174" s="13" t="str">
        <f t="shared" si="17"/>
        <v>15,1</v>
      </c>
      <c r="BK174" s="35"/>
      <c r="BL174" s="8">
        <f t="shared" si="18"/>
        <v>170</v>
      </c>
      <c r="BM174" s="6">
        <f t="shared" si="19"/>
        <v>5</v>
      </c>
      <c r="BN174" s="6">
        <f t="shared" si="20"/>
        <v>26</v>
      </c>
      <c r="BO174" s="35"/>
      <c r="BP174" s="1"/>
      <c r="BQ174" s="1"/>
      <c r="BR174" s="1"/>
      <c r="BS174" s="1"/>
      <c r="BT174" s="1"/>
      <c r="BU174" s="1"/>
      <c r="BV174" s="32"/>
      <c r="BW174" s="1"/>
      <c r="BX174" s="32"/>
      <c r="BY174" s="32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  <c r="DI174" s="35"/>
      <c r="DJ174" s="35"/>
      <c r="DK174" s="35"/>
    </row>
    <row r="175" spans="1:115" ht="11.25" customHeight="1" x14ac:dyDescent="0.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56">
        <v>5</v>
      </c>
      <c r="BG175" s="57">
        <v>1</v>
      </c>
      <c r="BH175" s="57">
        <v>16</v>
      </c>
      <c r="BI175" s="57">
        <v>50</v>
      </c>
      <c r="BJ175" s="13" t="str">
        <f t="shared" si="17"/>
        <v>16,1</v>
      </c>
      <c r="BK175" s="35"/>
      <c r="BL175" s="8">
        <f t="shared" si="18"/>
        <v>171</v>
      </c>
      <c r="BM175" s="6">
        <f t="shared" si="19"/>
        <v>5</v>
      </c>
      <c r="BN175" s="6">
        <f t="shared" si="20"/>
        <v>27</v>
      </c>
      <c r="BO175" s="35"/>
      <c r="BP175" s="1"/>
      <c r="BQ175" s="1"/>
      <c r="BR175" s="1"/>
      <c r="BS175" s="1"/>
      <c r="BT175" s="1"/>
      <c r="BU175" s="1"/>
      <c r="BV175" s="32"/>
      <c r="BW175" s="1"/>
      <c r="BX175" s="32"/>
      <c r="BY175" s="32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  <c r="DI175" s="35"/>
      <c r="DJ175" s="35"/>
      <c r="DK175" s="35"/>
    </row>
    <row r="176" spans="1:115" ht="11.25" customHeight="1" x14ac:dyDescent="0.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56">
        <v>5</v>
      </c>
      <c r="BG176" s="57">
        <v>1</v>
      </c>
      <c r="BH176" s="57">
        <v>17</v>
      </c>
      <c r="BI176" s="57">
        <v>50</v>
      </c>
      <c r="BJ176" s="13" t="str">
        <f t="shared" si="17"/>
        <v>17,1</v>
      </c>
      <c r="BK176" s="35"/>
      <c r="BL176" s="8">
        <f t="shared" si="18"/>
        <v>172</v>
      </c>
      <c r="BM176" s="6">
        <f t="shared" si="19"/>
        <v>5</v>
      </c>
      <c r="BN176" s="6">
        <f t="shared" si="20"/>
        <v>28</v>
      </c>
      <c r="BO176" s="35"/>
      <c r="BP176" s="1"/>
      <c r="BQ176" s="1"/>
      <c r="BR176" s="1"/>
      <c r="BS176" s="1"/>
      <c r="BT176" s="1"/>
      <c r="BU176" s="1"/>
      <c r="BV176" s="32"/>
      <c r="BW176" s="1"/>
      <c r="BX176" s="32"/>
      <c r="BY176" s="32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</row>
    <row r="177" spans="1:115" ht="11.25" customHeight="1" x14ac:dyDescent="0.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56">
        <v>5</v>
      </c>
      <c r="BG177" s="57">
        <v>1</v>
      </c>
      <c r="BH177" s="57">
        <v>18</v>
      </c>
      <c r="BI177" s="57">
        <v>50</v>
      </c>
      <c r="BJ177" s="13" t="str">
        <f t="shared" si="17"/>
        <v>18,1</v>
      </c>
      <c r="BK177" s="35"/>
      <c r="BL177" s="8">
        <f t="shared" si="18"/>
        <v>173</v>
      </c>
      <c r="BM177" s="6">
        <f t="shared" si="19"/>
        <v>5</v>
      </c>
      <c r="BN177" s="6">
        <f t="shared" si="20"/>
        <v>29</v>
      </c>
      <c r="BO177" s="35"/>
      <c r="BP177" s="1"/>
      <c r="BQ177" s="1"/>
      <c r="BR177" s="1"/>
      <c r="BS177" s="1"/>
      <c r="BT177" s="1"/>
      <c r="BU177" s="1"/>
      <c r="BV177" s="32"/>
      <c r="BW177" s="1"/>
      <c r="BX177" s="32"/>
      <c r="BY177" s="32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</row>
    <row r="178" spans="1:115" ht="11.25" customHeight="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56">
        <v>5</v>
      </c>
      <c r="BG178" s="57">
        <v>1</v>
      </c>
      <c r="BH178" s="57">
        <v>19</v>
      </c>
      <c r="BI178" s="57">
        <v>50</v>
      </c>
      <c r="BJ178" s="13" t="str">
        <f t="shared" si="17"/>
        <v>19,1</v>
      </c>
      <c r="BK178" s="35"/>
      <c r="BL178" s="8">
        <f t="shared" si="18"/>
        <v>174</v>
      </c>
      <c r="BM178" s="6">
        <f t="shared" si="19"/>
        <v>5</v>
      </c>
      <c r="BN178" s="6">
        <f t="shared" si="20"/>
        <v>30</v>
      </c>
      <c r="BO178" s="35"/>
      <c r="BP178" s="1"/>
      <c r="BQ178" s="1"/>
      <c r="BR178" s="1"/>
      <c r="BS178" s="1"/>
      <c r="BT178" s="1"/>
      <c r="BU178" s="1"/>
      <c r="BV178" s="32"/>
      <c r="BW178" s="1"/>
      <c r="BX178" s="32"/>
      <c r="BY178" s="32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</row>
    <row r="179" spans="1:115" ht="11.25" customHeight="1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56">
        <v>5</v>
      </c>
      <c r="BG179" s="57">
        <v>1</v>
      </c>
      <c r="BH179" s="57">
        <v>20</v>
      </c>
      <c r="BI179" s="57">
        <v>50</v>
      </c>
      <c r="BJ179" s="13" t="str">
        <f t="shared" si="17"/>
        <v>20,1</v>
      </c>
      <c r="BK179" s="35"/>
      <c r="BL179" s="8">
        <f t="shared" si="18"/>
        <v>175</v>
      </c>
      <c r="BM179" s="6">
        <f t="shared" si="19"/>
        <v>5</v>
      </c>
      <c r="BN179" s="6">
        <f t="shared" si="20"/>
        <v>31</v>
      </c>
      <c r="BO179" s="35"/>
      <c r="BP179" s="1"/>
      <c r="BQ179" s="1"/>
      <c r="BR179" s="1"/>
      <c r="BS179" s="1"/>
      <c r="BT179" s="1"/>
      <c r="BU179" s="1"/>
      <c r="BV179" s="32"/>
      <c r="BW179" s="1"/>
      <c r="BX179" s="32"/>
      <c r="BY179" s="32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  <c r="DI179" s="35"/>
      <c r="DJ179" s="35"/>
      <c r="DK179" s="35"/>
    </row>
    <row r="180" spans="1:115" ht="11.25" customHeight="1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56">
        <v>5</v>
      </c>
      <c r="BG180" s="57">
        <v>1</v>
      </c>
      <c r="BH180" s="57">
        <v>21</v>
      </c>
      <c r="BI180" s="57">
        <v>50</v>
      </c>
      <c r="BJ180" s="13" t="str">
        <f t="shared" si="17"/>
        <v>21,1</v>
      </c>
      <c r="BK180" s="35"/>
      <c r="BL180" s="8">
        <f t="shared" si="18"/>
        <v>176</v>
      </c>
      <c r="BM180" s="6">
        <f t="shared" si="19"/>
        <v>5</v>
      </c>
      <c r="BN180" s="6">
        <f t="shared" si="20"/>
        <v>32</v>
      </c>
      <c r="BO180" s="35"/>
      <c r="BP180" s="1"/>
      <c r="BQ180" s="1"/>
      <c r="BR180" s="1"/>
      <c r="BS180" s="1"/>
      <c r="BT180" s="1"/>
      <c r="BU180" s="1"/>
      <c r="BV180" s="32"/>
      <c r="BW180" s="1"/>
      <c r="BX180" s="32"/>
      <c r="BY180" s="32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</row>
    <row r="181" spans="1:115" ht="11.25" customHeight="1" x14ac:dyDescent="0.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56">
        <v>5</v>
      </c>
      <c r="BG181" s="57">
        <v>33</v>
      </c>
      <c r="BH181" s="57">
        <v>1</v>
      </c>
      <c r="BI181" s="57">
        <v>28</v>
      </c>
      <c r="BJ181" s="13" t="str">
        <f t="shared" si="17"/>
        <v>1,33</v>
      </c>
      <c r="BK181" s="35"/>
      <c r="BL181" s="8">
        <f t="shared" si="18"/>
        <v>177</v>
      </c>
      <c r="BM181" s="6">
        <f t="shared" si="19"/>
        <v>5</v>
      </c>
      <c r="BN181" s="6">
        <f t="shared" si="20"/>
        <v>33</v>
      </c>
      <c r="BO181" s="35"/>
      <c r="BP181" s="1"/>
      <c r="BQ181" s="1"/>
      <c r="BR181" s="1"/>
      <c r="BS181" s="1"/>
      <c r="BT181" s="1"/>
      <c r="BU181" s="1"/>
      <c r="BV181" s="32"/>
      <c r="BW181" s="1"/>
      <c r="BX181" s="32"/>
      <c r="BY181" s="32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</row>
    <row r="182" spans="1:115" ht="11.25" customHeight="1" x14ac:dyDescent="0.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56">
        <v>5</v>
      </c>
      <c r="BG182" s="57">
        <v>33</v>
      </c>
      <c r="BH182" s="57">
        <v>2</v>
      </c>
      <c r="BI182" s="57">
        <v>28</v>
      </c>
      <c r="BJ182" s="13" t="str">
        <f t="shared" si="17"/>
        <v>2,33</v>
      </c>
      <c r="BK182" s="35"/>
      <c r="BL182" s="8">
        <f t="shared" si="18"/>
        <v>178</v>
      </c>
      <c r="BM182" s="6">
        <f t="shared" si="19"/>
        <v>5</v>
      </c>
      <c r="BN182" s="6">
        <f t="shared" si="20"/>
        <v>34</v>
      </c>
      <c r="BO182" s="35"/>
      <c r="BP182" s="1"/>
      <c r="BQ182" s="1"/>
      <c r="BR182" s="1"/>
      <c r="BS182" s="1"/>
      <c r="BT182" s="1"/>
      <c r="BU182" s="1"/>
      <c r="BV182" s="32"/>
      <c r="BW182" s="1"/>
      <c r="BX182" s="32"/>
      <c r="BY182" s="32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</row>
    <row r="183" spans="1:115" ht="11.25" customHeight="1" x14ac:dyDescent="0.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56">
        <v>5</v>
      </c>
      <c r="BG183" s="57">
        <v>33</v>
      </c>
      <c r="BH183" s="57">
        <v>3</v>
      </c>
      <c r="BI183" s="57">
        <v>28</v>
      </c>
      <c r="BJ183" s="13" t="str">
        <f t="shared" si="17"/>
        <v>3,33</v>
      </c>
      <c r="BK183" s="35"/>
      <c r="BL183" s="8">
        <f t="shared" si="18"/>
        <v>179</v>
      </c>
      <c r="BM183" s="6">
        <f t="shared" si="19"/>
        <v>5</v>
      </c>
      <c r="BN183" s="6">
        <f t="shared" si="20"/>
        <v>35</v>
      </c>
      <c r="BO183" s="35"/>
      <c r="BP183" s="1"/>
      <c r="BQ183" s="1"/>
      <c r="BR183" s="1"/>
      <c r="BS183" s="1"/>
      <c r="BT183" s="1"/>
      <c r="BU183" s="1"/>
      <c r="BV183" s="32"/>
      <c r="BW183" s="1"/>
      <c r="BX183" s="32"/>
      <c r="BY183" s="32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</row>
    <row r="184" spans="1:115" ht="11.25" customHeight="1" x14ac:dyDescent="0.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56">
        <v>5</v>
      </c>
      <c r="BG184" s="57">
        <v>33</v>
      </c>
      <c r="BH184" s="57">
        <v>4</v>
      </c>
      <c r="BI184" s="57">
        <v>28</v>
      </c>
      <c r="BJ184" s="13" t="str">
        <f t="shared" si="17"/>
        <v>4,33</v>
      </c>
      <c r="BK184" s="35"/>
      <c r="BL184" s="8">
        <f t="shared" si="18"/>
        <v>180</v>
      </c>
      <c r="BM184" s="6">
        <f t="shared" si="19"/>
        <v>5</v>
      </c>
      <c r="BN184" s="6">
        <f t="shared" si="20"/>
        <v>36</v>
      </c>
      <c r="BO184" s="35"/>
      <c r="BP184" s="1"/>
      <c r="BQ184" s="1"/>
      <c r="BR184" s="1"/>
      <c r="BS184" s="1"/>
      <c r="BT184" s="1"/>
      <c r="BU184" s="1"/>
      <c r="BV184" s="32"/>
      <c r="BW184" s="1"/>
      <c r="BX184" s="32"/>
      <c r="BY184" s="32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</row>
    <row r="185" spans="1:115" ht="11.25" customHeight="1" x14ac:dyDescent="0.2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56">
        <v>5</v>
      </c>
      <c r="BG185" s="57">
        <v>33</v>
      </c>
      <c r="BH185" s="57">
        <v>5</v>
      </c>
      <c r="BI185" s="57">
        <v>28</v>
      </c>
      <c r="BJ185" s="13" t="str">
        <f t="shared" si="17"/>
        <v>5,33</v>
      </c>
      <c r="BK185" s="35"/>
      <c r="BL185" s="8">
        <f t="shared" si="18"/>
        <v>181</v>
      </c>
      <c r="BM185" s="6">
        <f t="shared" si="19"/>
        <v>6</v>
      </c>
      <c r="BN185" s="6">
        <f t="shared" si="20"/>
        <v>1</v>
      </c>
      <c r="BO185" s="35"/>
      <c r="BP185" s="1"/>
      <c r="BQ185" s="1"/>
      <c r="BR185" s="1"/>
      <c r="BS185" s="1"/>
      <c r="BT185" s="1"/>
      <c r="BU185" s="1"/>
      <c r="BV185" s="32"/>
      <c r="BW185" s="1"/>
      <c r="BX185" s="32"/>
      <c r="BY185" s="32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</row>
    <row r="186" spans="1:115" ht="11.25" customHeight="1" x14ac:dyDescent="0.2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56">
        <v>5</v>
      </c>
      <c r="BG186" s="57">
        <v>33</v>
      </c>
      <c r="BH186" s="57">
        <v>6</v>
      </c>
      <c r="BI186" s="57">
        <v>28</v>
      </c>
      <c r="BJ186" s="13" t="str">
        <f t="shared" si="17"/>
        <v>6,33</v>
      </c>
      <c r="BK186" s="35"/>
      <c r="BL186" s="8">
        <f t="shared" si="18"/>
        <v>182</v>
      </c>
      <c r="BM186" s="6">
        <f t="shared" si="19"/>
        <v>6</v>
      </c>
      <c r="BN186" s="6">
        <f t="shared" si="20"/>
        <v>2</v>
      </c>
      <c r="BO186" s="35"/>
      <c r="BP186" s="1"/>
      <c r="BQ186" s="1"/>
      <c r="BR186" s="1"/>
      <c r="BS186" s="1"/>
      <c r="BT186" s="1"/>
      <c r="BU186" s="1"/>
      <c r="BV186" s="32"/>
      <c r="BW186" s="1"/>
      <c r="BX186" s="32"/>
      <c r="BY186" s="32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</row>
    <row r="187" spans="1:115" ht="11.25" customHeight="1" x14ac:dyDescent="0.2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56">
        <v>5</v>
      </c>
      <c r="BG187" s="57">
        <v>33</v>
      </c>
      <c r="BH187" s="57">
        <v>7</v>
      </c>
      <c r="BI187" s="57">
        <v>28</v>
      </c>
      <c r="BJ187" s="13" t="str">
        <f t="shared" si="17"/>
        <v>7,33</v>
      </c>
      <c r="BK187" s="35"/>
      <c r="BL187" s="8">
        <f t="shared" si="18"/>
        <v>183</v>
      </c>
      <c r="BM187" s="6">
        <f t="shared" si="19"/>
        <v>6</v>
      </c>
      <c r="BN187" s="6">
        <f t="shared" si="20"/>
        <v>3</v>
      </c>
      <c r="BO187" s="35"/>
      <c r="BP187" s="1"/>
      <c r="BQ187" s="1"/>
      <c r="BR187" s="1"/>
      <c r="BS187" s="1"/>
      <c r="BT187" s="1"/>
      <c r="BU187" s="1"/>
      <c r="BV187" s="32"/>
      <c r="BW187" s="1"/>
      <c r="BX187" s="32"/>
      <c r="BY187" s="32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</row>
    <row r="188" spans="1:115" ht="11.25" customHeight="1" x14ac:dyDescent="0.2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56">
        <v>5</v>
      </c>
      <c r="BG188" s="57">
        <v>34</v>
      </c>
      <c r="BH188" s="57">
        <v>8</v>
      </c>
      <c r="BI188" s="57">
        <v>28</v>
      </c>
      <c r="BJ188" s="13" t="str">
        <f t="shared" si="17"/>
        <v>8,34</v>
      </c>
      <c r="BK188" s="35"/>
      <c r="BL188" s="8">
        <f t="shared" si="18"/>
        <v>184</v>
      </c>
      <c r="BM188" s="6">
        <f t="shared" si="19"/>
        <v>6</v>
      </c>
      <c r="BN188" s="6">
        <f t="shared" si="20"/>
        <v>4</v>
      </c>
      <c r="BO188" s="35"/>
      <c r="BP188" s="1"/>
      <c r="BQ188" s="1"/>
      <c r="BR188" s="1"/>
      <c r="BS188" s="1"/>
      <c r="BT188" s="1"/>
      <c r="BU188" s="1"/>
      <c r="BV188" s="32"/>
      <c r="BW188" s="1"/>
      <c r="BX188" s="32"/>
      <c r="BY188" s="32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</row>
    <row r="189" spans="1:115" ht="11.25" customHeight="1" x14ac:dyDescent="0.2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56">
        <v>5</v>
      </c>
      <c r="BG189" s="57">
        <v>34</v>
      </c>
      <c r="BH189" s="57">
        <v>9</v>
      </c>
      <c r="BI189" s="57">
        <v>28</v>
      </c>
      <c r="BJ189" s="13" t="str">
        <f t="shared" si="17"/>
        <v>9,34</v>
      </c>
      <c r="BK189" s="35"/>
      <c r="BL189" s="8">
        <f t="shared" si="18"/>
        <v>185</v>
      </c>
      <c r="BM189" s="6">
        <f t="shared" si="19"/>
        <v>6</v>
      </c>
      <c r="BN189" s="6">
        <f t="shared" si="20"/>
        <v>5</v>
      </c>
      <c r="BO189" s="35"/>
      <c r="BP189" s="1"/>
      <c r="BQ189" s="1"/>
      <c r="BR189" s="1"/>
      <c r="BS189" s="1"/>
      <c r="BT189" s="1"/>
      <c r="BU189" s="1"/>
      <c r="BV189" s="32"/>
      <c r="BW189" s="1"/>
      <c r="BX189" s="32"/>
      <c r="BY189" s="32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</row>
    <row r="190" spans="1:115" ht="11.25" customHeight="1" x14ac:dyDescent="0.2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56">
        <v>5</v>
      </c>
      <c r="BG190" s="57">
        <v>34</v>
      </c>
      <c r="BH190" s="57">
        <v>10</v>
      </c>
      <c r="BI190" s="57">
        <v>28</v>
      </c>
      <c r="BJ190" s="13" t="str">
        <f t="shared" si="17"/>
        <v>10,34</v>
      </c>
      <c r="BK190" s="35"/>
      <c r="BL190" s="8">
        <f t="shared" si="18"/>
        <v>186</v>
      </c>
      <c r="BM190" s="6">
        <f t="shared" si="19"/>
        <v>6</v>
      </c>
      <c r="BN190" s="6">
        <f t="shared" si="20"/>
        <v>6</v>
      </c>
      <c r="BO190" s="35"/>
      <c r="BP190" s="1"/>
      <c r="BQ190" s="1"/>
      <c r="BR190" s="1"/>
      <c r="BS190" s="1"/>
      <c r="BT190" s="1"/>
      <c r="BU190" s="1"/>
      <c r="BV190" s="32"/>
      <c r="BW190" s="1"/>
      <c r="BX190" s="32"/>
      <c r="BY190" s="32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</row>
    <row r="191" spans="1:115" ht="11.25" customHeight="1" x14ac:dyDescent="0.2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56">
        <v>5</v>
      </c>
      <c r="BG191" s="57">
        <v>34</v>
      </c>
      <c r="BH191" s="57">
        <v>11</v>
      </c>
      <c r="BI191" s="57">
        <v>28</v>
      </c>
      <c r="BJ191" s="13" t="str">
        <f t="shared" si="17"/>
        <v>11,34</v>
      </c>
      <c r="BK191" s="35"/>
      <c r="BL191" s="8">
        <f t="shared" si="18"/>
        <v>187</v>
      </c>
      <c r="BM191" s="6">
        <f t="shared" si="19"/>
        <v>6</v>
      </c>
      <c r="BN191" s="6">
        <f t="shared" si="20"/>
        <v>7</v>
      </c>
      <c r="BO191" s="35"/>
      <c r="BP191" s="1"/>
      <c r="BQ191" s="1"/>
      <c r="BR191" s="1"/>
      <c r="BS191" s="1"/>
      <c r="BT191" s="1"/>
      <c r="BU191" s="1"/>
      <c r="BV191" s="32"/>
      <c r="BW191" s="1"/>
      <c r="BX191" s="32"/>
      <c r="BY191" s="32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  <c r="CO191" s="35"/>
      <c r="CP191" s="35"/>
      <c r="CQ191" s="35"/>
      <c r="CR191" s="35"/>
      <c r="CS191" s="35"/>
      <c r="CT191" s="35"/>
      <c r="CU191" s="35"/>
      <c r="CV191" s="35"/>
      <c r="CW191" s="35"/>
      <c r="CX191" s="35"/>
      <c r="CY191" s="35"/>
      <c r="CZ191" s="35"/>
      <c r="DA191" s="35"/>
      <c r="DB191" s="35"/>
      <c r="DC191" s="35"/>
      <c r="DD191" s="35"/>
      <c r="DE191" s="35"/>
      <c r="DF191" s="35"/>
      <c r="DG191" s="35"/>
      <c r="DH191" s="35"/>
      <c r="DI191" s="35"/>
      <c r="DJ191" s="35"/>
      <c r="DK191" s="35"/>
    </row>
    <row r="192" spans="1:115" ht="11.25" customHeight="1" x14ac:dyDescent="0.2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56">
        <v>5</v>
      </c>
      <c r="BG192" s="57">
        <v>34</v>
      </c>
      <c r="BH192" s="57">
        <v>12</v>
      </c>
      <c r="BI192" s="57">
        <v>28</v>
      </c>
      <c r="BJ192" s="13" t="str">
        <f t="shared" si="17"/>
        <v>12,34</v>
      </c>
      <c r="BK192" s="35"/>
      <c r="BL192" s="8">
        <f t="shared" si="18"/>
        <v>188</v>
      </c>
      <c r="BM192" s="6">
        <f t="shared" si="19"/>
        <v>6</v>
      </c>
      <c r="BN192" s="6">
        <f t="shared" si="20"/>
        <v>8</v>
      </c>
      <c r="BO192" s="35"/>
      <c r="BP192" s="1"/>
      <c r="BQ192" s="1"/>
      <c r="BR192" s="1"/>
      <c r="BS192" s="1"/>
      <c r="BT192" s="1"/>
      <c r="BU192" s="1"/>
      <c r="BV192" s="32"/>
      <c r="BW192" s="1"/>
      <c r="BX192" s="32"/>
      <c r="BY192" s="32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/>
      <c r="DE192" s="35"/>
      <c r="DF192" s="35"/>
      <c r="DG192" s="35"/>
      <c r="DH192" s="35"/>
      <c r="DI192" s="35"/>
      <c r="DJ192" s="35"/>
      <c r="DK192" s="35"/>
    </row>
    <row r="193" spans="1:115" ht="11.25" customHeight="1" x14ac:dyDescent="0.2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56">
        <v>5</v>
      </c>
      <c r="BG193" s="57">
        <v>34</v>
      </c>
      <c r="BH193" s="57">
        <v>13</v>
      </c>
      <c r="BI193" s="57">
        <v>28</v>
      </c>
      <c r="BJ193" s="13" t="str">
        <f t="shared" si="17"/>
        <v>13,34</v>
      </c>
      <c r="BK193" s="35"/>
      <c r="BL193" s="8">
        <f t="shared" si="18"/>
        <v>189</v>
      </c>
      <c r="BM193" s="6">
        <f t="shared" si="19"/>
        <v>6</v>
      </c>
      <c r="BN193" s="6">
        <f t="shared" si="20"/>
        <v>9</v>
      </c>
      <c r="BO193" s="35"/>
      <c r="BP193" s="1"/>
      <c r="BQ193" s="1"/>
      <c r="BR193" s="1"/>
      <c r="BS193" s="1"/>
      <c r="BT193" s="1"/>
      <c r="BU193" s="1"/>
      <c r="BV193" s="32"/>
      <c r="BW193" s="1"/>
      <c r="BX193" s="32"/>
      <c r="BY193" s="32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</row>
    <row r="194" spans="1:115" ht="11.25" customHeight="1" x14ac:dyDescent="0.2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56">
        <v>5</v>
      </c>
      <c r="BG194" s="57">
        <v>35</v>
      </c>
      <c r="BH194" s="57">
        <v>14</v>
      </c>
      <c r="BI194" s="57">
        <v>28</v>
      </c>
      <c r="BJ194" s="13" t="str">
        <f t="shared" si="17"/>
        <v>14,35</v>
      </c>
      <c r="BK194" s="35"/>
      <c r="BL194" s="8">
        <f t="shared" si="18"/>
        <v>190</v>
      </c>
      <c r="BM194" s="6">
        <f t="shared" si="19"/>
        <v>6</v>
      </c>
      <c r="BN194" s="6">
        <f t="shared" si="20"/>
        <v>10</v>
      </c>
      <c r="BO194" s="35"/>
      <c r="BP194" s="1"/>
      <c r="BQ194" s="1"/>
      <c r="BR194" s="1"/>
      <c r="BS194" s="1"/>
      <c r="BT194" s="1"/>
      <c r="BU194" s="1"/>
      <c r="BV194" s="32"/>
      <c r="BW194" s="1"/>
      <c r="BX194" s="32"/>
      <c r="BY194" s="32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</row>
    <row r="195" spans="1:115" ht="11.25" customHeight="1" x14ac:dyDescent="0.2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56">
        <v>5</v>
      </c>
      <c r="BG195" s="57">
        <v>35</v>
      </c>
      <c r="BH195" s="57">
        <v>15</v>
      </c>
      <c r="BI195" s="57">
        <v>28</v>
      </c>
      <c r="BJ195" s="13" t="str">
        <f t="shared" si="17"/>
        <v>15,35</v>
      </c>
      <c r="BK195" s="35"/>
      <c r="BL195" s="8">
        <f t="shared" si="18"/>
        <v>191</v>
      </c>
      <c r="BM195" s="6">
        <f t="shared" si="19"/>
        <v>6</v>
      </c>
      <c r="BN195" s="6">
        <f t="shared" si="20"/>
        <v>11</v>
      </c>
      <c r="BO195" s="35"/>
      <c r="BP195" s="1"/>
      <c r="BQ195" s="1"/>
      <c r="BR195" s="1"/>
      <c r="BS195" s="1"/>
      <c r="BT195" s="1"/>
      <c r="BU195" s="1"/>
      <c r="BV195" s="32"/>
      <c r="BW195" s="1"/>
      <c r="BX195" s="32"/>
      <c r="BY195" s="32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</row>
    <row r="196" spans="1:115" ht="11.25" customHeight="1" x14ac:dyDescent="0.2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56">
        <v>5</v>
      </c>
      <c r="BG196" s="57">
        <v>35</v>
      </c>
      <c r="BH196" s="57">
        <v>16</v>
      </c>
      <c r="BI196" s="57">
        <v>28</v>
      </c>
      <c r="BJ196" s="13" t="str">
        <f t="shared" si="17"/>
        <v>16,35</v>
      </c>
      <c r="BK196" s="35"/>
      <c r="BL196" s="8">
        <f t="shared" si="18"/>
        <v>192</v>
      </c>
      <c r="BM196" s="6">
        <f t="shared" si="19"/>
        <v>6</v>
      </c>
      <c r="BN196" s="6">
        <f t="shared" si="20"/>
        <v>12</v>
      </c>
      <c r="BO196" s="35"/>
      <c r="BP196" s="1"/>
      <c r="BQ196" s="1"/>
      <c r="BR196" s="1"/>
      <c r="BS196" s="1"/>
      <c r="BT196" s="1"/>
      <c r="BU196" s="1"/>
      <c r="BV196" s="32"/>
      <c r="BW196" s="1"/>
      <c r="BX196" s="32"/>
      <c r="BY196" s="32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</row>
    <row r="197" spans="1:115" ht="11.25" customHeight="1" x14ac:dyDescent="0.2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56">
        <v>5</v>
      </c>
      <c r="BG197" s="57">
        <v>35</v>
      </c>
      <c r="BH197" s="57">
        <v>17</v>
      </c>
      <c r="BI197" s="57">
        <v>28</v>
      </c>
      <c r="BJ197" s="13" t="str">
        <f t="shared" si="17"/>
        <v>17,35</v>
      </c>
      <c r="BK197" s="35"/>
      <c r="BL197" s="8">
        <f t="shared" si="18"/>
        <v>193</v>
      </c>
      <c r="BM197" s="6">
        <f t="shared" si="19"/>
        <v>6</v>
      </c>
      <c r="BN197" s="6">
        <f t="shared" si="20"/>
        <v>13</v>
      </c>
      <c r="BO197" s="35"/>
      <c r="BP197" s="1"/>
      <c r="BQ197" s="1"/>
      <c r="BR197" s="1"/>
      <c r="BS197" s="1"/>
      <c r="BT197" s="1"/>
      <c r="BU197" s="1"/>
      <c r="BV197" s="32"/>
      <c r="BW197" s="1"/>
      <c r="BX197" s="32"/>
      <c r="BY197" s="32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</row>
    <row r="198" spans="1:115" ht="11.25" customHeight="1" x14ac:dyDescent="0.2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56">
        <v>5</v>
      </c>
      <c r="BG198" s="57">
        <v>35</v>
      </c>
      <c r="BH198" s="57">
        <v>18</v>
      </c>
      <c r="BI198" s="57">
        <v>28</v>
      </c>
      <c r="BJ198" s="13" t="str">
        <f t="shared" ref="BJ198:BJ261" si="21">_xlfn.CONCAT(BH198,",",BG198)</f>
        <v>18,35</v>
      </c>
      <c r="BK198" s="35"/>
      <c r="BL198" s="8">
        <f t="shared" ref="BL198:BL261" si="22">IF(ROW()&lt;=$BL$4,ROW()-ROW(BL$4),"")</f>
        <v>194</v>
      </c>
      <c r="BM198" s="6">
        <f t="shared" si="19"/>
        <v>6</v>
      </c>
      <c r="BN198" s="6">
        <f t="shared" si="20"/>
        <v>14</v>
      </c>
      <c r="BO198" s="35"/>
      <c r="BP198" s="1"/>
      <c r="BQ198" s="1"/>
      <c r="BR198" s="1"/>
      <c r="BS198" s="1"/>
      <c r="BT198" s="1"/>
      <c r="BU198" s="1"/>
      <c r="BV198" s="32"/>
      <c r="BW198" s="1"/>
      <c r="BX198" s="32"/>
      <c r="BY198" s="32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</row>
    <row r="199" spans="1:115" ht="11.25" customHeight="1" x14ac:dyDescent="0.2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56">
        <v>5</v>
      </c>
      <c r="BG199" s="57">
        <v>35</v>
      </c>
      <c r="BH199" s="57">
        <v>19</v>
      </c>
      <c r="BI199" s="57">
        <v>28</v>
      </c>
      <c r="BJ199" s="13" t="str">
        <f t="shared" si="21"/>
        <v>19,35</v>
      </c>
      <c r="BK199" s="35"/>
      <c r="BL199" s="8">
        <f t="shared" si="22"/>
        <v>195</v>
      </c>
      <c r="BM199" s="6">
        <f t="shared" si="19"/>
        <v>6</v>
      </c>
      <c r="BN199" s="6">
        <f t="shared" si="20"/>
        <v>15</v>
      </c>
      <c r="BO199" s="35"/>
      <c r="BP199" s="1"/>
      <c r="BQ199" s="1"/>
      <c r="BR199" s="1"/>
      <c r="BS199" s="1"/>
      <c r="BT199" s="1"/>
      <c r="BU199" s="1"/>
      <c r="BV199" s="32"/>
      <c r="BW199" s="1"/>
      <c r="BX199" s="32"/>
      <c r="BY199" s="32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</row>
    <row r="200" spans="1:115" ht="11.25" customHeight="1" x14ac:dyDescent="0.2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56">
        <v>5</v>
      </c>
      <c r="BG200" s="57">
        <v>35</v>
      </c>
      <c r="BH200" s="57">
        <v>20</v>
      </c>
      <c r="BI200" s="57">
        <v>28</v>
      </c>
      <c r="BJ200" s="13" t="str">
        <f t="shared" si="21"/>
        <v>20,35</v>
      </c>
      <c r="BK200" s="35"/>
      <c r="BL200" s="8">
        <f t="shared" si="22"/>
        <v>196</v>
      </c>
      <c r="BM200" s="6">
        <f t="shared" ref="BM200:BM263" si="23">IF(ISNUMBER(BL200),INT(BL199/$BN$4)+1,"")</f>
        <v>6</v>
      </c>
      <c r="BN200" s="6">
        <f t="shared" ref="BN200:BN263" si="24">IF(ISNUMBER(BL200),IF(BM199&lt;&gt;BM200,1,BN199+1),"")</f>
        <v>16</v>
      </c>
      <c r="BO200" s="35"/>
      <c r="BP200" s="1"/>
      <c r="BQ200" s="1"/>
      <c r="BR200" s="1"/>
      <c r="BS200" s="1"/>
      <c r="BT200" s="1"/>
      <c r="BU200" s="1"/>
      <c r="BV200" s="32"/>
      <c r="BW200" s="1"/>
      <c r="BX200" s="32"/>
      <c r="BY200" s="32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</row>
    <row r="201" spans="1:115" ht="11.25" customHeight="1" x14ac:dyDescent="0.2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56">
        <v>5</v>
      </c>
      <c r="BG201" s="57">
        <v>36</v>
      </c>
      <c r="BH201" s="57">
        <v>21</v>
      </c>
      <c r="BI201" s="57">
        <v>28</v>
      </c>
      <c r="BJ201" s="13" t="str">
        <f t="shared" si="21"/>
        <v>21,36</v>
      </c>
      <c r="BK201" s="35"/>
      <c r="BL201" s="8">
        <f t="shared" si="22"/>
        <v>197</v>
      </c>
      <c r="BM201" s="6">
        <f t="shared" si="23"/>
        <v>6</v>
      </c>
      <c r="BN201" s="6">
        <f t="shared" si="24"/>
        <v>17</v>
      </c>
      <c r="BO201" s="35"/>
      <c r="BP201" s="1"/>
      <c r="BQ201" s="1"/>
      <c r="BR201" s="1"/>
      <c r="BS201" s="1"/>
      <c r="BT201" s="1"/>
      <c r="BU201" s="1"/>
      <c r="BV201" s="32"/>
      <c r="BW201" s="1"/>
      <c r="BX201" s="32"/>
      <c r="BY201" s="32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</row>
    <row r="202" spans="1:115" ht="11.25" customHeight="1" x14ac:dyDescent="0.2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56">
        <v>5</v>
      </c>
      <c r="BG202" s="57">
        <v>36</v>
      </c>
      <c r="BH202" s="57">
        <v>22</v>
      </c>
      <c r="BI202" s="57">
        <v>28</v>
      </c>
      <c r="BJ202" s="13" t="str">
        <f t="shared" si="21"/>
        <v>22,36</v>
      </c>
      <c r="BK202" s="35"/>
      <c r="BL202" s="8">
        <f t="shared" si="22"/>
        <v>198</v>
      </c>
      <c r="BM202" s="6">
        <f t="shared" si="23"/>
        <v>6</v>
      </c>
      <c r="BN202" s="6">
        <f t="shared" si="24"/>
        <v>18</v>
      </c>
      <c r="BO202" s="35"/>
      <c r="BP202" s="1"/>
      <c r="BQ202" s="1"/>
      <c r="BR202" s="1"/>
      <c r="BS202" s="1"/>
      <c r="BT202" s="1"/>
      <c r="BU202" s="1"/>
      <c r="BV202" s="32"/>
      <c r="BW202" s="1"/>
      <c r="BX202" s="32"/>
      <c r="BY202" s="32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</row>
    <row r="203" spans="1:115" ht="11.25" customHeight="1" x14ac:dyDescent="0.2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56">
        <v>5</v>
      </c>
      <c r="BG203" s="57">
        <v>36</v>
      </c>
      <c r="BH203" s="57">
        <v>23</v>
      </c>
      <c r="BI203" s="57">
        <v>28</v>
      </c>
      <c r="BJ203" s="13" t="str">
        <f t="shared" si="21"/>
        <v>23,36</v>
      </c>
      <c r="BK203" s="35"/>
      <c r="BL203" s="8">
        <f t="shared" si="22"/>
        <v>199</v>
      </c>
      <c r="BM203" s="6">
        <f t="shared" si="23"/>
        <v>6</v>
      </c>
      <c r="BN203" s="6">
        <f t="shared" si="24"/>
        <v>19</v>
      </c>
      <c r="BO203" s="35"/>
      <c r="BP203" s="1"/>
      <c r="BQ203" s="1"/>
      <c r="BR203" s="1"/>
      <c r="BS203" s="1"/>
      <c r="BT203" s="1"/>
      <c r="BU203" s="1"/>
      <c r="BV203" s="32"/>
      <c r="BW203" s="1"/>
      <c r="BX203" s="32"/>
      <c r="BY203" s="32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  <c r="CV203" s="35"/>
      <c r="CW203" s="35"/>
      <c r="CX203" s="35"/>
      <c r="CY203" s="35"/>
      <c r="CZ203" s="35"/>
      <c r="DA203" s="35"/>
      <c r="DB203" s="35"/>
      <c r="DC203" s="35"/>
      <c r="DD203" s="35"/>
      <c r="DE203" s="35"/>
      <c r="DF203" s="35"/>
      <c r="DG203" s="35"/>
      <c r="DH203" s="35"/>
      <c r="DI203" s="35"/>
      <c r="DJ203" s="35"/>
      <c r="DK203" s="35"/>
    </row>
    <row r="204" spans="1:115" ht="11.25" customHeight="1" x14ac:dyDescent="0.2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56">
        <v>6</v>
      </c>
      <c r="BG204" s="57">
        <v>1</v>
      </c>
      <c r="BH204" s="57">
        <v>4</v>
      </c>
      <c r="BI204" s="57">
        <v>50</v>
      </c>
      <c r="BJ204" s="13" t="str">
        <f t="shared" si="21"/>
        <v>4,1</v>
      </c>
      <c r="BK204" s="35"/>
      <c r="BL204" s="8">
        <f t="shared" si="22"/>
        <v>200</v>
      </c>
      <c r="BM204" s="6">
        <f t="shared" si="23"/>
        <v>6</v>
      </c>
      <c r="BN204" s="6">
        <f t="shared" si="24"/>
        <v>20</v>
      </c>
      <c r="BO204" s="35"/>
      <c r="BP204" s="1"/>
      <c r="BQ204" s="1"/>
      <c r="BR204" s="1"/>
      <c r="BS204" s="1"/>
      <c r="BT204" s="1"/>
      <c r="BU204" s="1"/>
      <c r="BV204" s="32"/>
      <c r="BW204" s="1"/>
      <c r="BX204" s="32"/>
      <c r="BY204" s="32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</row>
    <row r="205" spans="1:115" ht="11.25" customHeight="1" x14ac:dyDescent="0.2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56">
        <v>6</v>
      </c>
      <c r="BG205" s="57">
        <v>1</v>
      </c>
      <c r="BH205" s="57">
        <v>5</v>
      </c>
      <c r="BI205" s="57">
        <v>50</v>
      </c>
      <c r="BJ205" s="13" t="str">
        <f t="shared" si="21"/>
        <v>5,1</v>
      </c>
      <c r="BK205" s="35"/>
      <c r="BL205" s="8">
        <f t="shared" si="22"/>
        <v>201</v>
      </c>
      <c r="BM205" s="6">
        <f t="shared" si="23"/>
        <v>6</v>
      </c>
      <c r="BN205" s="6">
        <f t="shared" si="24"/>
        <v>21</v>
      </c>
      <c r="BO205" s="35"/>
      <c r="BP205" s="1"/>
      <c r="BQ205" s="1"/>
      <c r="BR205" s="1"/>
      <c r="BS205" s="1"/>
      <c r="BT205" s="1"/>
      <c r="BU205" s="1"/>
      <c r="BV205" s="32"/>
      <c r="BW205" s="1"/>
      <c r="BX205" s="32"/>
      <c r="BY205" s="32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  <c r="CO205" s="35"/>
      <c r="CP205" s="35"/>
      <c r="CQ205" s="35"/>
      <c r="CR205" s="35"/>
      <c r="CS205" s="35"/>
      <c r="CT205" s="35"/>
      <c r="CU205" s="35"/>
      <c r="CV205" s="35"/>
      <c r="CW205" s="35"/>
      <c r="CX205" s="35"/>
      <c r="CY205" s="35"/>
      <c r="CZ205" s="35"/>
      <c r="DA205" s="35"/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</row>
    <row r="206" spans="1:115" ht="11.25" customHeight="1" x14ac:dyDescent="0.2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56">
        <v>6</v>
      </c>
      <c r="BG206" s="57">
        <v>1</v>
      </c>
      <c r="BH206" s="57">
        <v>6</v>
      </c>
      <c r="BI206" s="57">
        <v>50</v>
      </c>
      <c r="BJ206" s="13" t="str">
        <f t="shared" si="21"/>
        <v>6,1</v>
      </c>
      <c r="BK206" s="35"/>
      <c r="BL206" s="8">
        <f t="shared" si="22"/>
        <v>202</v>
      </c>
      <c r="BM206" s="6">
        <f t="shared" si="23"/>
        <v>6</v>
      </c>
      <c r="BN206" s="6">
        <f t="shared" si="24"/>
        <v>22</v>
      </c>
      <c r="BO206" s="35"/>
      <c r="BP206" s="1"/>
      <c r="BQ206" s="1"/>
      <c r="BR206" s="1"/>
      <c r="BS206" s="1"/>
      <c r="BT206" s="1"/>
      <c r="BU206" s="1"/>
      <c r="BV206" s="32"/>
      <c r="BW206" s="1"/>
      <c r="BX206" s="32"/>
      <c r="BY206" s="32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</row>
    <row r="207" spans="1:115" ht="11.25" customHeight="1" x14ac:dyDescent="0.2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56">
        <v>6</v>
      </c>
      <c r="BG207" s="57">
        <v>1</v>
      </c>
      <c r="BH207" s="57">
        <v>7</v>
      </c>
      <c r="BI207" s="57">
        <v>50</v>
      </c>
      <c r="BJ207" s="13" t="str">
        <f t="shared" si="21"/>
        <v>7,1</v>
      </c>
      <c r="BK207" s="35"/>
      <c r="BL207" s="8">
        <f t="shared" si="22"/>
        <v>203</v>
      </c>
      <c r="BM207" s="6">
        <f t="shared" si="23"/>
        <v>6</v>
      </c>
      <c r="BN207" s="6">
        <f t="shared" si="24"/>
        <v>23</v>
      </c>
      <c r="BO207" s="35"/>
      <c r="BP207" s="1"/>
      <c r="BQ207" s="1"/>
      <c r="BR207" s="1"/>
      <c r="BS207" s="1"/>
      <c r="BT207" s="1"/>
      <c r="BU207" s="1"/>
      <c r="BV207" s="32"/>
      <c r="BW207" s="1"/>
      <c r="BX207" s="32"/>
      <c r="BY207" s="32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</row>
    <row r="208" spans="1:115" ht="11.25" customHeight="1" x14ac:dyDescent="0.2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56">
        <v>6</v>
      </c>
      <c r="BG208" s="57">
        <v>1</v>
      </c>
      <c r="BH208" s="57">
        <v>8</v>
      </c>
      <c r="BI208" s="57">
        <v>50</v>
      </c>
      <c r="BJ208" s="13" t="str">
        <f t="shared" si="21"/>
        <v>8,1</v>
      </c>
      <c r="BK208" s="35"/>
      <c r="BL208" s="8">
        <f t="shared" si="22"/>
        <v>204</v>
      </c>
      <c r="BM208" s="6">
        <f t="shared" si="23"/>
        <v>6</v>
      </c>
      <c r="BN208" s="6">
        <f t="shared" si="24"/>
        <v>24</v>
      </c>
      <c r="BO208" s="35"/>
      <c r="BP208" s="1"/>
      <c r="BQ208" s="1"/>
      <c r="BR208" s="1"/>
      <c r="BS208" s="1"/>
      <c r="BT208" s="1"/>
      <c r="BU208" s="1"/>
      <c r="BV208" s="32"/>
      <c r="BW208" s="1"/>
      <c r="BX208" s="32"/>
      <c r="BY208" s="32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</row>
    <row r="209" spans="1:115" ht="11.25" customHeight="1" x14ac:dyDescent="0.2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56">
        <v>6</v>
      </c>
      <c r="BG209" s="57">
        <v>1</v>
      </c>
      <c r="BH209" s="57">
        <v>9</v>
      </c>
      <c r="BI209" s="57">
        <v>50</v>
      </c>
      <c r="BJ209" s="13" t="str">
        <f t="shared" si="21"/>
        <v>9,1</v>
      </c>
      <c r="BK209" s="35"/>
      <c r="BL209" s="8">
        <f t="shared" si="22"/>
        <v>205</v>
      </c>
      <c r="BM209" s="6">
        <f t="shared" si="23"/>
        <v>6</v>
      </c>
      <c r="BN209" s="6">
        <f t="shared" si="24"/>
        <v>25</v>
      </c>
      <c r="BO209" s="35"/>
      <c r="BP209" s="1"/>
      <c r="BQ209" s="1"/>
      <c r="BR209" s="1"/>
      <c r="BS209" s="1"/>
      <c r="BT209" s="1"/>
      <c r="BU209" s="1"/>
      <c r="BV209" s="32"/>
      <c r="BW209" s="1"/>
      <c r="BX209" s="32"/>
      <c r="BY209" s="32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  <c r="CO209" s="35"/>
      <c r="CP209" s="35"/>
      <c r="CQ209" s="35"/>
      <c r="CR209" s="35"/>
      <c r="CS209" s="35"/>
      <c r="CT209" s="35"/>
      <c r="CU209" s="35"/>
      <c r="CV209" s="35"/>
      <c r="CW209" s="35"/>
      <c r="CX209" s="35"/>
      <c r="CY209" s="35"/>
      <c r="CZ209" s="35"/>
      <c r="DA209" s="35"/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</row>
    <row r="210" spans="1:115" ht="11.25" customHeight="1" x14ac:dyDescent="0.2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56">
        <v>6</v>
      </c>
      <c r="BG210" s="57">
        <v>1</v>
      </c>
      <c r="BH210" s="57">
        <v>10</v>
      </c>
      <c r="BI210" s="57">
        <v>50</v>
      </c>
      <c r="BJ210" s="13" t="str">
        <f t="shared" si="21"/>
        <v>10,1</v>
      </c>
      <c r="BK210" s="35"/>
      <c r="BL210" s="8">
        <f t="shared" si="22"/>
        <v>206</v>
      </c>
      <c r="BM210" s="6">
        <f t="shared" si="23"/>
        <v>6</v>
      </c>
      <c r="BN210" s="6">
        <f t="shared" si="24"/>
        <v>26</v>
      </c>
      <c r="BO210" s="35"/>
      <c r="BP210" s="1"/>
      <c r="BQ210" s="1"/>
      <c r="BR210" s="1"/>
      <c r="BS210" s="1"/>
      <c r="BT210" s="1"/>
      <c r="BU210" s="1"/>
      <c r="BV210" s="32"/>
      <c r="BW210" s="1"/>
      <c r="BX210" s="32"/>
      <c r="BY210" s="32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</row>
    <row r="211" spans="1:115" ht="11.25" customHeight="1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56">
        <v>6</v>
      </c>
      <c r="BG211" s="57">
        <v>1</v>
      </c>
      <c r="BH211" s="57">
        <v>11</v>
      </c>
      <c r="BI211" s="57">
        <v>50</v>
      </c>
      <c r="BJ211" s="13" t="str">
        <f t="shared" si="21"/>
        <v>11,1</v>
      </c>
      <c r="BK211" s="35"/>
      <c r="BL211" s="8">
        <f t="shared" si="22"/>
        <v>207</v>
      </c>
      <c r="BM211" s="6">
        <f t="shared" si="23"/>
        <v>6</v>
      </c>
      <c r="BN211" s="6">
        <f t="shared" si="24"/>
        <v>27</v>
      </c>
      <c r="BO211" s="35"/>
      <c r="BP211" s="1"/>
      <c r="BQ211" s="1"/>
      <c r="BR211" s="1"/>
      <c r="BS211" s="1"/>
      <c r="BT211" s="1"/>
      <c r="BU211" s="1"/>
      <c r="BV211" s="32"/>
      <c r="BW211" s="1"/>
      <c r="BX211" s="32"/>
      <c r="BY211" s="32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X211" s="35"/>
      <c r="CY211" s="35"/>
      <c r="CZ211" s="35"/>
      <c r="DA211" s="35"/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</row>
    <row r="212" spans="1:115" ht="11.25" customHeight="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56">
        <v>6</v>
      </c>
      <c r="BG212" s="57">
        <v>1</v>
      </c>
      <c r="BH212" s="57">
        <v>12</v>
      </c>
      <c r="BI212" s="57">
        <v>50.09</v>
      </c>
      <c r="BJ212" s="13" t="str">
        <f t="shared" si="21"/>
        <v>12,1</v>
      </c>
      <c r="BK212" s="35"/>
      <c r="BL212" s="8">
        <f t="shared" si="22"/>
        <v>208</v>
      </c>
      <c r="BM212" s="6">
        <f t="shared" si="23"/>
        <v>6</v>
      </c>
      <c r="BN212" s="6">
        <f t="shared" si="24"/>
        <v>28</v>
      </c>
      <c r="BO212" s="35"/>
      <c r="BP212" s="1"/>
      <c r="BQ212" s="1"/>
      <c r="BR212" s="1"/>
      <c r="BS212" s="1"/>
      <c r="BT212" s="1"/>
      <c r="BU212" s="1"/>
      <c r="BV212" s="32"/>
      <c r="BW212" s="1"/>
      <c r="BX212" s="32"/>
      <c r="BY212" s="32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X212" s="35"/>
      <c r="CY212" s="35"/>
      <c r="CZ212" s="35"/>
      <c r="DA212" s="35"/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</row>
    <row r="213" spans="1:115" ht="11.25" customHeight="1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56">
        <v>6</v>
      </c>
      <c r="BG213" s="57">
        <v>1</v>
      </c>
      <c r="BH213" s="57">
        <v>13</v>
      </c>
      <c r="BI213" s="57">
        <v>50.14</v>
      </c>
      <c r="BJ213" s="13" t="str">
        <f t="shared" si="21"/>
        <v>13,1</v>
      </c>
      <c r="BK213" s="35"/>
      <c r="BL213" s="8">
        <f t="shared" si="22"/>
        <v>209</v>
      </c>
      <c r="BM213" s="6">
        <f t="shared" si="23"/>
        <v>6</v>
      </c>
      <c r="BN213" s="6">
        <f t="shared" si="24"/>
        <v>29</v>
      </c>
      <c r="BO213" s="35"/>
      <c r="BP213" s="1"/>
      <c r="BQ213" s="1"/>
      <c r="BR213" s="1"/>
      <c r="BS213" s="1"/>
      <c r="BT213" s="1"/>
      <c r="BU213" s="1"/>
      <c r="BV213" s="32"/>
      <c r="BW213" s="1"/>
      <c r="BX213" s="32"/>
      <c r="BY213" s="32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X213" s="35"/>
      <c r="CY213" s="35"/>
      <c r="CZ213" s="35"/>
      <c r="DA213" s="35"/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</row>
    <row r="214" spans="1:115" ht="11.25" customHeight="1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56">
        <v>6</v>
      </c>
      <c r="BG214" s="57">
        <v>1</v>
      </c>
      <c r="BH214" s="57">
        <v>14</v>
      </c>
      <c r="BI214" s="57">
        <v>50.14</v>
      </c>
      <c r="BJ214" s="13" t="str">
        <f t="shared" si="21"/>
        <v>14,1</v>
      </c>
      <c r="BK214" s="35"/>
      <c r="BL214" s="8">
        <f t="shared" si="22"/>
        <v>210</v>
      </c>
      <c r="BM214" s="6">
        <f t="shared" si="23"/>
        <v>6</v>
      </c>
      <c r="BN214" s="6">
        <f t="shared" si="24"/>
        <v>30</v>
      </c>
      <c r="BO214" s="35"/>
      <c r="BP214" s="1"/>
      <c r="BQ214" s="1"/>
      <c r="BR214" s="1"/>
      <c r="BS214" s="1"/>
      <c r="BT214" s="1"/>
      <c r="BU214" s="1"/>
      <c r="BV214" s="32"/>
      <c r="BW214" s="1"/>
      <c r="BX214" s="32"/>
      <c r="BY214" s="32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35"/>
      <c r="DI214" s="35"/>
      <c r="DJ214" s="35"/>
      <c r="DK214" s="35"/>
    </row>
    <row r="215" spans="1:115" ht="11.25" customHeight="1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56">
        <v>6</v>
      </c>
      <c r="BG215" s="57">
        <v>1</v>
      </c>
      <c r="BH215" s="57">
        <v>15</v>
      </c>
      <c r="BI215" s="57">
        <v>50.09</v>
      </c>
      <c r="BJ215" s="13" t="str">
        <f t="shared" si="21"/>
        <v>15,1</v>
      </c>
      <c r="BK215" s="35"/>
      <c r="BL215" s="8">
        <f t="shared" si="22"/>
        <v>211</v>
      </c>
      <c r="BM215" s="6">
        <f t="shared" si="23"/>
        <v>6</v>
      </c>
      <c r="BN215" s="6">
        <f t="shared" si="24"/>
        <v>31</v>
      </c>
      <c r="BO215" s="35"/>
      <c r="BP215" s="1"/>
      <c r="BQ215" s="1"/>
      <c r="BR215" s="1"/>
      <c r="BS215" s="1"/>
      <c r="BT215" s="1"/>
      <c r="BU215" s="1"/>
      <c r="BV215" s="32"/>
      <c r="BW215" s="1"/>
      <c r="BX215" s="32"/>
      <c r="BY215" s="32"/>
      <c r="BZ215" s="35"/>
      <c r="CA215" s="35"/>
      <c r="CB215" s="35"/>
      <c r="CC215" s="35"/>
      <c r="CD215" s="35"/>
      <c r="CE215" s="35"/>
      <c r="CF215" s="35"/>
      <c r="CG215" s="35"/>
      <c r="CH215" s="35"/>
      <c r="CI215" s="35"/>
      <c r="CJ215" s="35"/>
      <c r="CX215" s="35"/>
      <c r="CY215" s="35"/>
      <c r="CZ215" s="35"/>
      <c r="DA215" s="35"/>
      <c r="DB215" s="35"/>
      <c r="DC215" s="35"/>
      <c r="DD215" s="35"/>
      <c r="DE215" s="35"/>
      <c r="DF215" s="35"/>
      <c r="DG215" s="35"/>
      <c r="DH215" s="35"/>
      <c r="DI215" s="35"/>
      <c r="DJ215" s="35"/>
      <c r="DK215" s="35"/>
    </row>
    <row r="216" spans="1:115" ht="11.25" customHeight="1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56">
        <v>6</v>
      </c>
      <c r="BG216" s="57">
        <v>1</v>
      </c>
      <c r="BH216" s="57">
        <v>16</v>
      </c>
      <c r="BI216" s="57">
        <v>50</v>
      </c>
      <c r="BJ216" s="13" t="str">
        <f t="shared" si="21"/>
        <v>16,1</v>
      </c>
      <c r="BK216" s="35"/>
      <c r="BL216" s="8">
        <f t="shared" si="22"/>
        <v>212</v>
      </c>
      <c r="BM216" s="6">
        <f t="shared" si="23"/>
        <v>6</v>
      </c>
      <c r="BN216" s="6">
        <f t="shared" si="24"/>
        <v>32</v>
      </c>
      <c r="BO216" s="35"/>
      <c r="BP216" s="1"/>
      <c r="BQ216" s="1"/>
      <c r="BR216" s="1"/>
      <c r="BS216" s="1"/>
      <c r="BT216" s="1"/>
      <c r="BU216" s="1"/>
      <c r="BV216" s="32"/>
      <c r="BW216" s="1"/>
      <c r="BX216" s="32"/>
      <c r="BY216" s="32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X216" s="35"/>
      <c r="CY216" s="35"/>
      <c r="CZ216" s="35"/>
      <c r="DA216" s="35"/>
      <c r="DB216" s="35"/>
      <c r="DC216" s="35"/>
      <c r="DD216" s="35"/>
      <c r="DE216" s="35"/>
      <c r="DF216" s="35"/>
      <c r="DG216" s="35"/>
      <c r="DH216" s="35"/>
      <c r="DI216" s="35"/>
      <c r="DJ216" s="35"/>
      <c r="DK216" s="35"/>
    </row>
    <row r="217" spans="1:115" ht="11.25" customHeight="1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56">
        <v>6</v>
      </c>
      <c r="BG217" s="57">
        <v>1</v>
      </c>
      <c r="BH217" s="57">
        <v>17</v>
      </c>
      <c r="BI217" s="57">
        <v>50</v>
      </c>
      <c r="BJ217" s="13" t="str">
        <f t="shared" si="21"/>
        <v>17,1</v>
      </c>
      <c r="BK217" s="35"/>
      <c r="BL217" s="8">
        <f t="shared" si="22"/>
        <v>213</v>
      </c>
      <c r="BM217" s="6">
        <f t="shared" si="23"/>
        <v>6</v>
      </c>
      <c r="BN217" s="6">
        <f t="shared" si="24"/>
        <v>33</v>
      </c>
      <c r="BO217" s="35"/>
      <c r="BP217" s="1"/>
      <c r="BQ217" s="1"/>
      <c r="BR217" s="1"/>
      <c r="BS217" s="1"/>
      <c r="BT217" s="1"/>
      <c r="BU217" s="1"/>
      <c r="BV217" s="32"/>
      <c r="BW217" s="1"/>
      <c r="BX217" s="32"/>
      <c r="BY217" s="32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X217" s="35"/>
      <c r="CY217" s="35"/>
      <c r="CZ217" s="35"/>
      <c r="DA217" s="35"/>
      <c r="DB217" s="35"/>
      <c r="DC217" s="35"/>
      <c r="DD217" s="35"/>
      <c r="DE217" s="35"/>
      <c r="DF217" s="35"/>
      <c r="DG217" s="35"/>
      <c r="DH217" s="35"/>
      <c r="DI217" s="35"/>
      <c r="DJ217" s="35"/>
      <c r="DK217" s="35"/>
    </row>
    <row r="218" spans="1:115" ht="11.2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56">
        <v>6</v>
      </c>
      <c r="BG218" s="57">
        <v>1</v>
      </c>
      <c r="BH218" s="57">
        <v>18</v>
      </c>
      <c r="BI218" s="57">
        <v>50</v>
      </c>
      <c r="BJ218" s="13" t="str">
        <f t="shared" si="21"/>
        <v>18,1</v>
      </c>
      <c r="BK218" s="35"/>
      <c r="BL218" s="8">
        <f t="shared" si="22"/>
        <v>214</v>
      </c>
      <c r="BM218" s="6">
        <f t="shared" si="23"/>
        <v>6</v>
      </c>
      <c r="BN218" s="6">
        <f t="shared" si="24"/>
        <v>34</v>
      </c>
      <c r="BO218" s="35"/>
      <c r="BP218" s="1"/>
      <c r="BQ218" s="1"/>
      <c r="BR218" s="1"/>
      <c r="BS218" s="1"/>
      <c r="BT218" s="1"/>
      <c r="BU218" s="1"/>
      <c r="BV218" s="32"/>
      <c r="BW218" s="1"/>
      <c r="BX218" s="32"/>
      <c r="BY218" s="32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</row>
    <row r="219" spans="1:115" ht="11.25" customHeight="1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56">
        <v>6</v>
      </c>
      <c r="BG219" s="57">
        <v>1</v>
      </c>
      <c r="BH219" s="57">
        <v>19</v>
      </c>
      <c r="BI219" s="57">
        <v>50</v>
      </c>
      <c r="BJ219" s="13" t="str">
        <f t="shared" si="21"/>
        <v>19,1</v>
      </c>
      <c r="BK219" s="35"/>
      <c r="BL219" s="8">
        <f t="shared" si="22"/>
        <v>215</v>
      </c>
      <c r="BM219" s="6">
        <f t="shared" si="23"/>
        <v>6</v>
      </c>
      <c r="BN219" s="6">
        <f t="shared" si="24"/>
        <v>35</v>
      </c>
      <c r="BO219" s="35"/>
      <c r="BP219" s="1"/>
      <c r="BQ219" s="1"/>
      <c r="BR219" s="1"/>
      <c r="BS219" s="1"/>
      <c r="BT219" s="1"/>
      <c r="BU219" s="1"/>
      <c r="BV219" s="32"/>
      <c r="BW219" s="1"/>
      <c r="BX219" s="32"/>
      <c r="BY219" s="32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</row>
    <row r="220" spans="1:115" ht="11.25" customHeight="1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56">
        <v>6</v>
      </c>
      <c r="BG220" s="57">
        <v>1</v>
      </c>
      <c r="BH220" s="57">
        <v>20</v>
      </c>
      <c r="BI220" s="57">
        <v>50</v>
      </c>
      <c r="BJ220" s="13" t="str">
        <f t="shared" si="21"/>
        <v>20,1</v>
      </c>
      <c r="BK220" s="35"/>
      <c r="BL220" s="8">
        <f t="shared" si="22"/>
        <v>216</v>
      </c>
      <c r="BM220" s="6">
        <f t="shared" si="23"/>
        <v>6</v>
      </c>
      <c r="BN220" s="6">
        <f t="shared" si="24"/>
        <v>36</v>
      </c>
      <c r="BO220" s="35"/>
      <c r="BP220" s="1"/>
      <c r="BQ220" s="1"/>
      <c r="BR220" s="1"/>
      <c r="BS220" s="1"/>
      <c r="BT220" s="1"/>
      <c r="BU220" s="1"/>
      <c r="BV220" s="32"/>
      <c r="BW220" s="1"/>
      <c r="BX220" s="32"/>
      <c r="BY220" s="32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X220" s="35"/>
      <c r="CY220" s="35"/>
      <c r="CZ220" s="35"/>
      <c r="DA220" s="35"/>
      <c r="DB220" s="35"/>
      <c r="DC220" s="35"/>
      <c r="DD220" s="35"/>
      <c r="DE220" s="35"/>
      <c r="DF220" s="35"/>
      <c r="DG220" s="35"/>
      <c r="DH220" s="35"/>
      <c r="DI220" s="35"/>
      <c r="DJ220" s="35"/>
      <c r="DK220" s="35"/>
    </row>
    <row r="221" spans="1:115" ht="11.25" customHeight="1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56">
        <v>6</v>
      </c>
      <c r="BG221" s="57">
        <v>1</v>
      </c>
      <c r="BH221" s="57">
        <v>21</v>
      </c>
      <c r="BI221" s="57">
        <v>50</v>
      </c>
      <c r="BJ221" s="13" t="str">
        <f t="shared" si="21"/>
        <v>21,1</v>
      </c>
      <c r="BK221" s="35"/>
      <c r="BL221" s="8">
        <f t="shared" si="22"/>
        <v>217</v>
      </c>
      <c r="BM221" s="6">
        <f t="shared" si="23"/>
        <v>7</v>
      </c>
      <c r="BN221" s="6">
        <f t="shared" si="24"/>
        <v>1</v>
      </c>
      <c r="BO221" s="35"/>
      <c r="BP221" s="1"/>
      <c r="BQ221" s="1"/>
      <c r="BR221" s="1"/>
      <c r="BS221" s="1"/>
      <c r="BT221" s="1"/>
      <c r="BU221" s="1"/>
      <c r="BV221" s="32"/>
      <c r="BW221" s="1"/>
      <c r="BX221" s="32"/>
      <c r="BY221" s="32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</row>
    <row r="222" spans="1:115" ht="11.25" customHeight="1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56">
        <v>6</v>
      </c>
      <c r="BG222" s="57">
        <v>33</v>
      </c>
      <c r="BH222" s="57">
        <v>1</v>
      </c>
      <c r="BI222" s="57">
        <v>28</v>
      </c>
      <c r="BJ222" s="13" t="str">
        <f t="shared" si="21"/>
        <v>1,33</v>
      </c>
      <c r="BK222" s="35"/>
      <c r="BL222" s="8">
        <f t="shared" si="22"/>
        <v>218</v>
      </c>
      <c r="BM222" s="6">
        <f t="shared" si="23"/>
        <v>7</v>
      </c>
      <c r="BN222" s="6">
        <f t="shared" si="24"/>
        <v>2</v>
      </c>
      <c r="BO222" s="35"/>
      <c r="BP222" s="1"/>
      <c r="BQ222" s="1"/>
      <c r="BR222" s="1"/>
      <c r="BS222" s="1"/>
      <c r="BT222" s="1"/>
      <c r="BU222" s="1"/>
      <c r="BV222" s="32"/>
      <c r="BW222" s="1"/>
      <c r="BX222" s="32"/>
      <c r="BY222" s="32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X222" s="35"/>
      <c r="CY222" s="35"/>
      <c r="CZ222" s="35"/>
      <c r="DA222" s="35"/>
      <c r="DB222" s="35"/>
      <c r="DC222" s="35"/>
      <c r="DD222" s="35"/>
      <c r="DE222" s="35"/>
      <c r="DF222" s="35"/>
      <c r="DG222" s="35"/>
      <c r="DH222" s="35"/>
      <c r="DI222" s="35"/>
      <c r="DJ222" s="35"/>
      <c r="DK222" s="35"/>
    </row>
    <row r="223" spans="1:115" ht="11.25" customHeight="1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56">
        <v>6</v>
      </c>
      <c r="BG223" s="57">
        <v>33</v>
      </c>
      <c r="BH223" s="57">
        <v>2</v>
      </c>
      <c r="BI223" s="57">
        <v>28</v>
      </c>
      <c r="BJ223" s="13" t="str">
        <f t="shared" si="21"/>
        <v>2,33</v>
      </c>
      <c r="BK223" s="35"/>
      <c r="BL223" s="8">
        <f t="shared" si="22"/>
        <v>219</v>
      </c>
      <c r="BM223" s="6">
        <f t="shared" si="23"/>
        <v>7</v>
      </c>
      <c r="BN223" s="6">
        <f t="shared" si="24"/>
        <v>3</v>
      </c>
      <c r="BO223" s="35"/>
      <c r="BP223" s="1"/>
      <c r="BQ223" s="1"/>
      <c r="BR223" s="1"/>
      <c r="BS223" s="1"/>
      <c r="BT223" s="1"/>
      <c r="BU223" s="1"/>
      <c r="BV223" s="32"/>
      <c r="BW223" s="1"/>
      <c r="BX223" s="32"/>
      <c r="BY223" s="32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</row>
    <row r="224" spans="1:115" ht="11.25" customHeight="1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56">
        <v>6</v>
      </c>
      <c r="BG224" s="57">
        <v>33</v>
      </c>
      <c r="BH224" s="57">
        <v>3</v>
      </c>
      <c r="BI224" s="57">
        <v>28</v>
      </c>
      <c r="BJ224" s="13" t="str">
        <f t="shared" si="21"/>
        <v>3,33</v>
      </c>
      <c r="BK224" s="35"/>
      <c r="BL224" s="8">
        <f t="shared" si="22"/>
        <v>220</v>
      </c>
      <c r="BM224" s="6">
        <f t="shared" si="23"/>
        <v>7</v>
      </c>
      <c r="BN224" s="6">
        <f t="shared" si="24"/>
        <v>4</v>
      </c>
      <c r="BO224" s="35"/>
      <c r="BP224" s="1"/>
      <c r="BQ224" s="1"/>
      <c r="BR224" s="1"/>
      <c r="BS224" s="1"/>
      <c r="BT224" s="1"/>
      <c r="BU224" s="1"/>
      <c r="BV224" s="32"/>
      <c r="BW224" s="1"/>
      <c r="BX224" s="32"/>
      <c r="BY224" s="32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X224" s="35"/>
      <c r="CY224" s="35"/>
      <c r="CZ224" s="35"/>
      <c r="DA224" s="35"/>
      <c r="DB224" s="35"/>
      <c r="DC224" s="35"/>
      <c r="DD224" s="35"/>
      <c r="DE224" s="35"/>
      <c r="DF224" s="35"/>
      <c r="DG224" s="35"/>
      <c r="DH224" s="35"/>
      <c r="DI224" s="35"/>
      <c r="DJ224" s="35"/>
      <c r="DK224" s="35"/>
    </row>
    <row r="225" spans="1:115" ht="11.25" customHeight="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56">
        <v>6</v>
      </c>
      <c r="BG225" s="57">
        <v>33</v>
      </c>
      <c r="BH225" s="57">
        <v>4</v>
      </c>
      <c r="BI225" s="57">
        <v>28</v>
      </c>
      <c r="BJ225" s="13" t="str">
        <f t="shared" si="21"/>
        <v>4,33</v>
      </c>
      <c r="BK225" s="35"/>
      <c r="BL225" s="8">
        <f t="shared" si="22"/>
        <v>221</v>
      </c>
      <c r="BM225" s="6">
        <f t="shared" si="23"/>
        <v>7</v>
      </c>
      <c r="BN225" s="6">
        <f t="shared" si="24"/>
        <v>5</v>
      </c>
      <c r="BO225" s="35"/>
      <c r="BP225" s="1"/>
      <c r="BQ225" s="1"/>
      <c r="BR225" s="1"/>
      <c r="BS225" s="1"/>
      <c r="BT225" s="1"/>
      <c r="BU225" s="1"/>
      <c r="BV225" s="32"/>
      <c r="BW225" s="1"/>
      <c r="BX225" s="32"/>
      <c r="BY225" s="32"/>
      <c r="BZ225" s="35"/>
      <c r="CA225" s="35"/>
      <c r="CB225" s="35"/>
      <c r="CC225" s="35"/>
      <c r="CD225" s="35"/>
      <c r="CE225" s="35"/>
      <c r="CF225" s="35"/>
      <c r="CG225" s="35"/>
      <c r="CH225" s="35"/>
      <c r="CI225" s="35"/>
      <c r="CJ225" s="35"/>
      <c r="CX225" s="35"/>
      <c r="CY225" s="35"/>
      <c r="CZ225" s="35"/>
      <c r="DA225" s="35"/>
      <c r="DB225" s="35"/>
      <c r="DC225" s="35"/>
      <c r="DD225" s="35"/>
      <c r="DE225" s="35"/>
      <c r="DF225" s="35"/>
      <c r="DG225" s="35"/>
      <c r="DH225" s="35"/>
      <c r="DI225" s="35"/>
      <c r="DJ225" s="35"/>
      <c r="DK225" s="35"/>
    </row>
    <row r="226" spans="1:115" ht="11.25" customHeight="1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56">
        <v>6</v>
      </c>
      <c r="BG226" s="57">
        <v>33</v>
      </c>
      <c r="BH226" s="57">
        <v>5</v>
      </c>
      <c r="BI226" s="57">
        <v>28</v>
      </c>
      <c r="BJ226" s="13" t="str">
        <f t="shared" si="21"/>
        <v>5,33</v>
      </c>
      <c r="BK226" s="35"/>
      <c r="BL226" s="8">
        <f t="shared" si="22"/>
        <v>222</v>
      </c>
      <c r="BM226" s="6">
        <f t="shared" si="23"/>
        <v>7</v>
      </c>
      <c r="BN226" s="6">
        <f t="shared" si="24"/>
        <v>6</v>
      </c>
      <c r="BO226" s="35"/>
      <c r="BP226" s="1"/>
      <c r="BQ226" s="1"/>
      <c r="BR226" s="1"/>
      <c r="BS226" s="1"/>
      <c r="BT226" s="1"/>
      <c r="BU226" s="1"/>
      <c r="BV226" s="32"/>
      <c r="BW226" s="1"/>
      <c r="BX226" s="32"/>
      <c r="BY226" s="32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X226" s="35"/>
      <c r="CY226" s="35"/>
      <c r="CZ226" s="35"/>
      <c r="DA226" s="35"/>
      <c r="DB226" s="35"/>
      <c r="DC226" s="35"/>
      <c r="DD226" s="35"/>
      <c r="DE226" s="35"/>
      <c r="DF226" s="35"/>
      <c r="DG226" s="35"/>
      <c r="DH226" s="35"/>
      <c r="DI226" s="35"/>
      <c r="DJ226" s="35"/>
      <c r="DK226" s="35"/>
    </row>
    <row r="227" spans="1:115" ht="11.25" customHeight="1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56">
        <v>6</v>
      </c>
      <c r="BG227" s="57">
        <v>33</v>
      </c>
      <c r="BH227" s="57">
        <v>6</v>
      </c>
      <c r="BI227" s="57">
        <v>28</v>
      </c>
      <c r="BJ227" s="13" t="str">
        <f t="shared" si="21"/>
        <v>6,33</v>
      </c>
      <c r="BK227" s="35"/>
      <c r="BL227" s="8">
        <f t="shared" si="22"/>
        <v>223</v>
      </c>
      <c r="BM227" s="6">
        <f t="shared" si="23"/>
        <v>7</v>
      </c>
      <c r="BN227" s="6">
        <f t="shared" si="24"/>
        <v>7</v>
      </c>
      <c r="BO227" s="35"/>
      <c r="BP227" s="1"/>
      <c r="BQ227" s="1"/>
      <c r="BR227" s="1"/>
      <c r="BS227" s="1"/>
      <c r="BT227" s="1"/>
      <c r="BU227" s="1"/>
      <c r="BV227" s="32"/>
      <c r="BW227" s="1"/>
      <c r="BX227" s="32"/>
      <c r="BY227" s="32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</row>
    <row r="228" spans="1:115" ht="11.25" customHeight="1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56">
        <v>6</v>
      </c>
      <c r="BG228" s="57">
        <v>33</v>
      </c>
      <c r="BH228" s="57">
        <v>7</v>
      </c>
      <c r="BI228" s="57">
        <v>28</v>
      </c>
      <c r="BJ228" s="13" t="str">
        <f t="shared" si="21"/>
        <v>7,33</v>
      </c>
      <c r="BK228" s="35"/>
      <c r="BL228" s="8">
        <f t="shared" si="22"/>
        <v>224</v>
      </c>
      <c r="BM228" s="6">
        <f t="shared" si="23"/>
        <v>7</v>
      </c>
      <c r="BN228" s="6">
        <f t="shared" si="24"/>
        <v>8</v>
      </c>
      <c r="BO228" s="35"/>
      <c r="BP228" s="1"/>
      <c r="BQ228" s="1"/>
      <c r="BR228" s="1"/>
      <c r="BS228" s="1"/>
      <c r="BT228" s="1"/>
      <c r="BU228" s="1"/>
      <c r="BV228" s="32"/>
      <c r="BW228" s="1"/>
      <c r="BX228" s="32"/>
      <c r="BY228" s="32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X228" s="35"/>
      <c r="CY228" s="35"/>
      <c r="CZ228" s="35"/>
      <c r="DA228" s="35"/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</row>
    <row r="229" spans="1:115" ht="11.25" customHeight="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56">
        <v>6</v>
      </c>
      <c r="BG229" s="57">
        <v>34</v>
      </c>
      <c r="BH229" s="57">
        <v>8</v>
      </c>
      <c r="BI229" s="57">
        <v>28</v>
      </c>
      <c r="BJ229" s="13" t="str">
        <f t="shared" si="21"/>
        <v>8,34</v>
      </c>
      <c r="BK229" s="35"/>
      <c r="BL229" s="8">
        <f t="shared" si="22"/>
        <v>225</v>
      </c>
      <c r="BM229" s="6">
        <f t="shared" si="23"/>
        <v>7</v>
      </c>
      <c r="BN229" s="6">
        <f t="shared" si="24"/>
        <v>9</v>
      </c>
      <c r="BO229" s="35"/>
      <c r="BP229" s="1"/>
      <c r="BQ229" s="1"/>
      <c r="BR229" s="1"/>
      <c r="BS229" s="1"/>
      <c r="BT229" s="1"/>
      <c r="BU229" s="1"/>
      <c r="BV229" s="32"/>
      <c r="BW229" s="1"/>
      <c r="BX229" s="32"/>
      <c r="BY229" s="32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</row>
    <row r="230" spans="1:115" ht="11.25" customHeight="1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56">
        <v>6</v>
      </c>
      <c r="BG230" s="57">
        <v>34</v>
      </c>
      <c r="BH230" s="57">
        <v>9</v>
      </c>
      <c r="BI230" s="57">
        <v>28</v>
      </c>
      <c r="BJ230" s="13" t="str">
        <f t="shared" si="21"/>
        <v>9,34</v>
      </c>
      <c r="BK230" s="35"/>
      <c r="BL230" s="8">
        <f t="shared" si="22"/>
        <v>226</v>
      </c>
      <c r="BM230" s="6">
        <f t="shared" si="23"/>
        <v>7</v>
      </c>
      <c r="BN230" s="6">
        <f t="shared" si="24"/>
        <v>10</v>
      </c>
      <c r="BO230" s="35"/>
      <c r="BP230" s="1"/>
      <c r="BQ230" s="1"/>
      <c r="BR230" s="1"/>
      <c r="BS230" s="1"/>
      <c r="BT230" s="1"/>
      <c r="BU230" s="1"/>
      <c r="BV230" s="32"/>
      <c r="BW230" s="1"/>
      <c r="BX230" s="32"/>
      <c r="BY230" s="32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</row>
    <row r="231" spans="1:115" ht="11.25" customHeight="1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56">
        <v>6</v>
      </c>
      <c r="BG231" s="57">
        <v>34</v>
      </c>
      <c r="BH231" s="57">
        <v>10</v>
      </c>
      <c r="BI231" s="57">
        <v>28</v>
      </c>
      <c r="BJ231" s="13" t="str">
        <f t="shared" si="21"/>
        <v>10,34</v>
      </c>
      <c r="BK231" s="35"/>
      <c r="BL231" s="8">
        <f t="shared" si="22"/>
        <v>227</v>
      </c>
      <c r="BM231" s="6">
        <f t="shared" si="23"/>
        <v>7</v>
      </c>
      <c r="BN231" s="6">
        <f t="shared" si="24"/>
        <v>11</v>
      </c>
      <c r="BO231" s="35"/>
      <c r="BP231" s="1"/>
      <c r="BQ231" s="1"/>
      <c r="BR231" s="1"/>
      <c r="BS231" s="1"/>
      <c r="BT231" s="1"/>
      <c r="BU231" s="1"/>
      <c r="BV231" s="32"/>
      <c r="BW231" s="1"/>
      <c r="BX231" s="32"/>
      <c r="BY231" s="32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X231" s="35"/>
      <c r="CY231" s="35"/>
      <c r="CZ231" s="35"/>
      <c r="DA231" s="35"/>
      <c r="DB231" s="35"/>
      <c r="DC231" s="35"/>
      <c r="DD231" s="35"/>
      <c r="DE231" s="35"/>
      <c r="DF231" s="35"/>
      <c r="DG231" s="35"/>
      <c r="DH231" s="35"/>
      <c r="DI231" s="35"/>
      <c r="DJ231" s="35"/>
      <c r="DK231" s="35"/>
    </row>
    <row r="232" spans="1:115" ht="11.25" customHeight="1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56">
        <v>6</v>
      </c>
      <c r="BG232" s="57">
        <v>34</v>
      </c>
      <c r="BH232" s="57">
        <v>11</v>
      </c>
      <c r="BI232" s="57">
        <v>28</v>
      </c>
      <c r="BJ232" s="13" t="str">
        <f t="shared" si="21"/>
        <v>11,34</v>
      </c>
      <c r="BK232" s="35"/>
      <c r="BL232" s="8">
        <f t="shared" si="22"/>
        <v>228</v>
      </c>
      <c r="BM232" s="6">
        <f t="shared" si="23"/>
        <v>7</v>
      </c>
      <c r="BN232" s="6">
        <f t="shared" si="24"/>
        <v>12</v>
      </c>
      <c r="BO232" s="35"/>
      <c r="BP232" s="1"/>
      <c r="BQ232" s="1"/>
      <c r="BR232" s="1"/>
      <c r="BS232" s="1"/>
      <c r="BT232" s="1"/>
      <c r="BU232" s="1"/>
      <c r="BV232" s="32"/>
      <c r="BW232" s="1"/>
      <c r="BX232" s="32"/>
      <c r="BY232" s="32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X232" s="35"/>
      <c r="CY232" s="35"/>
      <c r="CZ232" s="35"/>
      <c r="DA232" s="35"/>
      <c r="DB232" s="35"/>
      <c r="DC232" s="35"/>
      <c r="DD232" s="35"/>
      <c r="DE232" s="35"/>
      <c r="DF232" s="35"/>
      <c r="DG232" s="35"/>
      <c r="DH232" s="35"/>
      <c r="DI232" s="35"/>
      <c r="DJ232" s="35"/>
      <c r="DK232" s="35"/>
    </row>
    <row r="233" spans="1:115" ht="11.25" customHeight="1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56">
        <v>6</v>
      </c>
      <c r="BG233" s="57">
        <v>34</v>
      </c>
      <c r="BH233" s="57">
        <v>12</v>
      </c>
      <c r="BI233" s="57">
        <v>28</v>
      </c>
      <c r="BJ233" s="13" t="str">
        <f t="shared" si="21"/>
        <v>12,34</v>
      </c>
      <c r="BK233" s="35"/>
      <c r="BL233" s="8">
        <f t="shared" si="22"/>
        <v>229</v>
      </c>
      <c r="BM233" s="6">
        <f t="shared" si="23"/>
        <v>7</v>
      </c>
      <c r="BN233" s="6">
        <f t="shared" si="24"/>
        <v>13</v>
      </c>
      <c r="BO233" s="35"/>
      <c r="BP233" s="1"/>
      <c r="BQ233" s="1"/>
      <c r="BR233" s="1"/>
      <c r="BS233" s="1"/>
      <c r="BT233" s="1"/>
      <c r="BU233" s="1"/>
      <c r="BV233" s="32"/>
      <c r="BW233" s="1"/>
      <c r="BX233" s="32"/>
      <c r="BY233" s="32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35"/>
      <c r="DK233" s="35"/>
    </row>
    <row r="234" spans="1:115" ht="11.25" customHeight="1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56">
        <v>6</v>
      </c>
      <c r="BG234" s="57">
        <v>34</v>
      </c>
      <c r="BH234" s="57">
        <v>13</v>
      </c>
      <c r="BI234" s="57">
        <v>28</v>
      </c>
      <c r="BJ234" s="13" t="str">
        <f t="shared" si="21"/>
        <v>13,34</v>
      </c>
      <c r="BK234" s="35"/>
      <c r="BL234" s="8">
        <f t="shared" si="22"/>
        <v>230</v>
      </c>
      <c r="BM234" s="6">
        <f t="shared" si="23"/>
        <v>7</v>
      </c>
      <c r="BN234" s="6">
        <f t="shared" si="24"/>
        <v>14</v>
      </c>
      <c r="BO234" s="35"/>
      <c r="BP234" s="1"/>
      <c r="BQ234" s="1"/>
      <c r="BR234" s="1"/>
      <c r="BS234" s="1"/>
      <c r="BT234" s="1"/>
      <c r="BU234" s="1"/>
      <c r="BV234" s="32"/>
      <c r="BW234" s="1"/>
      <c r="BX234" s="32"/>
      <c r="BY234" s="32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X234" s="35"/>
      <c r="CY234" s="35"/>
      <c r="CZ234" s="35"/>
      <c r="DA234" s="35"/>
      <c r="DB234" s="35"/>
      <c r="DC234" s="35"/>
      <c r="DD234" s="35"/>
      <c r="DE234" s="35"/>
      <c r="DF234" s="35"/>
      <c r="DG234" s="35"/>
      <c r="DH234" s="35"/>
      <c r="DI234" s="35"/>
      <c r="DJ234" s="35"/>
      <c r="DK234" s="35"/>
    </row>
    <row r="235" spans="1:115" ht="11.25" customHeight="1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56">
        <v>6</v>
      </c>
      <c r="BG235" s="57">
        <v>35</v>
      </c>
      <c r="BH235" s="57">
        <v>14</v>
      </c>
      <c r="BI235" s="57">
        <v>28</v>
      </c>
      <c r="BJ235" s="13" t="str">
        <f t="shared" si="21"/>
        <v>14,35</v>
      </c>
      <c r="BK235" s="35"/>
      <c r="BL235" s="8">
        <f t="shared" si="22"/>
        <v>231</v>
      </c>
      <c r="BM235" s="6">
        <f t="shared" si="23"/>
        <v>7</v>
      </c>
      <c r="BN235" s="6">
        <f t="shared" si="24"/>
        <v>15</v>
      </c>
      <c r="BO235" s="35"/>
      <c r="BP235" s="1"/>
      <c r="BQ235" s="1"/>
      <c r="BR235" s="1"/>
      <c r="BS235" s="1"/>
      <c r="BT235" s="1"/>
      <c r="BU235" s="1"/>
      <c r="BV235" s="32"/>
      <c r="BW235" s="1"/>
      <c r="BX235" s="32"/>
      <c r="BY235" s="32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X235" s="35"/>
      <c r="CY235" s="35"/>
      <c r="CZ235" s="35"/>
      <c r="DA235" s="35"/>
      <c r="DB235" s="35"/>
      <c r="DC235" s="35"/>
      <c r="DD235" s="35"/>
      <c r="DE235" s="35"/>
      <c r="DF235" s="35"/>
      <c r="DG235" s="35"/>
      <c r="DH235" s="35"/>
      <c r="DI235" s="35"/>
      <c r="DJ235" s="35"/>
      <c r="DK235" s="35"/>
    </row>
    <row r="236" spans="1:115" ht="11.25" customHeight="1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56">
        <v>6</v>
      </c>
      <c r="BG236" s="57">
        <v>35</v>
      </c>
      <c r="BH236" s="57">
        <v>15</v>
      </c>
      <c r="BI236" s="57">
        <v>28</v>
      </c>
      <c r="BJ236" s="13" t="str">
        <f t="shared" si="21"/>
        <v>15,35</v>
      </c>
      <c r="BK236" s="35"/>
      <c r="BL236" s="8">
        <f t="shared" si="22"/>
        <v>232</v>
      </c>
      <c r="BM236" s="6">
        <f t="shared" si="23"/>
        <v>7</v>
      </c>
      <c r="BN236" s="6">
        <f t="shared" si="24"/>
        <v>16</v>
      </c>
      <c r="BO236" s="35"/>
      <c r="BP236" s="1"/>
      <c r="BQ236" s="1"/>
      <c r="BR236" s="1"/>
      <c r="BS236" s="1"/>
      <c r="BT236" s="1"/>
      <c r="BU236" s="1"/>
      <c r="BV236" s="32"/>
      <c r="BW236" s="1"/>
      <c r="BX236" s="32"/>
      <c r="BY236" s="32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X236" s="35"/>
      <c r="CY236" s="35"/>
      <c r="CZ236" s="35"/>
      <c r="DA236" s="35"/>
      <c r="DB236" s="35"/>
      <c r="DC236" s="35"/>
      <c r="DD236" s="35"/>
      <c r="DE236" s="35"/>
      <c r="DF236" s="35"/>
      <c r="DG236" s="35"/>
      <c r="DH236" s="35"/>
      <c r="DI236" s="35"/>
      <c r="DJ236" s="35"/>
      <c r="DK236" s="35"/>
    </row>
    <row r="237" spans="1:115" ht="11.25" customHeight="1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56">
        <v>6</v>
      </c>
      <c r="BG237" s="57">
        <v>35</v>
      </c>
      <c r="BH237" s="57">
        <v>16</v>
      </c>
      <c r="BI237" s="57">
        <v>28</v>
      </c>
      <c r="BJ237" s="13" t="str">
        <f t="shared" si="21"/>
        <v>16,35</v>
      </c>
      <c r="BK237" s="35"/>
      <c r="BL237" s="8">
        <f t="shared" si="22"/>
        <v>233</v>
      </c>
      <c r="BM237" s="6">
        <f t="shared" si="23"/>
        <v>7</v>
      </c>
      <c r="BN237" s="6">
        <f t="shared" si="24"/>
        <v>17</v>
      </c>
      <c r="BO237" s="35"/>
      <c r="BP237" s="1"/>
      <c r="BQ237" s="1"/>
      <c r="BR237" s="1"/>
      <c r="BS237" s="1"/>
      <c r="BT237" s="1"/>
      <c r="BU237" s="1"/>
      <c r="BV237" s="32"/>
      <c r="BW237" s="1"/>
      <c r="BX237" s="32"/>
      <c r="BY237" s="32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</row>
    <row r="238" spans="1:115" ht="11.25" customHeight="1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56">
        <v>6</v>
      </c>
      <c r="BG238" s="57">
        <v>35</v>
      </c>
      <c r="BH238" s="57">
        <v>17</v>
      </c>
      <c r="BI238" s="57">
        <v>28</v>
      </c>
      <c r="BJ238" s="13" t="str">
        <f t="shared" si="21"/>
        <v>17,35</v>
      </c>
      <c r="BK238" s="35"/>
      <c r="BL238" s="8">
        <f t="shared" si="22"/>
        <v>234</v>
      </c>
      <c r="BM238" s="6">
        <f t="shared" si="23"/>
        <v>7</v>
      </c>
      <c r="BN238" s="6">
        <f t="shared" si="24"/>
        <v>18</v>
      </c>
      <c r="BO238" s="35"/>
      <c r="BP238" s="1"/>
      <c r="BQ238" s="1"/>
      <c r="BR238" s="1"/>
      <c r="BS238" s="1"/>
      <c r="BT238" s="1"/>
      <c r="BU238" s="1"/>
      <c r="BV238" s="32"/>
      <c r="BW238" s="1"/>
      <c r="BX238" s="32"/>
      <c r="BY238" s="32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</row>
    <row r="239" spans="1:115" ht="11.25" customHeight="1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56">
        <v>6</v>
      </c>
      <c r="BG239" s="57">
        <v>35</v>
      </c>
      <c r="BH239" s="57">
        <v>18</v>
      </c>
      <c r="BI239" s="57">
        <v>28</v>
      </c>
      <c r="BJ239" s="13" t="str">
        <f t="shared" si="21"/>
        <v>18,35</v>
      </c>
      <c r="BK239" s="35"/>
      <c r="BL239" s="8">
        <f t="shared" si="22"/>
        <v>235</v>
      </c>
      <c r="BM239" s="6">
        <f t="shared" si="23"/>
        <v>7</v>
      </c>
      <c r="BN239" s="6">
        <f t="shared" si="24"/>
        <v>19</v>
      </c>
      <c r="BO239" s="35"/>
      <c r="BP239" s="1"/>
      <c r="BQ239" s="1"/>
      <c r="BR239" s="1"/>
      <c r="BS239" s="1"/>
      <c r="BT239" s="1"/>
      <c r="BU239" s="1"/>
      <c r="BV239" s="32"/>
      <c r="BW239" s="1"/>
      <c r="BX239" s="32"/>
      <c r="BY239" s="32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</row>
    <row r="240" spans="1:115" ht="11.25" customHeight="1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56">
        <v>6</v>
      </c>
      <c r="BG240" s="57">
        <v>35</v>
      </c>
      <c r="BH240" s="57">
        <v>19</v>
      </c>
      <c r="BI240" s="57">
        <v>28</v>
      </c>
      <c r="BJ240" s="13" t="str">
        <f t="shared" si="21"/>
        <v>19,35</v>
      </c>
      <c r="BK240" s="35"/>
      <c r="BL240" s="8">
        <f t="shared" si="22"/>
        <v>236</v>
      </c>
      <c r="BM240" s="6">
        <f t="shared" si="23"/>
        <v>7</v>
      </c>
      <c r="BN240" s="6">
        <f t="shared" si="24"/>
        <v>20</v>
      </c>
      <c r="BO240" s="35"/>
      <c r="BP240" s="1"/>
      <c r="BQ240" s="1"/>
      <c r="BR240" s="1"/>
      <c r="BS240" s="1"/>
      <c r="BT240" s="1"/>
      <c r="BU240" s="1"/>
      <c r="BV240" s="32"/>
      <c r="BW240" s="1"/>
      <c r="BX240" s="32"/>
      <c r="BY240" s="32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X240" s="35"/>
      <c r="CY240" s="35"/>
      <c r="CZ240" s="35"/>
      <c r="DA240" s="35"/>
      <c r="DB240" s="35"/>
      <c r="DC240" s="35"/>
      <c r="DD240" s="35"/>
      <c r="DE240" s="35"/>
      <c r="DF240" s="35"/>
      <c r="DG240" s="35"/>
      <c r="DH240" s="35"/>
      <c r="DI240" s="35"/>
      <c r="DJ240" s="35"/>
      <c r="DK240" s="35"/>
    </row>
    <row r="241" spans="1:115" ht="11.25" customHeight="1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56">
        <v>6</v>
      </c>
      <c r="BG241" s="57">
        <v>35</v>
      </c>
      <c r="BH241" s="57">
        <v>20</v>
      </c>
      <c r="BI241" s="57">
        <v>28</v>
      </c>
      <c r="BJ241" s="13" t="str">
        <f t="shared" si="21"/>
        <v>20,35</v>
      </c>
      <c r="BK241" s="35"/>
      <c r="BL241" s="8">
        <f t="shared" si="22"/>
        <v>237</v>
      </c>
      <c r="BM241" s="6">
        <f t="shared" si="23"/>
        <v>7</v>
      </c>
      <c r="BN241" s="6">
        <f t="shared" si="24"/>
        <v>21</v>
      </c>
      <c r="BO241" s="35"/>
      <c r="BP241" s="1"/>
      <c r="BQ241" s="1"/>
      <c r="BR241" s="1"/>
      <c r="BS241" s="1"/>
      <c r="BT241" s="1"/>
      <c r="BU241" s="1"/>
      <c r="BV241" s="32"/>
      <c r="BW241" s="1"/>
      <c r="BX241" s="32"/>
      <c r="BY241" s="32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35"/>
      <c r="DK241" s="35"/>
    </row>
    <row r="242" spans="1:115" ht="11.25" customHeight="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56">
        <v>6</v>
      </c>
      <c r="BG242" s="57">
        <v>36</v>
      </c>
      <c r="BH242" s="57">
        <v>21</v>
      </c>
      <c r="BI242" s="57">
        <v>28</v>
      </c>
      <c r="BJ242" s="13" t="str">
        <f t="shared" si="21"/>
        <v>21,36</v>
      </c>
      <c r="BK242" s="35"/>
      <c r="BL242" s="8">
        <f t="shared" si="22"/>
        <v>238</v>
      </c>
      <c r="BM242" s="6">
        <f t="shared" si="23"/>
        <v>7</v>
      </c>
      <c r="BN242" s="6">
        <f t="shared" si="24"/>
        <v>22</v>
      </c>
      <c r="BO242" s="35"/>
      <c r="BP242" s="1"/>
      <c r="BQ242" s="1"/>
      <c r="BR242" s="1"/>
      <c r="BS242" s="1"/>
      <c r="BT242" s="1"/>
      <c r="BU242" s="1"/>
      <c r="BV242" s="32"/>
      <c r="BW242" s="1"/>
      <c r="BX242" s="32"/>
      <c r="BY242" s="32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X242" s="35"/>
      <c r="CY242" s="35"/>
      <c r="CZ242" s="35"/>
      <c r="DA242" s="35"/>
      <c r="DB242" s="35"/>
      <c r="DC242" s="35"/>
      <c r="DD242" s="35"/>
      <c r="DE242" s="35"/>
      <c r="DF242" s="35"/>
      <c r="DG242" s="35"/>
      <c r="DH242" s="35"/>
      <c r="DI242" s="35"/>
      <c r="DJ242" s="35"/>
      <c r="DK242" s="35"/>
    </row>
    <row r="243" spans="1:115" ht="11.25" customHeight="1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56">
        <v>6</v>
      </c>
      <c r="BG243" s="57">
        <v>36</v>
      </c>
      <c r="BH243" s="57">
        <v>22</v>
      </c>
      <c r="BI243" s="57">
        <v>28</v>
      </c>
      <c r="BJ243" s="13" t="str">
        <f t="shared" si="21"/>
        <v>22,36</v>
      </c>
      <c r="BK243" s="35"/>
      <c r="BL243" s="8">
        <f t="shared" si="22"/>
        <v>239</v>
      </c>
      <c r="BM243" s="6">
        <f t="shared" si="23"/>
        <v>7</v>
      </c>
      <c r="BN243" s="6">
        <f t="shared" si="24"/>
        <v>23</v>
      </c>
      <c r="BO243" s="35"/>
      <c r="BP243" s="1"/>
      <c r="BQ243" s="1"/>
      <c r="BR243" s="1"/>
      <c r="BS243" s="1"/>
      <c r="BT243" s="1"/>
      <c r="BU243" s="1"/>
      <c r="BV243" s="32"/>
      <c r="BW243" s="1"/>
      <c r="BX243" s="32"/>
      <c r="BY243" s="32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</row>
    <row r="244" spans="1:115" ht="11.25" customHeight="1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56">
        <v>6</v>
      </c>
      <c r="BG244" s="57">
        <v>36</v>
      </c>
      <c r="BH244" s="57">
        <v>23</v>
      </c>
      <c r="BI244" s="57">
        <v>28</v>
      </c>
      <c r="BJ244" s="13" t="str">
        <f t="shared" si="21"/>
        <v>23,36</v>
      </c>
      <c r="BK244" s="35"/>
      <c r="BL244" s="8">
        <f t="shared" si="22"/>
        <v>240</v>
      </c>
      <c r="BM244" s="6">
        <f t="shared" si="23"/>
        <v>7</v>
      </c>
      <c r="BN244" s="6">
        <f t="shared" si="24"/>
        <v>24</v>
      </c>
      <c r="BO244" s="35"/>
      <c r="BP244" s="1"/>
      <c r="BQ244" s="1"/>
      <c r="BR244" s="1"/>
      <c r="BS244" s="1"/>
      <c r="BT244" s="1"/>
      <c r="BU244" s="1"/>
      <c r="BV244" s="32"/>
      <c r="BW244" s="1"/>
      <c r="BX244" s="32"/>
      <c r="BY244" s="32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X244" s="35"/>
      <c r="CY244" s="35"/>
      <c r="CZ244" s="35"/>
      <c r="DA244" s="35"/>
      <c r="DB244" s="35"/>
      <c r="DC244" s="35"/>
      <c r="DD244" s="35"/>
      <c r="DE244" s="35"/>
      <c r="DF244" s="35"/>
      <c r="DG244" s="35"/>
      <c r="DH244" s="35"/>
      <c r="DI244" s="35"/>
      <c r="DJ244" s="35"/>
      <c r="DK244" s="35"/>
    </row>
    <row r="245" spans="1:115" ht="11.25" customHeight="1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56">
        <v>7</v>
      </c>
      <c r="BG245" s="57">
        <v>1</v>
      </c>
      <c r="BH245" s="57">
        <v>4</v>
      </c>
      <c r="BI245" s="57">
        <v>50</v>
      </c>
      <c r="BJ245" s="13" t="str">
        <f t="shared" si="21"/>
        <v>4,1</v>
      </c>
      <c r="BK245" s="35"/>
      <c r="BL245" s="8">
        <f t="shared" si="22"/>
        <v>241</v>
      </c>
      <c r="BM245" s="6">
        <f t="shared" si="23"/>
        <v>7</v>
      </c>
      <c r="BN245" s="6">
        <f t="shared" si="24"/>
        <v>25</v>
      </c>
      <c r="BO245" s="35"/>
      <c r="BP245" s="1"/>
      <c r="BQ245" s="1"/>
      <c r="BR245" s="1"/>
      <c r="BS245" s="1"/>
      <c r="BT245" s="1"/>
      <c r="BU245" s="1"/>
      <c r="BV245" s="32"/>
      <c r="BW245" s="1"/>
      <c r="BX245" s="32"/>
      <c r="BY245" s="32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</row>
    <row r="246" spans="1:115" ht="11.25" customHeight="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56">
        <v>7</v>
      </c>
      <c r="BG246" s="57">
        <v>1</v>
      </c>
      <c r="BH246" s="57">
        <v>5</v>
      </c>
      <c r="BI246" s="57">
        <v>50</v>
      </c>
      <c r="BJ246" s="13" t="str">
        <f t="shared" si="21"/>
        <v>5,1</v>
      </c>
      <c r="BK246" s="35"/>
      <c r="BL246" s="8">
        <f t="shared" si="22"/>
        <v>242</v>
      </c>
      <c r="BM246" s="6">
        <f t="shared" si="23"/>
        <v>7</v>
      </c>
      <c r="BN246" s="6">
        <f t="shared" si="24"/>
        <v>26</v>
      </c>
      <c r="BO246" s="35"/>
      <c r="BP246" s="1"/>
      <c r="BQ246" s="1"/>
      <c r="BR246" s="1"/>
      <c r="BS246" s="1"/>
      <c r="BT246" s="1"/>
      <c r="BU246" s="1"/>
      <c r="BV246" s="32"/>
      <c r="BW246" s="1"/>
      <c r="BX246" s="32"/>
      <c r="BY246" s="32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</row>
    <row r="247" spans="1:115" ht="11.25" customHeight="1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56">
        <v>7</v>
      </c>
      <c r="BG247" s="57">
        <v>1</v>
      </c>
      <c r="BH247" s="57">
        <v>6</v>
      </c>
      <c r="BI247" s="57">
        <v>50</v>
      </c>
      <c r="BJ247" s="13" t="str">
        <f t="shared" si="21"/>
        <v>6,1</v>
      </c>
      <c r="BK247" s="35"/>
      <c r="BL247" s="8">
        <f t="shared" si="22"/>
        <v>243</v>
      </c>
      <c r="BM247" s="6">
        <f t="shared" si="23"/>
        <v>7</v>
      </c>
      <c r="BN247" s="6">
        <f t="shared" si="24"/>
        <v>27</v>
      </c>
      <c r="BO247" s="35"/>
      <c r="BP247" s="1"/>
      <c r="BQ247" s="1"/>
      <c r="BR247" s="1"/>
      <c r="BS247" s="1"/>
      <c r="BT247" s="1"/>
      <c r="BU247" s="1"/>
      <c r="BV247" s="32"/>
      <c r="BW247" s="1"/>
      <c r="BX247" s="32"/>
      <c r="BY247" s="32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</row>
    <row r="248" spans="1:115" ht="11.25" customHeight="1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56">
        <v>7</v>
      </c>
      <c r="BG248" s="57">
        <v>1</v>
      </c>
      <c r="BH248" s="57">
        <v>7</v>
      </c>
      <c r="BI248" s="57">
        <v>50</v>
      </c>
      <c r="BJ248" s="13" t="str">
        <f t="shared" si="21"/>
        <v>7,1</v>
      </c>
      <c r="BK248" s="35"/>
      <c r="BL248" s="8">
        <f t="shared" si="22"/>
        <v>244</v>
      </c>
      <c r="BM248" s="6">
        <f t="shared" si="23"/>
        <v>7</v>
      </c>
      <c r="BN248" s="6">
        <f t="shared" si="24"/>
        <v>28</v>
      </c>
      <c r="BO248" s="35"/>
      <c r="BP248" s="1"/>
      <c r="BQ248" s="1"/>
      <c r="BR248" s="1"/>
      <c r="BS248" s="1"/>
      <c r="BT248" s="1"/>
      <c r="BU248" s="1"/>
      <c r="BV248" s="32"/>
      <c r="BW248" s="1"/>
      <c r="BX248" s="32"/>
      <c r="BY248" s="32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X248" s="35"/>
      <c r="CY248" s="35"/>
      <c r="CZ248" s="35"/>
      <c r="DA248" s="35"/>
      <c r="DB248" s="35"/>
      <c r="DC248" s="35"/>
      <c r="DD248" s="35"/>
      <c r="DE248" s="35"/>
      <c r="DF248" s="35"/>
      <c r="DG248" s="35"/>
      <c r="DH248" s="35"/>
      <c r="DI248" s="35"/>
      <c r="DJ248" s="35"/>
      <c r="DK248" s="35"/>
    </row>
    <row r="249" spans="1:115" ht="11.25" customHeight="1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56">
        <v>7</v>
      </c>
      <c r="BG249" s="57">
        <v>1</v>
      </c>
      <c r="BH249" s="57">
        <v>8</v>
      </c>
      <c r="BI249" s="57">
        <v>50</v>
      </c>
      <c r="BJ249" s="13" t="str">
        <f t="shared" si="21"/>
        <v>8,1</v>
      </c>
      <c r="BK249" s="35"/>
      <c r="BL249" s="8">
        <f t="shared" si="22"/>
        <v>245</v>
      </c>
      <c r="BM249" s="6">
        <f t="shared" si="23"/>
        <v>7</v>
      </c>
      <c r="BN249" s="6">
        <f t="shared" si="24"/>
        <v>29</v>
      </c>
      <c r="BO249" s="35"/>
      <c r="BP249" s="1"/>
      <c r="BQ249" s="1"/>
      <c r="BR249" s="1"/>
      <c r="BS249" s="1"/>
      <c r="BT249" s="1"/>
      <c r="BU249" s="1"/>
      <c r="BV249" s="32"/>
      <c r="BW249" s="1"/>
      <c r="BX249" s="32"/>
      <c r="BY249" s="32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</row>
    <row r="250" spans="1:115" ht="11.25" customHeight="1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56">
        <v>7</v>
      </c>
      <c r="BG250" s="57">
        <v>1</v>
      </c>
      <c r="BH250" s="57">
        <v>9</v>
      </c>
      <c r="BI250" s="57">
        <v>50</v>
      </c>
      <c r="BJ250" s="13" t="str">
        <f t="shared" si="21"/>
        <v>9,1</v>
      </c>
      <c r="BK250" s="35"/>
      <c r="BL250" s="8">
        <f t="shared" si="22"/>
        <v>246</v>
      </c>
      <c r="BM250" s="6">
        <f t="shared" si="23"/>
        <v>7</v>
      </c>
      <c r="BN250" s="6">
        <f t="shared" si="24"/>
        <v>30</v>
      </c>
      <c r="BO250" s="35"/>
      <c r="BP250" s="1"/>
      <c r="BQ250" s="1"/>
      <c r="BR250" s="1"/>
      <c r="BS250" s="1"/>
      <c r="BT250" s="1"/>
      <c r="BU250" s="1"/>
      <c r="BV250" s="32"/>
      <c r="BW250" s="1"/>
      <c r="BX250" s="32"/>
      <c r="BY250" s="32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</row>
    <row r="251" spans="1:115" ht="11.25" customHeight="1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56">
        <v>7</v>
      </c>
      <c r="BG251" s="57">
        <v>1</v>
      </c>
      <c r="BH251" s="57">
        <v>10</v>
      </c>
      <c r="BI251" s="57">
        <v>50</v>
      </c>
      <c r="BJ251" s="13" t="str">
        <f t="shared" si="21"/>
        <v>10,1</v>
      </c>
      <c r="BK251" s="35"/>
      <c r="BL251" s="8">
        <f t="shared" si="22"/>
        <v>247</v>
      </c>
      <c r="BM251" s="6">
        <f t="shared" si="23"/>
        <v>7</v>
      </c>
      <c r="BN251" s="6">
        <f t="shared" si="24"/>
        <v>31</v>
      </c>
      <c r="BO251" s="35"/>
      <c r="BP251" s="1"/>
      <c r="BQ251" s="1"/>
      <c r="BR251" s="1"/>
      <c r="BS251" s="1"/>
      <c r="BT251" s="1"/>
      <c r="BU251" s="1"/>
      <c r="BV251" s="32"/>
      <c r="BW251" s="1"/>
      <c r="BX251" s="32"/>
      <c r="BY251" s="32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</row>
    <row r="252" spans="1:115" ht="11.25" customHeight="1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56">
        <v>7</v>
      </c>
      <c r="BG252" s="57">
        <v>1</v>
      </c>
      <c r="BH252" s="57">
        <v>11</v>
      </c>
      <c r="BI252" s="57">
        <v>50</v>
      </c>
      <c r="BJ252" s="13" t="str">
        <f t="shared" si="21"/>
        <v>11,1</v>
      </c>
      <c r="BK252" s="35"/>
      <c r="BL252" s="8">
        <f t="shared" si="22"/>
        <v>248</v>
      </c>
      <c r="BM252" s="6">
        <f t="shared" si="23"/>
        <v>7</v>
      </c>
      <c r="BN252" s="6">
        <f t="shared" si="24"/>
        <v>32</v>
      </c>
      <c r="BO252" s="35"/>
      <c r="BP252" s="1"/>
      <c r="BQ252" s="1"/>
      <c r="BR252" s="1"/>
      <c r="BS252" s="1"/>
      <c r="BT252" s="1"/>
      <c r="BU252" s="1"/>
      <c r="BV252" s="32"/>
      <c r="BW252" s="1"/>
      <c r="BX252" s="32"/>
      <c r="BY252" s="32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</row>
    <row r="253" spans="1:115" ht="11.25" customHeight="1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56">
        <v>7</v>
      </c>
      <c r="BG253" s="57">
        <v>1</v>
      </c>
      <c r="BH253" s="57">
        <v>12</v>
      </c>
      <c r="BI253" s="57">
        <v>50.09</v>
      </c>
      <c r="BJ253" s="13" t="str">
        <f t="shared" si="21"/>
        <v>12,1</v>
      </c>
      <c r="BK253" s="35"/>
      <c r="BL253" s="8">
        <f t="shared" si="22"/>
        <v>249</v>
      </c>
      <c r="BM253" s="6">
        <f t="shared" si="23"/>
        <v>7</v>
      </c>
      <c r="BN253" s="6">
        <f t="shared" si="24"/>
        <v>33</v>
      </c>
      <c r="BO253" s="35"/>
      <c r="BP253" s="1"/>
      <c r="BQ253" s="1"/>
      <c r="BR253" s="1"/>
      <c r="BS253" s="1"/>
      <c r="BT253" s="1"/>
      <c r="BU253" s="1"/>
      <c r="BV253" s="32"/>
      <c r="BW253" s="1"/>
      <c r="BX253" s="32"/>
      <c r="BY253" s="32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</row>
    <row r="254" spans="1:115" ht="11.25" customHeight="1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56">
        <v>7</v>
      </c>
      <c r="BG254" s="57">
        <v>1</v>
      </c>
      <c r="BH254" s="57">
        <v>13</v>
      </c>
      <c r="BI254" s="57">
        <v>50.14</v>
      </c>
      <c r="BJ254" s="13" t="str">
        <f t="shared" si="21"/>
        <v>13,1</v>
      </c>
      <c r="BK254" s="35"/>
      <c r="BL254" s="8">
        <f t="shared" si="22"/>
        <v>250</v>
      </c>
      <c r="BM254" s="6">
        <f t="shared" si="23"/>
        <v>7</v>
      </c>
      <c r="BN254" s="6">
        <f t="shared" si="24"/>
        <v>34</v>
      </c>
      <c r="BO254" s="35"/>
      <c r="BP254" s="1"/>
      <c r="BQ254" s="1"/>
      <c r="BR254" s="1"/>
      <c r="BS254" s="1"/>
      <c r="BT254" s="1"/>
      <c r="BU254" s="1"/>
      <c r="BV254" s="32"/>
      <c r="BW254" s="1"/>
      <c r="BX254" s="32"/>
      <c r="BY254" s="32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</row>
    <row r="255" spans="1:115" ht="11.25" customHeight="1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56">
        <v>7</v>
      </c>
      <c r="BG255" s="57">
        <v>1</v>
      </c>
      <c r="BH255" s="57">
        <v>14</v>
      </c>
      <c r="BI255" s="57">
        <v>50.14</v>
      </c>
      <c r="BJ255" s="13" t="str">
        <f t="shared" si="21"/>
        <v>14,1</v>
      </c>
      <c r="BK255" s="35"/>
      <c r="BL255" s="8">
        <f t="shared" si="22"/>
        <v>251</v>
      </c>
      <c r="BM255" s="6">
        <f t="shared" si="23"/>
        <v>7</v>
      </c>
      <c r="BN255" s="6">
        <f t="shared" si="24"/>
        <v>35</v>
      </c>
      <c r="BO255" s="35"/>
      <c r="BP255" s="1"/>
      <c r="BQ255" s="1"/>
      <c r="BR255" s="1"/>
      <c r="BS255" s="1"/>
      <c r="BT255" s="1"/>
      <c r="BU255" s="1"/>
      <c r="BV255" s="32"/>
      <c r="BW255" s="1"/>
      <c r="BX255" s="32"/>
      <c r="BY255" s="32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</row>
    <row r="256" spans="1:115" ht="11.25" customHeight="1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56">
        <v>7</v>
      </c>
      <c r="BG256" s="57">
        <v>1</v>
      </c>
      <c r="BH256" s="57">
        <v>15</v>
      </c>
      <c r="BI256" s="57">
        <v>50.09</v>
      </c>
      <c r="BJ256" s="13" t="str">
        <f t="shared" si="21"/>
        <v>15,1</v>
      </c>
      <c r="BK256" s="35"/>
      <c r="BL256" s="8">
        <f t="shared" si="22"/>
        <v>252</v>
      </c>
      <c r="BM256" s="6">
        <f t="shared" si="23"/>
        <v>7</v>
      </c>
      <c r="BN256" s="6">
        <f t="shared" si="24"/>
        <v>36</v>
      </c>
      <c r="BO256" s="35"/>
      <c r="BP256" s="1"/>
      <c r="BQ256" s="1"/>
      <c r="BR256" s="1"/>
      <c r="BS256" s="1"/>
      <c r="BT256" s="1"/>
      <c r="BU256" s="1"/>
      <c r="BV256" s="32"/>
      <c r="BW256" s="1"/>
      <c r="BX256" s="32"/>
      <c r="BY256" s="32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35"/>
      <c r="DK256" s="35"/>
    </row>
    <row r="257" spans="1:115" ht="11.25" customHeight="1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56">
        <v>7</v>
      </c>
      <c r="BG257" s="57">
        <v>1</v>
      </c>
      <c r="BH257" s="57">
        <v>16</v>
      </c>
      <c r="BI257" s="57">
        <v>50</v>
      </c>
      <c r="BJ257" s="13" t="str">
        <f t="shared" si="21"/>
        <v>16,1</v>
      </c>
      <c r="BK257" s="35"/>
      <c r="BL257" s="8">
        <f t="shared" si="22"/>
        <v>253</v>
      </c>
      <c r="BM257" s="6">
        <f t="shared" si="23"/>
        <v>8</v>
      </c>
      <c r="BN257" s="6">
        <f t="shared" si="24"/>
        <v>1</v>
      </c>
      <c r="BO257" s="35"/>
      <c r="BP257" s="1"/>
      <c r="BQ257" s="1"/>
      <c r="BR257" s="1"/>
      <c r="BS257" s="1"/>
      <c r="BT257" s="1"/>
      <c r="BU257" s="1"/>
      <c r="BV257" s="32"/>
      <c r="BW257" s="1"/>
      <c r="BX257" s="32"/>
      <c r="BY257" s="32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35"/>
      <c r="DK257" s="35"/>
    </row>
    <row r="258" spans="1:115" ht="11.25" customHeight="1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56">
        <v>7</v>
      </c>
      <c r="BG258" s="57">
        <v>1</v>
      </c>
      <c r="BH258" s="57">
        <v>17</v>
      </c>
      <c r="BI258" s="57">
        <v>50</v>
      </c>
      <c r="BJ258" s="13" t="str">
        <f t="shared" si="21"/>
        <v>17,1</v>
      </c>
      <c r="BK258" s="35"/>
      <c r="BL258" s="8">
        <f t="shared" si="22"/>
        <v>254</v>
      </c>
      <c r="BM258" s="6">
        <f t="shared" si="23"/>
        <v>8</v>
      </c>
      <c r="BN258" s="6">
        <f t="shared" si="24"/>
        <v>2</v>
      </c>
      <c r="BO258" s="35"/>
      <c r="BP258" s="1"/>
      <c r="BQ258" s="1"/>
      <c r="BR258" s="1"/>
      <c r="BS258" s="1"/>
      <c r="BT258" s="1"/>
      <c r="BU258" s="1"/>
      <c r="BV258" s="32"/>
      <c r="BW258" s="1"/>
      <c r="BX258" s="32"/>
      <c r="BY258" s="32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</row>
    <row r="259" spans="1:115" ht="11.25" customHeight="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56">
        <v>7</v>
      </c>
      <c r="BG259" s="57">
        <v>1</v>
      </c>
      <c r="BH259" s="57">
        <v>18</v>
      </c>
      <c r="BI259" s="57">
        <v>50</v>
      </c>
      <c r="BJ259" s="13" t="str">
        <f t="shared" si="21"/>
        <v>18,1</v>
      </c>
      <c r="BK259" s="35"/>
      <c r="BL259" s="8">
        <f t="shared" si="22"/>
        <v>255</v>
      </c>
      <c r="BM259" s="6">
        <f t="shared" si="23"/>
        <v>8</v>
      </c>
      <c r="BN259" s="6">
        <f t="shared" si="24"/>
        <v>3</v>
      </c>
      <c r="BO259" s="35"/>
      <c r="BP259" s="1"/>
      <c r="BQ259" s="1"/>
      <c r="BR259" s="1"/>
      <c r="BS259" s="1"/>
      <c r="BT259" s="1"/>
      <c r="BU259" s="1"/>
      <c r="BV259" s="32"/>
      <c r="BW259" s="1"/>
      <c r="BX259" s="32"/>
      <c r="BY259" s="32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X259" s="35"/>
      <c r="CY259" s="35"/>
      <c r="CZ259" s="35"/>
      <c r="DA259" s="35"/>
      <c r="DB259" s="35"/>
      <c r="DC259" s="35"/>
      <c r="DD259" s="35"/>
      <c r="DE259" s="35"/>
      <c r="DF259" s="35"/>
      <c r="DG259" s="35"/>
      <c r="DH259" s="35"/>
      <c r="DI259" s="35"/>
      <c r="DJ259" s="35"/>
      <c r="DK259" s="35"/>
    </row>
    <row r="260" spans="1:115" ht="11.25" customHeight="1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56">
        <v>7</v>
      </c>
      <c r="BG260" s="57">
        <v>1</v>
      </c>
      <c r="BH260" s="57">
        <v>19</v>
      </c>
      <c r="BI260" s="57">
        <v>50</v>
      </c>
      <c r="BJ260" s="13" t="str">
        <f t="shared" si="21"/>
        <v>19,1</v>
      </c>
      <c r="BK260" s="35"/>
      <c r="BL260" s="8">
        <f t="shared" si="22"/>
        <v>256</v>
      </c>
      <c r="BM260" s="6">
        <f t="shared" si="23"/>
        <v>8</v>
      </c>
      <c r="BN260" s="6">
        <f t="shared" si="24"/>
        <v>4</v>
      </c>
      <c r="BO260" s="35"/>
      <c r="BP260" s="1"/>
      <c r="BQ260" s="1"/>
      <c r="BR260" s="1"/>
      <c r="BS260" s="1"/>
      <c r="BT260" s="1"/>
      <c r="BU260" s="1"/>
      <c r="BV260" s="32"/>
      <c r="BW260" s="1"/>
      <c r="BX260" s="32"/>
      <c r="BY260" s="32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</row>
    <row r="261" spans="1:115" ht="11.25" customHeight="1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56">
        <v>7</v>
      </c>
      <c r="BG261" s="57">
        <v>1</v>
      </c>
      <c r="BH261" s="57">
        <v>20</v>
      </c>
      <c r="BI261" s="57">
        <v>50</v>
      </c>
      <c r="BJ261" s="13" t="str">
        <f t="shared" si="21"/>
        <v>20,1</v>
      </c>
      <c r="BK261" s="35"/>
      <c r="BL261" s="8">
        <f t="shared" si="22"/>
        <v>257</v>
      </c>
      <c r="BM261" s="6">
        <f t="shared" si="23"/>
        <v>8</v>
      </c>
      <c r="BN261" s="6">
        <f t="shared" si="24"/>
        <v>5</v>
      </c>
      <c r="BO261" s="35"/>
      <c r="BP261" s="1"/>
      <c r="BQ261" s="1"/>
      <c r="BR261" s="1"/>
      <c r="BS261" s="1"/>
      <c r="BT261" s="1"/>
      <c r="BU261" s="1"/>
      <c r="BV261" s="32"/>
      <c r="BW261" s="1"/>
      <c r="BX261" s="32"/>
      <c r="BY261" s="32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X261" s="35"/>
      <c r="CY261" s="35"/>
      <c r="CZ261" s="35"/>
      <c r="DA261" s="35"/>
      <c r="DB261" s="35"/>
      <c r="DC261" s="35"/>
      <c r="DD261" s="35"/>
      <c r="DE261" s="35"/>
      <c r="DF261" s="35"/>
      <c r="DG261" s="35"/>
      <c r="DH261" s="35"/>
      <c r="DI261" s="35"/>
      <c r="DJ261" s="35"/>
      <c r="DK261" s="35"/>
    </row>
    <row r="262" spans="1:115" ht="11.25" customHeight="1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56">
        <v>7</v>
      </c>
      <c r="BG262" s="57">
        <v>1</v>
      </c>
      <c r="BH262" s="57">
        <v>21</v>
      </c>
      <c r="BI262" s="57">
        <v>50</v>
      </c>
      <c r="BJ262" s="13" t="str">
        <f t="shared" ref="BJ262:BJ325" si="25">_xlfn.CONCAT(BH262,",",BG262)</f>
        <v>21,1</v>
      </c>
      <c r="BK262" s="35"/>
      <c r="BL262" s="8">
        <f t="shared" ref="BL262:BL325" si="26">IF(ROW()&lt;=$BL$4,ROW()-ROW(BL$4),"")</f>
        <v>258</v>
      </c>
      <c r="BM262" s="6">
        <f t="shared" si="23"/>
        <v>8</v>
      </c>
      <c r="BN262" s="6">
        <f t="shared" si="24"/>
        <v>6</v>
      </c>
      <c r="BO262" s="35"/>
      <c r="BP262" s="1"/>
      <c r="BQ262" s="1"/>
      <c r="BR262" s="1"/>
      <c r="BS262" s="1"/>
      <c r="BT262" s="1"/>
      <c r="BU262" s="1"/>
      <c r="BV262" s="32"/>
      <c r="BW262" s="1"/>
      <c r="BX262" s="32"/>
      <c r="BY262" s="32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</row>
    <row r="263" spans="1:115" ht="11.25" customHeight="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56">
        <v>7</v>
      </c>
      <c r="BG263" s="57">
        <v>33</v>
      </c>
      <c r="BH263" s="57">
        <v>1</v>
      </c>
      <c r="BI263" s="57">
        <v>28</v>
      </c>
      <c r="BJ263" s="13" t="str">
        <f t="shared" si="25"/>
        <v>1,33</v>
      </c>
      <c r="BK263" s="35"/>
      <c r="BL263" s="8">
        <f t="shared" si="26"/>
        <v>259</v>
      </c>
      <c r="BM263" s="6">
        <f t="shared" si="23"/>
        <v>8</v>
      </c>
      <c r="BN263" s="6">
        <f t="shared" si="24"/>
        <v>7</v>
      </c>
      <c r="BO263" s="35"/>
      <c r="BP263" s="1"/>
      <c r="BQ263" s="1"/>
      <c r="BR263" s="1"/>
      <c r="BS263" s="1"/>
      <c r="BT263" s="1"/>
      <c r="BU263" s="1"/>
      <c r="BV263" s="32"/>
      <c r="BW263" s="1"/>
      <c r="BX263" s="32"/>
      <c r="BY263" s="32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</row>
    <row r="264" spans="1:115" ht="11.25" customHeight="1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56">
        <v>7</v>
      </c>
      <c r="BG264" s="57">
        <v>33</v>
      </c>
      <c r="BH264" s="57">
        <v>2</v>
      </c>
      <c r="BI264" s="57">
        <v>28</v>
      </c>
      <c r="BJ264" s="13" t="str">
        <f t="shared" si="25"/>
        <v>2,33</v>
      </c>
      <c r="BK264" s="35"/>
      <c r="BL264" s="8">
        <f t="shared" si="26"/>
        <v>260</v>
      </c>
      <c r="BM264" s="6">
        <f t="shared" ref="BM264:BM327" si="27">IF(ISNUMBER(BL264),INT(BL263/$BN$4)+1,"")</f>
        <v>8</v>
      </c>
      <c r="BN264" s="6">
        <f t="shared" ref="BN264:BN327" si="28">IF(ISNUMBER(BL264),IF(BM263&lt;&gt;BM264,1,BN263+1),"")</f>
        <v>8</v>
      </c>
      <c r="BO264" s="35"/>
      <c r="BP264" s="1"/>
      <c r="BQ264" s="1"/>
      <c r="BR264" s="1"/>
      <c r="BS264" s="1"/>
      <c r="BT264" s="1"/>
      <c r="BU264" s="1"/>
      <c r="BV264" s="32"/>
      <c r="BW264" s="1"/>
      <c r="BX264" s="32"/>
      <c r="BY264" s="32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</row>
    <row r="265" spans="1:115" ht="11.25" customHeight="1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56">
        <v>7</v>
      </c>
      <c r="BG265" s="57">
        <v>33</v>
      </c>
      <c r="BH265" s="57">
        <v>3</v>
      </c>
      <c r="BI265" s="57">
        <v>28</v>
      </c>
      <c r="BJ265" s="13" t="str">
        <f t="shared" si="25"/>
        <v>3,33</v>
      </c>
      <c r="BK265" s="35"/>
      <c r="BL265" s="8">
        <f t="shared" si="26"/>
        <v>261</v>
      </c>
      <c r="BM265" s="6">
        <f t="shared" si="27"/>
        <v>8</v>
      </c>
      <c r="BN265" s="6">
        <f t="shared" si="28"/>
        <v>9</v>
      </c>
      <c r="BO265" s="35"/>
      <c r="BP265" s="1"/>
      <c r="BQ265" s="1"/>
      <c r="BR265" s="1"/>
      <c r="BS265" s="1"/>
      <c r="BT265" s="1"/>
      <c r="BU265" s="1"/>
      <c r="BV265" s="32"/>
      <c r="BW265" s="1"/>
      <c r="BX265" s="32"/>
      <c r="BY265" s="32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</row>
    <row r="266" spans="1:115" ht="11.25" customHeight="1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56">
        <v>7</v>
      </c>
      <c r="BG266" s="57">
        <v>33</v>
      </c>
      <c r="BH266" s="57">
        <v>4</v>
      </c>
      <c r="BI266" s="57">
        <v>28</v>
      </c>
      <c r="BJ266" s="13" t="str">
        <f t="shared" si="25"/>
        <v>4,33</v>
      </c>
      <c r="BK266" s="35"/>
      <c r="BL266" s="8">
        <f t="shared" si="26"/>
        <v>262</v>
      </c>
      <c r="BM266" s="6">
        <f t="shared" si="27"/>
        <v>8</v>
      </c>
      <c r="BN266" s="6">
        <f t="shared" si="28"/>
        <v>10</v>
      </c>
      <c r="BO266" s="35"/>
      <c r="BP266" s="1"/>
      <c r="BQ266" s="1"/>
      <c r="BR266" s="1"/>
      <c r="BS266" s="1"/>
      <c r="BT266" s="1"/>
      <c r="BU266" s="1"/>
      <c r="BV266" s="32"/>
      <c r="BW266" s="1"/>
      <c r="BX266" s="32"/>
      <c r="BY266" s="32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</row>
    <row r="267" spans="1:115" ht="11.25" customHeight="1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56">
        <v>7</v>
      </c>
      <c r="BG267" s="57">
        <v>33</v>
      </c>
      <c r="BH267" s="57">
        <v>5</v>
      </c>
      <c r="BI267" s="57">
        <v>28</v>
      </c>
      <c r="BJ267" s="13" t="str">
        <f t="shared" si="25"/>
        <v>5,33</v>
      </c>
      <c r="BK267" s="35"/>
      <c r="BL267" s="8">
        <f t="shared" si="26"/>
        <v>263</v>
      </c>
      <c r="BM267" s="6">
        <f t="shared" si="27"/>
        <v>8</v>
      </c>
      <c r="BN267" s="6">
        <f t="shared" si="28"/>
        <v>11</v>
      </c>
      <c r="BO267" s="35"/>
      <c r="BP267" s="1"/>
      <c r="BQ267" s="1"/>
      <c r="BR267" s="1"/>
      <c r="BS267" s="1"/>
      <c r="BT267" s="1"/>
      <c r="BU267" s="1"/>
      <c r="BV267" s="32"/>
      <c r="BW267" s="1"/>
      <c r="BX267" s="32"/>
      <c r="BY267" s="32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35"/>
    </row>
    <row r="268" spans="1:115" ht="11.25" customHeight="1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56">
        <v>7</v>
      </c>
      <c r="BG268" s="57">
        <v>33</v>
      </c>
      <c r="BH268" s="57">
        <v>6</v>
      </c>
      <c r="BI268" s="57">
        <v>28</v>
      </c>
      <c r="BJ268" s="13" t="str">
        <f t="shared" si="25"/>
        <v>6,33</v>
      </c>
      <c r="BK268" s="35"/>
      <c r="BL268" s="8">
        <f t="shared" si="26"/>
        <v>264</v>
      </c>
      <c r="BM268" s="6">
        <f t="shared" si="27"/>
        <v>8</v>
      </c>
      <c r="BN268" s="6">
        <f t="shared" si="28"/>
        <v>12</v>
      </c>
      <c r="BO268" s="35"/>
      <c r="BP268" s="1"/>
      <c r="BQ268" s="1"/>
      <c r="BR268" s="1"/>
      <c r="BS268" s="1"/>
      <c r="BT268" s="1"/>
      <c r="BU268" s="1"/>
      <c r="BV268" s="32"/>
      <c r="BW268" s="1"/>
      <c r="BX268" s="32"/>
      <c r="BY268" s="32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35"/>
    </row>
    <row r="269" spans="1:115" ht="11.25" customHeight="1" x14ac:dyDescent="0.2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56">
        <v>7</v>
      </c>
      <c r="BG269" s="57">
        <v>33</v>
      </c>
      <c r="BH269" s="57">
        <v>7</v>
      </c>
      <c r="BI269" s="57">
        <v>28</v>
      </c>
      <c r="BJ269" s="13" t="str">
        <f t="shared" si="25"/>
        <v>7,33</v>
      </c>
      <c r="BK269" s="35"/>
      <c r="BL269" s="8">
        <f t="shared" si="26"/>
        <v>265</v>
      </c>
      <c r="BM269" s="6">
        <f t="shared" si="27"/>
        <v>8</v>
      </c>
      <c r="BN269" s="6">
        <f t="shared" si="28"/>
        <v>13</v>
      </c>
      <c r="BO269" s="35"/>
      <c r="BP269" s="1"/>
      <c r="BQ269" s="1"/>
      <c r="BR269" s="1"/>
      <c r="BS269" s="1"/>
      <c r="BT269" s="1"/>
      <c r="BU269" s="1"/>
      <c r="BV269" s="32"/>
      <c r="BW269" s="1"/>
      <c r="BX269" s="32"/>
      <c r="BY269" s="32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35"/>
    </row>
    <row r="270" spans="1:115" ht="11.25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56">
        <v>7</v>
      </c>
      <c r="BG270" s="57">
        <v>34</v>
      </c>
      <c r="BH270" s="57">
        <v>8</v>
      </c>
      <c r="BI270" s="57">
        <v>28</v>
      </c>
      <c r="BJ270" s="13" t="str">
        <f t="shared" si="25"/>
        <v>8,34</v>
      </c>
      <c r="BK270" s="35"/>
      <c r="BL270" s="8">
        <f t="shared" si="26"/>
        <v>266</v>
      </c>
      <c r="BM270" s="6">
        <f t="shared" si="27"/>
        <v>8</v>
      </c>
      <c r="BN270" s="6">
        <f t="shared" si="28"/>
        <v>14</v>
      </c>
      <c r="BO270" s="35"/>
      <c r="BP270" s="1"/>
      <c r="BQ270" s="1"/>
      <c r="BR270" s="1"/>
      <c r="BS270" s="1"/>
      <c r="BT270" s="1"/>
      <c r="BU270" s="1"/>
      <c r="BV270" s="32"/>
      <c r="BW270" s="1"/>
      <c r="BX270" s="32"/>
      <c r="BY270" s="32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</row>
    <row r="271" spans="1:115" ht="11.25" customHeight="1" x14ac:dyDescent="0.2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56">
        <v>7</v>
      </c>
      <c r="BG271" s="57">
        <v>34</v>
      </c>
      <c r="BH271" s="57">
        <v>9</v>
      </c>
      <c r="BI271" s="57">
        <v>28</v>
      </c>
      <c r="BJ271" s="13" t="str">
        <f t="shared" si="25"/>
        <v>9,34</v>
      </c>
      <c r="BK271" s="35"/>
      <c r="BL271" s="8">
        <f t="shared" si="26"/>
        <v>267</v>
      </c>
      <c r="BM271" s="6">
        <f t="shared" si="27"/>
        <v>8</v>
      </c>
      <c r="BN271" s="6">
        <f t="shared" si="28"/>
        <v>15</v>
      </c>
      <c r="BO271" s="35"/>
      <c r="BP271" s="1"/>
      <c r="BQ271" s="1"/>
      <c r="BR271" s="1"/>
      <c r="BS271" s="1"/>
      <c r="BT271" s="1"/>
      <c r="BU271" s="1"/>
      <c r="BV271" s="32"/>
      <c r="BW271" s="1"/>
      <c r="BX271" s="32"/>
      <c r="BY271" s="32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</row>
    <row r="272" spans="1:115" ht="11.25" customHeight="1" x14ac:dyDescent="0.2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56">
        <v>7</v>
      </c>
      <c r="BG272" s="57">
        <v>34</v>
      </c>
      <c r="BH272" s="57">
        <v>10</v>
      </c>
      <c r="BI272" s="57">
        <v>28</v>
      </c>
      <c r="BJ272" s="13" t="str">
        <f t="shared" si="25"/>
        <v>10,34</v>
      </c>
      <c r="BK272" s="35"/>
      <c r="BL272" s="8">
        <f t="shared" si="26"/>
        <v>268</v>
      </c>
      <c r="BM272" s="6">
        <f t="shared" si="27"/>
        <v>8</v>
      </c>
      <c r="BN272" s="6">
        <f t="shared" si="28"/>
        <v>16</v>
      </c>
      <c r="BO272" s="35"/>
      <c r="BP272" s="1"/>
      <c r="BQ272" s="1"/>
      <c r="BR272" s="1"/>
      <c r="BS272" s="1"/>
      <c r="BT272" s="1"/>
      <c r="BU272" s="1"/>
      <c r="BV272" s="32"/>
      <c r="BW272" s="1"/>
      <c r="BX272" s="32"/>
      <c r="BY272" s="32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</row>
    <row r="273" spans="1:115" ht="11.25" customHeight="1" x14ac:dyDescent="0.2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56">
        <v>7</v>
      </c>
      <c r="BG273" s="57">
        <v>34</v>
      </c>
      <c r="BH273" s="57">
        <v>11</v>
      </c>
      <c r="BI273" s="57">
        <v>28</v>
      </c>
      <c r="BJ273" s="13" t="str">
        <f t="shared" si="25"/>
        <v>11,34</v>
      </c>
      <c r="BK273" s="35"/>
      <c r="BL273" s="8">
        <f t="shared" si="26"/>
        <v>269</v>
      </c>
      <c r="BM273" s="6">
        <f t="shared" si="27"/>
        <v>8</v>
      </c>
      <c r="BN273" s="6">
        <f t="shared" si="28"/>
        <v>17</v>
      </c>
      <c r="BO273" s="35"/>
      <c r="BP273" s="1"/>
      <c r="BQ273" s="1"/>
      <c r="BR273" s="1"/>
      <c r="BS273" s="1"/>
      <c r="BT273" s="1"/>
      <c r="BU273" s="1"/>
      <c r="BV273" s="32"/>
      <c r="BW273" s="1"/>
      <c r="BX273" s="32"/>
      <c r="BY273" s="32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35"/>
    </row>
    <row r="274" spans="1:115" ht="11.25" customHeight="1" x14ac:dyDescent="0.2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56">
        <v>7</v>
      </c>
      <c r="BG274" s="57">
        <v>34</v>
      </c>
      <c r="BH274" s="57">
        <v>12</v>
      </c>
      <c r="BI274" s="57">
        <v>28</v>
      </c>
      <c r="BJ274" s="13" t="str">
        <f t="shared" si="25"/>
        <v>12,34</v>
      </c>
      <c r="BK274" s="35"/>
      <c r="BL274" s="8">
        <f t="shared" si="26"/>
        <v>270</v>
      </c>
      <c r="BM274" s="6">
        <f t="shared" si="27"/>
        <v>8</v>
      </c>
      <c r="BN274" s="6">
        <f t="shared" si="28"/>
        <v>18</v>
      </c>
      <c r="BO274" s="35"/>
      <c r="BP274" s="1"/>
      <c r="BQ274" s="1"/>
      <c r="BR274" s="1"/>
      <c r="BS274" s="1"/>
      <c r="BT274" s="1"/>
      <c r="BU274" s="1"/>
      <c r="BV274" s="32"/>
      <c r="BW274" s="1"/>
      <c r="BX274" s="32"/>
      <c r="BY274" s="32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35"/>
    </row>
    <row r="275" spans="1:115" ht="11.25" customHeight="1" x14ac:dyDescent="0.2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56">
        <v>7</v>
      </c>
      <c r="BG275" s="57">
        <v>34</v>
      </c>
      <c r="BH275" s="57">
        <v>13</v>
      </c>
      <c r="BI275" s="57">
        <v>28</v>
      </c>
      <c r="BJ275" s="13" t="str">
        <f t="shared" si="25"/>
        <v>13,34</v>
      </c>
      <c r="BK275" s="35"/>
      <c r="BL275" s="8">
        <f t="shared" si="26"/>
        <v>271</v>
      </c>
      <c r="BM275" s="6">
        <f t="shared" si="27"/>
        <v>8</v>
      </c>
      <c r="BN275" s="6">
        <f t="shared" si="28"/>
        <v>19</v>
      </c>
      <c r="BO275" s="35"/>
      <c r="BP275" s="1"/>
      <c r="BQ275" s="1"/>
      <c r="BR275" s="1"/>
      <c r="BS275" s="1"/>
      <c r="BT275" s="1"/>
      <c r="BU275" s="1"/>
      <c r="BV275" s="32"/>
      <c r="BW275" s="1"/>
      <c r="BX275" s="32"/>
      <c r="BY275" s="32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35"/>
    </row>
    <row r="276" spans="1:115" ht="11.25" customHeight="1" x14ac:dyDescent="0.2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56">
        <v>7</v>
      </c>
      <c r="BG276" s="57">
        <v>35</v>
      </c>
      <c r="BH276" s="57">
        <v>14</v>
      </c>
      <c r="BI276" s="57">
        <v>28</v>
      </c>
      <c r="BJ276" s="13" t="str">
        <f t="shared" si="25"/>
        <v>14,35</v>
      </c>
      <c r="BK276" s="35"/>
      <c r="BL276" s="8">
        <f t="shared" si="26"/>
        <v>272</v>
      </c>
      <c r="BM276" s="6">
        <f t="shared" si="27"/>
        <v>8</v>
      </c>
      <c r="BN276" s="6">
        <f t="shared" si="28"/>
        <v>20</v>
      </c>
      <c r="BO276" s="35"/>
      <c r="BP276" s="1"/>
      <c r="BQ276" s="1"/>
      <c r="BR276" s="1"/>
      <c r="BS276" s="1"/>
      <c r="BT276" s="1"/>
      <c r="BU276" s="1"/>
      <c r="BV276" s="32"/>
      <c r="BW276" s="1"/>
      <c r="BX276" s="32"/>
      <c r="BY276" s="32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</row>
    <row r="277" spans="1:115" ht="11.25" customHeight="1" x14ac:dyDescent="0.2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56">
        <v>7</v>
      </c>
      <c r="BG277" s="57">
        <v>35</v>
      </c>
      <c r="BH277" s="57">
        <v>15</v>
      </c>
      <c r="BI277" s="57">
        <v>28</v>
      </c>
      <c r="BJ277" s="13" t="str">
        <f t="shared" si="25"/>
        <v>15,35</v>
      </c>
      <c r="BK277" s="35"/>
      <c r="BL277" s="8">
        <f t="shared" si="26"/>
        <v>273</v>
      </c>
      <c r="BM277" s="6">
        <f t="shared" si="27"/>
        <v>8</v>
      </c>
      <c r="BN277" s="6">
        <f t="shared" si="28"/>
        <v>21</v>
      </c>
      <c r="BO277" s="35"/>
      <c r="BP277" s="1"/>
      <c r="BQ277" s="1"/>
      <c r="BR277" s="1"/>
      <c r="BS277" s="1"/>
      <c r="BT277" s="1"/>
      <c r="BU277" s="1"/>
      <c r="BV277" s="32"/>
      <c r="BW277" s="1"/>
      <c r="BX277" s="32"/>
      <c r="BY277" s="32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</row>
    <row r="278" spans="1:115" ht="11.25" customHeight="1" x14ac:dyDescent="0.2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56">
        <v>7</v>
      </c>
      <c r="BG278" s="57">
        <v>35</v>
      </c>
      <c r="BH278" s="57">
        <v>16</v>
      </c>
      <c r="BI278" s="57">
        <v>28</v>
      </c>
      <c r="BJ278" s="13" t="str">
        <f t="shared" si="25"/>
        <v>16,35</v>
      </c>
      <c r="BK278" s="35"/>
      <c r="BL278" s="8">
        <f t="shared" si="26"/>
        <v>274</v>
      </c>
      <c r="BM278" s="6">
        <f t="shared" si="27"/>
        <v>8</v>
      </c>
      <c r="BN278" s="6">
        <f t="shared" si="28"/>
        <v>22</v>
      </c>
      <c r="BO278" s="35"/>
      <c r="BP278" s="1"/>
      <c r="BQ278" s="1"/>
      <c r="BR278" s="1"/>
      <c r="BS278" s="1"/>
      <c r="BT278" s="1"/>
      <c r="BU278" s="1"/>
      <c r="BV278" s="32"/>
      <c r="BW278" s="1"/>
      <c r="BX278" s="32"/>
      <c r="BY278" s="32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35"/>
    </row>
    <row r="279" spans="1:115" ht="11.25" customHeight="1" x14ac:dyDescent="0.2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56">
        <v>7</v>
      </c>
      <c r="BG279" s="57">
        <v>35</v>
      </c>
      <c r="BH279" s="57">
        <v>17</v>
      </c>
      <c r="BI279" s="57">
        <v>28</v>
      </c>
      <c r="BJ279" s="13" t="str">
        <f t="shared" si="25"/>
        <v>17,35</v>
      </c>
      <c r="BK279" s="35"/>
      <c r="BL279" s="8">
        <f t="shared" si="26"/>
        <v>275</v>
      </c>
      <c r="BM279" s="6">
        <f t="shared" si="27"/>
        <v>8</v>
      </c>
      <c r="BN279" s="6">
        <f t="shared" si="28"/>
        <v>23</v>
      </c>
      <c r="BO279" s="35"/>
      <c r="BP279" s="1"/>
      <c r="BQ279" s="1"/>
      <c r="BR279" s="1"/>
      <c r="BS279" s="1"/>
      <c r="BT279" s="1"/>
      <c r="BU279" s="1"/>
      <c r="BV279" s="32"/>
      <c r="BW279" s="1"/>
      <c r="BX279" s="32"/>
      <c r="BY279" s="32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</row>
    <row r="280" spans="1:115" ht="11.2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56">
        <v>7</v>
      </c>
      <c r="BG280" s="57">
        <v>35</v>
      </c>
      <c r="BH280" s="57">
        <v>18</v>
      </c>
      <c r="BI280" s="57">
        <v>28</v>
      </c>
      <c r="BJ280" s="13" t="str">
        <f t="shared" si="25"/>
        <v>18,35</v>
      </c>
      <c r="BK280" s="35"/>
      <c r="BL280" s="8">
        <f t="shared" si="26"/>
        <v>276</v>
      </c>
      <c r="BM280" s="6">
        <f t="shared" si="27"/>
        <v>8</v>
      </c>
      <c r="BN280" s="6">
        <f t="shared" si="28"/>
        <v>24</v>
      </c>
      <c r="BO280" s="35"/>
      <c r="BP280" s="1"/>
      <c r="BQ280" s="1"/>
      <c r="BR280" s="1"/>
      <c r="BS280" s="1"/>
      <c r="BT280" s="1"/>
      <c r="BU280" s="1"/>
      <c r="BV280" s="32"/>
      <c r="BW280" s="1"/>
      <c r="BX280" s="32"/>
      <c r="BY280" s="32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</row>
    <row r="281" spans="1:115" ht="11.2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56">
        <v>7</v>
      </c>
      <c r="BG281" s="57">
        <v>35</v>
      </c>
      <c r="BH281" s="57">
        <v>19</v>
      </c>
      <c r="BI281" s="57">
        <v>28</v>
      </c>
      <c r="BJ281" s="13" t="str">
        <f t="shared" si="25"/>
        <v>19,35</v>
      </c>
      <c r="BK281" s="35"/>
      <c r="BL281" s="8">
        <f t="shared" si="26"/>
        <v>277</v>
      </c>
      <c r="BM281" s="6">
        <f t="shared" si="27"/>
        <v>8</v>
      </c>
      <c r="BN281" s="6">
        <f t="shared" si="28"/>
        <v>25</v>
      </c>
      <c r="BO281" s="35"/>
      <c r="BP281" s="1"/>
      <c r="BQ281" s="1"/>
      <c r="BR281" s="1"/>
      <c r="BS281" s="1"/>
      <c r="BT281" s="1"/>
      <c r="BU281" s="1"/>
      <c r="BV281" s="32"/>
      <c r="BW281" s="1"/>
      <c r="BX281" s="32"/>
      <c r="BY281" s="32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35"/>
    </row>
    <row r="282" spans="1:115" ht="11.25" customHeight="1" x14ac:dyDescent="0.2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56">
        <v>7</v>
      </c>
      <c r="BG282" s="57">
        <v>35</v>
      </c>
      <c r="BH282" s="57">
        <v>20</v>
      </c>
      <c r="BI282" s="57">
        <v>28</v>
      </c>
      <c r="BJ282" s="13" t="str">
        <f t="shared" si="25"/>
        <v>20,35</v>
      </c>
      <c r="BK282" s="35"/>
      <c r="BL282" s="8">
        <f t="shared" si="26"/>
        <v>278</v>
      </c>
      <c r="BM282" s="6">
        <f t="shared" si="27"/>
        <v>8</v>
      </c>
      <c r="BN282" s="6">
        <f t="shared" si="28"/>
        <v>26</v>
      </c>
      <c r="BO282" s="35"/>
      <c r="BP282" s="1"/>
      <c r="BQ282" s="1"/>
      <c r="BR282" s="1"/>
      <c r="BS282" s="1"/>
      <c r="BT282" s="1"/>
      <c r="BU282" s="1"/>
      <c r="BV282" s="32"/>
      <c r="BW282" s="1"/>
      <c r="BX282" s="32"/>
      <c r="BY282" s="32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35"/>
    </row>
    <row r="283" spans="1:115" ht="11.25" customHeight="1" x14ac:dyDescent="0.2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56">
        <v>7</v>
      </c>
      <c r="BG283" s="57">
        <v>36</v>
      </c>
      <c r="BH283" s="57">
        <v>21</v>
      </c>
      <c r="BI283" s="57">
        <v>28</v>
      </c>
      <c r="BJ283" s="13" t="str">
        <f t="shared" si="25"/>
        <v>21,36</v>
      </c>
      <c r="BK283" s="35"/>
      <c r="BL283" s="8">
        <f t="shared" si="26"/>
        <v>279</v>
      </c>
      <c r="BM283" s="6">
        <f t="shared" si="27"/>
        <v>8</v>
      </c>
      <c r="BN283" s="6">
        <f t="shared" si="28"/>
        <v>27</v>
      </c>
      <c r="BO283" s="35"/>
      <c r="BP283" s="1"/>
      <c r="BQ283" s="1"/>
      <c r="BR283" s="1"/>
      <c r="BS283" s="1"/>
      <c r="BT283" s="1"/>
      <c r="BU283" s="1"/>
      <c r="BV283" s="32"/>
      <c r="BW283" s="1"/>
      <c r="BX283" s="32"/>
      <c r="BY283" s="32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35"/>
      <c r="DJ283" s="35"/>
      <c r="DK283" s="35"/>
    </row>
    <row r="284" spans="1:115" ht="11.25" customHeight="1" x14ac:dyDescent="0.2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56">
        <v>7</v>
      </c>
      <c r="BG284" s="57">
        <v>36</v>
      </c>
      <c r="BH284" s="57">
        <v>22</v>
      </c>
      <c r="BI284" s="57">
        <v>28</v>
      </c>
      <c r="BJ284" s="13" t="str">
        <f t="shared" si="25"/>
        <v>22,36</v>
      </c>
      <c r="BK284" s="35"/>
      <c r="BL284" s="8">
        <f t="shared" si="26"/>
        <v>280</v>
      </c>
      <c r="BM284" s="6">
        <f t="shared" si="27"/>
        <v>8</v>
      </c>
      <c r="BN284" s="6">
        <f t="shared" si="28"/>
        <v>28</v>
      </c>
      <c r="BO284" s="35"/>
      <c r="BP284" s="1"/>
      <c r="BQ284" s="1"/>
      <c r="BR284" s="1"/>
      <c r="BS284" s="1"/>
      <c r="BT284" s="1"/>
      <c r="BU284" s="1"/>
      <c r="BV284" s="32"/>
      <c r="BW284" s="1"/>
      <c r="BX284" s="32"/>
      <c r="BY284" s="32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35"/>
    </row>
    <row r="285" spans="1:115" ht="11.25" customHeight="1" x14ac:dyDescent="0.2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56">
        <v>7</v>
      </c>
      <c r="BG285" s="57">
        <v>36</v>
      </c>
      <c r="BH285" s="57">
        <v>23</v>
      </c>
      <c r="BI285" s="57">
        <v>28</v>
      </c>
      <c r="BJ285" s="13" t="str">
        <f t="shared" si="25"/>
        <v>23,36</v>
      </c>
      <c r="BK285" s="35"/>
      <c r="BL285" s="8">
        <f t="shared" si="26"/>
        <v>281</v>
      </c>
      <c r="BM285" s="6">
        <f t="shared" si="27"/>
        <v>8</v>
      </c>
      <c r="BN285" s="6">
        <f t="shared" si="28"/>
        <v>29</v>
      </c>
      <c r="BO285" s="35"/>
      <c r="BP285" s="1"/>
      <c r="BQ285" s="1"/>
      <c r="BR285" s="1"/>
      <c r="BS285" s="1"/>
      <c r="BT285" s="1"/>
      <c r="BU285" s="1"/>
      <c r="BV285" s="32"/>
      <c r="BW285" s="1"/>
      <c r="BX285" s="32"/>
      <c r="BY285" s="32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35"/>
      <c r="DJ285" s="35"/>
      <c r="DK285" s="35"/>
    </row>
    <row r="286" spans="1:115" ht="11.25" customHeight="1" x14ac:dyDescent="0.2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56">
        <v>8</v>
      </c>
      <c r="BG286" s="57">
        <v>1</v>
      </c>
      <c r="BH286" s="57">
        <v>4</v>
      </c>
      <c r="BI286" s="57">
        <v>50</v>
      </c>
      <c r="BJ286" s="13" t="str">
        <f t="shared" si="25"/>
        <v>4,1</v>
      </c>
      <c r="BK286" s="35"/>
      <c r="BL286" s="8">
        <f t="shared" si="26"/>
        <v>282</v>
      </c>
      <c r="BM286" s="6">
        <f t="shared" si="27"/>
        <v>8</v>
      </c>
      <c r="BN286" s="6">
        <f t="shared" si="28"/>
        <v>30</v>
      </c>
      <c r="BO286" s="35"/>
      <c r="BP286" s="1"/>
      <c r="BQ286" s="1"/>
      <c r="BR286" s="1"/>
      <c r="BS286" s="1"/>
      <c r="BT286" s="1"/>
      <c r="BU286" s="1"/>
      <c r="BV286" s="32"/>
      <c r="BW286" s="1"/>
      <c r="BX286" s="32"/>
      <c r="BY286" s="32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</row>
    <row r="287" spans="1:115" ht="11.25" customHeight="1" x14ac:dyDescent="0.2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56">
        <v>8</v>
      </c>
      <c r="BG287" s="57">
        <v>1</v>
      </c>
      <c r="BH287" s="57">
        <v>5</v>
      </c>
      <c r="BI287" s="57">
        <v>50</v>
      </c>
      <c r="BJ287" s="13" t="str">
        <f t="shared" si="25"/>
        <v>5,1</v>
      </c>
      <c r="BK287" s="35"/>
      <c r="BL287" s="8">
        <f t="shared" si="26"/>
        <v>283</v>
      </c>
      <c r="BM287" s="6">
        <f t="shared" si="27"/>
        <v>8</v>
      </c>
      <c r="BN287" s="6">
        <f t="shared" si="28"/>
        <v>31</v>
      </c>
      <c r="BO287" s="35"/>
      <c r="BP287" s="1"/>
      <c r="BQ287" s="1"/>
      <c r="BR287" s="1"/>
      <c r="BS287" s="1"/>
      <c r="BT287" s="1"/>
      <c r="BU287" s="1"/>
      <c r="BV287" s="32"/>
      <c r="BW287" s="1"/>
      <c r="BX287" s="32"/>
      <c r="BY287" s="32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35"/>
      <c r="DJ287" s="35"/>
      <c r="DK287" s="35"/>
    </row>
    <row r="288" spans="1:115" ht="11.25" customHeight="1" x14ac:dyDescent="0.2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56">
        <v>8</v>
      </c>
      <c r="BG288" s="57">
        <v>1</v>
      </c>
      <c r="BH288" s="57">
        <v>6</v>
      </c>
      <c r="BI288" s="57">
        <v>50</v>
      </c>
      <c r="BJ288" s="13" t="str">
        <f t="shared" si="25"/>
        <v>6,1</v>
      </c>
      <c r="BK288" s="35"/>
      <c r="BL288" s="8">
        <f t="shared" si="26"/>
        <v>284</v>
      </c>
      <c r="BM288" s="6">
        <f t="shared" si="27"/>
        <v>8</v>
      </c>
      <c r="BN288" s="6">
        <f t="shared" si="28"/>
        <v>32</v>
      </c>
      <c r="BO288" s="35"/>
      <c r="BP288" s="1"/>
      <c r="BQ288" s="1"/>
      <c r="BR288" s="1"/>
      <c r="BS288" s="1"/>
      <c r="BT288" s="1"/>
      <c r="BU288" s="1"/>
      <c r="BV288" s="32"/>
      <c r="BW288" s="1"/>
      <c r="BX288" s="32"/>
      <c r="BY288" s="32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35"/>
    </row>
    <row r="289" spans="1:115" ht="11.25" customHeight="1" x14ac:dyDescent="0.2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56">
        <v>8</v>
      </c>
      <c r="BG289" s="57">
        <v>1</v>
      </c>
      <c r="BH289" s="57">
        <v>7</v>
      </c>
      <c r="BI289" s="57">
        <v>50</v>
      </c>
      <c r="BJ289" s="13" t="str">
        <f t="shared" si="25"/>
        <v>7,1</v>
      </c>
      <c r="BK289" s="35"/>
      <c r="BL289" s="8">
        <f t="shared" si="26"/>
        <v>285</v>
      </c>
      <c r="BM289" s="6">
        <f t="shared" si="27"/>
        <v>8</v>
      </c>
      <c r="BN289" s="6">
        <f t="shared" si="28"/>
        <v>33</v>
      </c>
      <c r="BO289" s="35"/>
      <c r="BP289" s="1"/>
      <c r="BQ289" s="1"/>
      <c r="BR289" s="1"/>
      <c r="BS289" s="1"/>
      <c r="BT289" s="1"/>
      <c r="BU289" s="1"/>
      <c r="BV289" s="32"/>
      <c r="BW289" s="1"/>
      <c r="BX289" s="32"/>
      <c r="BY289" s="32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35"/>
    </row>
    <row r="290" spans="1:115" ht="11.25" customHeight="1" x14ac:dyDescent="0.2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56">
        <v>8</v>
      </c>
      <c r="BG290" s="57">
        <v>1</v>
      </c>
      <c r="BH290" s="57">
        <v>8</v>
      </c>
      <c r="BI290" s="57">
        <v>50</v>
      </c>
      <c r="BJ290" s="13" t="str">
        <f t="shared" si="25"/>
        <v>8,1</v>
      </c>
      <c r="BK290" s="35"/>
      <c r="BL290" s="8">
        <f t="shared" si="26"/>
        <v>286</v>
      </c>
      <c r="BM290" s="6">
        <f t="shared" si="27"/>
        <v>8</v>
      </c>
      <c r="BN290" s="6">
        <f t="shared" si="28"/>
        <v>34</v>
      </c>
      <c r="BO290" s="35"/>
      <c r="BP290" s="1"/>
      <c r="BQ290" s="1"/>
      <c r="BR290" s="1"/>
      <c r="BS290" s="1"/>
      <c r="BT290" s="1"/>
      <c r="BU290" s="1"/>
      <c r="BV290" s="32"/>
      <c r="BW290" s="1"/>
      <c r="BX290" s="32"/>
      <c r="BY290" s="32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35"/>
      <c r="DJ290" s="35"/>
      <c r="DK290" s="35"/>
    </row>
    <row r="291" spans="1:115" ht="11.25" customHeight="1" x14ac:dyDescent="0.2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56">
        <v>8</v>
      </c>
      <c r="BG291" s="57">
        <v>1</v>
      </c>
      <c r="BH291" s="57">
        <v>9</v>
      </c>
      <c r="BI291" s="57">
        <v>50</v>
      </c>
      <c r="BJ291" s="13" t="str">
        <f t="shared" si="25"/>
        <v>9,1</v>
      </c>
      <c r="BK291" s="35"/>
      <c r="BL291" s="8">
        <f t="shared" si="26"/>
        <v>287</v>
      </c>
      <c r="BM291" s="6">
        <f t="shared" si="27"/>
        <v>8</v>
      </c>
      <c r="BN291" s="6">
        <f t="shared" si="28"/>
        <v>35</v>
      </c>
      <c r="BO291" s="35"/>
      <c r="BP291" s="1"/>
      <c r="BQ291" s="1"/>
      <c r="BR291" s="1"/>
      <c r="BS291" s="1"/>
      <c r="BT291" s="1"/>
      <c r="BU291" s="1"/>
      <c r="BV291" s="32"/>
      <c r="BW291" s="1"/>
      <c r="BX291" s="32"/>
      <c r="BY291" s="32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35"/>
      <c r="DJ291" s="35"/>
      <c r="DK291" s="35"/>
    </row>
    <row r="292" spans="1:115" ht="11.25" customHeight="1" x14ac:dyDescent="0.2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56">
        <v>8</v>
      </c>
      <c r="BG292" s="57">
        <v>1</v>
      </c>
      <c r="BH292" s="57">
        <v>10</v>
      </c>
      <c r="BI292" s="57">
        <v>50</v>
      </c>
      <c r="BJ292" s="13" t="str">
        <f t="shared" si="25"/>
        <v>10,1</v>
      </c>
      <c r="BK292" s="35"/>
      <c r="BL292" s="8">
        <f t="shared" si="26"/>
        <v>288</v>
      </c>
      <c r="BM292" s="6">
        <f t="shared" si="27"/>
        <v>8</v>
      </c>
      <c r="BN292" s="6">
        <f t="shared" si="28"/>
        <v>36</v>
      </c>
      <c r="BO292" s="35"/>
      <c r="BP292" s="1"/>
      <c r="BQ292" s="1"/>
      <c r="BR292" s="1"/>
      <c r="BS292" s="1"/>
      <c r="BT292" s="1"/>
      <c r="BU292" s="1"/>
      <c r="BV292" s="32"/>
      <c r="BW292" s="1"/>
      <c r="BX292" s="32"/>
      <c r="BY292" s="32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35"/>
    </row>
    <row r="293" spans="1:115" ht="11.25" customHeight="1" x14ac:dyDescent="0.2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56">
        <v>8</v>
      </c>
      <c r="BG293" s="57">
        <v>1</v>
      </c>
      <c r="BH293" s="57">
        <v>11</v>
      </c>
      <c r="BI293" s="57">
        <v>50</v>
      </c>
      <c r="BJ293" s="13" t="str">
        <f t="shared" si="25"/>
        <v>11,1</v>
      </c>
      <c r="BK293" s="35"/>
      <c r="BL293" s="8">
        <f t="shared" si="26"/>
        <v>289</v>
      </c>
      <c r="BM293" s="6">
        <f t="shared" si="27"/>
        <v>9</v>
      </c>
      <c r="BN293" s="6">
        <f t="shared" si="28"/>
        <v>1</v>
      </c>
      <c r="BO293" s="35"/>
      <c r="BP293" s="1"/>
      <c r="BQ293" s="1"/>
      <c r="BR293" s="1"/>
      <c r="BS293" s="1"/>
      <c r="BT293" s="1"/>
      <c r="BU293" s="1"/>
      <c r="BV293" s="32"/>
      <c r="BW293" s="1"/>
      <c r="BX293" s="32"/>
      <c r="BY293" s="32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</row>
    <row r="294" spans="1:115" ht="11.25" customHeight="1" x14ac:dyDescent="0.2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56">
        <v>8</v>
      </c>
      <c r="BG294" s="57">
        <v>1</v>
      </c>
      <c r="BH294" s="57">
        <v>12</v>
      </c>
      <c r="BI294" s="57">
        <v>50.09</v>
      </c>
      <c r="BJ294" s="13" t="str">
        <f t="shared" si="25"/>
        <v>12,1</v>
      </c>
      <c r="BK294" s="35"/>
      <c r="BL294" s="8">
        <f t="shared" si="26"/>
        <v>290</v>
      </c>
      <c r="BM294" s="6">
        <f t="shared" si="27"/>
        <v>9</v>
      </c>
      <c r="BN294" s="6">
        <f t="shared" si="28"/>
        <v>2</v>
      </c>
      <c r="BO294" s="35"/>
      <c r="BP294" s="1"/>
      <c r="BQ294" s="1"/>
      <c r="BR294" s="1"/>
      <c r="BS294" s="1"/>
      <c r="BT294" s="1"/>
      <c r="BU294" s="1"/>
      <c r="BV294" s="32"/>
      <c r="BW294" s="1"/>
      <c r="BX294" s="32"/>
      <c r="BY294" s="32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35"/>
      <c r="DJ294" s="35"/>
      <c r="DK294" s="35"/>
    </row>
    <row r="295" spans="1:115" ht="11.25" customHeight="1" x14ac:dyDescent="0.2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56">
        <v>8</v>
      </c>
      <c r="BG295" s="57">
        <v>1</v>
      </c>
      <c r="BH295" s="57">
        <v>13</v>
      </c>
      <c r="BI295" s="57">
        <v>50.14</v>
      </c>
      <c r="BJ295" s="13" t="str">
        <f t="shared" si="25"/>
        <v>13,1</v>
      </c>
      <c r="BK295" s="35"/>
      <c r="BL295" s="8">
        <f t="shared" si="26"/>
        <v>291</v>
      </c>
      <c r="BM295" s="6">
        <f t="shared" si="27"/>
        <v>9</v>
      </c>
      <c r="BN295" s="6">
        <f t="shared" si="28"/>
        <v>3</v>
      </c>
      <c r="BO295" s="35"/>
      <c r="BP295" s="1"/>
      <c r="BQ295" s="1"/>
      <c r="BR295" s="1"/>
      <c r="BS295" s="1"/>
      <c r="BT295" s="1"/>
      <c r="BU295" s="1"/>
      <c r="BV295" s="32"/>
      <c r="BW295" s="1"/>
      <c r="BX295" s="32"/>
      <c r="BY295" s="32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35"/>
    </row>
    <row r="296" spans="1:115" ht="11.25" customHeight="1" x14ac:dyDescent="0.2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56">
        <v>8</v>
      </c>
      <c r="BG296" s="57">
        <v>1</v>
      </c>
      <c r="BH296" s="57">
        <v>14</v>
      </c>
      <c r="BI296" s="57">
        <v>50.14</v>
      </c>
      <c r="BJ296" s="13" t="str">
        <f t="shared" si="25"/>
        <v>14,1</v>
      </c>
      <c r="BK296" s="35"/>
      <c r="BL296" s="8">
        <f t="shared" si="26"/>
        <v>292</v>
      </c>
      <c r="BM296" s="6">
        <f t="shared" si="27"/>
        <v>9</v>
      </c>
      <c r="BN296" s="6">
        <f t="shared" si="28"/>
        <v>4</v>
      </c>
      <c r="BO296" s="35"/>
      <c r="BP296" s="1"/>
      <c r="BQ296" s="1"/>
      <c r="BR296" s="1"/>
      <c r="BS296" s="1"/>
      <c r="BT296" s="1"/>
      <c r="BU296" s="1"/>
      <c r="BV296" s="32"/>
      <c r="BW296" s="1"/>
      <c r="BX296" s="32"/>
      <c r="BY296" s="32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35"/>
      <c r="DJ296" s="35"/>
      <c r="DK296" s="35"/>
    </row>
    <row r="297" spans="1:115" ht="11.25" customHeight="1" x14ac:dyDescent="0.2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56">
        <v>8</v>
      </c>
      <c r="BG297" s="57">
        <v>1</v>
      </c>
      <c r="BH297" s="57">
        <v>15</v>
      </c>
      <c r="BI297" s="57">
        <v>50.09</v>
      </c>
      <c r="BJ297" s="13" t="str">
        <f t="shared" si="25"/>
        <v>15,1</v>
      </c>
      <c r="BK297" s="35"/>
      <c r="BL297" s="8">
        <f t="shared" si="26"/>
        <v>293</v>
      </c>
      <c r="BM297" s="6">
        <f t="shared" si="27"/>
        <v>9</v>
      </c>
      <c r="BN297" s="6">
        <f t="shared" si="28"/>
        <v>5</v>
      </c>
      <c r="BO297" s="35"/>
      <c r="BP297" s="1"/>
      <c r="BQ297" s="1"/>
      <c r="BR297" s="1"/>
      <c r="BS297" s="1"/>
      <c r="BT297" s="1"/>
      <c r="BU297" s="1"/>
      <c r="BV297" s="32"/>
      <c r="BW297" s="1"/>
      <c r="BX297" s="32"/>
      <c r="BY297" s="32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35"/>
      <c r="DJ297" s="35"/>
      <c r="DK297" s="35"/>
    </row>
    <row r="298" spans="1:115" ht="11.25" customHeight="1" x14ac:dyDescent="0.2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56">
        <v>8</v>
      </c>
      <c r="BG298" s="57">
        <v>1</v>
      </c>
      <c r="BH298" s="57">
        <v>16</v>
      </c>
      <c r="BI298" s="57">
        <v>50</v>
      </c>
      <c r="BJ298" s="13" t="str">
        <f t="shared" si="25"/>
        <v>16,1</v>
      </c>
      <c r="BK298" s="35"/>
      <c r="BL298" s="8">
        <f t="shared" si="26"/>
        <v>294</v>
      </c>
      <c r="BM298" s="6">
        <f t="shared" si="27"/>
        <v>9</v>
      </c>
      <c r="BN298" s="6">
        <f t="shared" si="28"/>
        <v>6</v>
      </c>
      <c r="BO298" s="35"/>
      <c r="BP298" s="1"/>
      <c r="BQ298" s="1"/>
      <c r="BR298" s="1"/>
      <c r="BS298" s="1"/>
      <c r="BT298" s="1"/>
      <c r="BU298" s="1"/>
      <c r="BV298" s="32"/>
      <c r="BW298" s="1"/>
      <c r="BX298" s="32"/>
      <c r="BY298" s="32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35"/>
      <c r="DJ298" s="35"/>
      <c r="DK298" s="35"/>
    </row>
    <row r="299" spans="1:115" ht="11.25" customHeight="1" x14ac:dyDescent="0.2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56">
        <v>8</v>
      </c>
      <c r="BG299" s="57">
        <v>1</v>
      </c>
      <c r="BH299" s="57">
        <v>17</v>
      </c>
      <c r="BI299" s="57">
        <v>50</v>
      </c>
      <c r="BJ299" s="13" t="str">
        <f t="shared" si="25"/>
        <v>17,1</v>
      </c>
      <c r="BK299" s="35"/>
      <c r="BL299" s="8">
        <f t="shared" si="26"/>
        <v>295</v>
      </c>
      <c r="BM299" s="6">
        <f t="shared" si="27"/>
        <v>9</v>
      </c>
      <c r="BN299" s="6">
        <f t="shared" si="28"/>
        <v>7</v>
      </c>
      <c r="BO299" s="35"/>
      <c r="BP299" s="1"/>
      <c r="BQ299" s="1"/>
      <c r="BR299" s="1"/>
      <c r="BS299" s="1"/>
      <c r="BT299" s="1"/>
      <c r="BU299" s="1"/>
      <c r="BV299" s="32"/>
      <c r="BW299" s="1"/>
      <c r="BX299" s="32"/>
      <c r="BY299" s="32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35"/>
      <c r="DJ299" s="35"/>
      <c r="DK299" s="35"/>
    </row>
    <row r="300" spans="1:115" ht="11.25" customHeight="1" x14ac:dyDescent="0.2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56">
        <v>8</v>
      </c>
      <c r="BG300" s="57">
        <v>1</v>
      </c>
      <c r="BH300" s="57">
        <v>18</v>
      </c>
      <c r="BI300" s="57">
        <v>50</v>
      </c>
      <c r="BJ300" s="13" t="str">
        <f t="shared" si="25"/>
        <v>18,1</v>
      </c>
      <c r="BK300" s="35"/>
      <c r="BL300" s="8">
        <f t="shared" si="26"/>
        <v>296</v>
      </c>
      <c r="BM300" s="6">
        <f t="shared" si="27"/>
        <v>9</v>
      </c>
      <c r="BN300" s="6">
        <f t="shared" si="28"/>
        <v>8</v>
      </c>
      <c r="BO300" s="35"/>
      <c r="BP300" s="1"/>
      <c r="BQ300" s="1"/>
      <c r="BR300" s="1"/>
      <c r="BS300" s="1"/>
      <c r="BT300" s="1"/>
      <c r="BU300" s="1"/>
      <c r="BV300" s="32"/>
      <c r="BW300" s="1"/>
      <c r="BX300" s="32"/>
      <c r="BY300" s="32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35"/>
      <c r="DJ300" s="35"/>
      <c r="DK300" s="35"/>
    </row>
    <row r="301" spans="1:115" ht="11.25" customHeight="1" x14ac:dyDescent="0.2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56">
        <v>8</v>
      </c>
      <c r="BG301" s="57">
        <v>1</v>
      </c>
      <c r="BH301" s="57">
        <v>19</v>
      </c>
      <c r="BI301" s="57">
        <v>50</v>
      </c>
      <c r="BJ301" s="13" t="str">
        <f t="shared" si="25"/>
        <v>19,1</v>
      </c>
      <c r="BK301" s="35"/>
      <c r="BL301" s="8">
        <f t="shared" si="26"/>
        <v>297</v>
      </c>
      <c r="BM301" s="6">
        <f t="shared" si="27"/>
        <v>9</v>
      </c>
      <c r="BN301" s="6">
        <f t="shared" si="28"/>
        <v>9</v>
      </c>
      <c r="BO301" s="35"/>
      <c r="BP301" s="1"/>
      <c r="BQ301" s="1"/>
      <c r="BR301" s="1"/>
      <c r="BS301" s="1"/>
      <c r="BT301" s="1"/>
      <c r="BU301" s="1"/>
      <c r="BV301" s="32"/>
      <c r="BW301" s="1"/>
      <c r="BX301" s="32"/>
      <c r="BY301" s="32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35"/>
    </row>
    <row r="302" spans="1:115" ht="11.25" customHeight="1" x14ac:dyDescent="0.2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56">
        <v>8</v>
      </c>
      <c r="BG302" s="57">
        <v>1</v>
      </c>
      <c r="BH302" s="57">
        <v>20</v>
      </c>
      <c r="BI302" s="57">
        <v>50</v>
      </c>
      <c r="BJ302" s="13" t="str">
        <f t="shared" si="25"/>
        <v>20,1</v>
      </c>
      <c r="BK302" s="35"/>
      <c r="BL302" s="8">
        <f t="shared" si="26"/>
        <v>298</v>
      </c>
      <c r="BM302" s="6">
        <f t="shared" si="27"/>
        <v>9</v>
      </c>
      <c r="BN302" s="6">
        <f t="shared" si="28"/>
        <v>10</v>
      </c>
      <c r="BO302" s="35"/>
      <c r="BP302" s="1"/>
      <c r="BQ302" s="1"/>
      <c r="BR302" s="1"/>
      <c r="BS302" s="1"/>
      <c r="BT302" s="1"/>
      <c r="BU302" s="1"/>
      <c r="BV302" s="32"/>
      <c r="BW302" s="1"/>
      <c r="BX302" s="32"/>
      <c r="BY302" s="32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35"/>
      <c r="DJ302" s="35"/>
      <c r="DK302" s="35"/>
    </row>
    <row r="303" spans="1:115" ht="11.25" customHeight="1" x14ac:dyDescent="0.2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56">
        <v>8</v>
      </c>
      <c r="BG303" s="57">
        <v>1</v>
      </c>
      <c r="BH303" s="57">
        <v>21</v>
      </c>
      <c r="BI303" s="57">
        <v>50</v>
      </c>
      <c r="BJ303" s="13" t="str">
        <f t="shared" si="25"/>
        <v>21,1</v>
      </c>
      <c r="BK303" s="35"/>
      <c r="BL303" s="8">
        <f t="shared" si="26"/>
        <v>299</v>
      </c>
      <c r="BM303" s="6">
        <f t="shared" si="27"/>
        <v>9</v>
      </c>
      <c r="BN303" s="6">
        <f t="shared" si="28"/>
        <v>11</v>
      </c>
      <c r="BO303" s="35"/>
      <c r="BP303" s="1"/>
      <c r="BQ303" s="1"/>
      <c r="BR303" s="1"/>
      <c r="BS303" s="1"/>
      <c r="BT303" s="1"/>
      <c r="BU303" s="1"/>
      <c r="BV303" s="32"/>
      <c r="BW303" s="1"/>
      <c r="BX303" s="32"/>
      <c r="BY303" s="32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35"/>
      <c r="DJ303" s="35"/>
      <c r="DK303" s="35"/>
    </row>
    <row r="304" spans="1:115" ht="11.25" customHeight="1" x14ac:dyDescent="0.2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56">
        <v>8</v>
      </c>
      <c r="BG304" s="57">
        <v>33</v>
      </c>
      <c r="BH304" s="57">
        <v>1</v>
      </c>
      <c r="BI304" s="57">
        <v>28</v>
      </c>
      <c r="BJ304" s="13" t="str">
        <f t="shared" si="25"/>
        <v>1,33</v>
      </c>
      <c r="BK304" s="35"/>
      <c r="BL304" s="8">
        <f t="shared" si="26"/>
        <v>300</v>
      </c>
      <c r="BM304" s="6">
        <f t="shared" si="27"/>
        <v>9</v>
      </c>
      <c r="BN304" s="6">
        <f t="shared" si="28"/>
        <v>12</v>
      </c>
      <c r="BO304" s="35"/>
      <c r="BP304" s="1"/>
      <c r="BQ304" s="1"/>
      <c r="BR304" s="1"/>
      <c r="BS304" s="1"/>
      <c r="BT304" s="1"/>
      <c r="BU304" s="1"/>
      <c r="BV304" s="32"/>
      <c r="BW304" s="1"/>
      <c r="BX304" s="32"/>
      <c r="BY304" s="32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35"/>
      <c r="DJ304" s="35"/>
      <c r="DK304" s="35"/>
    </row>
    <row r="305" spans="1:115" ht="11.25" customHeight="1" x14ac:dyDescent="0.2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56">
        <v>8</v>
      </c>
      <c r="BG305" s="57">
        <v>33</v>
      </c>
      <c r="BH305" s="57">
        <v>2</v>
      </c>
      <c r="BI305" s="57">
        <v>28</v>
      </c>
      <c r="BJ305" s="13" t="str">
        <f t="shared" si="25"/>
        <v>2,33</v>
      </c>
      <c r="BK305" s="35"/>
      <c r="BL305" s="8">
        <f t="shared" si="26"/>
        <v>301</v>
      </c>
      <c r="BM305" s="6">
        <f t="shared" si="27"/>
        <v>9</v>
      </c>
      <c r="BN305" s="6">
        <f t="shared" si="28"/>
        <v>13</v>
      </c>
      <c r="BO305" s="35"/>
      <c r="BP305" s="1"/>
      <c r="BQ305" s="1"/>
      <c r="BR305" s="1"/>
      <c r="BS305" s="1"/>
      <c r="BT305" s="1"/>
      <c r="BU305" s="1"/>
      <c r="BV305" s="32"/>
      <c r="BW305" s="1"/>
      <c r="BX305" s="32"/>
      <c r="BY305" s="32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35"/>
      <c r="DJ305" s="35"/>
      <c r="DK305" s="35"/>
    </row>
    <row r="306" spans="1:115" ht="11.25" customHeight="1" x14ac:dyDescent="0.2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56">
        <v>8</v>
      </c>
      <c r="BG306" s="57">
        <v>33</v>
      </c>
      <c r="BH306" s="57">
        <v>3</v>
      </c>
      <c r="BI306" s="57">
        <v>28</v>
      </c>
      <c r="BJ306" s="13" t="str">
        <f t="shared" si="25"/>
        <v>3,33</v>
      </c>
      <c r="BK306" s="35"/>
      <c r="BL306" s="8">
        <f t="shared" si="26"/>
        <v>302</v>
      </c>
      <c r="BM306" s="6">
        <f t="shared" si="27"/>
        <v>9</v>
      </c>
      <c r="BN306" s="6">
        <f t="shared" si="28"/>
        <v>14</v>
      </c>
      <c r="BO306" s="35"/>
      <c r="BP306" s="1"/>
      <c r="BQ306" s="1"/>
      <c r="BR306" s="1"/>
      <c r="BS306" s="1"/>
      <c r="BT306" s="1"/>
      <c r="BU306" s="1"/>
      <c r="BV306" s="32"/>
      <c r="BW306" s="1"/>
      <c r="BX306" s="32"/>
      <c r="BY306" s="32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35"/>
      <c r="DJ306" s="35"/>
      <c r="DK306" s="35"/>
    </row>
    <row r="307" spans="1:115" ht="11.25" customHeight="1" x14ac:dyDescent="0.2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56">
        <v>8</v>
      </c>
      <c r="BG307" s="57">
        <v>33</v>
      </c>
      <c r="BH307" s="57">
        <v>4</v>
      </c>
      <c r="BI307" s="57">
        <v>28</v>
      </c>
      <c r="BJ307" s="13" t="str">
        <f t="shared" si="25"/>
        <v>4,33</v>
      </c>
      <c r="BK307" s="35"/>
      <c r="BL307" s="8">
        <f t="shared" si="26"/>
        <v>303</v>
      </c>
      <c r="BM307" s="6">
        <f t="shared" si="27"/>
        <v>9</v>
      </c>
      <c r="BN307" s="6">
        <f t="shared" si="28"/>
        <v>15</v>
      </c>
      <c r="BO307" s="35"/>
      <c r="BP307" s="1"/>
      <c r="BQ307" s="1"/>
      <c r="BR307" s="1"/>
      <c r="BS307" s="1"/>
      <c r="BT307" s="1"/>
      <c r="BU307" s="1"/>
      <c r="BV307" s="32"/>
      <c r="BW307" s="1"/>
      <c r="BX307" s="32"/>
      <c r="BY307" s="32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35"/>
      <c r="DJ307" s="35"/>
      <c r="DK307" s="35"/>
    </row>
    <row r="308" spans="1:115" ht="11.25" customHeight="1" x14ac:dyDescent="0.2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56">
        <v>8</v>
      </c>
      <c r="BG308" s="57">
        <v>33</v>
      </c>
      <c r="BH308" s="57">
        <v>5</v>
      </c>
      <c r="BI308" s="57">
        <v>28</v>
      </c>
      <c r="BJ308" s="13" t="str">
        <f t="shared" si="25"/>
        <v>5,33</v>
      </c>
      <c r="BK308" s="35"/>
      <c r="BL308" s="8">
        <f t="shared" si="26"/>
        <v>304</v>
      </c>
      <c r="BM308" s="6">
        <f t="shared" si="27"/>
        <v>9</v>
      </c>
      <c r="BN308" s="6">
        <f t="shared" si="28"/>
        <v>16</v>
      </c>
      <c r="BO308" s="35"/>
      <c r="BP308" s="1"/>
      <c r="BQ308" s="1"/>
      <c r="BR308" s="1"/>
      <c r="BS308" s="1"/>
      <c r="BT308" s="1"/>
      <c r="BU308" s="1"/>
      <c r="BV308" s="32"/>
      <c r="BW308" s="1"/>
      <c r="BX308" s="32"/>
      <c r="BY308" s="32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35"/>
    </row>
    <row r="309" spans="1:115" ht="11.25" customHeight="1" x14ac:dyDescent="0.2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56">
        <v>8</v>
      </c>
      <c r="BG309" s="57">
        <v>33</v>
      </c>
      <c r="BH309" s="57">
        <v>6</v>
      </c>
      <c r="BI309" s="57">
        <v>28</v>
      </c>
      <c r="BJ309" s="13" t="str">
        <f t="shared" si="25"/>
        <v>6,33</v>
      </c>
      <c r="BK309" s="35"/>
      <c r="BL309" s="8">
        <f t="shared" si="26"/>
        <v>305</v>
      </c>
      <c r="BM309" s="6">
        <f t="shared" si="27"/>
        <v>9</v>
      </c>
      <c r="BN309" s="6">
        <f t="shared" si="28"/>
        <v>17</v>
      </c>
      <c r="BO309" s="35"/>
      <c r="BP309" s="1"/>
      <c r="BQ309" s="1"/>
      <c r="BR309" s="1"/>
      <c r="BS309" s="1"/>
      <c r="BT309" s="1"/>
      <c r="BU309" s="1"/>
      <c r="BV309" s="32"/>
      <c r="BW309" s="1"/>
      <c r="BX309" s="32"/>
      <c r="BY309" s="32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</row>
    <row r="310" spans="1:115" ht="11.25" customHeight="1" x14ac:dyDescent="0.2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56">
        <v>8</v>
      </c>
      <c r="BG310" s="57">
        <v>33</v>
      </c>
      <c r="BH310" s="57">
        <v>7</v>
      </c>
      <c r="BI310" s="57">
        <v>28</v>
      </c>
      <c r="BJ310" s="13" t="str">
        <f t="shared" si="25"/>
        <v>7,33</v>
      </c>
      <c r="BK310" s="35"/>
      <c r="BL310" s="8">
        <f t="shared" si="26"/>
        <v>306</v>
      </c>
      <c r="BM310" s="6">
        <f t="shared" si="27"/>
        <v>9</v>
      </c>
      <c r="BN310" s="6">
        <f t="shared" si="28"/>
        <v>18</v>
      </c>
      <c r="BO310" s="35"/>
      <c r="BP310" s="1"/>
      <c r="BQ310" s="1"/>
      <c r="BR310" s="1"/>
      <c r="BS310" s="1"/>
      <c r="BT310" s="1"/>
      <c r="BU310" s="1"/>
      <c r="BV310" s="32"/>
      <c r="BW310" s="1"/>
      <c r="BX310" s="32"/>
      <c r="BY310" s="32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35"/>
    </row>
    <row r="311" spans="1:115" ht="11.25" customHeight="1" x14ac:dyDescent="0.2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56">
        <v>8</v>
      </c>
      <c r="BG311" s="57">
        <v>34</v>
      </c>
      <c r="BH311" s="57">
        <v>8</v>
      </c>
      <c r="BI311" s="57">
        <v>28</v>
      </c>
      <c r="BJ311" s="13" t="str">
        <f t="shared" si="25"/>
        <v>8,34</v>
      </c>
      <c r="BK311" s="35"/>
      <c r="BL311" s="8">
        <f t="shared" si="26"/>
        <v>307</v>
      </c>
      <c r="BM311" s="6">
        <f t="shared" si="27"/>
        <v>9</v>
      </c>
      <c r="BN311" s="6">
        <f t="shared" si="28"/>
        <v>19</v>
      </c>
      <c r="BO311" s="35"/>
      <c r="BP311" s="1"/>
      <c r="BQ311" s="1"/>
      <c r="BR311" s="1"/>
      <c r="BS311" s="1"/>
      <c r="BT311" s="1"/>
      <c r="BU311" s="1"/>
      <c r="BV311" s="32"/>
      <c r="BW311" s="1"/>
      <c r="BX311" s="32"/>
      <c r="BY311" s="32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35"/>
    </row>
    <row r="312" spans="1:115" ht="11.25" customHeight="1" x14ac:dyDescent="0.2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56">
        <v>8</v>
      </c>
      <c r="BG312" s="57">
        <v>34</v>
      </c>
      <c r="BH312" s="57">
        <v>9</v>
      </c>
      <c r="BI312" s="57">
        <v>28</v>
      </c>
      <c r="BJ312" s="13" t="str">
        <f t="shared" si="25"/>
        <v>9,34</v>
      </c>
      <c r="BK312" s="35"/>
      <c r="BL312" s="8">
        <f t="shared" si="26"/>
        <v>308</v>
      </c>
      <c r="BM312" s="6">
        <f t="shared" si="27"/>
        <v>9</v>
      </c>
      <c r="BN312" s="6">
        <f t="shared" si="28"/>
        <v>20</v>
      </c>
      <c r="BO312" s="35"/>
      <c r="BP312" s="1"/>
      <c r="BQ312" s="1"/>
      <c r="BR312" s="1"/>
      <c r="BS312" s="1"/>
      <c r="BT312" s="1"/>
      <c r="BU312" s="1"/>
      <c r="BV312" s="32"/>
      <c r="BW312" s="1"/>
      <c r="BX312" s="32"/>
      <c r="BY312" s="32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35"/>
    </row>
    <row r="313" spans="1:115" ht="11.25" customHeight="1" x14ac:dyDescent="0.2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56">
        <v>8</v>
      </c>
      <c r="BG313" s="57">
        <v>34</v>
      </c>
      <c r="BH313" s="57">
        <v>10</v>
      </c>
      <c r="BI313" s="57">
        <v>28</v>
      </c>
      <c r="BJ313" s="13" t="str">
        <f t="shared" si="25"/>
        <v>10,34</v>
      </c>
      <c r="BK313" s="35"/>
      <c r="BL313" s="8">
        <f t="shared" si="26"/>
        <v>309</v>
      </c>
      <c r="BM313" s="6">
        <f t="shared" si="27"/>
        <v>9</v>
      </c>
      <c r="BN313" s="6">
        <f t="shared" si="28"/>
        <v>21</v>
      </c>
      <c r="BO313" s="35"/>
      <c r="BP313" s="1"/>
      <c r="BQ313" s="1"/>
      <c r="BR313" s="1"/>
      <c r="BS313" s="1"/>
      <c r="BT313" s="1"/>
      <c r="BU313" s="1"/>
      <c r="BV313" s="32"/>
      <c r="BW313" s="1"/>
      <c r="BX313" s="32"/>
      <c r="BY313" s="32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35"/>
      <c r="DJ313" s="35"/>
      <c r="DK313" s="35"/>
    </row>
    <row r="314" spans="1:115" ht="11.25" customHeight="1" x14ac:dyDescent="0.2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56">
        <v>8</v>
      </c>
      <c r="BG314" s="57">
        <v>34</v>
      </c>
      <c r="BH314" s="57">
        <v>11</v>
      </c>
      <c r="BI314" s="57">
        <v>28</v>
      </c>
      <c r="BJ314" s="13" t="str">
        <f t="shared" si="25"/>
        <v>11,34</v>
      </c>
      <c r="BK314" s="35"/>
      <c r="BL314" s="8">
        <f t="shared" si="26"/>
        <v>310</v>
      </c>
      <c r="BM314" s="6">
        <f t="shared" si="27"/>
        <v>9</v>
      </c>
      <c r="BN314" s="6">
        <f t="shared" si="28"/>
        <v>22</v>
      </c>
      <c r="BO314" s="35"/>
      <c r="BP314" s="1"/>
      <c r="BQ314" s="1"/>
      <c r="BR314" s="1"/>
      <c r="BS314" s="1"/>
      <c r="BT314" s="1"/>
      <c r="BU314" s="1"/>
      <c r="BV314" s="32"/>
      <c r="BW314" s="1"/>
      <c r="BX314" s="32"/>
      <c r="BY314" s="32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35"/>
      <c r="DJ314" s="35"/>
      <c r="DK314" s="35"/>
    </row>
    <row r="315" spans="1:115" ht="11.25" customHeight="1" x14ac:dyDescent="0.2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56">
        <v>8</v>
      </c>
      <c r="BG315" s="57">
        <v>34</v>
      </c>
      <c r="BH315" s="57">
        <v>12</v>
      </c>
      <c r="BI315" s="57">
        <v>28</v>
      </c>
      <c r="BJ315" s="13" t="str">
        <f t="shared" si="25"/>
        <v>12,34</v>
      </c>
      <c r="BK315" s="35"/>
      <c r="BL315" s="8">
        <f t="shared" si="26"/>
        <v>311</v>
      </c>
      <c r="BM315" s="6">
        <f t="shared" si="27"/>
        <v>9</v>
      </c>
      <c r="BN315" s="6">
        <f t="shared" si="28"/>
        <v>23</v>
      </c>
      <c r="BO315" s="35"/>
      <c r="BP315" s="1"/>
      <c r="BQ315" s="1"/>
      <c r="BR315" s="1"/>
      <c r="BS315" s="1"/>
      <c r="BT315" s="1"/>
      <c r="BU315" s="1"/>
      <c r="BV315" s="32"/>
      <c r="BW315" s="1"/>
      <c r="BX315" s="32"/>
      <c r="BY315" s="32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35"/>
    </row>
    <row r="316" spans="1:115" ht="11.25" customHeight="1" x14ac:dyDescent="0.2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56">
        <v>8</v>
      </c>
      <c r="BG316" s="57">
        <v>34</v>
      </c>
      <c r="BH316" s="57">
        <v>13</v>
      </c>
      <c r="BI316" s="57">
        <v>28</v>
      </c>
      <c r="BJ316" s="13" t="str">
        <f t="shared" si="25"/>
        <v>13,34</v>
      </c>
      <c r="BK316" s="35"/>
      <c r="BL316" s="8">
        <f t="shared" si="26"/>
        <v>312</v>
      </c>
      <c r="BM316" s="6">
        <f t="shared" si="27"/>
        <v>9</v>
      </c>
      <c r="BN316" s="6">
        <f t="shared" si="28"/>
        <v>24</v>
      </c>
      <c r="BO316" s="35"/>
      <c r="BP316" s="1"/>
      <c r="BQ316" s="1"/>
      <c r="BR316" s="1"/>
      <c r="BS316" s="1"/>
      <c r="BT316" s="1"/>
      <c r="BU316" s="1"/>
      <c r="BV316" s="32"/>
      <c r="BW316" s="1"/>
      <c r="BX316" s="32"/>
      <c r="BY316" s="32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35"/>
      <c r="DJ316" s="35"/>
      <c r="DK316" s="35"/>
    </row>
    <row r="317" spans="1:115" ht="11.25" customHeight="1" x14ac:dyDescent="0.2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56">
        <v>8</v>
      </c>
      <c r="BG317" s="57">
        <v>35</v>
      </c>
      <c r="BH317" s="57">
        <v>14</v>
      </c>
      <c r="BI317" s="57">
        <v>28</v>
      </c>
      <c r="BJ317" s="13" t="str">
        <f t="shared" si="25"/>
        <v>14,35</v>
      </c>
      <c r="BK317" s="35"/>
      <c r="BL317" s="8">
        <f t="shared" si="26"/>
        <v>313</v>
      </c>
      <c r="BM317" s="6">
        <f t="shared" si="27"/>
        <v>9</v>
      </c>
      <c r="BN317" s="6">
        <f t="shared" si="28"/>
        <v>25</v>
      </c>
      <c r="BO317" s="35"/>
      <c r="BP317" s="1"/>
      <c r="BQ317" s="1"/>
      <c r="BR317" s="1"/>
      <c r="BS317" s="1"/>
      <c r="BT317" s="1"/>
      <c r="BU317" s="1"/>
      <c r="BV317" s="32"/>
      <c r="BW317" s="1"/>
      <c r="BX317" s="32"/>
      <c r="BY317" s="32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35"/>
      <c r="DJ317" s="35"/>
      <c r="DK317" s="35"/>
    </row>
    <row r="318" spans="1:115" ht="11.25" customHeight="1" x14ac:dyDescent="0.2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56">
        <v>8</v>
      </c>
      <c r="BG318" s="57">
        <v>35</v>
      </c>
      <c r="BH318" s="57">
        <v>15</v>
      </c>
      <c r="BI318" s="57">
        <v>28</v>
      </c>
      <c r="BJ318" s="13" t="str">
        <f t="shared" si="25"/>
        <v>15,35</v>
      </c>
      <c r="BK318" s="35"/>
      <c r="BL318" s="8">
        <f t="shared" si="26"/>
        <v>314</v>
      </c>
      <c r="BM318" s="6">
        <f t="shared" si="27"/>
        <v>9</v>
      </c>
      <c r="BN318" s="6">
        <f t="shared" si="28"/>
        <v>26</v>
      </c>
      <c r="BO318" s="35"/>
      <c r="BP318" s="1"/>
      <c r="BQ318" s="1"/>
      <c r="BR318" s="1"/>
      <c r="BS318" s="1"/>
      <c r="BT318" s="1"/>
      <c r="BU318" s="1"/>
      <c r="BV318" s="32"/>
      <c r="BW318" s="1"/>
      <c r="BX318" s="32"/>
      <c r="BY318" s="32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35"/>
      <c r="DJ318" s="35"/>
      <c r="DK318" s="35"/>
    </row>
    <row r="319" spans="1:115" ht="11.25" customHeight="1" x14ac:dyDescent="0.2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56">
        <v>8</v>
      </c>
      <c r="BG319" s="57">
        <v>35</v>
      </c>
      <c r="BH319" s="57">
        <v>16</v>
      </c>
      <c r="BI319" s="57">
        <v>28</v>
      </c>
      <c r="BJ319" s="13" t="str">
        <f t="shared" si="25"/>
        <v>16,35</v>
      </c>
      <c r="BK319" s="35"/>
      <c r="BL319" s="8">
        <f t="shared" si="26"/>
        <v>315</v>
      </c>
      <c r="BM319" s="6">
        <f t="shared" si="27"/>
        <v>9</v>
      </c>
      <c r="BN319" s="6">
        <f t="shared" si="28"/>
        <v>27</v>
      </c>
      <c r="BO319" s="35"/>
      <c r="BP319" s="1"/>
      <c r="BQ319" s="1"/>
      <c r="BR319" s="1"/>
      <c r="BS319" s="1"/>
      <c r="BT319" s="1"/>
      <c r="BU319" s="1"/>
      <c r="BV319" s="32"/>
      <c r="BW319" s="1"/>
      <c r="BX319" s="32"/>
      <c r="BY319" s="32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35"/>
      <c r="DJ319" s="35"/>
      <c r="DK319" s="35"/>
    </row>
    <row r="320" spans="1:115" ht="11.25" customHeight="1" x14ac:dyDescent="0.2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56">
        <v>8</v>
      </c>
      <c r="BG320" s="57">
        <v>35</v>
      </c>
      <c r="BH320" s="57">
        <v>17</v>
      </c>
      <c r="BI320" s="57">
        <v>28</v>
      </c>
      <c r="BJ320" s="13" t="str">
        <f t="shared" si="25"/>
        <v>17,35</v>
      </c>
      <c r="BK320" s="35"/>
      <c r="BL320" s="8">
        <f t="shared" si="26"/>
        <v>316</v>
      </c>
      <c r="BM320" s="6">
        <f t="shared" si="27"/>
        <v>9</v>
      </c>
      <c r="BN320" s="6">
        <f t="shared" si="28"/>
        <v>28</v>
      </c>
      <c r="BO320" s="35"/>
      <c r="BP320" s="1"/>
      <c r="BQ320" s="1"/>
      <c r="BR320" s="1"/>
      <c r="BS320" s="1"/>
      <c r="BT320" s="1"/>
      <c r="BU320" s="1"/>
      <c r="BV320" s="32"/>
      <c r="BW320" s="1"/>
      <c r="BX320" s="32"/>
      <c r="BY320" s="32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35"/>
      <c r="DJ320" s="35"/>
      <c r="DK320" s="35"/>
    </row>
    <row r="321" spans="1:115" ht="11.25" customHeight="1" x14ac:dyDescent="0.2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56">
        <v>8</v>
      </c>
      <c r="BG321" s="57">
        <v>35</v>
      </c>
      <c r="BH321" s="57">
        <v>18</v>
      </c>
      <c r="BI321" s="57">
        <v>28</v>
      </c>
      <c r="BJ321" s="13" t="str">
        <f t="shared" si="25"/>
        <v>18,35</v>
      </c>
      <c r="BK321" s="35"/>
      <c r="BL321" s="8">
        <f t="shared" si="26"/>
        <v>317</v>
      </c>
      <c r="BM321" s="6">
        <f t="shared" si="27"/>
        <v>9</v>
      </c>
      <c r="BN321" s="6">
        <f t="shared" si="28"/>
        <v>29</v>
      </c>
      <c r="BO321" s="35"/>
      <c r="BP321" s="1"/>
      <c r="BQ321" s="1"/>
      <c r="BR321" s="1"/>
      <c r="BS321" s="1"/>
      <c r="BT321" s="1"/>
      <c r="BU321" s="1"/>
      <c r="BV321" s="32"/>
      <c r="BW321" s="1"/>
      <c r="BX321" s="32"/>
      <c r="BY321" s="32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35"/>
      <c r="DJ321" s="35"/>
      <c r="DK321" s="35"/>
    </row>
    <row r="322" spans="1:115" ht="11.25" customHeight="1" x14ac:dyDescent="0.2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56">
        <v>8</v>
      </c>
      <c r="BG322" s="57">
        <v>35</v>
      </c>
      <c r="BH322" s="57">
        <v>19</v>
      </c>
      <c r="BI322" s="57">
        <v>28</v>
      </c>
      <c r="BJ322" s="13" t="str">
        <f t="shared" si="25"/>
        <v>19,35</v>
      </c>
      <c r="BK322" s="35"/>
      <c r="BL322" s="8">
        <f t="shared" si="26"/>
        <v>318</v>
      </c>
      <c r="BM322" s="6">
        <f t="shared" si="27"/>
        <v>9</v>
      </c>
      <c r="BN322" s="6">
        <f t="shared" si="28"/>
        <v>30</v>
      </c>
      <c r="BO322" s="35"/>
      <c r="BP322" s="1"/>
      <c r="BQ322" s="1"/>
      <c r="BR322" s="1"/>
      <c r="BS322" s="1"/>
      <c r="BT322" s="1"/>
      <c r="BU322" s="1"/>
      <c r="BV322" s="32"/>
      <c r="BW322" s="1"/>
      <c r="BX322" s="32"/>
      <c r="BY322" s="32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35"/>
      <c r="DJ322" s="35"/>
      <c r="DK322" s="35"/>
    </row>
    <row r="323" spans="1:115" ht="11.25" customHeight="1" x14ac:dyDescent="0.2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56">
        <v>8</v>
      </c>
      <c r="BG323" s="57">
        <v>35</v>
      </c>
      <c r="BH323" s="57">
        <v>20</v>
      </c>
      <c r="BI323" s="57">
        <v>28</v>
      </c>
      <c r="BJ323" s="13" t="str">
        <f t="shared" si="25"/>
        <v>20,35</v>
      </c>
      <c r="BK323" s="35"/>
      <c r="BL323" s="8">
        <f t="shared" si="26"/>
        <v>319</v>
      </c>
      <c r="BM323" s="6">
        <f t="shared" si="27"/>
        <v>9</v>
      </c>
      <c r="BN323" s="6">
        <f t="shared" si="28"/>
        <v>31</v>
      </c>
      <c r="BO323" s="35"/>
      <c r="BP323" s="1"/>
      <c r="BQ323" s="1"/>
      <c r="BR323" s="1"/>
      <c r="BS323" s="1"/>
      <c r="BT323" s="1"/>
      <c r="BU323" s="1"/>
      <c r="BV323" s="32"/>
      <c r="BW323" s="1"/>
      <c r="BX323" s="32"/>
      <c r="BY323" s="32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35"/>
    </row>
    <row r="324" spans="1:115" ht="11.25" customHeight="1" x14ac:dyDescent="0.2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56">
        <v>8</v>
      </c>
      <c r="BG324" s="57">
        <v>36</v>
      </c>
      <c r="BH324" s="57">
        <v>21</v>
      </c>
      <c r="BI324" s="57">
        <v>28</v>
      </c>
      <c r="BJ324" s="13" t="str">
        <f t="shared" si="25"/>
        <v>21,36</v>
      </c>
      <c r="BK324" s="35"/>
      <c r="BL324" s="8">
        <f t="shared" si="26"/>
        <v>320</v>
      </c>
      <c r="BM324" s="6">
        <f t="shared" si="27"/>
        <v>9</v>
      </c>
      <c r="BN324" s="6">
        <f t="shared" si="28"/>
        <v>32</v>
      </c>
      <c r="BO324" s="35"/>
      <c r="BP324" s="1"/>
      <c r="BQ324" s="1"/>
      <c r="BR324" s="1"/>
      <c r="BS324" s="1"/>
      <c r="BT324" s="1"/>
      <c r="BU324" s="1"/>
      <c r="BV324" s="32"/>
      <c r="BW324" s="1"/>
      <c r="BX324" s="32"/>
      <c r="BY324" s="32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35"/>
      <c r="DJ324" s="35"/>
      <c r="DK324" s="35"/>
    </row>
    <row r="325" spans="1:115" ht="11.25" customHeight="1" x14ac:dyDescent="0.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56">
        <v>8</v>
      </c>
      <c r="BG325" s="57">
        <v>36</v>
      </c>
      <c r="BH325" s="57">
        <v>22</v>
      </c>
      <c r="BI325" s="57">
        <v>28</v>
      </c>
      <c r="BJ325" s="13" t="str">
        <f t="shared" si="25"/>
        <v>22,36</v>
      </c>
      <c r="BK325" s="35"/>
      <c r="BL325" s="8">
        <f t="shared" si="26"/>
        <v>321</v>
      </c>
      <c r="BM325" s="6">
        <f t="shared" si="27"/>
        <v>9</v>
      </c>
      <c r="BN325" s="6">
        <f t="shared" si="28"/>
        <v>33</v>
      </c>
      <c r="BO325" s="35"/>
      <c r="BP325" s="1"/>
      <c r="BQ325" s="1"/>
      <c r="BR325" s="1"/>
      <c r="BS325" s="1"/>
      <c r="BT325" s="1"/>
      <c r="BU325" s="1"/>
      <c r="BV325" s="32"/>
      <c r="BW325" s="1"/>
      <c r="BX325" s="32"/>
      <c r="BY325" s="32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35"/>
      <c r="DJ325" s="35"/>
      <c r="DK325" s="35"/>
    </row>
    <row r="326" spans="1:115" ht="11.25" customHeight="1" x14ac:dyDescent="0.2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56">
        <v>8</v>
      </c>
      <c r="BG326" s="57">
        <v>36</v>
      </c>
      <c r="BH326" s="57">
        <v>23</v>
      </c>
      <c r="BI326" s="57">
        <v>28</v>
      </c>
      <c r="BJ326" s="13" t="str">
        <f t="shared" ref="BJ326" si="29">_xlfn.CONCAT(BH326,",",BG326)</f>
        <v>23,36</v>
      </c>
      <c r="BK326" s="35"/>
      <c r="BL326" s="8">
        <f t="shared" ref="BL326:BL389" si="30">IF(ROW()&lt;=$BL$4,ROW()-ROW(BL$4),"")</f>
        <v>322</v>
      </c>
      <c r="BM326" s="6">
        <f t="shared" si="27"/>
        <v>9</v>
      </c>
      <c r="BN326" s="6">
        <f t="shared" si="28"/>
        <v>34</v>
      </c>
      <c r="BO326" s="35"/>
      <c r="BP326" s="1"/>
      <c r="BQ326" s="1"/>
      <c r="BR326" s="1"/>
      <c r="BS326" s="1"/>
      <c r="BT326" s="1"/>
      <c r="BU326" s="1"/>
      <c r="BV326" s="32"/>
      <c r="BW326" s="1"/>
      <c r="BX326" s="32"/>
      <c r="BY326" s="32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35"/>
      <c r="DJ326" s="35"/>
      <c r="DK326" s="35"/>
    </row>
    <row r="327" spans="1:115" ht="11.25" customHeight="1" x14ac:dyDescent="0.2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58"/>
      <c r="BH327" s="58">
        <v>1</v>
      </c>
      <c r="BI327" s="59">
        <v>1</v>
      </c>
      <c r="BJ327" s="23" t="str">
        <f t="shared" ref="BJ327:BJ364" si="31">AG5</f>
        <v>23,1</v>
      </c>
      <c r="BK327" s="35"/>
      <c r="BL327" s="8">
        <f t="shared" si="30"/>
        <v>323</v>
      </c>
      <c r="BM327" s="6">
        <f t="shared" si="27"/>
        <v>9</v>
      </c>
      <c r="BN327" s="6">
        <f t="shared" si="28"/>
        <v>35</v>
      </c>
      <c r="BO327" s="35"/>
      <c r="BP327" s="1"/>
      <c r="BQ327" s="1"/>
      <c r="BR327" s="1"/>
      <c r="BS327" s="1"/>
      <c r="BT327" s="1"/>
      <c r="BU327" s="1"/>
      <c r="BV327" s="32"/>
      <c r="BW327" s="1"/>
      <c r="BX327" s="32"/>
      <c r="BY327" s="32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35"/>
      <c r="DJ327" s="35"/>
      <c r="DK327" s="35"/>
    </row>
    <row r="328" spans="1:115" ht="11.25" customHeight="1" x14ac:dyDescent="0.2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58"/>
      <c r="BH328" s="58">
        <v>1</v>
      </c>
      <c r="BI328" s="59">
        <v>2</v>
      </c>
      <c r="BJ328" s="23" t="str">
        <f t="shared" si="31"/>
        <v>23,2</v>
      </c>
      <c r="BK328" s="35"/>
      <c r="BL328" s="8">
        <f t="shared" si="30"/>
        <v>324</v>
      </c>
      <c r="BM328" s="6">
        <f t="shared" ref="BM328:BM391" si="32">IF(ISNUMBER(BL328),INT(BL327/$BN$4)+1,"")</f>
        <v>9</v>
      </c>
      <c r="BN328" s="6">
        <f t="shared" ref="BN328:BN391" si="33">IF(ISNUMBER(BL328),IF(BM327&lt;&gt;BM328,1,BN327+1),"")</f>
        <v>36</v>
      </c>
      <c r="BO328" s="35"/>
      <c r="BP328" s="1"/>
      <c r="BQ328" s="1"/>
      <c r="BR328" s="1"/>
      <c r="BS328" s="1"/>
      <c r="BT328" s="1"/>
      <c r="BU328" s="1"/>
      <c r="BV328" s="32"/>
      <c r="BW328" s="1"/>
      <c r="BX328" s="32"/>
      <c r="BY328" s="32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35"/>
      <c r="DK328" s="35"/>
    </row>
    <row r="329" spans="1:115" ht="11.25" customHeight="1" x14ac:dyDescent="0.2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58"/>
      <c r="BH329" s="58">
        <v>1</v>
      </c>
      <c r="BI329" s="59">
        <v>3</v>
      </c>
      <c r="BJ329" s="23" t="str">
        <f t="shared" si="31"/>
        <v>22,2</v>
      </c>
      <c r="BK329" s="35"/>
      <c r="BL329" s="8">
        <f t="shared" si="30"/>
        <v>325</v>
      </c>
      <c r="BM329" s="6">
        <f t="shared" si="32"/>
        <v>10</v>
      </c>
      <c r="BN329" s="6">
        <f t="shared" si="33"/>
        <v>1</v>
      </c>
      <c r="BO329" s="35"/>
      <c r="BP329" s="1"/>
      <c r="BQ329" s="1"/>
      <c r="BR329" s="1"/>
      <c r="BS329" s="1"/>
      <c r="BT329" s="1"/>
      <c r="BU329" s="1"/>
      <c r="BV329" s="32"/>
      <c r="BW329" s="1"/>
      <c r="BX329" s="32"/>
      <c r="BY329" s="32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35"/>
      <c r="DJ329" s="35"/>
      <c r="DK329" s="35"/>
    </row>
    <row r="330" spans="1:115" ht="11.25" customHeight="1" x14ac:dyDescent="0.2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58"/>
      <c r="BH330" s="58">
        <v>1</v>
      </c>
      <c r="BI330" s="59">
        <v>4</v>
      </c>
      <c r="BJ330" s="23" t="str">
        <f t="shared" si="31"/>
        <v>21,3</v>
      </c>
      <c r="BK330" s="35"/>
      <c r="BL330" s="8">
        <f t="shared" si="30"/>
        <v>326</v>
      </c>
      <c r="BM330" s="6">
        <f t="shared" si="32"/>
        <v>10</v>
      </c>
      <c r="BN330" s="6">
        <f t="shared" si="33"/>
        <v>2</v>
      </c>
      <c r="BO330" s="35"/>
      <c r="BP330" s="1"/>
      <c r="BQ330" s="1"/>
      <c r="BR330" s="1"/>
      <c r="BS330" s="1"/>
      <c r="BT330" s="1"/>
      <c r="BU330" s="1"/>
      <c r="BV330" s="32"/>
      <c r="BW330" s="1"/>
      <c r="BX330" s="32"/>
      <c r="BY330" s="32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35"/>
      <c r="DK330" s="35"/>
    </row>
    <row r="331" spans="1:115" ht="11.25" customHeight="1" x14ac:dyDescent="0.2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58"/>
      <c r="BH331" s="58">
        <v>1</v>
      </c>
      <c r="BI331" s="59">
        <v>5</v>
      </c>
      <c r="BJ331" s="23" t="str">
        <f t="shared" si="31"/>
        <v>20,4</v>
      </c>
      <c r="BK331" s="35"/>
      <c r="BL331" s="8">
        <f t="shared" si="30"/>
        <v>327</v>
      </c>
      <c r="BM331" s="6">
        <f t="shared" si="32"/>
        <v>10</v>
      </c>
      <c r="BN331" s="6">
        <f t="shared" si="33"/>
        <v>3</v>
      </c>
      <c r="BO331" s="35"/>
      <c r="BP331" s="1"/>
      <c r="BQ331" s="1"/>
      <c r="BR331" s="1"/>
      <c r="BS331" s="1"/>
      <c r="BT331" s="1"/>
      <c r="BU331" s="1"/>
      <c r="BV331" s="32"/>
      <c r="BW331" s="1"/>
      <c r="BX331" s="32"/>
      <c r="BY331" s="32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/>
      <c r="DK331" s="35"/>
    </row>
    <row r="332" spans="1:115" ht="11.25" customHeight="1" x14ac:dyDescent="0.2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58"/>
      <c r="BH332" s="58">
        <v>1</v>
      </c>
      <c r="BI332" s="59">
        <v>6</v>
      </c>
      <c r="BJ332" s="23" t="str">
        <f t="shared" si="31"/>
        <v>20,5</v>
      </c>
      <c r="BK332" s="35"/>
      <c r="BL332" s="8">
        <f t="shared" si="30"/>
        <v>328</v>
      </c>
      <c r="BM332" s="6">
        <f t="shared" si="32"/>
        <v>10</v>
      </c>
      <c r="BN332" s="6">
        <f t="shared" si="33"/>
        <v>4</v>
      </c>
      <c r="BO332" s="35"/>
      <c r="BP332" s="1"/>
      <c r="BQ332" s="1"/>
      <c r="BR332" s="1"/>
      <c r="BS332" s="1"/>
      <c r="BT332" s="1"/>
      <c r="BU332" s="1"/>
      <c r="BV332" s="32"/>
      <c r="BW332" s="1"/>
      <c r="BX332" s="32"/>
      <c r="BY332" s="32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35"/>
    </row>
    <row r="333" spans="1:115" ht="11.25" customHeight="1" x14ac:dyDescent="0.2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58"/>
      <c r="BH333" s="58">
        <v>1</v>
      </c>
      <c r="BI333" s="59">
        <v>7</v>
      </c>
      <c r="BJ333" s="23" t="str">
        <f t="shared" si="31"/>
        <v>18,17</v>
      </c>
      <c r="BK333" s="35"/>
      <c r="BL333" s="8">
        <f t="shared" si="30"/>
        <v>329</v>
      </c>
      <c r="BM333" s="6">
        <f t="shared" si="32"/>
        <v>10</v>
      </c>
      <c r="BN333" s="6">
        <f t="shared" si="33"/>
        <v>5</v>
      </c>
      <c r="BO333" s="35"/>
      <c r="BP333" s="1"/>
      <c r="BQ333" s="1"/>
      <c r="BR333" s="1"/>
      <c r="BS333" s="1"/>
      <c r="BT333" s="1"/>
      <c r="BU333" s="1"/>
      <c r="BV333" s="32"/>
      <c r="BW333" s="1"/>
      <c r="BX333" s="32"/>
      <c r="BY333" s="32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</row>
    <row r="334" spans="1:115" ht="11.25" customHeight="1" x14ac:dyDescent="0.2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58"/>
      <c r="BH334" s="58">
        <v>1</v>
      </c>
      <c r="BI334" s="59">
        <v>8</v>
      </c>
      <c r="BJ334" s="23" t="str">
        <f t="shared" si="31"/>
        <v>18,18</v>
      </c>
      <c r="BK334" s="35"/>
      <c r="BL334" s="8">
        <f t="shared" si="30"/>
        <v>330</v>
      </c>
      <c r="BM334" s="6">
        <f t="shared" si="32"/>
        <v>10</v>
      </c>
      <c r="BN334" s="6">
        <f t="shared" si="33"/>
        <v>6</v>
      </c>
      <c r="BO334" s="35"/>
      <c r="BP334" s="1"/>
      <c r="BQ334" s="1"/>
      <c r="BR334" s="1"/>
      <c r="BS334" s="1"/>
      <c r="BT334" s="1"/>
      <c r="BU334" s="1"/>
      <c r="BV334" s="32"/>
      <c r="BW334" s="1"/>
      <c r="BX334" s="32"/>
      <c r="BY334" s="32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35"/>
      <c r="DK334" s="35"/>
    </row>
    <row r="335" spans="1:115" ht="11.25" customHeight="1" x14ac:dyDescent="0.2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58"/>
      <c r="BH335" s="58">
        <v>1</v>
      </c>
      <c r="BI335" s="59">
        <v>9</v>
      </c>
      <c r="BJ335" s="23" t="str">
        <f t="shared" si="31"/>
        <v>18,19</v>
      </c>
      <c r="BK335" s="35"/>
      <c r="BL335" s="8">
        <f t="shared" si="30"/>
        <v>331</v>
      </c>
      <c r="BM335" s="6">
        <f t="shared" si="32"/>
        <v>10</v>
      </c>
      <c r="BN335" s="6">
        <f t="shared" si="33"/>
        <v>7</v>
      </c>
      <c r="BO335" s="35"/>
      <c r="BP335" s="1"/>
      <c r="BQ335" s="1"/>
      <c r="BR335" s="1"/>
      <c r="BS335" s="1"/>
      <c r="BT335" s="1"/>
      <c r="BU335" s="1"/>
      <c r="BV335" s="32"/>
      <c r="BW335" s="1"/>
      <c r="BX335" s="32"/>
      <c r="BY335" s="32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</row>
    <row r="336" spans="1:115" ht="11.25" customHeight="1" x14ac:dyDescent="0.2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58"/>
      <c r="BH336" s="58">
        <v>1</v>
      </c>
      <c r="BI336" s="59">
        <v>10</v>
      </c>
      <c r="BJ336" s="23" t="str">
        <f t="shared" si="31"/>
        <v>17,20</v>
      </c>
      <c r="BK336" s="35"/>
      <c r="BL336" s="8">
        <f t="shared" si="30"/>
        <v>332</v>
      </c>
      <c r="BM336" s="6">
        <f t="shared" si="32"/>
        <v>10</v>
      </c>
      <c r="BN336" s="6">
        <f t="shared" si="33"/>
        <v>8</v>
      </c>
      <c r="BO336" s="35"/>
      <c r="BP336" s="1"/>
      <c r="BQ336" s="1"/>
      <c r="BR336" s="1"/>
      <c r="BS336" s="1"/>
      <c r="BT336" s="1"/>
      <c r="BU336" s="1"/>
      <c r="BV336" s="32"/>
      <c r="BW336" s="1"/>
      <c r="BX336" s="32"/>
      <c r="BY336" s="32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35"/>
    </row>
    <row r="337" spans="1:115" ht="11.25" customHeight="1" x14ac:dyDescent="0.2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58"/>
      <c r="BH337" s="58">
        <v>1</v>
      </c>
      <c r="BI337" s="59">
        <v>11</v>
      </c>
      <c r="BJ337" s="23" t="str">
        <f t="shared" si="31"/>
        <v>17,21</v>
      </c>
      <c r="BK337" s="35"/>
      <c r="BL337" s="8">
        <f t="shared" si="30"/>
        <v>333</v>
      </c>
      <c r="BM337" s="6">
        <f t="shared" si="32"/>
        <v>10</v>
      </c>
      <c r="BN337" s="6">
        <f t="shared" si="33"/>
        <v>9</v>
      </c>
      <c r="BO337" s="35"/>
      <c r="BP337" s="1"/>
      <c r="BQ337" s="1"/>
      <c r="BR337" s="1"/>
      <c r="BS337" s="1"/>
      <c r="BT337" s="1"/>
      <c r="BU337" s="1"/>
      <c r="BV337" s="32"/>
      <c r="BW337" s="1"/>
      <c r="BX337" s="32"/>
      <c r="BY337" s="32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35"/>
    </row>
    <row r="338" spans="1:115" ht="11.25" customHeight="1" x14ac:dyDescent="0.2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58"/>
      <c r="BH338" s="58">
        <v>1</v>
      </c>
      <c r="BI338" s="59">
        <v>12</v>
      </c>
      <c r="BJ338" s="23" t="str">
        <f t="shared" si="31"/>
        <v>17,22</v>
      </c>
      <c r="BK338" s="35"/>
      <c r="BL338" s="8">
        <f t="shared" si="30"/>
        <v>334</v>
      </c>
      <c r="BM338" s="6">
        <f t="shared" si="32"/>
        <v>10</v>
      </c>
      <c r="BN338" s="6">
        <f t="shared" si="33"/>
        <v>10</v>
      </c>
      <c r="BO338" s="35"/>
      <c r="BP338" s="1"/>
      <c r="BQ338" s="1"/>
      <c r="BR338" s="1"/>
      <c r="BS338" s="1"/>
      <c r="BT338" s="1"/>
      <c r="BU338" s="1"/>
      <c r="BV338" s="32"/>
      <c r="BW338" s="1"/>
      <c r="BX338" s="32"/>
      <c r="BY338" s="32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35"/>
      <c r="DJ338" s="35"/>
      <c r="DK338" s="35"/>
    </row>
    <row r="339" spans="1:115" ht="11.25" customHeight="1" x14ac:dyDescent="0.2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58"/>
      <c r="BH339" s="58">
        <v>1</v>
      </c>
      <c r="BI339" s="59">
        <v>13</v>
      </c>
      <c r="BJ339" s="23" t="str">
        <f t="shared" si="31"/>
        <v>16,23</v>
      </c>
      <c r="BK339" s="35"/>
      <c r="BL339" s="8">
        <f t="shared" si="30"/>
        <v>335</v>
      </c>
      <c r="BM339" s="6">
        <f t="shared" si="32"/>
        <v>10</v>
      </c>
      <c r="BN339" s="6">
        <f t="shared" si="33"/>
        <v>11</v>
      </c>
      <c r="BO339" s="35"/>
      <c r="BP339" s="1"/>
      <c r="BQ339" s="1"/>
      <c r="BR339" s="1"/>
      <c r="BS339" s="1"/>
      <c r="BT339" s="1"/>
      <c r="BU339" s="1"/>
      <c r="BV339" s="32"/>
      <c r="BW339" s="1"/>
      <c r="BX339" s="32"/>
      <c r="BY339" s="32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35"/>
      <c r="DJ339" s="35"/>
      <c r="DK339" s="35"/>
    </row>
    <row r="340" spans="1:115" ht="11.25" customHeight="1" x14ac:dyDescent="0.2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58"/>
      <c r="BH340" s="58">
        <v>1</v>
      </c>
      <c r="BI340" s="59">
        <v>14</v>
      </c>
      <c r="BJ340" s="23" t="str">
        <f t="shared" si="31"/>
        <v>16,24</v>
      </c>
      <c r="BK340" s="35"/>
      <c r="BL340" s="8">
        <f t="shared" si="30"/>
        <v>336</v>
      </c>
      <c r="BM340" s="6">
        <f t="shared" si="32"/>
        <v>10</v>
      </c>
      <c r="BN340" s="6">
        <f t="shared" si="33"/>
        <v>12</v>
      </c>
      <c r="BO340" s="35"/>
      <c r="BP340" s="1"/>
      <c r="BQ340" s="1"/>
      <c r="BR340" s="1"/>
      <c r="BS340" s="1"/>
      <c r="BT340" s="1"/>
      <c r="BU340" s="1"/>
      <c r="BV340" s="32"/>
      <c r="BW340" s="1"/>
      <c r="BX340" s="32"/>
      <c r="BY340" s="32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35"/>
      <c r="DJ340" s="35"/>
      <c r="DK340" s="35"/>
    </row>
    <row r="341" spans="1:115" ht="11.25" customHeight="1" x14ac:dyDescent="0.2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58"/>
      <c r="BH341" s="58">
        <v>1</v>
      </c>
      <c r="BI341" s="59">
        <v>15</v>
      </c>
      <c r="BJ341" s="23" t="str">
        <f t="shared" si="31"/>
        <v>16,25</v>
      </c>
      <c r="BK341" s="35"/>
      <c r="BL341" s="8">
        <f t="shared" si="30"/>
        <v>337</v>
      </c>
      <c r="BM341" s="6">
        <f t="shared" si="32"/>
        <v>10</v>
      </c>
      <c r="BN341" s="6">
        <f t="shared" si="33"/>
        <v>13</v>
      </c>
      <c r="BO341" s="35"/>
      <c r="BP341" s="1"/>
      <c r="BQ341" s="1"/>
      <c r="BR341" s="1"/>
      <c r="BS341" s="1"/>
      <c r="BT341" s="1"/>
      <c r="BU341" s="1"/>
      <c r="BV341" s="32"/>
      <c r="BW341" s="1"/>
      <c r="BX341" s="32"/>
      <c r="BY341" s="32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35"/>
      <c r="DJ341" s="35"/>
      <c r="DK341" s="35"/>
    </row>
    <row r="342" spans="1:115" ht="11.25" customHeight="1" x14ac:dyDescent="0.2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58"/>
      <c r="BH342" s="58">
        <v>1</v>
      </c>
      <c r="BI342" s="59">
        <v>16</v>
      </c>
      <c r="BJ342" s="23" t="str">
        <f t="shared" si="31"/>
        <v>16,26</v>
      </c>
      <c r="BK342" s="35"/>
      <c r="BL342" s="8">
        <f t="shared" si="30"/>
        <v>338</v>
      </c>
      <c r="BM342" s="6">
        <f t="shared" si="32"/>
        <v>10</v>
      </c>
      <c r="BN342" s="6">
        <f t="shared" si="33"/>
        <v>14</v>
      </c>
      <c r="BO342" s="35"/>
      <c r="BP342" s="1"/>
      <c r="BQ342" s="1"/>
      <c r="BR342" s="1"/>
      <c r="BS342" s="1"/>
      <c r="BT342" s="1"/>
      <c r="BU342" s="1"/>
      <c r="BV342" s="32"/>
      <c r="BW342" s="1"/>
      <c r="BX342" s="32"/>
      <c r="BY342" s="32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35"/>
      <c r="DJ342" s="35"/>
      <c r="DK342" s="35"/>
    </row>
    <row r="343" spans="1:115" ht="11.25" customHeight="1" x14ac:dyDescent="0.2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58"/>
      <c r="BH343" s="58">
        <v>1</v>
      </c>
      <c r="BI343" s="59">
        <v>17</v>
      </c>
      <c r="BJ343" s="23" t="str">
        <f t="shared" si="31"/>
        <v>16,27</v>
      </c>
      <c r="BK343" s="35"/>
      <c r="BL343" s="8">
        <f t="shared" si="30"/>
        <v>339</v>
      </c>
      <c r="BM343" s="6">
        <f t="shared" si="32"/>
        <v>10</v>
      </c>
      <c r="BN343" s="6">
        <f t="shared" si="33"/>
        <v>15</v>
      </c>
      <c r="BO343" s="35"/>
      <c r="BP343" s="1"/>
      <c r="BQ343" s="1"/>
      <c r="BR343" s="1"/>
      <c r="BS343" s="1"/>
      <c r="BT343" s="1"/>
      <c r="BU343" s="1"/>
      <c r="BV343" s="32"/>
      <c r="BW343" s="1"/>
      <c r="BX343" s="32"/>
      <c r="BY343" s="32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35"/>
      <c r="DJ343" s="35"/>
      <c r="DK343" s="35"/>
    </row>
    <row r="344" spans="1:115" ht="11.25" customHeight="1" x14ac:dyDescent="0.2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58"/>
      <c r="BH344" s="58">
        <v>1</v>
      </c>
      <c r="BI344" s="59">
        <v>18</v>
      </c>
      <c r="BJ344" s="23" t="str">
        <f t="shared" si="31"/>
        <v>15,28</v>
      </c>
      <c r="BK344" s="35"/>
      <c r="BL344" s="8">
        <f t="shared" si="30"/>
        <v>340</v>
      </c>
      <c r="BM344" s="6">
        <f t="shared" si="32"/>
        <v>10</v>
      </c>
      <c r="BN344" s="6">
        <f t="shared" si="33"/>
        <v>16</v>
      </c>
      <c r="BO344" s="35"/>
      <c r="BP344" s="1"/>
      <c r="BQ344" s="1"/>
      <c r="BR344" s="1"/>
      <c r="BS344" s="1"/>
      <c r="BT344" s="1"/>
      <c r="BU344" s="1"/>
      <c r="BV344" s="32"/>
      <c r="BW344" s="1"/>
      <c r="BX344" s="32"/>
      <c r="BY344" s="32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35"/>
      <c r="DJ344" s="35"/>
      <c r="DK344" s="35"/>
    </row>
    <row r="345" spans="1:115" ht="11.25" customHeight="1" x14ac:dyDescent="0.2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58"/>
      <c r="BH345" s="58">
        <v>1</v>
      </c>
      <c r="BI345" s="59">
        <v>19</v>
      </c>
      <c r="BJ345" s="23" t="str">
        <f t="shared" si="31"/>
        <v>11,18</v>
      </c>
      <c r="BK345" s="35"/>
      <c r="BL345" s="8">
        <f t="shared" si="30"/>
        <v>341</v>
      </c>
      <c r="BM345" s="6">
        <f t="shared" si="32"/>
        <v>10</v>
      </c>
      <c r="BN345" s="6">
        <f t="shared" si="33"/>
        <v>17</v>
      </c>
      <c r="BO345" s="35"/>
      <c r="BP345" s="1"/>
      <c r="BQ345" s="1"/>
      <c r="BR345" s="1"/>
      <c r="BS345" s="1"/>
      <c r="BT345" s="1"/>
      <c r="BU345" s="1"/>
      <c r="BV345" s="32"/>
      <c r="BW345" s="1"/>
      <c r="BX345" s="32"/>
      <c r="BY345" s="32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35"/>
      <c r="DJ345" s="35"/>
      <c r="DK345" s="35"/>
    </row>
    <row r="346" spans="1:115" ht="11.25" customHeight="1" x14ac:dyDescent="0.2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58"/>
      <c r="BH346" s="58">
        <v>1</v>
      </c>
      <c r="BI346" s="59">
        <v>20</v>
      </c>
      <c r="BJ346" s="23" t="str">
        <f t="shared" si="31"/>
        <v>11,19</v>
      </c>
      <c r="BK346" s="35"/>
      <c r="BL346" s="8">
        <f t="shared" si="30"/>
        <v>342</v>
      </c>
      <c r="BM346" s="6">
        <f t="shared" si="32"/>
        <v>10</v>
      </c>
      <c r="BN346" s="6">
        <f t="shared" si="33"/>
        <v>18</v>
      </c>
      <c r="BO346" s="35"/>
      <c r="BP346" s="1"/>
      <c r="BQ346" s="1"/>
      <c r="BR346" s="1"/>
      <c r="BS346" s="1"/>
      <c r="BT346" s="1"/>
      <c r="BU346" s="1"/>
      <c r="BV346" s="32"/>
      <c r="BW346" s="1"/>
      <c r="BX346" s="32"/>
      <c r="BY346" s="32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35"/>
      <c r="DJ346" s="35"/>
      <c r="DK346" s="35"/>
    </row>
    <row r="347" spans="1:115" ht="11.25" customHeight="1" x14ac:dyDescent="0.2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58"/>
      <c r="BH347" s="58">
        <v>1</v>
      </c>
      <c r="BI347" s="59">
        <v>21</v>
      </c>
      <c r="BJ347" s="23" t="str">
        <f t="shared" si="31"/>
        <v>12,19</v>
      </c>
      <c r="BK347" s="35"/>
      <c r="BL347" s="8">
        <f t="shared" si="30"/>
        <v>343</v>
      </c>
      <c r="BM347" s="6">
        <f t="shared" si="32"/>
        <v>10</v>
      </c>
      <c r="BN347" s="6">
        <f t="shared" si="33"/>
        <v>19</v>
      </c>
      <c r="BO347" s="35"/>
      <c r="BP347" s="1"/>
      <c r="BQ347" s="1"/>
      <c r="BR347" s="1"/>
      <c r="BS347" s="1"/>
      <c r="BT347" s="1"/>
      <c r="BU347" s="1"/>
      <c r="BV347" s="32"/>
      <c r="BW347" s="1"/>
      <c r="BX347" s="32"/>
      <c r="BY347" s="32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</row>
    <row r="348" spans="1:115" ht="11.25" customHeight="1" x14ac:dyDescent="0.2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58"/>
      <c r="BH348" s="58">
        <v>1</v>
      </c>
      <c r="BI348" s="59">
        <v>22</v>
      </c>
      <c r="BJ348" s="23" t="str">
        <f t="shared" si="31"/>
        <v>12,20</v>
      </c>
      <c r="BK348" s="35"/>
      <c r="BL348" s="8">
        <f t="shared" si="30"/>
        <v>344</v>
      </c>
      <c r="BM348" s="6">
        <f t="shared" si="32"/>
        <v>10</v>
      </c>
      <c r="BN348" s="6">
        <f t="shared" si="33"/>
        <v>20</v>
      </c>
      <c r="BO348" s="35"/>
      <c r="BP348" s="1"/>
      <c r="BQ348" s="1"/>
      <c r="BR348" s="1"/>
      <c r="BS348" s="1"/>
      <c r="BT348" s="1"/>
      <c r="BU348" s="1"/>
      <c r="BV348" s="32"/>
      <c r="BW348" s="1"/>
      <c r="BX348" s="32"/>
      <c r="BY348" s="32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/>
      <c r="DK348" s="35"/>
    </row>
    <row r="349" spans="1:115" ht="11.25" customHeight="1" x14ac:dyDescent="0.2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58"/>
      <c r="BH349" s="58">
        <v>1</v>
      </c>
      <c r="BI349" s="59">
        <v>23</v>
      </c>
      <c r="BJ349" s="23" t="str">
        <f t="shared" si="31"/>
        <v>12,21</v>
      </c>
      <c r="BK349" s="35"/>
      <c r="BL349" s="8">
        <f t="shared" si="30"/>
        <v>345</v>
      </c>
      <c r="BM349" s="6">
        <f t="shared" si="32"/>
        <v>10</v>
      </c>
      <c r="BN349" s="6">
        <f t="shared" si="33"/>
        <v>21</v>
      </c>
      <c r="BO349" s="35"/>
      <c r="BP349" s="1"/>
      <c r="BQ349" s="1"/>
      <c r="BR349" s="1"/>
      <c r="BS349" s="1"/>
      <c r="BT349" s="1"/>
      <c r="BU349" s="1"/>
      <c r="BV349" s="32"/>
      <c r="BW349" s="1"/>
      <c r="BX349" s="32"/>
      <c r="BY349" s="32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/>
      <c r="DK349" s="35"/>
    </row>
    <row r="350" spans="1:115" ht="11.25" customHeight="1" x14ac:dyDescent="0.2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58"/>
      <c r="BH350" s="58">
        <v>1</v>
      </c>
      <c r="BI350" s="59">
        <v>24</v>
      </c>
      <c r="BJ350" s="23" t="str">
        <f t="shared" si="31"/>
        <v>13,22</v>
      </c>
      <c r="BK350" s="35"/>
      <c r="BL350" s="8">
        <f t="shared" si="30"/>
        <v>346</v>
      </c>
      <c r="BM350" s="6">
        <f t="shared" si="32"/>
        <v>10</v>
      </c>
      <c r="BN350" s="6">
        <f t="shared" si="33"/>
        <v>22</v>
      </c>
      <c r="BO350" s="35"/>
      <c r="BP350" s="1"/>
      <c r="BQ350" s="1"/>
      <c r="BR350" s="1"/>
      <c r="BS350" s="1"/>
      <c r="BT350" s="1"/>
      <c r="BU350" s="1"/>
      <c r="BV350" s="32"/>
      <c r="BW350" s="1"/>
      <c r="BX350" s="32"/>
      <c r="BY350" s="32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35"/>
      <c r="DJ350" s="35"/>
      <c r="DK350" s="35"/>
    </row>
    <row r="351" spans="1:115" ht="11.25" customHeight="1" x14ac:dyDescent="0.2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58"/>
      <c r="BH351" s="58">
        <v>1</v>
      </c>
      <c r="BI351" s="59">
        <v>25</v>
      </c>
      <c r="BJ351" s="23" t="str">
        <f t="shared" si="31"/>
        <v>13,23</v>
      </c>
      <c r="BK351" s="35"/>
      <c r="BL351" s="8">
        <f t="shared" si="30"/>
        <v>347</v>
      </c>
      <c r="BM351" s="6">
        <f t="shared" si="32"/>
        <v>10</v>
      </c>
      <c r="BN351" s="6">
        <f t="shared" si="33"/>
        <v>23</v>
      </c>
      <c r="BO351" s="35"/>
      <c r="BP351" s="1"/>
      <c r="BQ351" s="1"/>
      <c r="BR351" s="1"/>
      <c r="BS351" s="1"/>
      <c r="BT351" s="1"/>
      <c r="BU351" s="1"/>
      <c r="BV351" s="32"/>
      <c r="BW351" s="1"/>
      <c r="BX351" s="32"/>
      <c r="BY351" s="32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35"/>
      <c r="DJ351" s="35"/>
      <c r="DK351" s="35"/>
    </row>
    <row r="352" spans="1:115" ht="11.25" customHeight="1" x14ac:dyDescent="0.2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58"/>
      <c r="BH352" s="58">
        <v>1</v>
      </c>
      <c r="BI352" s="59">
        <v>26</v>
      </c>
      <c r="BJ352" s="23" t="str">
        <f t="shared" si="31"/>
        <v>13,24</v>
      </c>
      <c r="BK352" s="35"/>
      <c r="BL352" s="8">
        <f t="shared" si="30"/>
        <v>348</v>
      </c>
      <c r="BM352" s="6">
        <f t="shared" si="32"/>
        <v>10</v>
      </c>
      <c r="BN352" s="6">
        <f t="shared" si="33"/>
        <v>24</v>
      </c>
      <c r="BO352" s="35"/>
      <c r="BP352" s="1"/>
      <c r="BQ352" s="1"/>
      <c r="BR352" s="1"/>
      <c r="BS352" s="1"/>
      <c r="BT352" s="1"/>
      <c r="BU352" s="1"/>
      <c r="BV352" s="32"/>
      <c r="BW352" s="1"/>
      <c r="BX352" s="32"/>
      <c r="BY352" s="32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35"/>
      <c r="DJ352" s="35"/>
      <c r="DK352" s="35"/>
    </row>
    <row r="353" spans="1:115" ht="11.25" customHeight="1" x14ac:dyDescent="0.2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58"/>
      <c r="BH353" s="58">
        <v>1</v>
      </c>
      <c r="BI353" s="59">
        <v>27</v>
      </c>
      <c r="BJ353" s="23" t="str">
        <f t="shared" si="31"/>
        <v>14,24</v>
      </c>
      <c r="BK353" s="35"/>
      <c r="BL353" s="8">
        <f t="shared" si="30"/>
        <v>349</v>
      </c>
      <c r="BM353" s="6">
        <f t="shared" si="32"/>
        <v>10</v>
      </c>
      <c r="BN353" s="6">
        <f t="shared" si="33"/>
        <v>25</v>
      </c>
      <c r="BO353" s="35"/>
      <c r="BP353" s="1"/>
      <c r="BQ353" s="1"/>
      <c r="BR353" s="1"/>
      <c r="BS353" s="1"/>
      <c r="BT353" s="1"/>
      <c r="BU353" s="1"/>
      <c r="BV353" s="32"/>
      <c r="BW353" s="1"/>
      <c r="BX353" s="32"/>
      <c r="BY353" s="32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35"/>
      <c r="DJ353" s="35"/>
      <c r="DK353" s="35"/>
    </row>
    <row r="354" spans="1:115" ht="11.25" customHeight="1" x14ac:dyDescent="0.2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58"/>
      <c r="BH354" s="58">
        <v>1</v>
      </c>
      <c r="BI354" s="59">
        <v>28</v>
      </c>
      <c r="BJ354" s="23" t="str">
        <f t="shared" si="31"/>
        <v>14,25</v>
      </c>
      <c r="BK354" s="35"/>
      <c r="BL354" s="8">
        <f t="shared" si="30"/>
        <v>350</v>
      </c>
      <c r="BM354" s="6">
        <f t="shared" si="32"/>
        <v>10</v>
      </c>
      <c r="BN354" s="6">
        <f t="shared" si="33"/>
        <v>26</v>
      </c>
      <c r="BO354" s="35"/>
      <c r="BP354" s="1"/>
      <c r="BQ354" s="1"/>
      <c r="BR354" s="1"/>
      <c r="BS354" s="1"/>
      <c r="BT354" s="1"/>
      <c r="BU354" s="1"/>
      <c r="BV354" s="32"/>
      <c r="BW354" s="1"/>
      <c r="BX354" s="32"/>
      <c r="BY354" s="32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35"/>
      <c r="DJ354" s="35"/>
      <c r="DK354" s="35"/>
    </row>
    <row r="355" spans="1:115" ht="11.25" customHeight="1" x14ac:dyDescent="0.2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58"/>
      <c r="BH355" s="58">
        <v>1</v>
      </c>
      <c r="BI355" s="59">
        <v>29</v>
      </c>
      <c r="BJ355" s="23" t="str">
        <f t="shared" si="31"/>
        <v>14,26</v>
      </c>
      <c r="BK355" s="35"/>
      <c r="BL355" s="8">
        <f t="shared" si="30"/>
        <v>351</v>
      </c>
      <c r="BM355" s="6">
        <f t="shared" si="32"/>
        <v>10</v>
      </c>
      <c r="BN355" s="6">
        <f t="shared" si="33"/>
        <v>27</v>
      </c>
      <c r="BO355" s="35"/>
      <c r="BP355" s="1"/>
      <c r="BQ355" s="1"/>
      <c r="BR355" s="1"/>
      <c r="BS355" s="1"/>
      <c r="BT355" s="1"/>
      <c r="BU355" s="1"/>
      <c r="BV355" s="32"/>
      <c r="BW355" s="1"/>
      <c r="BX355" s="32"/>
      <c r="BY355" s="32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35"/>
      <c r="DJ355" s="35"/>
      <c r="DK355" s="35"/>
    </row>
    <row r="356" spans="1:115" ht="11.25" customHeight="1" x14ac:dyDescent="0.2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58"/>
      <c r="BH356" s="58">
        <v>1</v>
      </c>
      <c r="BI356" s="59">
        <v>30</v>
      </c>
      <c r="BJ356" s="23" t="str">
        <f t="shared" si="31"/>
        <v>14,27</v>
      </c>
      <c r="BK356" s="35"/>
      <c r="BL356" s="8">
        <f t="shared" si="30"/>
        <v>352</v>
      </c>
      <c r="BM356" s="6">
        <f t="shared" si="32"/>
        <v>10</v>
      </c>
      <c r="BN356" s="6">
        <f t="shared" si="33"/>
        <v>28</v>
      </c>
      <c r="BO356" s="35"/>
      <c r="BP356" s="1"/>
      <c r="BQ356" s="1"/>
      <c r="BR356" s="1"/>
      <c r="BS356" s="1"/>
      <c r="BT356" s="1"/>
      <c r="BU356" s="1"/>
      <c r="BV356" s="32"/>
      <c r="BW356" s="1"/>
      <c r="BX356" s="32"/>
      <c r="BY356" s="32"/>
      <c r="CZ356" s="35"/>
      <c r="DA356" s="35"/>
      <c r="DB356" s="35"/>
      <c r="DC356" s="35"/>
      <c r="DD356" s="35"/>
      <c r="DE356" s="35"/>
      <c r="DF356" s="35"/>
      <c r="DG356" s="35"/>
      <c r="DH356" s="35"/>
      <c r="DI356" s="35"/>
      <c r="DJ356" s="35"/>
      <c r="DK356" s="35"/>
    </row>
    <row r="357" spans="1:115" ht="11.25" customHeight="1" x14ac:dyDescent="0.2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58"/>
      <c r="BH357" s="58">
        <v>1</v>
      </c>
      <c r="BI357" s="59">
        <v>31</v>
      </c>
      <c r="BJ357" s="23" t="str">
        <f t="shared" si="31"/>
        <v>15,28</v>
      </c>
      <c r="BK357" s="35"/>
      <c r="BL357" s="8">
        <f t="shared" si="30"/>
        <v>353</v>
      </c>
      <c r="BM357" s="6">
        <f t="shared" si="32"/>
        <v>10</v>
      </c>
      <c r="BN357" s="6">
        <f t="shared" si="33"/>
        <v>29</v>
      </c>
      <c r="BO357" s="35"/>
      <c r="BP357" s="1"/>
      <c r="BQ357" s="1"/>
      <c r="BR357" s="1"/>
      <c r="BS357" s="1"/>
      <c r="BT357" s="1"/>
      <c r="BU357" s="1"/>
      <c r="BV357" s="32"/>
      <c r="BW357" s="1"/>
      <c r="BX357" s="32"/>
      <c r="BY357" s="32"/>
      <c r="CZ357" s="35"/>
      <c r="DA357" s="35"/>
      <c r="DB357" s="35"/>
      <c r="DC357" s="35"/>
      <c r="DD357" s="35"/>
      <c r="DE357" s="35"/>
      <c r="DF357" s="35"/>
      <c r="DG357" s="35"/>
      <c r="DH357" s="35"/>
      <c r="DI357" s="35"/>
      <c r="DJ357" s="35"/>
      <c r="DK357" s="35"/>
    </row>
    <row r="358" spans="1:115" ht="11.25" customHeight="1" x14ac:dyDescent="0.2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58"/>
      <c r="BH358" s="58">
        <v>1</v>
      </c>
      <c r="BI358" s="59">
        <v>32</v>
      </c>
      <c r="BJ358" s="23" t="str">
        <f t="shared" si="31"/>
        <v>15,29</v>
      </c>
      <c r="BK358" s="35"/>
      <c r="BL358" s="8">
        <f t="shared" si="30"/>
        <v>354</v>
      </c>
      <c r="BM358" s="6">
        <f t="shared" si="32"/>
        <v>10</v>
      </c>
      <c r="BN358" s="6">
        <f t="shared" si="33"/>
        <v>30</v>
      </c>
      <c r="BO358" s="35"/>
      <c r="BP358" s="1"/>
      <c r="BQ358" s="1"/>
      <c r="BR358" s="1"/>
      <c r="BS358" s="1"/>
      <c r="BT358" s="1"/>
      <c r="BU358" s="1"/>
      <c r="BV358" s="32"/>
      <c r="BW358" s="1"/>
      <c r="BX358" s="32"/>
      <c r="BY358" s="32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35"/>
    </row>
    <row r="359" spans="1:115" ht="11.25" customHeight="1" x14ac:dyDescent="0.2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58"/>
      <c r="BH359" s="58">
        <v>1</v>
      </c>
      <c r="BI359" s="59">
        <v>33</v>
      </c>
      <c r="BJ359" s="23" t="str">
        <f t="shared" si="31"/>
        <v>15,30</v>
      </c>
      <c r="BK359" s="35"/>
      <c r="BL359" s="8">
        <f t="shared" si="30"/>
        <v>355</v>
      </c>
      <c r="BM359" s="6">
        <f t="shared" si="32"/>
        <v>10</v>
      </c>
      <c r="BN359" s="6">
        <f t="shared" si="33"/>
        <v>31</v>
      </c>
      <c r="BO359" s="35"/>
      <c r="BP359" s="1"/>
      <c r="BQ359" s="1"/>
      <c r="BR359" s="1"/>
      <c r="BS359" s="1"/>
      <c r="BT359" s="1"/>
      <c r="BU359" s="1"/>
      <c r="BV359" s="32"/>
      <c r="BW359" s="1"/>
      <c r="BX359" s="32"/>
      <c r="BY359" s="32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35"/>
      <c r="DK359" s="35"/>
    </row>
    <row r="360" spans="1:115" ht="11.25" customHeight="1" x14ac:dyDescent="0.2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58"/>
      <c r="BH360" s="58">
        <v>1</v>
      </c>
      <c r="BI360" s="59">
        <v>34</v>
      </c>
      <c r="BJ360" s="23" t="str">
        <f t="shared" si="31"/>
        <v>15,31</v>
      </c>
      <c r="BK360" s="35"/>
      <c r="BL360" s="8">
        <f t="shared" si="30"/>
        <v>356</v>
      </c>
      <c r="BM360" s="6">
        <f t="shared" si="32"/>
        <v>10</v>
      </c>
      <c r="BN360" s="6">
        <f t="shared" si="33"/>
        <v>32</v>
      </c>
      <c r="BO360" s="35"/>
      <c r="BP360" s="1"/>
      <c r="BQ360" s="1"/>
      <c r="BR360" s="1"/>
      <c r="BS360" s="1"/>
      <c r="BT360" s="1"/>
      <c r="BU360" s="1"/>
      <c r="BV360" s="32"/>
      <c r="BW360" s="1"/>
      <c r="BX360" s="32"/>
      <c r="BY360" s="32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35"/>
      <c r="DK360" s="35"/>
    </row>
    <row r="361" spans="1:115" ht="11.25" customHeight="1" x14ac:dyDescent="0.2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58"/>
      <c r="BH361" s="58">
        <v>1</v>
      </c>
      <c r="BI361" s="59">
        <v>35</v>
      </c>
      <c r="BJ361" s="23" t="str">
        <f t="shared" si="31"/>
        <v>15,32</v>
      </c>
      <c r="BK361" s="35"/>
      <c r="BL361" s="8">
        <f t="shared" si="30"/>
        <v>357</v>
      </c>
      <c r="BM361" s="6">
        <f t="shared" si="32"/>
        <v>10</v>
      </c>
      <c r="BN361" s="6">
        <f t="shared" si="33"/>
        <v>33</v>
      </c>
      <c r="BO361" s="35"/>
      <c r="BP361" s="1"/>
      <c r="BQ361" s="1"/>
      <c r="BR361" s="1"/>
      <c r="BS361" s="1"/>
      <c r="BT361" s="1"/>
      <c r="BU361" s="1"/>
      <c r="BV361" s="32"/>
      <c r="BW361" s="1"/>
      <c r="BX361" s="32"/>
      <c r="BY361" s="32"/>
      <c r="CZ361" s="35"/>
      <c r="DA361" s="35"/>
      <c r="DB361" s="35"/>
      <c r="DC361" s="35"/>
      <c r="DD361" s="35"/>
      <c r="DE361" s="35"/>
      <c r="DF361" s="35"/>
      <c r="DG361" s="35"/>
      <c r="DH361" s="35"/>
      <c r="DI361" s="35"/>
      <c r="DJ361" s="35"/>
      <c r="DK361" s="35"/>
    </row>
    <row r="362" spans="1:115" ht="11.25" customHeight="1" x14ac:dyDescent="0.2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58"/>
      <c r="BH362" s="58">
        <v>1</v>
      </c>
      <c r="BI362" s="59">
        <v>36</v>
      </c>
      <c r="BJ362" s="23" t="str">
        <f t="shared" si="31"/>
        <v>15,33</v>
      </c>
      <c r="BK362" s="35"/>
      <c r="BL362" s="8">
        <f t="shared" si="30"/>
        <v>358</v>
      </c>
      <c r="BM362" s="6">
        <f t="shared" si="32"/>
        <v>10</v>
      </c>
      <c r="BN362" s="6">
        <f t="shared" si="33"/>
        <v>34</v>
      </c>
      <c r="BO362" s="35"/>
      <c r="BP362" s="1"/>
      <c r="BQ362" s="1"/>
      <c r="BR362" s="1"/>
      <c r="BS362" s="1"/>
      <c r="BT362" s="1"/>
      <c r="BU362" s="1"/>
      <c r="BV362" s="32"/>
      <c r="BW362" s="1"/>
      <c r="BX362" s="32"/>
      <c r="BY362" s="32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35"/>
    </row>
    <row r="363" spans="1:115" ht="11.25" customHeight="1" x14ac:dyDescent="0.2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58"/>
      <c r="BH363" s="58">
        <v>1</v>
      </c>
      <c r="BI363" s="59">
        <v>37</v>
      </c>
      <c r="BJ363" s="23" t="str">
        <f t="shared" si="31"/>
        <v>15,34</v>
      </c>
      <c r="BK363" s="35"/>
      <c r="BL363" s="8">
        <f t="shared" si="30"/>
        <v>359</v>
      </c>
      <c r="BM363" s="6">
        <f t="shared" si="32"/>
        <v>10</v>
      </c>
      <c r="BN363" s="6">
        <f t="shared" si="33"/>
        <v>35</v>
      </c>
      <c r="BO363" s="35"/>
      <c r="BP363" s="1"/>
      <c r="BQ363" s="1"/>
      <c r="BR363" s="1"/>
      <c r="BS363" s="1"/>
      <c r="BT363" s="1"/>
      <c r="BU363" s="1"/>
      <c r="BV363" s="32"/>
      <c r="BW363" s="1"/>
      <c r="BX363" s="32"/>
      <c r="BY363" s="32"/>
      <c r="CZ363" s="35"/>
      <c r="DA363" s="35"/>
      <c r="DB363" s="35"/>
      <c r="DC363" s="35"/>
      <c r="DD363" s="35"/>
      <c r="DE363" s="35"/>
      <c r="DF363" s="35"/>
      <c r="DG363" s="35"/>
      <c r="DH363" s="35"/>
      <c r="DI363" s="35"/>
      <c r="DJ363" s="35"/>
      <c r="DK363" s="35"/>
    </row>
    <row r="364" spans="1:115" ht="11.25" customHeight="1" x14ac:dyDescent="0.2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58"/>
      <c r="BH364" s="58">
        <v>1</v>
      </c>
      <c r="BI364" s="59">
        <v>38</v>
      </c>
      <c r="BJ364" s="23" t="str">
        <f t="shared" si="31"/>
        <v>15,35</v>
      </c>
      <c r="BK364" s="35"/>
      <c r="BL364" s="8">
        <f t="shared" si="30"/>
        <v>360</v>
      </c>
      <c r="BM364" s="6">
        <f t="shared" si="32"/>
        <v>10</v>
      </c>
      <c r="BN364" s="6">
        <f t="shared" si="33"/>
        <v>36</v>
      </c>
      <c r="BO364" s="35"/>
      <c r="BP364" s="1"/>
      <c r="BQ364" s="1"/>
      <c r="BR364" s="1"/>
      <c r="BS364" s="1"/>
      <c r="BT364" s="1"/>
      <c r="BU364" s="1"/>
      <c r="BV364" s="32"/>
      <c r="BW364" s="1"/>
      <c r="BX364" s="32"/>
      <c r="BY364" s="32"/>
      <c r="CZ364" s="35"/>
      <c r="DA364" s="35"/>
      <c r="DB364" s="35"/>
      <c r="DC364" s="35"/>
      <c r="DD364" s="35"/>
      <c r="DE364" s="35"/>
      <c r="DF364" s="35"/>
      <c r="DG364" s="35"/>
      <c r="DH364" s="35"/>
      <c r="DI364" s="35"/>
      <c r="DJ364" s="35"/>
      <c r="DK364" s="35"/>
    </row>
    <row r="365" spans="1:115" ht="11.25" customHeight="1" x14ac:dyDescent="0.2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7"/>
      <c r="BI365" s="17"/>
      <c r="BJ365" s="17"/>
      <c r="BK365" s="35"/>
      <c r="BL365" s="8">
        <f t="shared" si="30"/>
        <v>361</v>
      </c>
      <c r="BM365" s="6">
        <f t="shared" si="32"/>
        <v>11</v>
      </c>
      <c r="BN365" s="6">
        <f t="shared" si="33"/>
        <v>1</v>
      </c>
      <c r="BO365" s="35"/>
      <c r="BP365" s="1"/>
      <c r="BQ365" s="1"/>
      <c r="BR365" s="1"/>
      <c r="BS365" s="1"/>
      <c r="BT365" s="1"/>
      <c r="BU365" s="1"/>
      <c r="BV365" s="32"/>
      <c r="BW365" s="1"/>
      <c r="BX365" s="32"/>
      <c r="BY365" s="32"/>
      <c r="CZ365" s="35"/>
      <c r="DA365" s="35"/>
      <c r="DB365" s="35"/>
      <c r="DC365" s="35"/>
      <c r="DD365" s="35"/>
      <c r="DE365" s="35"/>
      <c r="DF365" s="35"/>
      <c r="DG365" s="35"/>
      <c r="DH365" s="35"/>
      <c r="DI365" s="35"/>
      <c r="DJ365" s="35"/>
      <c r="DK365" s="35"/>
    </row>
    <row r="366" spans="1:115" ht="11.25" customHeight="1" x14ac:dyDescent="0.2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4"/>
      <c r="BH366" s="14" t="s">
        <v>61</v>
      </c>
      <c r="BI366" s="14" t="s">
        <v>60</v>
      </c>
      <c r="BJ366" s="14" t="s">
        <v>59</v>
      </c>
      <c r="BK366" s="35"/>
      <c r="BL366" s="8">
        <f t="shared" si="30"/>
        <v>362</v>
      </c>
      <c r="BM366" s="6">
        <f t="shared" si="32"/>
        <v>11</v>
      </c>
      <c r="BN366" s="6">
        <f t="shared" si="33"/>
        <v>2</v>
      </c>
      <c r="BO366" s="35"/>
      <c r="BP366" s="1"/>
      <c r="BQ366" s="1"/>
      <c r="BR366" s="1"/>
      <c r="BS366" s="1"/>
      <c r="BT366" s="1"/>
      <c r="BU366" s="1"/>
      <c r="BV366" s="32"/>
      <c r="BW366" s="1"/>
      <c r="BX366" s="32"/>
      <c r="BY366" s="32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</row>
    <row r="367" spans="1:115" ht="11.25" customHeight="1" x14ac:dyDescent="0.2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 t="s">
        <v>62</v>
      </c>
      <c r="BH367" s="1"/>
      <c r="BI367" s="1">
        <v>1</v>
      </c>
      <c r="BJ367" s="35"/>
      <c r="BK367" s="35"/>
      <c r="BL367" s="8">
        <f t="shared" si="30"/>
        <v>363</v>
      </c>
      <c r="BM367" s="6">
        <f t="shared" si="32"/>
        <v>11</v>
      </c>
      <c r="BN367" s="6">
        <f t="shared" si="33"/>
        <v>3</v>
      </c>
      <c r="BO367" s="35"/>
      <c r="BP367" s="1"/>
      <c r="BQ367" s="1"/>
      <c r="BR367" s="1"/>
      <c r="BS367" s="1"/>
      <c r="BT367" s="1"/>
      <c r="BU367" s="1"/>
      <c r="BV367" s="32"/>
      <c r="BW367" s="1"/>
      <c r="BX367" s="32"/>
      <c r="BY367" s="32"/>
      <c r="CZ367" s="35"/>
      <c r="DA367" s="35"/>
      <c r="DB367" s="35"/>
      <c r="DC367" s="35"/>
      <c r="DD367" s="35"/>
      <c r="DE367" s="35"/>
      <c r="DF367" s="35"/>
      <c r="DG367" s="35"/>
      <c r="DH367" s="35"/>
      <c r="DI367" s="35"/>
      <c r="DJ367" s="35"/>
      <c r="DK367" s="35"/>
    </row>
    <row r="368" spans="1:115" ht="11.25" customHeight="1" x14ac:dyDescent="0.2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 t="s">
        <v>64</v>
      </c>
      <c r="BH368" s="1"/>
      <c r="BI368" s="27" t="s">
        <v>63</v>
      </c>
      <c r="BJ368" s="35"/>
      <c r="BK368" s="35"/>
      <c r="BL368" s="8">
        <f t="shared" si="30"/>
        <v>364</v>
      </c>
      <c r="BM368" s="6">
        <f t="shared" si="32"/>
        <v>11</v>
      </c>
      <c r="BN368" s="6">
        <f t="shared" si="33"/>
        <v>4</v>
      </c>
      <c r="BO368" s="35"/>
      <c r="BP368" s="1"/>
      <c r="BQ368" s="1"/>
      <c r="BR368" s="1"/>
      <c r="BS368" s="1"/>
      <c r="BT368" s="1"/>
      <c r="BU368" s="1"/>
      <c r="BV368" s="32"/>
      <c r="BW368" s="1"/>
      <c r="BX368" s="32"/>
      <c r="BY368" s="32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35"/>
    </row>
    <row r="369" spans="1:115" ht="11.25" customHeight="1" x14ac:dyDescent="0.2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 t="s">
        <v>65</v>
      </c>
      <c r="BH369" s="1"/>
      <c r="BI369" s="1" t="str">
        <f>BP3</f>
        <v>LAK2</v>
      </c>
      <c r="BJ369" s="35"/>
      <c r="BK369" s="35"/>
      <c r="BL369" s="8">
        <f t="shared" si="30"/>
        <v>365</v>
      </c>
      <c r="BM369" s="6">
        <f t="shared" si="32"/>
        <v>11</v>
      </c>
      <c r="BN369" s="6">
        <f t="shared" si="33"/>
        <v>5</v>
      </c>
      <c r="BO369" s="35"/>
      <c r="BP369" s="1"/>
      <c r="BQ369" s="1"/>
      <c r="BR369" s="1"/>
      <c r="BS369" s="1"/>
      <c r="BT369" s="1"/>
      <c r="BU369" s="1"/>
      <c r="BV369" s="32"/>
      <c r="BW369" s="1"/>
      <c r="BX369" s="32"/>
      <c r="BY369" s="32"/>
      <c r="CZ369" s="35"/>
      <c r="DA369" s="35"/>
      <c r="DB369" s="35"/>
      <c r="DC369" s="35"/>
      <c r="DD369" s="35"/>
      <c r="DE369" s="35"/>
      <c r="DF369" s="35"/>
      <c r="DG369" s="35"/>
      <c r="DH369" s="35"/>
      <c r="DI369" s="35"/>
      <c r="DJ369" s="35"/>
      <c r="DK369" s="35"/>
    </row>
    <row r="370" spans="1:115" ht="11.25" customHeight="1" x14ac:dyDescent="0.2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 t="s">
        <v>194</v>
      </c>
      <c r="BH370" s="1"/>
      <c r="BI370" s="43" t="s">
        <v>195</v>
      </c>
      <c r="BJ370" s="35"/>
      <c r="BK370" s="35"/>
      <c r="BL370" s="8">
        <f t="shared" si="30"/>
        <v>366</v>
      </c>
      <c r="BM370" s="6">
        <f t="shared" si="32"/>
        <v>11</v>
      </c>
      <c r="BN370" s="6">
        <f t="shared" si="33"/>
        <v>6</v>
      </c>
      <c r="BO370" s="35"/>
      <c r="BP370" s="1"/>
      <c r="BQ370" s="1"/>
      <c r="BR370" s="1"/>
      <c r="BS370" s="1"/>
      <c r="BT370" s="1"/>
      <c r="BU370" s="1"/>
      <c r="BV370" s="32"/>
      <c r="BW370" s="1"/>
      <c r="BX370" s="32"/>
      <c r="BY370" s="32"/>
      <c r="CZ370" s="35"/>
      <c r="DA370" s="35"/>
      <c r="DB370" s="35"/>
      <c r="DC370" s="35"/>
      <c r="DD370" s="35"/>
      <c r="DE370" s="35"/>
      <c r="DF370" s="35"/>
      <c r="DG370" s="35"/>
      <c r="DH370" s="35"/>
      <c r="DI370" s="35"/>
      <c r="DJ370" s="35"/>
      <c r="DK370" s="35"/>
    </row>
    <row r="371" spans="1:115" ht="11.25" customHeight="1" x14ac:dyDescent="0.2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35"/>
      <c r="BK371" s="35"/>
      <c r="BL371" s="8">
        <f t="shared" si="30"/>
        <v>367</v>
      </c>
      <c r="BM371" s="6">
        <f t="shared" si="32"/>
        <v>11</v>
      </c>
      <c r="BN371" s="6">
        <f t="shared" si="33"/>
        <v>7</v>
      </c>
      <c r="BO371" s="35"/>
      <c r="BP371" s="1"/>
      <c r="BQ371" s="1"/>
      <c r="BR371" s="1"/>
      <c r="BS371" s="1"/>
      <c r="BT371" s="1"/>
      <c r="BU371" s="1"/>
      <c r="BV371" s="32"/>
      <c r="BW371" s="1"/>
      <c r="BX371" s="32"/>
      <c r="BY371" s="32"/>
      <c r="CZ371" s="35"/>
      <c r="DA371" s="35"/>
      <c r="DB371" s="35"/>
      <c r="DC371" s="35"/>
      <c r="DD371" s="35"/>
      <c r="DE371" s="35"/>
      <c r="DF371" s="35"/>
      <c r="DG371" s="35"/>
      <c r="DH371" s="35"/>
      <c r="DI371" s="35"/>
      <c r="DJ371" s="35"/>
      <c r="DK371" s="35"/>
    </row>
    <row r="372" spans="1:115" ht="11.25" customHeight="1" x14ac:dyDescent="0.2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35"/>
      <c r="BK372" s="35"/>
      <c r="BL372" s="8">
        <f t="shared" si="30"/>
        <v>368</v>
      </c>
      <c r="BM372" s="6">
        <f t="shared" si="32"/>
        <v>11</v>
      </c>
      <c r="BN372" s="6">
        <f t="shared" si="33"/>
        <v>8</v>
      </c>
      <c r="BO372" s="35"/>
      <c r="BP372" s="1"/>
      <c r="BQ372" s="1"/>
      <c r="BR372" s="1"/>
      <c r="BS372" s="1"/>
      <c r="BT372" s="1"/>
      <c r="BU372" s="1"/>
      <c r="BV372" s="32"/>
      <c r="BW372" s="1"/>
      <c r="BX372" s="32"/>
      <c r="BY372" s="32"/>
      <c r="CZ372" s="35"/>
      <c r="DA372" s="35"/>
      <c r="DB372" s="35"/>
      <c r="DC372" s="35"/>
      <c r="DD372" s="35"/>
      <c r="DE372" s="35"/>
      <c r="DF372" s="35"/>
      <c r="DG372" s="35"/>
      <c r="DH372" s="35"/>
      <c r="DI372" s="35"/>
      <c r="DJ372" s="35"/>
      <c r="DK372" s="35"/>
    </row>
    <row r="373" spans="1:115" ht="11.25" customHeight="1" x14ac:dyDescent="0.2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35"/>
      <c r="BK373" s="35"/>
      <c r="BL373" s="8">
        <f t="shared" si="30"/>
        <v>369</v>
      </c>
      <c r="BM373" s="6">
        <f t="shared" si="32"/>
        <v>11</v>
      </c>
      <c r="BN373" s="6">
        <f t="shared" si="33"/>
        <v>9</v>
      </c>
      <c r="BO373" s="35"/>
      <c r="BP373" s="1"/>
      <c r="BQ373" s="1"/>
      <c r="BR373" s="1"/>
      <c r="BS373" s="1"/>
      <c r="BT373" s="1"/>
      <c r="BU373" s="1"/>
      <c r="BV373" s="32"/>
      <c r="BW373" s="1"/>
      <c r="BX373" s="32"/>
      <c r="BY373" s="32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35"/>
    </row>
    <row r="374" spans="1:115" ht="11.25" customHeight="1" x14ac:dyDescent="0.2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35"/>
      <c r="BK374" s="35"/>
      <c r="BL374" s="8">
        <f t="shared" si="30"/>
        <v>370</v>
      </c>
      <c r="BM374" s="6">
        <f t="shared" si="32"/>
        <v>11</v>
      </c>
      <c r="BN374" s="6">
        <f t="shared" si="33"/>
        <v>10</v>
      </c>
      <c r="BO374" s="35"/>
      <c r="BP374" s="1"/>
      <c r="BQ374" s="1"/>
      <c r="BR374" s="1"/>
      <c r="BS374" s="1"/>
      <c r="BT374" s="1"/>
      <c r="BU374" s="1"/>
      <c r="BV374" s="32"/>
      <c r="BW374" s="1"/>
      <c r="BX374" s="32"/>
      <c r="BY374" s="32"/>
      <c r="CZ374" s="35"/>
      <c r="DA374" s="35"/>
      <c r="DB374" s="35"/>
      <c r="DC374" s="35"/>
      <c r="DD374" s="35"/>
      <c r="DE374" s="35"/>
      <c r="DF374" s="35"/>
      <c r="DG374" s="35"/>
      <c r="DH374" s="35"/>
      <c r="DI374" s="35"/>
      <c r="DJ374" s="35"/>
      <c r="DK374" s="35"/>
    </row>
    <row r="375" spans="1:115" ht="11.25" customHeight="1" x14ac:dyDescent="0.2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35"/>
      <c r="BK375" s="35"/>
      <c r="BL375" s="8">
        <f t="shared" si="30"/>
        <v>371</v>
      </c>
      <c r="BM375" s="6">
        <f t="shared" si="32"/>
        <v>11</v>
      </c>
      <c r="BN375" s="6">
        <f t="shared" si="33"/>
        <v>11</v>
      </c>
      <c r="BO375" s="35"/>
      <c r="BP375" s="1"/>
      <c r="BQ375" s="1"/>
      <c r="BR375" s="1"/>
      <c r="BS375" s="1"/>
      <c r="BT375" s="1"/>
      <c r="BU375" s="1"/>
      <c r="BV375" s="32"/>
      <c r="BW375" s="1"/>
      <c r="BX375" s="32"/>
      <c r="BY375" s="32"/>
      <c r="CZ375" s="35"/>
      <c r="DA375" s="35"/>
      <c r="DB375" s="35"/>
      <c r="DC375" s="35"/>
      <c r="DD375" s="35"/>
      <c r="DE375" s="35"/>
      <c r="DF375" s="35"/>
      <c r="DG375" s="35"/>
      <c r="DH375" s="35"/>
      <c r="DI375" s="35"/>
      <c r="DJ375" s="35"/>
      <c r="DK375" s="35"/>
    </row>
    <row r="376" spans="1:115" ht="11.25" customHeight="1" x14ac:dyDescent="0.2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35"/>
      <c r="BK376" s="35"/>
      <c r="BL376" s="8">
        <f t="shared" si="30"/>
        <v>372</v>
      </c>
      <c r="BM376" s="6">
        <f t="shared" si="32"/>
        <v>11</v>
      </c>
      <c r="BN376" s="6">
        <f t="shared" si="33"/>
        <v>12</v>
      </c>
      <c r="BO376" s="35"/>
      <c r="BP376" s="1"/>
      <c r="BQ376" s="1"/>
      <c r="BR376" s="1"/>
      <c r="BS376" s="1"/>
      <c r="BT376" s="1"/>
      <c r="BU376" s="1"/>
      <c r="BV376" s="32"/>
      <c r="BW376" s="1"/>
      <c r="BX376" s="32"/>
      <c r="BY376" s="32"/>
      <c r="CZ376" s="35"/>
      <c r="DA376" s="35"/>
      <c r="DB376" s="35"/>
      <c r="DC376" s="35"/>
      <c r="DD376" s="35"/>
      <c r="DE376" s="35"/>
      <c r="DF376" s="35"/>
      <c r="DG376" s="35"/>
      <c r="DH376" s="35"/>
      <c r="DI376" s="35"/>
      <c r="DJ376" s="35"/>
      <c r="DK376" s="35"/>
    </row>
    <row r="377" spans="1:115" ht="11.25" customHeight="1" x14ac:dyDescent="0.2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35"/>
      <c r="BK377" s="35"/>
      <c r="BL377" s="8">
        <f t="shared" si="30"/>
        <v>373</v>
      </c>
      <c r="BM377" s="6">
        <f t="shared" si="32"/>
        <v>11</v>
      </c>
      <c r="BN377" s="6">
        <f t="shared" si="33"/>
        <v>13</v>
      </c>
      <c r="BO377" s="35"/>
      <c r="BP377" s="1"/>
      <c r="BQ377" s="1"/>
      <c r="BR377" s="1"/>
      <c r="BS377" s="1"/>
      <c r="BT377" s="1"/>
      <c r="BU377" s="1"/>
      <c r="BV377" s="32"/>
      <c r="BW377" s="1"/>
      <c r="BX377" s="32"/>
      <c r="BY377" s="32"/>
      <c r="CZ377" s="35"/>
      <c r="DA377" s="35"/>
      <c r="DB377" s="35"/>
      <c r="DC377" s="35"/>
      <c r="DD377" s="35"/>
      <c r="DE377" s="35"/>
      <c r="DF377" s="35"/>
      <c r="DG377" s="35"/>
      <c r="DH377" s="35"/>
      <c r="DI377" s="35"/>
      <c r="DJ377" s="35"/>
      <c r="DK377" s="35"/>
    </row>
    <row r="378" spans="1:115" ht="11.25" customHeight="1" x14ac:dyDescent="0.25"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35"/>
      <c r="BK378" s="35"/>
      <c r="BL378" s="8">
        <f t="shared" si="30"/>
        <v>374</v>
      </c>
      <c r="BM378" s="6">
        <f t="shared" si="32"/>
        <v>11</v>
      </c>
      <c r="BN378" s="6">
        <f t="shared" si="33"/>
        <v>14</v>
      </c>
      <c r="BO378" s="35"/>
      <c r="BP378" s="1"/>
      <c r="BQ378" s="1"/>
      <c r="BR378" s="1"/>
      <c r="BS378" s="1"/>
      <c r="BT378" s="1"/>
      <c r="BU378" s="1"/>
      <c r="BV378" s="32"/>
      <c r="BW378" s="1"/>
      <c r="BX378" s="32"/>
      <c r="BY378" s="32"/>
      <c r="CZ378" s="35"/>
      <c r="DA378" s="35"/>
      <c r="DB378" s="35"/>
      <c r="DC378" s="35"/>
      <c r="DD378" s="35"/>
      <c r="DE378" s="35"/>
      <c r="DF378" s="35"/>
      <c r="DG378" s="35"/>
      <c r="DH378" s="35"/>
      <c r="DI378" s="35"/>
      <c r="DJ378" s="35"/>
      <c r="DK378" s="35"/>
    </row>
    <row r="379" spans="1:115" ht="11.25" customHeight="1" x14ac:dyDescent="0.25"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35"/>
      <c r="BK379" s="35"/>
      <c r="BL379" s="8">
        <f t="shared" si="30"/>
        <v>375</v>
      </c>
      <c r="BM379" s="6">
        <f t="shared" si="32"/>
        <v>11</v>
      </c>
      <c r="BN379" s="6">
        <f t="shared" si="33"/>
        <v>15</v>
      </c>
      <c r="BO379" s="35"/>
      <c r="BP379" s="1"/>
      <c r="BQ379" s="1"/>
      <c r="BR379" s="1"/>
      <c r="BS379" s="1"/>
      <c r="BT379" s="1"/>
      <c r="BU379" s="1"/>
      <c r="BV379" s="32"/>
      <c r="BW379" s="1"/>
      <c r="BX379" s="32"/>
      <c r="BY379" s="32"/>
      <c r="CZ379" s="35"/>
      <c r="DA379" s="35"/>
      <c r="DB379" s="35"/>
      <c r="DC379" s="35"/>
      <c r="DD379" s="35"/>
      <c r="DE379" s="35"/>
      <c r="DF379" s="35"/>
      <c r="DG379" s="35"/>
      <c r="DH379" s="35"/>
      <c r="DI379" s="35"/>
      <c r="DJ379" s="35"/>
      <c r="DK379" s="35"/>
    </row>
    <row r="380" spans="1:115" ht="11.25" customHeight="1" x14ac:dyDescent="0.25"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35"/>
      <c r="BK380" s="35"/>
      <c r="BL380" s="8">
        <f t="shared" si="30"/>
        <v>376</v>
      </c>
      <c r="BM380" s="6">
        <f t="shared" si="32"/>
        <v>11</v>
      </c>
      <c r="BN380" s="6">
        <f t="shared" si="33"/>
        <v>16</v>
      </c>
      <c r="BO380" s="35"/>
      <c r="BP380" s="1"/>
      <c r="BQ380" s="1"/>
      <c r="BR380" s="1"/>
      <c r="BS380" s="1"/>
      <c r="BT380" s="1"/>
      <c r="BU380" s="1"/>
      <c r="BV380" s="32"/>
      <c r="BW380" s="1"/>
      <c r="BX380" s="32"/>
      <c r="BY380" s="32"/>
      <c r="CZ380" s="35"/>
      <c r="DA380" s="35"/>
      <c r="DB380" s="35"/>
      <c r="DC380" s="35"/>
      <c r="DD380" s="35"/>
      <c r="DE380" s="35"/>
      <c r="DF380" s="35"/>
      <c r="DG380" s="35"/>
      <c r="DH380" s="35"/>
      <c r="DI380" s="35"/>
      <c r="DJ380" s="35"/>
      <c r="DK380" s="35"/>
    </row>
    <row r="381" spans="1:115" ht="11.25" customHeight="1" x14ac:dyDescent="0.25"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35"/>
      <c r="BK381" s="35"/>
      <c r="BL381" s="8">
        <f t="shared" si="30"/>
        <v>377</v>
      </c>
      <c r="BM381" s="6">
        <f t="shared" si="32"/>
        <v>11</v>
      </c>
      <c r="BN381" s="6">
        <f t="shared" si="33"/>
        <v>17</v>
      </c>
      <c r="BO381" s="35"/>
      <c r="BP381" s="1"/>
      <c r="BQ381" s="1"/>
      <c r="BR381" s="1"/>
      <c r="BS381" s="1"/>
      <c r="BT381" s="1"/>
      <c r="BU381" s="1"/>
      <c r="BV381" s="32"/>
      <c r="BW381" s="1"/>
      <c r="BX381" s="32"/>
      <c r="BY381" s="32"/>
      <c r="CZ381" s="35"/>
      <c r="DA381" s="35"/>
      <c r="DB381" s="35"/>
      <c r="DC381" s="35"/>
      <c r="DD381" s="35"/>
      <c r="DE381" s="35"/>
      <c r="DF381" s="35"/>
      <c r="DG381" s="35"/>
      <c r="DH381" s="35"/>
      <c r="DI381" s="35"/>
      <c r="DJ381" s="35"/>
      <c r="DK381" s="35"/>
    </row>
    <row r="382" spans="1:115" ht="11.25" customHeight="1" x14ac:dyDescent="0.25"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35"/>
      <c r="BK382" s="35"/>
      <c r="BL382" s="8">
        <f t="shared" si="30"/>
        <v>378</v>
      </c>
      <c r="BM382" s="6">
        <f t="shared" si="32"/>
        <v>11</v>
      </c>
      <c r="BN382" s="6">
        <f t="shared" si="33"/>
        <v>18</v>
      </c>
      <c r="BO382" s="35"/>
      <c r="BP382" s="1"/>
      <c r="BQ382" s="1"/>
      <c r="BR382" s="1"/>
      <c r="BS382" s="1"/>
      <c r="BT382" s="1"/>
      <c r="BU382" s="1"/>
      <c r="BV382" s="32"/>
      <c r="BW382" s="1"/>
      <c r="BX382" s="32"/>
      <c r="BY382" s="32"/>
      <c r="CZ382" s="35"/>
      <c r="DA382" s="35"/>
      <c r="DB382" s="35"/>
      <c r="DC382" s="35"/>
      <c r="DD382" s="35"/>
      <c r="DE382" s="35"/>
      <c r="DF382" s="35"/>
      <c r="DG382" s="35"/>
      <c r="DH382" s="35"/>
      <c r="DI382" s="35"/>
      <c r="DJ382" s="35"/>
      <c r="DK382" s="35"/>
    </row>
    <row r="383" spans="1:115" ht="11.25" customHeight="1" x14ac:dyDescent="0.25"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35"/>
      <c r="BK383" s="35"/>
      <c r="BL383" s="8">
        <f t="shared" si="30"/>
        <v>379</v>
      </c>
      <c r="BM383" s="6">
        <f t="shared" si="32"/>
        <v>11</v>
      </c>
      <c r="BN383" s="6">
        <f t="shared" si="33"/>
        <v>19</v>
      </c>
      <c r="BO383" s="35"/>
      <c r="BP383" s="1"/>
      <c r="BQ383" s="1"/>
      <c r="BR383" s="1"/>
      <c r="BS383" s="1"/>
      <c r="BT383" s="1"/>
      <c r="BU383" s="1"/>
      <c r="BV383" s="32"/>
      <c r="BW383" s="1"/>
      <c r="BX383" s="32"/>
      <c r="BY383" s="32"/>
      <c r="CZ383" s="35"/>
      <c r="DA383" s="35"/>
      <c r="DB383" s="35"/>
      <c r="DC383" s="35"/>
      <c r="DD383" s="35"/>
      <c r="DE383" s="35"/>
      <c r="DF383" s="35"/>
      <c r="DG383" s="35"/>
      <c r="DH383" s="35"/>
      <c r="DI383" s="35"/>
      <c r="DJ383" s="35"/>
      <c r="DK383" s="35"/>
    </row>
    <row r="384" spans="1:115" ht="11.25" customHeight="1" x14ac:dyDescent="0.25"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35"/>
      <c r="BK384" s="35"/>
      <c r="BL384" s="8">
        <f t="shared" si="30"/>
        <v>380</v>
      </c>
      <c r="BM384" s="6">
        <f t="shared" si="32"/>
        <v>11</v>
      </c>
      <c r="BN384" s="6">
        <f t="shared" si="33"/>
        <v>20</v>
      </c>
      <c r="BO384" s="35"/>
      <c r="BP384" s="1"/>
      <c r="BQ384" s="1"/>
      <c r="BR384" s="1"/>
      <c r="BS384" s="1"/>
      <c r="BT384" s="1"/>
      <c r="BU384" s="1"/>
      <c r="BV384" s="32"/>
      <c r="BW384" s="1"/>
      <c r="BX384" s="32"/>
      <c r="BY384" s="32"/>
      <c r="CZ384" s="35"/>
      <c r="DA384" s="35"/>
      <c r="DB384" s="35"/>
      <c r="DC384" s="35"/>
      <c r="DD384" s="35"/>
      <c r="DE384" s="35"/>
      <c r="DF384" s="35"/>
      <c r="DG384" s="35"/>
      <c r="DH384" s="35"/>
      <c r="DI384" s="35"/>
      <c r="DJ384" s="35"/>
      <c r="DK384" s="35"/>
    </row>
    <row r="385" spans="2:115" ht="11.25" customHeight="1" x14ac:dyDescent="0.25"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35"/>
      <c r="BK385" s="35"/>
      <c r="BL385" s="8">
        <f t="shared" si="30"/>
        <v>381</v>
      </c>
      <c r="BM385" s="6">
        <f t="shared" si="32"/>
        <v>11</v>
      </c>
      <c r="BN385" s="6">
        <f t="shared" si="33"/>
        <v>21</v>
      </c>
      <c r="BO385" s="35"/>
      <c r="BP385" s="1"/>
      <c r="BQ385" s="1"/>
      <c r="BR385" s="1"/>
      <c r="BS385" s="1"/>
      <c r="BT385" s="1"/>
      <c r="BU385" s="1"/>
      <c r="BV385" s="32"/>
      <c r="BW385" s="1"/>
      <c r="BX385" s="32"/>
      <c r="BY385" s="32"/>
      <c r="CZ385" s="35"/>
      <c r="DA385" s="35"/>
      <c r="DB385" s="35"/>
      <c r="DC385" s="35"/>
      <c r="DD385" s="35"/>
      <c r="DE385" s="35"/>
      <c r="DF385" s="35"/>
      <c r="DG385" s="35"/>
      <c r="DH385" s="35"/>
      <c r="DI385" s="35"/>
      <c r="DJ385" s="35"/>
      <c r="DK385" s="35"/>
    </row>
    <row r="386" spans="2:115" ht="11.25" customHeight="1" x14ac:dyDescent="0.25"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35"/>
      <c r="BK386" s="35"/>
      <c r="BL386" s="8">
        <f t="shared" si="30"/>
        <v>382</v>
      </c>
      <c r="BM386" s="6">
        <f t="shared" si="32"/>
        <v>11</v>
      </c>
      <c r="BN386" s="6">
        <f t="shared" si="33"/>
        <v>22</v>
      </c>
      <c r="BO386" s="35"/>
      <c r="BP386" s="1"/>
      <c r="BQ386" s="1"/>
      <c r="BR386" s="1"/>
      <c r="BS386" s="1"/>
      <c r="BT386" s="1"/>
      <c r="BU386" s="1"/>
      <c r="BV386" s="32"/>
      <c r="BW386" s="1"/>
      <c r="BX386" s="32"/>
      <c r="BY386" s="32"/>
      <c r="CZ386" s="35"/>
      <c r="DA386" s="35"/>
      <c r="DB386" s="35"/>
      <c r="DC386" s="35"/>
      <c r="DD386" s="35"/>
      <c r="DE386" s="35"/>
      <c r="DF386" s="35"/>
      <c r="DG386" s="35"/>
      <c r="DH386" s="35"/>
      <c r="DI386" s="35"/>
      <c r="DJ386" s="35"/>
      <c r="DK386" s="35"/>
    </row>
    <row r="387" spans="2:115" ht="11.25" customHeight="1" x14ac:dyDescent="0.25"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35"/>
      <c r="BK387" s="35"/>
      <c r="BL387" s="8">
        <f t="shared" si="30"/>
        <v>383</v>
      </c>
      <c r="BM387" s="6">
        <f t="shared" si="32"/>
        <v>11</v>
      </c>
      <c r="BN387" s="6">
        <f t="shared" si="33"/>
        <v>23</v>
      </c>
      <c r="BP387" s="1"/>
      <c r="BQ387" s="1"/>
      <c r="BR387" s="1"/>
      <c r="BS387" s="1"/>
      <c r="BT387" s="1"/>
      <c r="BU387" s="1"/>
      <c r="BV387" s="32"/>
      <c r="BW387" s="1"/>
      <c r="BX387" s="32"/>
      <c r="BY387" s="32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35"/>
    </row>
    <row r="388" spans="2:115" ht="11.25" customHeight="1" x14ac:dyDescent="0.25"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35"/>
      <c r="BK388" s="35"/>
      <c r="BL388" s="8">
        <f t="shared" si="30"/>
        <v>384</v>
      </c>
      <c r="BM388" s="6">
        <f t="shared" si="32"/>
        <v>11</v>
      </c>
      <c r="BN388" s="6">
        <f t="shared" si="33"/>
        <v>24</v>
      </c>
      <c r="BP388" s="1"/>
      <c r="BQ388" s="1"/>
      <c r="BR388" s="1"/>
      <c r="BS388" s="1"/>
      <c r="BT388" s="1"/>
      <c r="BU388" s="1"/>
      <c r="BV388" s="32"/>
      <c r="BW388" s="1"/>
      <c r="BX388" s="32"/>
      <c r="BY388" s="32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35"/>
      <c r="DK388" s="35"/>
    </row>
    <row r="389" spans="2:115" ht="11.25" customHeight="1" x14ac:dyDescent="0.25"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K389" s="35"/>
      <c r="BL389" s="8">
        <f t="shared" si="30"/>
        <v>385</v>
      </c>
      <c r="BM389" s="6">
        <f t="shared" si="32"/>
        <v>11</v>
      </c>
      <c r="BN389" s="6">
        <f t="shared" si="33"/>
        <v>25</v>
      </c>
      <c r="BP389" s="1"/>
      <c r="BQ389" s="1"/>
      <c r="BR389" s="1"/>
      <c r="BS389" s="1"/>
      <c r="BT389" s="1"/>
      <c r="BU389" s="1"/>
      <c r="BV389" s="32"/>
      <c r="BW389" s="1"/>
      <c r="BX389" s="32"/>
      <c r="BY389" s="32"/>
      <c r="CZ389" s="35"/>
      <c r="DA389" s="35"/>
      <c r="DB389" s="35"/>
      <c r="DC389" s="35"/>
      <c r="DD389" s="35"/>
      <c r="DE389" s="35"/>
      <c r="DF389" s="35"/>
      <c r="DG389" s="35"/>
      <c r="DH389" s="35"/>
      <c r="DI389" s="35"/>
      <c r="DJ389" s="35"/>
      <c r="DK389" s="35"/>
    </row>
    <row r="390" spans="2:115" ht="11.25" customHeight="1" x14ac:dyDescent="0.25"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BE390" s="1"/>
      <c r="BF390" s="1"/>
      <c r="BG390" s="1"/>
      <c r="BH390" s="1"/>
      <c r="BI390" s="1"/>
      <c r="BL390" s="8">
        <f t="shared" ref="BL390:BL453" si="34">IF(ROW()&lt;=$BL$4,ROW()-ROW(BL$4),"")</f>
        <v>386</v>
      </c>
      <c r="BM390" s="6">
        <f t="shared" si="32"/>
        <v>11</v>
      </c>
      <c r="BN390" s="6">
        <f t="shared" si="33"/>
        <v>26</v>
      </c>
    </row>
    <row r="391" spans="2:115" ht="11.25" customHeight="1" x14ac:dyDescent="0.25"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BL391" s="8">
        <f t="shared" si="34"/>
        <v>387</v>
      </c>
      <c r="BM391" s="6">
        <f t="shared" si="32"/>
        <v>11</v>
      </c>
      <c r="BN391" s="6">
        <f t="shared" si="33"/>
        <v>27</v>
      </c>
    </row>
    <row r="392" spans="2:115" ht="11.25" customHeight="1" x14ac:dyDescent="0.25"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BL392" s="8">
        <f t="shared" si="34"/>
        <v>388</v>
      </c>
      <c r="BM392" s="6">
        <f t="shared" ref="BM392:BM455" si="35">IF(ISNUMBER(BL392),INT(BL391/$BN$4)+1,"")</f>
        <v>11</v>
      </c>
      <c r="BN392" s="6">
        <f t="shared" ref="BN392:BN455" si="36">IF(ISNUMBER(BL392),IF(BM391&lt;&gt;BM392,1,BN391+1),"")</f>
        <v>28</v>
      </c>
    </row>
    <row r="393" spans="2:115" ht="11.25" customHeight="1" x14ac:dyDescent="0.25"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BL393" s="8">
        <f t="shared" si="34"/>
        <v>389</v>
      </c>
      <c r="BM393" s="6">
        <f t="shared" si="35"/>
        <v>11</v>
      </c>
      <c r="BN393" s="6">
        <f t="shared" si="36"/>
        <v>29</v>
      </c>
    </row>
    <row r="394" spans="2:115" ht="11.25" customHeight="1" x14ac:dyDescent="0.25"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BL394" s="8">
        <f t="shared" si="34"/>
        <v>390</v>
      </c>
      <c r="BM394" s="6">
        <f t="shared" si="35"/>
        <v>11</v>
      </c>
      <c r="BN394" s="6">
        <f t="shared" si="36"/>
        <v>30</v>
      </c>
    </row>
    <row r="395" spans="2:115" ht="11.25" customHeight="1" x14ac:dyDescent="0.25"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BL395" s="8">
        <f t="shared" si="34"/>
        <v>391</v>
      </c>
      <c r="BM395" s="6">
        <f t="shared" si="35"/>
        <v>11</v>
      </c>
      <c r="BN395" s="6">
        <f t="shared" si="36"/>
        <v>31</v>
      </c>
    </row>
    <row r="396" spans="2:115" ht="11.25" customHeight="1" x14ac:dyDescent="0.25"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BL396" s="8">
        <f t="shared" si="34"/>
        <v>392</v>
      </c>
      <c r="BM396" s="6">
        <f t="shared" si="35"/>
        <v>11</v>
      </c>
      <c r="BN396" s="6">
        <f t="shared" si="36"/>
        <v>32</v>
      </c>
    </row>
    <row r="397" spans="2:115" ht="11.25" customHeight="1" x14ac:dyDescent="0.25"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BL397" s="8">
        <f t="shared" si="34"/>
        <v>393</v>
      </c>
      <c r="BM397" s="6">
        <f t="shared" si="35"/>
        <v>11</v>
      </c>
      <c r="BN397" s="6">
        <f t="shared" si="36"/>
        <v>33</v>
      </c>
    </row>
    <row r="398" spans="2:115" ht="11.25" customHeight="1" x14ac:dyDescent="0.25"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BL398" s="8">
        <f t="shared" si="34"/>
        <v>394</v>
      </c>
      <c r="BM398" s="6">
        <f t="shared" si="35"/>
        <v>11</v>
      </c>
      <c r="BN398" s="6">
        <f t="shared" si="36"/>
        <v>34</v>
      </c>
    </row>
    <row r="399" spans="2:115" ht="11.25" customHeight="1" x14ac:dyDescent="0.25"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BL399" s="8">
        <f t="shared" si="34"/>
        <v>395</v>
      </c>
      <c r="BM399" s="6">
        <f t="shared" si="35"/>
        <v>11</v>
      </c>
      <c r="BN399" s="6">
        <f t="shared" si="36"/>
        <v>35</v>
      </c>
    </row>
    <row r="400" spans="2:115" ht="11.25" customHeight="1" x14ac:dyDescent="0.25"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BL400" s="8">
        <f t="shared" si="34"/>
        <v>396</v>
      </c>
      <c r="BM400" s="6">
        <f t="shared" si="35"/>
        <v>11</v>
      </c>
      <c r="BN400" s="6">
        <f t="shared" si="36"/>
        <v>36</v>
      </c>
    </row>
    <row r="401" spans="2:66" ht="11.25" customHeight="1" x14ac:dyDescent="0.25"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BL401" s="8">
        <f t="shared" si="34"/>
        <v>397</v>
      </c>
      <c r="BM401" s="6">
        <f t="shared" si="35"/>
        <v>12</v>
      </c>
      <c r="BN401" s="6">
        <f t="shared" si="36"/>
        <v>1</v>
      </c>
    </row>
    <row r="402" spans="2:66" ht="11.25" customHeight="1" x14ac:dyDescent="0.25"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BL402" s="8">
        <f t="shared" si="34"/>
        <v>398</v>
      </c>
      <c r="BM402" s="6">
        <f t="shared" si="35"/>
        <v>12</v>
      </c>
      <c r="BN402" s="6">
        <f t="shared" si="36"/>
        <v>2</v>
      </c>
    </row>
    <row r="403" spans="2:66" ht="11.25" customHeight="1" x14ac:dyDescent="0.25"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1"/>
      <c r="BL403" s="8">
        <f t="shared" si="34"/>
        <v>399</v>
      </c>
      <c r="BM403" s="6">
        <f t="shared" si="35"/>
        <v>12</v>
      </c>
      <c r="BN403" s="6">
        <f t="shared" si="36"/>
        <v>3</v>
      </c>
    </row>
    <row r="404" spans="2:66" ht="11.25" customHeight="1" x14ac:dyDescent="0.25"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1"/>
      <c r="BL404" s="8">
        <f t="shared" si="34"/>
        <v>400</v>
      </c>
      <c r="BM404" s="6">
        <f t="shared" si="35"/>
        <v>12</v>
      </c>
      <c r="BN404" s="6">
        <f t="shared" si="36"/>
        <v>4</v>
      </c>
    </row>
    <row r="405" spans="2:66" ht="11.25" customHeight="1" x14ac:dyDescent="0.25"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1"/>
      <c r="BL405" s="8">
        <f t="shared" si="34"/>
        <v>401</v>
      </c>
      <c r="BM405" s="6">
        <f t="shared" si="35"/>
        <v>12</v>
      </c>
      <c r="BN405" s="6">
        <f t="shared" si="36"/>
        <v>5</v>
      </c>
    </row>
    <row r="406" spans="2:66" ht="11.25" customHeight="1" x14ac:dyDescent="0.25"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1"/>
      <c r="BL406" s="8">
        <f t="shared" si="34"/>
        <v>402</v>
      </c>
      <c r="BM406" s="6">
        <f t="shared" si="35"/>
        <v>12</v>
      </c>
      <c r="BN406" s="6">
        <f t="shared" si="36"/>
        <v>6</v>
      </c>
    </row>
    <row r="407" spans="2:66" ht="11.25" customHeight="1" x14ac:dyDescent="0.25"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1"/>
      <c r="BL407" s="8">
        <f t="shared" si="34"/>
        <v>403</v>
      </c>
      <c r="BM407" s="6">
        <f t="shared" si="35"/>
        <v>12</v>
      </c>
      <c r="BN407" s="6">
        <f t="shared" si="36"/>
        <v>7</v>
      </c>
    </row>
    <row r="408" spans="2:66" ht="11.25" customHeight="1" x14ac:dyDescent="0.25"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1"/>
      <c r="BL408" s="8">
        <f t="shared" si="34"/>
        <v>404</v>
      </c>
      <c r="BM408" s="6">
        <f t="shared" si="35"/>
        <v>12</v>
      </c>
      <c r="BN408" s="6">
        <f t="shared" si="36"/>
        <v>8</v>
      </c>
    </row>
    <row r="409" spans="2:66" ht="11.25" customHeight="1" x14ac:dyDescent="0.25"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1"/>
      <c r="BL409" s="8">
        <f t="shared" si="34"/>
        <v>405</v>
      </c>
      <c r="BM409" s="6">
        <f t="shared" si="35"/>
        <v>12</v>
      </c>
      <c r="BN409" s="6">
        <f t="shared" si="36"/>
        <v>9</v>
      </c>
    </row>
    <row r="410" spans="2:66" ht="11.25" customHeight="1" x14ac:dyDescent="0.25"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AA410" s="1"/>
      <c r="BL410" s="8">
        <f t="shared" si="34"/>
        <v>406</v>
      </c>
      <c r="BM410" s="6">
        <f t="shared" si="35"/>
        <v>12</v>
      </c>
      <c r="BN410" s="6">
        <f t="shared" si="36"/>
        <v>10</v>
      </c>
    </row>
    <row r="411" spans="2:66" ht="11.25" customHeight="1" x14ac:dyDescent="0.25"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AA411" s="1"/>
      <c r="BL411" s="8">
        <f t="shared" si="34"/>
        <v>407</v>
      </c>
      <c r="BM411" s="6">
        <f t="shared" si="35"/>
        <v>12</v>
      </c>
      <c r="BN411" s="6">
        <f t="shared" si="36"/>
        <v>11</v>
      </c>
    </row>
    <row r="412" spans="2:66" ht="11.25" customHeight="1" x14ac:dyDescent="0.25"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AA412" s="1"/>
      <c r="BL412" s="8">
        <f t="shared" si="34"/>
        <v>408</v>
      </c>
      <c r="BM412" s="6">
        <f t="shared" si="35"/>
        <v>12</v>
      </c>
      <c r="BN412" s="6">
        <f t="shared" si="36"/>
        <v>12</v>
      </c>
    </row>
    <row r="413" spans="2:66" ht="11.25" customHeight="1" x14ac:dyDescent="0.25"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AA413" s="1"/>
      <c r="BL413" s="8">
        <f t="shared" si="34"/>
        <v>409</v>
      </c>
      <c r="BM413" s="6">
        <f t="shared" si="35"/>
        <v>12</v>
      </c>
      <c r="BN413" s="6">
        <f t="shared" si="36"/>
        <v>13</v>
      </c>
    </row>
    <row r="414" spans="2:66" ht="11.25" customHeight="1" x14ac:dyDescent="0.25"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BL414" s="8">
        <f t="shared" si="34"/>
        <v>410</v>
      </c>
      <c r="BM414" s="6">
        <f t="shared" si="35"/>
        <v>12</v>
      </c>
      <c r="BN414" s="6">
        <f t="shared" si="36"/>
        <v>14</v>
      </c>
    </row>
    <row r="415" spans="2:66" ht="11.25" customHeight="1" x14ac:dyDescent="0.25"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BL415" s="8">
        <f t="shared" si="34"/>
        <v>411</v>
      </c>
      <c r="BM415" s="6">
        <f t="shared" si="35"/>
        <v>12</v>
      </c>
      <c r="BN415" s="6">
        <f t="shared" si="36"/>
        <v>15</v>
      </c>
    </row>
    <row r="416" spans="2:66" ht="11.25" customHeight="1" x14ac:dyDescent="0.25"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BL416" s="8">
        <f t="shared" si="34"/>
        <v>412</v>
      </c>
      <c r="BM416" s="6">
        <f t="shared" si="35"/>
        <v>12</v>
      </c>
      <c r="BN416" s="6">
        <f t="shared" si="36"/>
        <v>16</v>
      </c>
    </row>
    <row r="417" spans="2:66" ht="11.25" customHeight="1" x14ac:dyDescent="0.25"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BL417" s="8">
        <f t="shared" si="34"/>
        <v>413</v>
      </c>
      <c r="BM417" s="6">
        <f t="shared" si="35"/>
        <v>12</v>
      </c>
      <c r="BN417" s="6">
        <f t="shared" si="36"/>
        <v>17</v>
      </c>
    </row>
    <row r="418" spans="2:66" ht="11.25" customHeight="1" x14ac:dyDescent="0.25"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BL418" s="8">
        <f t="shared" si="34"/>
        <v>414</v>
      </c>
      <c r="BM418" s="6">
        <f t="shared" si="35"/>
        <v>12</v>
      </c>
      <c r="BN418" s="6">
        <f t="shared" si="36"/>
        <v>18</v>
      </c>
    </row>
    <row r="419" spans="2:66" ht="11.25" customHeight="1" x14ac:dyDescent="0.25"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BL419" s="8">
        <f t="shared" si="34"/>
        <v>415</v>
      </c>
      <c r="BM419" s="6">
        <f t="shared" si="35"/>
        <v>12</v>
      </c>
      <c r="BN419" s="6">
        <f t="shared" si="36"/>
        <v>19</v>
      </c>
    </row>
    <row r="420" spans="2:66" ht="11.25" customHeight="1" x14ac:dyDescent="0.25"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BL420" s="8">
        <f t="shared" si="34"/>
        <v>416</v>
      </c>
      <c r="BM420" s="6">
        <f t="shared" si="35"/>
        <v>12</v>
      </c>
      <c r="BN420" s="6">
        <f t="shared" si="36"/>
        <v>20</v>
      </c>
    </row>
    <row r="421" spans="2:66" ht="11.25" customHeight="1" x14ac:dyDescent="0.25"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BL421" s="8">
        <f t="shared" si="34"/>
        <v>417</v>
      </c>
      <c r="BM421" s="6">
        <f t="shared" si="35"/>
        <v>12</v>
      </c>
      <c r="BN421" s="6">
        <f t="shared" si="36"/>
        <v>21</v>
      </c>
    </row>
    <row r="422" spans="2:66" ht="11.25" customHeight="1" x14ac:dyDescent="0.25"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BL422" s="8">
        <f t="shared" si="34"/>
        <v>418</v>
      </c>
      <c r="BM422" s="6">
        <f t="shared" si="35"/>
        <v>12</v>
      </c>
      <c r="BN422" s="6">
        <f t="shared" si="36"/>
        <v>22</v>
      </c>
    </row>
    <row r="423" spans="2:66" ht="11.25" customHeight="1" x14ac:dyDescent="0.25"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BL423" s="8">
        <f t="shared" si="34"/>
        <v>419</v>
      </c>
      <c r="BM423" s="6">
        <f t="shared" si="35"/>
        <v>12</v>
      </c>
      <c r="BN423" s="6">
        <f t="shared" si="36"/>
        <v>23</v>
      </c>
    </row>
    <row r="424" spans="2:66" ht="11.25" customHeight="1" x14ac:dyDescent="0.25"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BL424" s="8">
        <f t="shared" si="34"/>
        <v>420</v>
      </c>
      <c r="BM424" s="6">
        <f t="shared" si="35"/>
        <v>12</v>
      </c>
      <c r="BN424" s="6">
        <f t="shared" si="36"/>
        <v>24</v>
      </c>
    </row>
    <row r="425" spans="2:66" ht="11.25" customHeight="1" x14ac:dyDescent="0.25"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BL425" s="8">
        <f t="shared" si="34"/>
        <v>421</v>
      </c>
      <c r="BM425" s="6">
        <f t="shared" si="35"/>
        <v>12</v>
      </c>
      <c r="BN425" s="6">
        <f t="shared" si="36"/>
        <v>25</v>
      </c>
    </row>
    <row r="426" spans="2:66" ht="11.25" customHeight="1" x14ac:dyDescent="0.25"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BL426" s="8">
        <f t="shared" si="34"/>
        <v>422</v>
      </c>
      <c r="BM426" s="6">
        <f t="shared" si="35"/>
        <v>12</v>
      </c>
      <c r="BN426" s="6">
        <f t="shared" si="36"/>
        <v>26</v>
      </c>
    </row>
    <row r="427" spans="2:66" ht="11.25" customHeight="1" x14ac:dyDescent="0.25"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BL427" s="8">
        <f t="shared" si="34"/>
        <v>423</v>
      </c>
      <c r="BM427" s="6">
        <f t="shared" si="35"/>
        <v>12</v>
      </c>
      <c r="BN427" s="6">
        <f t="shared" si="36"/>
        <v>27</v>
      </c>
    </row>
    <row r="428" spans="2:66" ht="11.25" customHeight="1" x14ac:dyDescent="0.25"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BL428" s="8">
        <f t="shared" si="34"/>
        <v>424</v>
      </c>
      <c r="BM428" s="6">
        <f t="shared" si="35"/>
        <v>12</v>
      </c>
      <c r="BN428" s="6">
        <f t="shared" si="36"/>
        <v>28</v>
      </c>
    </row>
    <row r="429" spans="2:66" ht="11.25" customHeight="1" x14ac:dyDescent="0.25"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BL429" s="8">
        <f t="shared" si="34"/>
        <v>425</v>
      </c>
      <c r="BM429" s="6">
        <f t="shared" si="35"/>
        <v>12</v>
      </c>
      <c r="BN429" s="6">
        <f t="shared" si="36"/>
        <v>29</v>
      </c>
    </row>
    <row r="430" spans="2:66" ht="11.25" customHeight="1" x14ac:dyDescent="0.25"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BL430" s="8">
        <f t="shared" si="34"/>
        <v>426</v>
      </c>
      <c r="BM430" s="6">
        <f t="shared" si="35"/>
        <v>12</v>
      </c>
      <c r="BN430" s="6">
        <f t="shared" si="36"/>
        <v>30</v>
      </c>
    </row>
    <row r="431" spans="2:66" ht="11.25" customHeight="1" x14ac:dyDescent="0.25"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BL431" s="8">
        <f t="shared" si="34"/>
        <v>427</v>
      </c>
      <c r="BM431" s="6">
        <f t="shared" si="35"/>
        <v>12</v>
      </c>
      <c r="BN431" s="6">
        <f t="shared" si="36"/>
        <v>31</v>
      </c>
    </row>
    <row r="432" spans="2:66" ht="11.25" customHeight="1" x14ac:dyDescent="0.25"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BL432" s="8">
        <f t="shared" si="34"/>
        <v>428</v>
      </c>
      <c r="BM432" s="6">
        <f t="shared" si="35"/>
        <v>12</v>
      </c>
      <c r="BN432" s="6">
        <f t="shared" si="36"/>
        <v>32</v>
      </c>
    </row>
    <row r="433" spans="64:66" ht="11.25" customHeight="1" x14ac:dyDescent="0.25">
      <c r="BL433" s="8">
        <f t="shared" si="34"/>
        <v>429</v>
      </c>
      <c r="BM433" s="6">
        <f t="shared" si="35"/>
        <v>12</v>
      </c>
      <c r="BN433" s="6">
        <f t="shared" si="36"/>
        <v>33</v>
      </c>
    </row>
    <row r="434" spans="64:66" ht="11.25" customHeight="1" x14ac:dyDescent="0.25">
      <c r="BL434" s="8">
        <f t="shared" si="34"/>
        <v>430</v>
      </c>
      <c r="BM434" s="6">
        <f t="shared" si="35"/>
        <v>12</v>
      </c>
      <c r="BN434" s="6">
        <f t="shared" si="36"/>
        <v>34</v>
      </c>
    </row>
    <row r="435" spans="64:66" ht="11.25" customHeight="1" x14ac:dyDescent="0.25">
      <c r="BL435" s="8">
        <f t="shared" si="34"/>
        <v>431</v>
      </c>
      <c r="BM435" s="6">
        <f t="shared" si="35"/>
        <v>12</v>
      </c>
      <c r="BN435" s="6">
        <f t="shared" si="36"/>
        <v>35</v>
      </c>
    </row>
    <row r="436" spans="64:66" ht="11.25" customHeight="1" x14ac:dyDescent="0.25">
      <c r="BL436" s="8">
        <f t="shared" si="34"/>
        <v>432</v>
      </c>
      <c r="BM436" s="6">
        <f t="shared" si="35"/>
        <v>12</v>
      </c>
      <c r="BN436" s="6">
        <f t="shared" si="36"/>
        <v>36</v>
      </c>
    </row>
    <row r="437" spans="64:66" ht="11.25" customHeight="1" x14ac:dyDescent="0.25">
      <c r="BL437" s="8">
        <f t="shared" si="34"/>
        <v>433</v>
      </c>
      <c r="BM437" s="6">
        <f t="shared" si="35"/>
        <v>13</v>
      </c>
      <c r="BN437" s="6">
        <f t="shared" si="36"/>
        <v>1</v>
      </c>
    </row>
    <row r="438" spans="64:66" ht="11.25" customHeight="1" x14ac:dyDescent="0.25">
      <c r="BL438" s="8">
        <f t="shared" si="34"/>
        <v>434</v>
      </c>
      <c r="BM438" s="6">
        <f t="shared" si="35"/>
        <v>13</v>
      </c>
      <c r="BN438" s="6">
        <f t="shared" si="36"/>
        <v>2</v>
      </c>
    </row>
    <row r="439" spans="64:66" ht="11.25" customHeight="1" x14ac:dyDescent="0.25">
      <c r="BL439" s="8">
        <f t="shared" si="34"/>
        <v>435</v>
      </c>
      <c r="BM439" s="6">
        <f t="shared" si="35"/>
        <v>13</v>
      </c>
      <c r="BN439" s="6">
        <f t="shared" si="36"/>
        <v>3</v>
      </c>
    </row>
    <row r="440" spans="64:66" ht="11.25" customHeight="1" x14ac:dyDescent="0.25">
      <c r="BL440" s="8">
        <f t="shared" si="34"/>
        <v>436</v>
      </c>
      <c r="BM440" s="6">
        <f t="shared" si="35"/>
        <v>13</v>
      </c>
      <c r="BN440" s="6">
        <f t="shared" si="36"/>
        <v>4</v>
      </c>
    </row>
    <row r="441" spans="64:66" ht="11.25" customHeight="1" x14ac:dyDescent="0.25">
      <c r="BL441" s="8">
        <f t="shared" si="34"/>
        <v>437</v>
      </c>
      <c r="BM441" s="6">
        <f t="shared" si="35"/>
        <v>13</v>
      </c>
      <c r="BN441" s="6">
        <f t="shared" si="36"/>
        <v>5</v>
      </c>
    </row>
    <row r="442" spans="64:66" ht="11.25" customHeight="1" x14ac:dyDescent="0.25">
      <c r="BL442" s="8">
        <f t="shared" si="34"/>
        <v>438</v>
      </c>
      <c r="BM442" s="6">
        <f t="shared" si="35"/>
        <v>13</v>
      </c>
      <c r="BN442" s="6">
        <f t="shared" si="36"/>
        <v>6</v>
      </c>
    </row>
    <row r="443" spans="64:66" ht="11.25" customHeight="1" x14ac:dyDescent="0.25">
      <c r="BL443" s="8">
        <f t="shared" si="34"/>
        <v>439</v>
      </c>
      <c r="BM443" s="6">
        <f t="shared" si="35"/>
        <v>13</v>
      </c>
      <c r="BN443" s="6">
        <f t="shared" si="36"/>
        <v>7</v>
      </c>
    </row>
    <row r="444" spans="64:66" ht="11.25" customHeight="1" x14ac:dyDescent="0.25">
      <c r="BL444" s="8">
        <f t="shared" si="34"/>
        <v>440</v>
      </c>
      <c r="BM444" s="6">
        <f t="shared" si="35"/>
        <v>13</v>
      </c>
      <c r="BN444" s="6">
        <f t="shared" si="36"/>
        <v>8</v>
      </c>
    </row>
    <row r="445" spans="64:66" ht="11.25" customHeight="1" x14ac:dyDescent="0.25">
      <c r="BL445" s="8">
        <f t="shared" si="34"/>
        <v>441</v>
      </c>
      <c r="BM445" s="6">
        <f t="shared" si="35"/>
        <v>13</v>
      </c>
      <c r="BN445" s="6">
        <f t="shared" si="36"/>
        <v>9</v>
      </c>
    </row>
    <row r="446" spans="64:66" ht="11.25" customHeight="1" x14ac:dyDescent="0.25">
      <c r="BL446" s="8">
        <f t="shared" si="34"/>
        <v>442</v>
      </c>
      <c r="BM446" s="6">
        <f t="shared" si="35"/>
        <v>13</v>
      </c>
      <c r="BN446" s="6">
        <f t="shared" si="36"/>
        <v>10</v>
      </c>
    </row>
    <row r="447" spans="64:66" ht="11.25" customHeight="1" x14ac:dyDescent="0.25">
      <c r="BL447" s="8">
        <f t="shared" si="34"/>
        <v>443</v>
      </c>
      <c r="BM447" s="6">
        <f t="shared" si="35"/>
        <v>13</v>
      </c>
      <c r="BN447" s="6">
        <f t="shared" si="36"/>
        <v>11</v>
      </c>
    </row>
    <row r="448" spans="64:66" ht="11.25" customHeight="1" x14ac:dyDescent="0.25">
      <c r="BL448" s="8">
        <f t="shared" si="34"/>
        <v>444</v>
      </c>
      <c r="BM448" s="6">
        <f t="shared" si="35"/>
        <v>13</v>
      </c>
      <c r="BN448" s="6">
        <f t="shared" si="36"/>
        <v>12</v>
      </c>
    </row>
    <row r="449" spans="64:66" ht="11.25" customHeight="1" x14ac:dyDescent="0.25">
      <c r="BL449" s="8">
        <f t="shared" si="34"/>
        <v>445</v>
      </c>
      <c r="BM449" s="6">
        <f t="shared" si="35"/>
        <v>13</v>
      </c>
      <c r="BN449" s="6">
        <f t="shared" si="36"/>
        <v>13</v>
      </c>
    </row>
    <row r="450" spans="64:66" ht="11.25" customHeight="1" x14ac:dyDescent="0.25">
      <c r="BL450" s="8">
        <f t="shared" si="34"/>
        <v>446</v>
      </c>
      <c r="BM450" s="6">
        <f t="shared" si="35"/>
        <v>13</v>
      </c>
      <c r="BN450" s="6">
        <f t="shared" si="36"/>
        <v>14</v>
      </c>
    </row>
    <row r="451" spans="64:66" ht="11.25" customHeight="1" x14ac:dyDescent="0.25">
      <c r="BL451" s="8">
        <f t="shared" si="34"/>
        <v>447</v>
      </c>
      <c r="BM451" s="6">
        <f t="shared" si="35"/>
        <v>13</v>
      </c>
      <c r="BN451" s="6">
        <f t="shared" si="36"/>
        <v>15</v>
      </c>
    </row>
    <row r="452" spans="64:66" ht="11.25" customHeight="1" x14ac:dyDescent="0.25">
      <c r="BL452" s="8">
        <f t="shared" si="34"/>
        <v>448</v>
      </c>
      <c r="BM452" s="6">
        <f t="shared" si="35"/>
        <v>13</v>
      </c>
      <c r="BN452" s="6">
        <f t="shared" si="36"/>
        <v>16</v>
      </c>
    </row>
    <row r="453" spans="64:66" ht="11.25" customHeight="1" x14ac:dyDescent="0.25">
      <c r="BL453" s="8">
        <f t="shared" si="34"/>
        <v>449</v>
      </c>
      <c r="BM453" s="6">
        <f t="shared" si="35"/>
        <v>13</v>
      </c>
      <c r="BN453" s="6">
        <f t="shared" si="36"/>
        <v>17</v>
      </c>
    </row>
    <row r="454" spans="64:66" ht="11.25" customHeight="1" x14ac:dyDescent="0.25">
      <c r="BL454" s="8">
        <f t="shared" ref="BL454:BL517" si="37">IF(ROW()&lt;=$BL$4,ROW()-ROW(BL$4),"")</f>
        <v>450</v>
      </c>
      <c r="BM454" s="6">
        <f t="shared" si="35"/>
        <v>13</v>
      </c>
      <c r="BN454" s="6">
        <f t="shared" si="36"/>
        <v>18</v>
      </c>
    </row>
    <row r="455" spans="64:66" ht="11.25" customHeight="1" x14ac:dyDescent="0.25">
      <c r="BL455" s="8">
        <f t="shared" si="37"/>
        <v>451</v>
      </c>
      <c r="BM455" s="6">
        <f t="shared" si="35"/>
        <v>13</v>
      </c>
      <c r="BN455" s="6">
        <f t="shared" si="36"/>
        <v>19</v>
      </c>
    </row>
    <row r="456" spans="64:66" ht="11.25" customHeight="1" x14ac:dyDescent="0.25">
      <c r="BL456" s="8">
        <f t="shared" si="37"/>
        <v>452</v>
      </c>
      <c r="BM456" s="6">
        <f t="shared" ref="BM456:BM519" si="38">IF(ISNUMBER(BL456),INT(BL455/$BN$4)+1,"")</f>
        <v>13</v>
      </c>
      <c r="BN456" s="6">
        <f t="shared" ref="BN456:BN519" si="39">IF(ISNUMBER(BL456),IF(BM455&lt;&gt;BM456,1,BN455+1),"")</f>
        <v>20</v>
      </c>
    </row>
    <row r="457" spans="64:66" ht="11.25" customHeight="1" x14ac:dyDescent="0.25">
      <c r="BL457" s="8">
        <f t="shared" si="37"/>
        <v>453</v>
      </c>
      <c r="BM457" s="6">
        <f t="shared" si="38"/>
        <v>13</v>
      </c>
      <c r="BN457" s="6">
        <f t="shared" si="39"/>
        <v>21</v>
      </c>
    </row>
    <row r="458" spans="64:66" ht="11.25" customHeight="1" x14ac:dyDescent="0.25">
      <c r="BL458" s="8">
        <f t="shared" si="37"/>
        <v>454</v>
      </c>
      <c r="BM458" s="6">
        <f t="shared" si="38"/>
        <v>13</v>
      </c>
      <c r="BN458" s="6">
        <f t="shared" si="39"/>
        <v>22</v>
      </c>
    </row>
    <row r="459" spans="64:66" ht="11.25" customHeight="1" x14ac:dyDescent="0.25">
      <c r="BL459" s="8">
        <f t="shared" si="37"/>
        <v>455</v>
      </c>
      <c r="BM459" s="6">
        <f t="shared" si="38"/>
        <v>13</v>
      </c>
      <c r="BN459" s="6">
        <f t="shared" si="39"/>
        <v>23</v>
      </c>
    </row>
    <row r="460" spans="64:66" ht="11.25" customHeight="1" x14ac:dyDescent="0.25">
      <c r="BL460" s="8">
        <f t="shared" si="37"/>
        <v>456</v>
      </c>
      <c r="BM460" s="6">
        <f t="shared" si="38"/>
        <v>13</v>
      </c>
      <c r="BN460" s="6">
        <f t="shared" si="39"/>
        <v>24</v>
      </c>
    </row>
    <row r="461" spans="64:66" ht="11.25" customHeight="1" x14ac:dyDescent="0.25">
      <c r="BL461" s="8">
        <f t="shared" si="37"/>
        <v>457</v>
      </c>
      <c r="BM461" s="6">
        <f t="shared" si="38"/>
        <v>13</v>
      </c>
      <c r="BN461" s="6">
        <f t="shared" si="39"/>
        <v>25</v>
      </c>
    </row>
    <row r="462" spans="64:66" ht="11.25" customHeight="1" x14ac:dyDescent="0.25">
      <c r="BL462" s="8">
        <f t="shared" si="37"/>
        <v>458</v>
      </c>
      <c r="BM462" s="6">
        <f t="shared" si="38"/>
        <v>13</v>
      </c>
      <c r="BN462" s="6">
        <f t="shared" si="39"/>
        <v>26</v>
      </c>
    </row>
    <row r="463" spans="64:66" ht="11.25" customHeight="1" x14ac:dyDescent="0.25">
      <c r="BL463" s="8">
        <f t="shared" si="37"/>
        <v>459</v>
      </c>
      <c r="BM463" s="6">
        <f t="shared" si="38"/>
        <v>13</v>
      </c>
      <c r="BN463" s="6">
        <f t="shared" si="39"/>
        <v>27</v>
      </c>
    </row>
    <row r="464" spans="64:66" ht="11.25" customHeight="1" x14ac:dyDescent="0.25">
      <c r="BL464" s="8">
        <f t="shared" si="37"/>
        <v>460</v>
      </c>
      <c r="BM464" s="6">
        <f t="shared" si="38"/>
        <v>13</v>
      </c>
      <c r="BN464" s="6">
        <f t="shared" si="39"/>
        <v>28</v>
      </c>
    </row>
    <row r="465" spans="64:66" ht="11.25" customHeight="1" x14ac:dyDescent="0.25">
      <c r="BL465" s="8">
        <f t="shared" si="37"/>
        <v>461</v>
      </c>
      <c r="BM465" s="6">
        <f t="shared" si="38"/>
        <v>13</v>
      </c>
      <c r="BN465" s="6">
        <f t="shared" si="39"/>
        <v>29</v>
      </c>
    </row>
    <row r="466" spans="64:66" ht="11.25" customHeight="1" x14ac:dyDescent="0.25">
      <c r="BL466" s="8">
        <f t="shared" si="37"/>
        <v>462</v>
      </c>
      <c r="BM466" s="6">
        <f t="shared" si="38"/>
        <v>13</v>
      </c>
      <c r="BN466" s="6">
        <f t="shared" si="39"/>
        <v>30</v>
      </c>
    </row>
    <row r="467" spans="64:66" ht="11.25" customHeight="1" x14ac:dyDescent="0.25">
      <c r="BL467" s="8">
        <f t="shared" si="37"/>
        <v>463</v>
      </c>
      <c r="BM467" s="6">
        <f t="shared" si="38"/>
        <v>13</v>
      </c>
      <c r="BN467" s="6">
        <f t="shared" si="39"/>
        <v>31</v>
      </c>
    </row>
    <row r="468" spans="64:66" ht="11.25" customHeight="1" x14ac:dyDescent="0.25">
      <c r="BL468" s="8">
        <f t="shared" si="37"/>
        <v>464</v>
      </c>
      <c r="BM468" s="6">
        <f t="shared" si="38"/>
        <v>13</v>
      </c>
      <c r="BN468" s="6">
        <f t="shared" si="39"/>
        <v>32</v>
      </c>
    </row>
    <row r="469" spans="64:66" ht="11.25" customHeight="1" x14ac:dyDescent="0.25">
      <c r="BL469" s="8">
        <f t="shared" si="37"/>
        <v>465</v>
      </c>
      <c r="BM469" s="6">
        <f t="shared" si="38"/>
        <v>13</v>
      </c>
      <c r="BN469" s="6">
        <f t="shared" si="39"/>
        <v>33</v>
      </c>
    </row>
    <row r="470" spans="64:66" ht="11.25" customHeight="1" x14ac:dyDescent="0.25">
      <c r="BL470" s="8">
        <f t="shared" si="37"/>
        <v>466</v>
      </c>
      <c r="BM470" s="6">
        <f t="shared" si="38"/>
        <v>13</v>
      </c>
      <c r="BN470" s="6">
        <f t="shared" si="39"/>
        <v>34</v>
      </c>
    </row>
    <row r="471" spans="64:66" ht="11.25" customHeight="1" x14ac:dyDescent="0.25">
      <c r="BL471" s="8">
        <f t="shared" si="37"/>
        <v>467</v>
      </c>
      <c r="BM471" s="6">
        <f t="shared" si="38"/>
        <v>13</v>
      </c>
      <c r="BN471" s="6">
        <f t="shared" si="39"/>
        <v>35</v>
      </c>
    </row>
    <row r="472" spans="64:66" ht="11.25" customHeight="1" x14ac:dyDescent="0.25">
      <c r="BL472" s="8">
        <f t="shared" si="37"/>
        <v>468</v>
      </c>
      <c r="BM472" s="6">
        <f t="shared" si="38"/>
        <v>13</v>
      </c>
      <c r="BN472" s="6">
        <f t="shared" si="39"/>
        <v>36</v>
      </c>
    </row>
    <row r="473" spans="64:66" ht="11.25" customHeight="1" x14ac:dyDescent="0.25">
      <c r="BL473" s="8">
        <f t="shared" si="37"/>
        <v>469</v>
      </c>
      <c r="BM473" s="6">
        <f t="shared" si="38"/>
        <v>14</v>
      </c>
      <c r="BN473" s="6">
        <f t="shared" si="39"/>
        <v>1</v>
      </c>
    </row>
    <row r="474" spans="64:66" ht="11.25" customHeight="1" x14ac:dyDescent="0.25">
      <c r="BL474" s="8">
        <f t="shared" si="37"/>
        <v>470</v>
      </c>
      <c r="BM474" s="6">
        <f t="shared" si="38"/>
        <v>14</v>
      </c>
      <c r="BN474" s="6">
        <f t="shared" si="39"/>
        <v>2</v>
      </c>
    </row>
    <row r="475" spans="64:66" ht="11.25" customHeight="1" x14ac:dyDescent="0.25">
      <c r="BL475" s="8">
        <f t="shared" si="37"/>
        <v>471</v>
      </c>
      <c r="BM475" s="6">
        <f t="shared" si="38"/>
        <v>14</v>
      </c>
      <c r="BN475" s="6">
        <f t="shared" si="39"/>
        <v>3</v>
      </c>
    </row>
    <row r="476" spans="64:66" ht="11.25" customHeight="1" x14ac:dyDescent="0.25">
      <c r="BL476" s="8">
        <f t="shared" si="37"/>
        <v>472</v>
      </c>
      <c r="BM476" s="6">
        <f t="shared" si="38"/>
        <v>14</v>
      </c>
      <c r="BN476" s="6">
        <f t="shared" si="39"/>
        <v>4</v>
      </c>
    </row>
    <row r="477" spans="64:66" ht="11.25" customHeight="1" x14ac:dyDescent="0.25">
      <c r="BL477" s="8">
        <f t="shared" si="37"/>
        <v>473</v>
      </c>
      <c r="BM477" s="6">
        <f t="shared" si="38"/>
        <v>14</v>
      </c>
      <c r="BN477" s="6">
        <f t="shared" si="39"/>
        <v>5</v>
      </c>
    </row>
    <row r="478" spans="64:66" ht="11.25" customHeight="1" x14ac:dyDescent="0.25">
      <c r="BL478" s="8">
        <f t="shared" si="37"/>
        <v>474</v>
      </c>
      <c r="BM478" s="6">
        <f t="shared" si="38"/>
        <v>14</v>
      </c>
      <c r="BN478" s="6">
        <f t="shared" si="39"/>
        <v>6</v>
      </c>
    </row>
    <row r="479" spans="64:66" ht="11.25" customHeight="1" x14ac:dyDescent="0.25">
      <c r="BL479" s="8">
        <f t="shared" si="37"/>
        <v>475</v>
      </c>
      <c r="BM479" s="6">
        <f t="shared" si="38"/>
        <v>14</v>
      </c>
      <c r="BN479" s="6">
        <f t="shared" si="39"/>
        <v>7</v>
      </c>
    </row>
    <row r="480" spans="64:66" ht="11.25" customHeight="1" x14ac:dyDescent="0.25">
      <c r="BL480" s="8">
        <f t="shared" si="37"/>
        <v>476</v>
      </c>
      <c r="BM480" s="6">
        <f t="shared" si="38"/>
        <v>14</v>
      </c>
      <c r="BN480" s="6">
        <f t="shared" si="39"/>
        <v>8</v>
      </c>
    </row>
    <row r="481" spans="64:66" ht="11.25" customHeight="1" x14ac:dyDescent="0.25">
      <c r="BL481" s="8">
        <f t="shared" si="37"/>
        <v>477</v>
      </c>
      <c r="BM481" s="6">
        <f t="shared" si="38"/>
        <v>14</v>
      </c>
      <c r="BN481" s="6">
        <f t="shared" si="39"/>
        <v>9</v>
      </c>
    </row>
    <row r="482" spans="64:66" ht="11.25" customHeight="1" x14ac:dyDescent="0.25">
      <c r="BL482" s="8">
        <f t="shared" si="37"/>
        <v>478</v>
      </c>
      <c r="BM482" s="6">
        <f t="shared" si="38"/>
        <v>14</v>
      </c>
      <c r="BN482" s="6">
        <f t="shared" si="39"/>
        <v>10</v>
      </c>
    </row>
    <row r="483" spans="64:66" ht="11.25" customHeight="1" x14ac:dyDescent="0.25">
      <c r="BL483" s="8">
        <f t="shared" si="37"/>
        <v>479</v>
      </c>
      <c r="BM483" s="6">
        <f t="shared" si="38"/>
        <v>14</v>
      </c>
      <c r="BN483" s="6">
        <f t="shared" si="39"/>
        <v>11</v>
      </c>
    </row>
    <row r="484" spans="64:66" ht="11.25" customHeight="1" x14ac:dyDescent="0.25">
      <c r="BL484" s="8">
        <f t="shared" si="37"/>
        <v>480</v>
      </c>
      <c r="BM484" s="6">
        <f t="shared" si="38"/>
        <v>14</v>
      </c>
      <c r="BN484" s="6">
        <f t="shared" si="39"/>
        <v>12</v>
      </c>
    </row>
    <row r="485" spans="64:66" ht="11.25" customHeight="1" x14ac:dyDescent="0.25">
      <c r="BL485" s="8">
        <f t="shared" si="37"/>
        <v>481</v>
      </c>
      <c r="BM485" s="6">
        <f t="shared" si="38"/>
        <v>14</v>
      </c>
      <c r="BN485" s="6">
        <f t="shared" si="39"/>
        <v>13</v>
      </c>
    </row>
    <row r="486" spans="64:66" ht="11.25" customHeight="1" x14ac:dyDescent="0.25">
      <c r="BL486" s="8">
        <f t="shared" si="37"/>
        <v>482</v>
      </c>
      <c r="BM486" s="6">
        <f t="shared" si="38"/>
        <v>14</v>
      </c>
      <c r="BN486" s="6">
        <f t="shared" si="39"/>
        <v>14</v>
      </c>
    </row>
    <row r="487" spans="64:66" ht="11.25" customHeight="1" x14ac:dyDescent="0.25">
      <c r="BL487" s="8">
        <f t="shared" si="37"/>
        <v>483</v>
      </c>
      <c r="BM487" s="6">
        <f t="shared" si="38"/>
        <v>14</v>
      </c>
      <c r="BN487" s="6">
        <f t="shared" si="39"/>
        <v>15</v>
      </c>
    </row>
    <row r="488" spans="64:66" ht="11.25" customHeight="1" x14ac:dyDescent="0.25">
      <c r="BL488" s="8">
        <f t="shared" si="37"/>
        <v>484</v>
      </c>
      <c r="BM488" s="6">
        <f t="shared" si="38"/>
        <v>14</v>
      </c>
      <c r="BN488" s="6">
        <f t="shared" si="39"/>
        <v>16</v>
      </c>
    </row>
    <row r="489" spans="64:66" ht="11.25" customHeight="1" x14ac:dyDescent="0.25">
      <c r="BL489" s="8">
        <f t="shared" si="37"/>
        <v>485</v>
      </c>
      <c r="BM489" s="6">
        <f t="shared" si="38"/>
        <v>14</v>
      </c>
      <c r="BN489" s="6">
        <f t="shared" si="39"/>
        <v>17</v>
      </c>
    </row>
    <row r="490" spans="64:66" ht="11.25" customHeight="1" x14ac:dyDescent="0.25">
      <c r="BL490" s="8">
        <f t="shared" si="37"/>
        <v>486</v>
      </c>
      <c r="BM490" s="6">
        <f t="shared" si="38"/>
        <v>14</v>
      </c>
      <c r="BN490" s="6">
        <f t="shared" si="39"/>
        <v>18</v>
      </c>
    </row>
    <row r="491" spans="64:66" ht="11.25" customHeight="1" x14ac:dyDescent="0.25">
      <c r="BL491" s="8">
        <f t="shared" si="37"/>
        <v>487</v>
      </c>
      <c r="BM491" s="6">
        <f t="shared" si="38"/>
        <v>14</v>
      </c>
      <c r="BN491" s="6">
        <f t="shared" si="39"/>
        <v>19</v>
      </c>
    </row>
    <row r="492" spans="64:66" ht="11.25" customHeight="1" x14ac:dyDescent="0.25">
      <c r="BL492" s="8">
        <f t="shared" si="37"/>
        <v>488</v>
      </c>
      <c r="BM492" s="6">
        <f t="shared" si="38"/>
        <v>14</v>
      </c>
      <c r="BN492" s="6">
        <f t="shared" si="39"/>
        <v>20</v>
      </c>
    </row>
    <row r="493" spans="64:66" ht="11.25" customHeight="1" x14ac:dyDescent="0.25">
      <c r="BL493" s="8">
        <f t="shared" si="37"/>
        <v>489</v>
      </c>
      <c r="BM493" s="6">
        <f t="shared" si="38"/>
        <v>14</v>
      </c>
      <c r="BN493" s="6">
        <f t="shared" si="39"/>
        <v>21</v>
      </c>
    </row>
    <row r="494" spans="64:66" ht="11.25" customHeight="1" x14ac:dyDescent="0.25">
      <c r="BL494" s="8">
        <f t="shared" si="37"/>
        <v>490</v>
      </c>
      <c r="BM494" s="6">
        <f t="shared" si="38"/>
        <v>14</v>
      </c>
      <c r="BN494" s="6">
        <f t="shared" si="39"/>
        <v>22</v>
      </c>
    </row>
    <row r="495" spans="64:66" ht="11.25" customHeight="1" x14ac:dyDescent="0.25">
      <c r="BL495" s="8">
        <f t="shared" si="37"/>
        <v>491</v>
      </c>
      <c r="BM495" s="6">
        <f t="shared" si="38"/>
        <v>14</v>
      </c>
      <c r="BN495" s="6">
        <f t="shared" si="39"/>
        <v>23</v>
      </c>
    </row>
    <row r="496" spans="64:66" ht="11.25" customHeight="1" x14ac:dyDescent="0.25">
      <c r="BL496" s="8">
        <f t="shared" si="37"/>
        <v>492</v>
      </c>
      <c r="BM496" s="6">
        <f t="shared" si="38"/>
        <v>14</v>
      </c>
      <c r="BN496" s="6">
        <f t="shared" si="39"/>
        <v>24</v>
      </c>
    </row>
    <row r="497" spans="64:66" ht="11.25" customHeight="1" x14ac:dyDescent="0.25">
      <c r="BL497" s="8">
        <f t="shared" si="37"/>
        <v>493</v>
      </c>
      <c r="BM497" s="6">
        <f t="shared" si="38"/>
        <v>14</v>
      </c>
      <c r="BN497" s="6">
        <f t="shared" si="39"/>
        <v>25</v>
      </c>
    </row>
    <row r="498" spans="64:66" ht="11.25" customHeight="1" x14ac:dyDescent="0.25">
      <c r="BL498" s="8">
        <f t="shared" si="37"/>
        <v>494</v>
      </c>
      <c r="BM498" s="6">
        <f t="shared" si="38"/>
        <v>14</v>
      </c>
      <c r="BN498" s="6">
        <f t="shared" si="39"/>
        <v>26</v>
      </c>
    </row>
    <row r="499" spans="64:66" ht="11.25" customHeight="1" x14ac:dyDescent="0.25">
      <c r="BL499" s="8">
        <f t="shared" si="37"/>
        <v>495</v>
      </c>
      <c r="BM499" s="6">
        <f t="shared" si="38"/>
        <v>14</v>
      </c>
      <c r="BN499" s="6">
        <f t="shared" si="39"/>
        <v>27</v>
      </c>
    </row>
    <row r="500" spans="64:66" ht="11.25" customHeight="1" x14ac:dyDescent="0.25">
      <c r="BL500" s="8">
        <f t="shared" si="37"/>
        <v>496</v>
      </c>
      <c r="BM500" s="6">
        <f t="shared" si="38"/>
        <v>14</v>
      </c>
      <c r="BN500" s="6">
        <f t="shared" si="39"/>
        <v>28</v>
      </c>
    </row>
    <row r="501" spans="64:66" ht="11.25" customHeight="1" x14ac:dyDescent="0.25">
      <c r="BL501" s="8">
        <f t="shared" si="37"/>
        <v>497</v>
      </c>
      <c r="BM501" s="6">
        <f t="shared" si="38"/>
        <v>14</v>
      </c>
      <c r="BN501" s="6">
        <f t="shared" si="39"/>
        <v>29</v>
      </c>
    </row>
    <row r="502" spans="64:66" ht="11.25" customHeight="1" x14ac:dyDescent="0.25">
      <c r="BL502" s="8">
        <f t="shared" si="37"/>
        <v>498</v>
      </c>
      <c r="BM502" s="6">
        <f t="shared" si="38"/>
        <v>14</v>
      </c>
      <c r="BN502" s="6">
        <f t="shared" si="39"/>
        <v>30</v>
      </c>
    </row>
    <row r="503" spans="64:66" ht="11.25" customHeight="1" x14ac:dyDescent="0.25">
      <c r="BL503" s="8">
        <f t="shared" si="37"/>
        <v>499</v>
      </c>
      <c r="BM503" s="6">
        <f t="shared" si="38"/>
        <v>14</v>
      </c>
      <c r="BN503" s="6">
        <f t="shared" si="39"/>
        <v>31</v>
      </c>
    </row>
    <row r="504" spans="64:66" ht="11.25" customHeight="1" x14ac:dyDescent="0.25">
      <c r="BL504" s="8">
        <f t="shared" si="37"/>
        <v>500</v>
      </c>
      <c r="BM504" s="6">
        <f t="shared" si="38"/>
        <v>14</v>
      </c>
      <c r="BN504" s="6">
        <f t="shared" si="39"/>
        <v>32</v>
      </c>
    </row>
    <row r="505" spans="64:66" ht="11.25" customHeight="1" x14ac:dyDescent="0.25">
      <c r="BL505" s="8">
        <f t="shared" si="37"/>
        <v>501</v>
      </c>
      <c r="BM505" s="6">
        <f t="shared" si="38"/>
        <v>14</v>
      </c>
      <c r="BN505" s="6">
        <f t="shared" si="39"/>
        <v>33</v>
      </c>
    </row>
    <row r="506" spans="64:66" ht="11.25" customHeight="1" x14ac:dyDescent="0.25">
      <c r="BL506" s="8">
        <f t="shared" si="37"/>
        <v>502</v>
      </c>
      <c r="BM506" s="6">
        <f t="shared" si="38"/>
        <v>14</v>
      </c>
      <c r="BN506" s="6">
        <f t="shared" si="39"/>
        <v>34</v>
      </c>
    </row>
    <row r="507" spans="64:66" ht="11.25" customHeight="1" x14ac:dyDescent="0.25">
      <c r="BL507" s="8">
        <f t="shared" si="37"/>
        <v>503</v>
      </c>
      <c r="BM507" s="6">
        <f t="shared" si="38"/>
        <v>14</v>
      </c>
      <c r="BN507" s="6">
        <f t="shared" si="39"/>
        <v>35</v>
      </c>
    </row>
    <row r="508" spans="64:66" ht="11.25" customHeight="1" x14ac:dyDescent="0.25">
      <c r="BL508" s="8">
        <f t="shared" si="37"/>
        <v>504</v>
      </c>
      <c r="BM508" s="6">
        <f t="shared" si="38"/>
        <v>14</v>
      </c>
      <c r="BN508" s="6">
        <f t="shared" si="39"/>
        <v>36</v>
      </c>
    </row>
    <row r="509" spans="64:66" ht="11.25" customHeight="1" x14ac:dyDescent="0.25">
      <c r="BL509" s="8">
        <f t="shared" si="37"/>
        <v>505</v>
      </c>
      <c r="BM509" s="6">
        <f t="shared" si="38"/>
        <v>15</v>
      </c>
      <c r="BN509" s="6">
        <f t="shared" si="39"/>
        <v>1</v>
      </c>
    </row>
    <row r="510" spans="64:66" ht="11.25" customHeight="1" x14ac:dyDescent="0.25">
      <c r="BL510" s="8">
        <f t="shared" si="37"/>
        <v>506</v>
      </c>
      <c r="BM510" s="6">
        <f t="shared" si="38"/>
        <v>15</v>
      </c>
      <c r="BN510" s="6">
        <f t="shared" si="39"/>
        <v>2</v>
      </c>
    </row>
    <row r="511" spans="64:66" ht="11.25" customHeight="1" x14ac:dyDescent="0.25">
      <c r="BL511" s="8">
        <f t="shared" si="37"/>
        <v>507</v>
      </c>
      <c r="BM511" s="6">
        <f t="shared" si="38"/>
        <v>15</v>
      </c>
      <c r="BN511" s="6">
        <f t="shared" si="39"/>
        <v>3</v>
      </c>
    </row>
    <row r="512" spans="64:66" ht="11.25" customHeight="1" x14ac:dyDescent="0.25">
      <c r="BL512" s="8">
        <f t="shared" si="37"/>
        <v>508</v>
      </c>
      <c r="BM512" s="6">
        <f t="shared" si="38"/>
        <v>15</v>
      </c>
      <c r="BN512" s="6">
        <f t="shared" si="39"/>
        <v>4</v>
      </c>
    </row>
    <row r="513" spans="64:66" ht="11.25" customHeight="1" x14ac:dyDescent="0.25">
      <c r="BL513" s="8">
        <f t="shared" si="37"/>
        <v>509</v>
      </c>
      <c r="BM513" s="6">
        <f t="shared" si="38"/>
        <v>15</v>
      </c>
      <c r="BN513" s="6">
        <f t="shared" si="39"/>
        <v>5</v>
      </c>
    </row>
    <row r="514" spans="64:66" ht="11.25" customHeight="1" x14ac:dyDescent="0.25">
      <c r="BL514" s="8">
        <f t="shared" si="37"/>
        <v>510</v>
      </c>
      <c r="BM514" s="6">
        <f t="shared" si="38"/>
        <v>15</v>
      </c>
      <c r="BN514" s="6">
        <f t="shared" si="39"/>
        <v>6</v>
      </c>
    </row>
    <row r="515" spans="64:66" ht="11.25" customHeight="1" x14ac:dyDescent="0.25">
      <c r="BL515" s="8">
        <f t="shared" si="37"/>
        <v>511</v>
      </c>
      <c r="BM515" s="6">
        <f t="shared" si="38"/>
        <v>15</v>
      </c>
      <c r="BN515" s="6">
        <f t="shared" si="39"/>
        <v>7</v>
      </c>
    </row>
    <row r="516" spans="64:66" ht="11.25" customHeight="1" x14ac:dyDescent="0.25">
      <c r="BL516" s="8">
        <f t="shared" si="37"/>
        <v>512</v>
      </c>
      <c r="BM516" s="6">
        <f t="shared" si="38"/>
        <v>15</v>
      </c>
      <c r="BN516" s="6">
        <f t="shared" si="39"/>
        <v>8</v>
      </c>
    </row>
    <row r="517" spans="64:66" ht="11.25" customHeight="1" x14ac:dyDescent="0.25">
      <c r="BL517" s="8">
        <f t="shared" si="37"/>
        <v>513</v>
      </c>
      <c r="BM517" s="6">
        <f t="shared" si="38"/>
        <v>15</v>
      </c>
      <c r="BN517" s="6">
        <f t="shared" si="39"/>
        <v>9</v>
      </c>
    </row>
    <row r="518" spans="64:66" ht="11.25" customHeight="1" x14ac:dyDescent="0.25">
      <c r="BL518" s="8">
        <f t="shared" ref="BL518:BL581" si="40">IF(ROW()&lt;=$BL$4,ROW()-ROW(BL$4),"")</f>
        <v>514</v>
      </c>
      <c r="BM518" s="6">
        <f t="shared" si="38"/>
        <v>15</v>
      </c>
      <c r="BN518" s="6">
        <f t="shared" si="39"/>
        <v>10</v>
      </c>
    </row>
    <row r="519" spans="64:66" ht="11.25" customHeight="1" x14ac:dyDescent="0.25">
      <c r="BL519" s="8">
        <f t="shared" si="40"/>
        <v>515</v>
      </c>
      <c r="BM519" s="6">
        <f t="shared" si="38"/>
        <v>15</v>
      </c>
      <c r="BN519" s="6">
        <f t="shared" si="39"/>
        <v>11</v>
      </c>
    </row>
    <row r="520" spans="64:66" ht="11.25" customHeight="1" x14ac:dyDescent="0.25">
      <c r="BL520" s="8">
        <f t="shared" si="40"/>
        <v>516</v>
      </c>
      <c r="BM520" s="6">
        <f t="shared" ref="BM520:BM583" si="41">IF(ISNUMBER(BL520),INT(BL519/$BN$4)+1,"")</f>
        <v>15</v>
      </c>
      <c r="BN520" s="6">
        <f t="shared" ref="BN520:BN583" si="42">IF(ISNUMBER(BL520),IF(BM519&lt;&gt;BM520,1,BN519+1),"")</f>
        <v>12</v>
      </c>
    </row>
    <row r="521" spans="64:66" ht="11.25" customHeight="1" x14ac:dyDescent="0.25">
      <c r="BL521" s="8">
        <f t="shared" si="40"/>
        <v>517</v>
      </c>
      <c r="BM521" s="6">
        <f t="shared" si="41"/>
        <v>15</v>
      </c>
      <c r="BN521" s="6">
        <f t="shared" si="42"/>
        <v>13</v>
      </c>
    </row>
    <row r="522" spans="64:66" ht="11.25" customHeight="1" x14ac:dyDescent="0.25">
      <c r="BL522" s="8">
        <f t="shared" si="40"/>
        <v>518</v>
      </c>
      <c r="BM522" s="6">
        <f t="shared" si="41"/>
        <v>15</v>
      </c>
      <c r="BN522" s="6">
        <f t="shared" si="42"/>
        <v>14</v>
      </c>
    </row>
    <row r="523" spans="64:66" ht="11.25" customHeight="1" x14ac:dyDescent="0.25">
      <c r="BL523" s="8">
        <f t="shared" si="40"/>
        <v>519</v>
      </c>
      <c r="BM523" s="6">
        <f t="shared" si="41"/>
        <v>15</v>
      </c>
      <c r="BN523" s="6">
        <f t="shared" si="42"/>
        <v>15</v>
      </c>
    </row>
    <row r="524" spans="64:66" ht="11.25" customHeight="1" x14ac:dyDescent="0.25">
      <c r="BL524" s="8">
        <f t="shared" si="40"/>
        <v>520</v>
      </c>
      <c r="BM524" s="6">
        <f t="shared" si="41"/>
        <v>15</v>
      </c>
      <c r="BN524" s="6">
        <f t="shared" si="42"/>
        <v>16</v>
      </c>
    </row>
    <row r="525" spans="64:66" ht="11.25" customHeight="1" x14ac:dyDescent="0.25">
      <c r="BL525" s="8">
        <f t="shared" si="40"/>
        <v>521</v>
      </c>
      <c r="BM525" s="6">
        <f t="shared" si="41"/>
        <v>15</v>
      </c>
      <c r="BN525" s="6">
        <f t="shared" si="42"/>
        <v>17</v>
      </c>
    </row>
    <row r="526" spans="64:66" ht="11.25" customHeight="1" x14ac:dyDescent="0.25">
      <c r="BL526" s="8">
        <f t="shared" si="40"/>
        <v>522</v>
      </c>
      <c r="BM526" s="6">
        <f t="shared" si="41"/>
        <v>15</v>
      </c>
      <c r="BN526" s="6">
        <f t="shared" si="42"/>
        <v>18</v>
      </c>
    </row>
    <row r="527" spans="64:66" ht="11.25" customHeight="1" x14ac:dyDescent="0.25">
      <c r="BL527" s="8">
        <f t="shared" si="40"/>
        <v>523</v>
      </c>
      <c r="BM527" s="6">
        <f t="shared" si="41"/>
        <v>15</v>
      </c>
      <c r="BN527" s="6">
        <f t="shared" si="42"/>
        <v>19</v>
      </c>
    </row>
    <row r="528" spans="64:66" ht="11.25" customHeight="1" x14ac:dyDescent="0.25">
      <c r="BL528" s="8">
        <f t="shared" si="40"/>
        <v>524</v>
      </c>
      <c r="BM528" s="6">
        <f t="shared" si="41"/>
        <v>15</v>
      </c>
      <c r="BN528" s="6">
        <f t="shared" si="42"/>
        <v>20</v>
      </c>
    </row>
    <row r="529" spans="64:66" ht="11.25" customHeight="1" x14ac:dyDescent="0.25">
      <c r="BL529" s="8">
        <f t="shared" si="40"/>
        <v>525</v>
      </c>
      <c r="BM529" s="6">
        <f t="shared" si="41"/>
        <v>15</v>
      </c>
      <c r="BN529" s="6">
        <f t="shared" si="42"/>
        <v>21</v>
      </c>
    </row>
    <row r="530" spans="64:66" ht="11.25" customHeight="1" x14ac:dyDescent="0.25">
      <c r="BL530" s="8">
        <f t="shared" si="40"/>
        <v>526</v>
      </c>
      <c r="BM530" s="6">
        <f t="shared" si="41"/>
        <v>15</v>
      </c>
      <c r="BN530" s="6">
        <f t="shared" si="42"/>
        <v>22</v>
      </c>
    </row>
    <row r="531" spans="64:66" ht="11.25" customHeight="1" x14ac:dyDescent="0.25">
      <c r="BL531" s="8">
        <f t="shared" si="40"/>
        <v>527</v>
      </c>
      <c r="BM531" s="6">
        <f t="shared" si="41"/>
        <v>15</v>
      </c>
      <c r="BN531" s="6">
        <f t="shared" si="42"/>
        <v>23</v>
      </c>
    </row>
    <row r="532" spans="64:66" ht="11.25" customHeight="1" x14ac:dyDescent="0.25">
      <c r="BL532" s="8">
        <f t="shared" si="40"/>
        <v>528</v>
      </c>
      <c r="BM532" s="6">
        <f t="shared" si="41"/>
        <v>15</v>
      </c>
      <c r="BN532" s="6">
        <f t="shared" si="42"/>
        <v>24</v>
      </c>
    </row>
    <row r="533" spans="64:66" ht="11.25" customHeight="1" x14ac:dyDescent="0.25">
      <c r="BL533" s="8">
        <f t="shared" si="40"/>
        <v>529</v>
      </c>
      <c r="BM533" s="6">
        <f t="shared" si="41"/>
        <v>15</v>
      </c>
      <c r="BN533" s="6">
        <f t="shared" si="42"/>
        <v>25</v>
      </c>
    </row>
    <row r="534" spans="64:66" ht="11.25" customHeight="1" x14ac:dyDescent="0.25">
      <c r="BL534" s="8">
        <f t="shared" si="40"/>
        <v>530</v>
      </c>
      <c r="BM534" s="6">
        <f t="shared" si="41"/>
        <v>15</v>
      </c>
      <c r="BN534" s="6">
        <f t="shared" si="42"/>
        <v>26</v>
      </c>
    </row>
    <row r="535" spans="64:66" ht="11.25" customHeight="1" x14ac:dyDescent="0.25">
      <c r="BL535" s="8">
        <f t="shared" si="40"/>
        <v>531</v>
      </c>
      <c r="BM535" s="6">
        <f t="shared" si="41"/>
        <v>15</v>
      </c>
      <c r="BN535" s="6">
        <f t="shared" si="42"/>
        <v>27</v>
      </c>
    </row>
    <row r="536" spans="64:66" ht="11.25" customHeight="1" x14ac:dyDescent="0.25">
      <c r="BL536" s="8">
        <f t="shared" si="40"/>
        <v>532</v>
      </c>
      <c r="BM536" s="6">
        <f t="shared" si="41"/>
        <v>15</v>
      </c>
      <c r="BN536" s="6">
        <f t="shared" si="42"/>
        <v>28</v>
      </c>
    </row>
    <row r="537" spans="64:66" ht="11.25" customHeight="1" x14ac:dyDescent="0.25">
      <c r="BL537" s="8">
        <f t="shared" si="40"/>
        <v>533</v>
      </c>
      <c r="BM537" s="6">
        <f t="shared" si="41"/>
        <v>15</v>
      </c>
      <c r="BN537" s="6">
        <f t="shared" si="42"/>
        <v>29</v>
      </c>
    </row>
    <row r="538" spans="64:66" ht="11.25" customHeight="1" x14ac:dyDescent="0.25">
      <c r="BL538" s="8">
        <f t="shared" si="40"/>
        <v>534</v>
      </c>
      <c r="BM538" s="6">
        <f t="shared" si="41"/>
        <v>15</v>
      </c>
      <c r="BN538" s="6">
        <f t="shared" si="42"/>
        <v>30</v>
      </c>
    </row>
    <row r="539" spans="64:66" ht="11.25" customHeight="1" x14ac:dyDescent="0.25">
      <c r="BL539" s="8">
        <f t="shared" si="40"/>
        <v>535</v>
      </c>
      <c r="BM539" s="6">
        <f t="shared" si="41"/>
        <v>15</v>
      </c>
      <c r="BN539" s="6">
        <f t="shared" si="42"/>
        <v>31</v>
      </c>
    </row>
    <row r="540" spans="64:66" ht="11.25" customHeight="1" x14ac:dyDescent="0.25">
      <c r="BL540" s="8">
        <f t="shared" si="40"/>
        <v>536</v>
      </c>
      <c r="BM540" s="6">
        <f t="shared" si="41"/>
        <v>15</v>
      </c>
      <c r="BN540" s="6">
        <f t="shared" si="42"/>
        <v>32</v>
      </c>
    </row>
    <row r="541" spans="64:66" ht="11.25" customHeight="1" x14ac:dyDescent="0.25">
      <c r="BL541" s="8">
        <f t="shared" si="40"/>
        <v>537</v>
      </c>
      <c r="BM541" s="6">
        <f t="shared" si="41"/>
        <v>15</v>
      </c>
      <c r="BN541" s="6">
        <f t="shared" si="42"/>
        <v>33</v>
      </c>
    </row>
    <row r="542" spans="64:66" ht="11.25" customHeight="1" x14ac:dyDescent="0.25">
      <c r="BL542" s="8">
        <f t="shared" si="40"/>
        <v>538</v>
      </c>
      <c r="BM542" s="6">
        <f t="shared" si="41"/>
        <v>15</v>
      </c>
      <c r="BN542" s="6">
        <f t="shared" si="42"/>
        <v>34</v>
      </c>
    </row>
    <row r="543" spans="64:66" ht="11.25" customHeight="1" x14ac:dyDescent="0.25">
      <c r="BL543" s="8">
        <f t="shared" si="40"/>
        <v>539</v>
      </c>
      <c r="BM543" s="6">
        <f t="shared" si="41"/>
        <v>15</v>
      </c>
      <c r="BN543" s="6">
        <f t="shared" si="42"/>
        <v>35</v>
      </c>
    </row>
    <row r="544" spans="64:66" ht="11.25" customHeight="1" x14ac:dyDescent="0.25">
      <c r="BL544" s="8">
        <f t="shared" si="40"/>
        <v>540</v>
      </c>
      <c r="BM544" s="6">
        <f t="shared" si="41"/>
        <v>15</v>
      </c>
      <c r="BN544" s="6">
        <f t="shared" si="42"/>
        <v>36</v>
      </c>
    </row>
    <row r="545" spans="64:66" ht="11.25" customHeight="1" x14ac:dyDescent="0.25">
      <c r="BL545" s="8">
        <f t="shared" si="40"/>
        <v>541</v>
      </c>
      <c r="BM545" s="6">
        <f t="shared" si="41"/>
        <v>16</v>
      </c>
      <c r="BN545" s="6">
        <f t="shared" si="42"/>
        <v>1</v>
      </c>
    </row>
    <row r="546" spans="64:66" ht="11.25" customHeight="1" x14ac:dyDescent="0.25">
      <c r="BL546" s="8">
        <f t="shared" si="40"/>
        <v>542</v>
      </c>
      <c r="BM546" s="6">
        <f t="shared" si="41"/>
        <v>16</v>
      </c>
      <c r="BN546" s="6">
        <f t="shared" si="42"/>
        <v>2</v>
      </c>
    </row>
    <row r="547" spans="64:66" ht="11.25" customHeight="1" x14ac:dyDescent="0.25">
      <c r="BL547" s="8">
        <f t="shared" si="40"/>
        <v>543</v>
      </c>
      <c r="BM547" s="6">
        <f t="shared" si="41"/>
        <v>16</v>
      </c>
      <c r="BN547" s="6">
        <f t="shared" si="42"/>
        <v>3</v>
      </c>
    </row>
    <row r="548" spans="64:66" ht="11.25" customHeight="1" x14ac:dyDescent="0.25">
      <c r="BL548" s="8">
        <f t="shared" si="40"/>
        <v>544</v>
      </c>
      <c r="BM548" s="6">
        <f t="shared" si="41"/>
        <v>16</v>
      </c>
      <c r="BN548" s="6">
        <f t="shared" si="42"/>
        <v>4</v>
      </c>
    </row>
    <row r="549" spans="64:66" ht="11.25" customHeight="1" x14ac:dyDescent="0.25">
      <c r="BL549" s="8">
        <f t="shared" si="40"/>
        <v>545</v>
      </c>
      <c r="BM549" s="6">
        <f t="shared" si="41"/>
        <v>16</v>
      </c>
      <c r="BN549" s="6">
        <f t="shared" si="42"/>
        <v>5</v>
      </c>
    </row>
    <row r="550" spans="64:66" ht="11.25" customHeight="1" x14ac:dyDescent="0.25">
      <c r="BL550" s="8">
        <f t="shared" si="40"/>
        <v>546</v>
      </c>
      <c r="BM550" s="6">
        <f t="shared" si="41"/>
        <v>16</v>
      </c>
      <c r="BN550" s="6">
        <f t="shared" si="42"/>
        <v>6</v>
      </c>
    </row>
    <row r="551" spans="64:66" ht="11.25" customHeight="1" x14ac:dyDescent="0.25">
      <c r="BL551" s="8">
        <f t="shared" si="40"/>
        <v>547</v>
      </c>
      <c r="BM551" s="6">
        <f t="shared" si="41"/>
        <v>16</v>
      </c>
      <c r="BN551" s="6">
        <f t="shared" si="42"/>
        <v>7</v>
      </c>
    </row>
    <row r="552" spans="64:66" ht="11.25" customHeight="1" x14ac:dyDescent="0.25">
      <c r="BL552" s="8">
        <f t="shared" si="40"/>
        <v>548</v>
      </c>
      <c r="BM552" s="6">
        <f t="shared" si="41"/>
        <v>16</v>
      </c>
      <c r="BN552" s="6">
        <f t="shared" si="42"/>
        <v>8</v>
      </c>
    </row>
    <row r="553" spans="64:66" ht="11.25" customHeight="1" x14ac:dyDescent="0.25">
      <c r="BL553" s="8">
        <f t="shared" si="40"/>
        <v>549</v>
      </c>
      <c r="BM553" s="6">
        <f t="shared" si="41"/>
        <v>16</v>
      </c>
      <c r="BN553" s="6">
        <f t="shared" si="42"/>
        <v>9</v>
      </c>
    </row>
    <row r="554" spans="64:66" ht="11.25" customHeight="1" x14ac:dyDescent="0.25">
      <c r="BL554" s="8">
        <f t="shared" si="40"/>
        <v>550</v>
      </c>
      <c r="BM554" s="6">
        <f t="shared" si="41"/>
        <v>16</v>
      </c>
      <c r="BN554" s="6">
        <f t="shared" si="42"/>
        <v>10</v>
      </c>
    </row>
    <row r="555" spans="64:66" ht="11.25" customHeight="1" x14ac:dyDescent="0.25">
      <c r="BL555" s="8">
        <f t="shared" si="40"/>
        <v>551</v>
      </c>
      <c r="BM555" s="6">
        <f t="shared" si="41"/>
        <v>16</v>
      </c>
      <c r="BN555" s="6">
        <f t="shared" si="42"/>
        <v>11</v>
      </c>
    </row>
    <row r="556" spans="64:66" ht="11.25" customHeight="1" x14ac:dyDescent="0.25">
      <c r="BL556" s="8">
        <f t="shared" si="40"/>
        <v>552</v>
      </c>
      <c r="BM556" s="6">
        <f t="shared" si="41"/>
        <v>16</v>
      </c>
      <c r="BN556" s="6">
        <f t="shared" si="42"/>
        <v>12</v>
      </c>
    </row>
    <row r="557" spans="64:66" ht="11.25" customHeight="1" x14ac:dyDescent="0.25">
      <c r="BL557" s="8">
        <f t="shared" si="40"/>
        <v>553</v>
      </c>
      <c r="BM557" s="6">
        <f t="shared" si="41"/>
        <v>16</v>
      </c>
      <c r="BN557" s="6">
        <f t="shared" si="42"/>
        <v>13</v>
      </c>
    </row>
    <row r="558" spans="64:66" ht="11.25" customHeight="1" x14ac:dyDescent="0.25">
      <c r="BL558" s="8">
        <f t="shared" si="40"/>
        <v>554</v>
      </c>
      <c r="BM558" s="6">
        <f t="shared" si="41"/>
        <v>16</v>
      </c>
      <c r="BN558" s="6">
        <f t="shared" si="42"/>
        <v>14</v>
      </c>
    </row>
    <row r="559" spans="64:66" ht="11.25" customHeight="1" x14ac:dyDescent="0.25">
      <c r="BL559" s="8">
        <f t="shared" si="40"/>
        <v>555</v>
      </c>
      <c r="BM559" s="6">
        <f t="shared" si="41"/>
        <v>16</v>
      </c>
      <c r="BN559" s="6">
        <f t="shared" si="42"/>
        <v>15</v>
      </c>
    </row>
    <row r="560" spans="64:66" ht="11.25" customHeight="1" x14ac:dyDescent="0.25">
      <c r="BL560" s="8">
        <f t="shared" si="40"/>
        <v>556</v>
      </c>
      <c r="BM560" s="6">
        <f t="shared" si="41"/>
        <v>16</v>
      </c>
      <c r="BN560" s="6">
        <f t="shared" si="42"/>
        <v>16</v>
      </c>
    </row>
    <row r="561" spans="64:66" ht="11.25" customHeight="1" x14ac:dyDescent="0.25">
      <c r="BL561" s="8">
        <f t="shared" si="40"/>
        <v>557</v>
      </c>
      <c r="BM561" s="6">
        <f t="shared" si="41"/>
        <v>16</v>
      </c>
      <c r="BN561" s="6">
        <f t="shared" si="42"/>
        <v>17</v>
      </c>
    </row>
    <row r="562" spans="64:66" ht="11.25" customHeight="1" x14ac:dyDescent="0.25">
      <c r="BL562" s="8">
        <f t="shared" si="40"/>
        <v>558</v>
      </c>
      <c r="BM562" s="6">
        <f t="shared" si="41"/>
        <v>16</v>
      </c>
      <c r="BN562" s="6">
        <f t="shared" si="42"/>
        <v>18</v>
      </c>
    </row>
    <row r="563" spans="64:66" ht="11.25" customHeight="1" x14ac:dyDescent="0.25">
      <c r="BL563" s="8">
        <f t="shared" si="40"/>
        <v>559</v>
      </c>
      <c r="BM563" s="6">
        <f t="shared" si="41"/>
        <v>16</v>
      </c>
      <c r="BN563" s="6">
        <f t="shared" si="42"/>
        <v>19</v>
      </c>
    </row>
    <row r="564" spans="64:66" ht="11.25" customHeight="1" x14ac:dyDescent="0.25">
      <c r="BL564" s="8">
        <f t="shared" si="40"/>
        <v>560</v>
      </c>
      <c r="BM564" s="6">
        <f t="shared" si="41"/>
        <v>16</v>
      </c>
      <c r="BN564" s="6">
        <f t="shared" si="42"/>
        <v>20</v>
      </c>
    </row>
    <row r="565" spans="64:66" ht="11.25" customHeight="1" x14ac:dyDescent="0.25">
      <c r="BL565" s="8">
        <f t="shared" si="40"/>
        <v>561</v>
      </c>
      <c r="BM565" s="6">
        <f t="shared" si="41"/>
        <v>16</v>
      </c>
      <c r="BN565" s="6">
        <f t="shared" si="42"/>
        <v>21</v>
      </c>
    </row>
    <row r="566" spans="64:66" ht="11.25" customHeight="1" x14ac:dyDescent="0.25">
      <c r="BL566" s="8">
        <f t="shared" si="40"/>
        <v>562</v>
      </c>
      <c r="BM566" s="6">
        <f t="shared" si="41"/>
        <v>16</v>
      </c>
      <c r="BN566" s="6">
        <f t="shared" si="42"/>
        <v>22</v>
      </c>
    </row>
    <row r="567" spans="64:66" ht="11.25" customHeight="1" x14ac:dyDescent="0.25">
      <c r="BL567" s="8">
        <f t="shared" si="40"/>
        <v>563</v>
      </c>
      <c r="BM567" s="6">
        <f t="shared" si="41"/>
        <v>16</v>
      </c>
      <c r="BN567" s="6">
        <f t="shared" si="42"/>
        <v>23</v>
      </c>
    </row>
    <row r="568" spans="64:66" ht="11.25" customHeight="1" x14ac:dyDescent="0.25">
      <c r="BL568" s="8">
        <f t="shared" si="40"/>
        <v>564</v>
      </c>
      <c r="BM568" s="6">
        <f t="shared" si="41"/>
        <v>16</v>
      </c>
      <c r="BN568" s="6">
        <f t="shared" si="42"/>
        <v>24</v>
      </c>
    </row>
    <row r="569" spans="64:66" ht="11.25" customHeight="1" x14ac:dyDescent="0.25">
      <c r="BL569" s="8">
        <f t="shared" si="40"/>
        <v>565</v>
      </c>
      <c r="BM569" s="6">
        <f t="shared" si="41"/>
        <v>16</v>
      </c>
      <c r="BN569" s="6">
        <f t="shared" si="42"/>
        <v>25</v>
      </c>
    </row>
    <row r="570" spans="64:66" ht="11.25" customHeight="1" x14ac:dyDescent="0.25">
      <c r="BL570" s="8">
        <f t="shared" si="40"/>
        <v>566</v>
      </c>
      <c r="BM570" s="6">
        <f t="shared" si="41"/>
        <v>16</v>
      </c>
      <c r="BN570" s="6">
        <f t="shared" si="42"/>
        <v>26</v>
      </c>
    </row>
    <row r="571" spans="64:66" ht="11.25" customHeight="1" x14ac:dyDescent="0.25">
      <c r="BL571" s="8">
        <f t="shared" si="40"/>
        <v>567</v>
      </c>
      <c r="BM571" s="6">
        <f t="shared" si="41"/>
        <v>16</v>
      </c>
      <c r="BN571" s="6">
        <f t="shared" si="42"/>
        <v>27</v>
      </c>
    </row>
    <row r="572" spans="64:66" ht="11.25" customHeight="1" x14ac:dyDescent="0.25">
      <c r="BL572" s="8">
        <f t="shared" si="40"/>
        <v>568</v>
      </c>
      <c r="BM572" s="6">
        <f t="shared" si="41"/>
        <v>16</v>
      </c>
      <c r="BN572" s="6">
        <f t="shared" si="42"/>
        <v>28</v>
      </c>
    </row>
    <row r="573" spans="64:66" ht="11.25" customHeight="1" x14ac:dyDescent="0.25">
      <c r="BL573" s="8">
        <f t="shared" si="40"/>
        <v>569</v>
      </c>
      <c r="BM573" s="6">
        <f t="shared" si="41"/>
        <v>16</v>
      </c>
      <c r="BN573" s="6">
        <f t="shared" si="42"/>
        <v>29</v>
      </c>
    </row>
    <row r="574" spans="64:66" ht="11.25" customHeight="1" x14ac:dyDescent="0.25">
      <c r="BL574" s="8">
        <f t="shared" si="40"/>
        <v>570</v>
      </c>
      <c r="BM574" s="6">
        <f t="shared" si="41"/>
        <v>16</v>
      </c>
      <c r="BN574" s="6">
        <f t="shared" si="42"/>
        <v>30</v>
      </c>
    </row>
    <row r="575" spans="64:66" ht="11.25" customHeight="1" x14ac:dyDescent="0.25">
      <c r="BL575" s="8">
        <f t="shared" si="40"/>
        <v>571</v>
      </c>
      <c r="BM575" s="6">
        <f t="shared" si="41"/>
        <v>16</v>
      </c>
      <c r="BN575" s="6">
        <f t="shared" si="42"/>
        <v>31</v>
      </c>
    </row>
    <row r="576" spans="64:66" ht="11.25" customHeight="1" x14ac:dyDescent="0.25">
      <c r="BL576" s="8">
        <f t="shared" si="40"/>
        <v>572</v>
      </c>
      <c r="BM576" s="6">
        <f t="shared" si="41"/>
        <v>16</v>
      </c>
      <c r="BN576" s="6">
        <f t="shared" si="42"/>
        <v>32</v>
      </c>
    </row>
    <row r="577" spans="64:66" ht="11.25" customHeight="1" x14ac:dyDescent="0.25">
      <c r="BL577" s="8">
        <f t="shared" si="40"/>
        <v>573</v>
      </c>
      <c r="BM577" s="6">
        <f t="shared" si="41"/>
        <v>16</v>
      </c>
      <c r="BN577" s="6">
        <f t="shared" si="42"/>
        <v>33</v>
      </c>
    </row>
    <row r="578" spans="64:66" ht="11.25" customHeight="1" x14ac:dyDescent="0.25">
      <c r="BL578" s="8">
        <f t="shared" si="40"/>
        <v>574</v>
      </c>
      <c r="BM578" s="6">
        <f t="shared" si="41"/>
        <v>16</v>
      </c>
      <c r="BN578" s="6">
        <f t="shared" si="42"/>
        <v>34</v>
      </c>
    </row>
    <row r="579" spans="64:66" ht="11.25" customHeight="1" x14ac:dyDescent="0.25">
      <c r="BL579" s="8">
        <f t="shared" si="40"/>
        <v>575</v>
      </c>
      <c r="BM579" s="6">
        <f t="shared" si="41"/>
        <v>16</v>
      </c>
      <c r="BN579" s="6">
        <f t="shared" si="42"/>
        <v>35</v>
      </c>
    </row>
    <row r="580" spans="64:66" ht="11.25" customHeight="1" x14ac:dyDescent="0.25">
      <c r="BL580" s="8">
        <f t="shared" si="40"/>
        <v>576</v>
      </c>
      <c r="BM580" s="6">
        <f t="shared" si="41"/>
        <v>16</v>
      </c>
      <c r="BN580" s="6">
        <f t="shared" si="42"/>
        <v>36</v>
      </c>
    </row>
    <row r="581" spans="64:66" ht="11.25" customHeight="1" x14ac:dyDescent="0.25">
      <c r="BL581" s="8">
        <f t="shared" si="40"/>
        <v>577</v>
      </c>
      <c r="BM581" s="6">
        <f t="shared" si="41"/>
        <v>17</v>
      </c>
      <c r="BN581" s="6">
        <f t="shared" si="42"/>
        <v>1</v>
      </c>
    </row>
    <row r="582" spans="64:66" ht="11.25" customHeight="1" x14ac:dyDescent="0.25">
      <c r="BL582" s="8">
        <f t="shared" ref="BL582:BL645" si="43">IF(ROW()&lt;=$BL$4,ROW()-ROW(BL$4),"")</f>
        <v>578</v>
      </c>
      <c r="BM582" s="6">
        <f t="shared" si="41"/>
        <v>17</v>
      </c>
      <c r="BN582" s="6">
        <f t="shared" si="42"/>
        <v>2</v>
      </c>
    </row>
    <row r="583" spans="64:66" ht="11.25" customHeight="1" x14ac:dyDescent="0.25">
      <c r="BL583" s="8">
        <f t="shared" si="43"/>
        <v>579</v>
      </c>
      <c r="BM583" s="6">
        <f t="shared" si="41"/>
        <v>17</v>
      </c>
      <c r="BN583" s="6">
        <f t="shared" si="42"/>
        <v>3</v>
      </c>
    </row>
    <row r="584" spans="64:66" ht="11.25" customHeight="1" x14ac:dyDescent="0.25">
      <c r="BL584" s="8">
        <f t="shared" si="43"/>
        <v>580</v>
      </c>
      <c r="BM584" s="6">
        <f t="shared" ref="BM584:BM647" si="44">IF(ISNUMBER(BL584),INT(BL583/$BN$4)+1,"")</f>
        <v>17</v>
      </c>
      <c r="BN584" s="6">
        <f t="shared" ref="BN584:BN647" si="45">IF(ISNUMBER(BL584),IF(BM583&lt;&gt;BM584,1,BN583+1),"")</f>
        <v>4</v>
      </c>
    </row>
    <row r="585" spans="64:66" ht="11.25" customHeight="1" x14ac:dyDescent="0.25">
      <c r="BL585" s="8">
        <f t="shared" si="43"/>
        <v>581</v>
      </c>
      <c r="BM585" s="6">
        <f t="shared" si="44"/>
        <v>17</v>
      </c>
      <c r="BN585" s="6">
        <f t="shared" si="45"/>
        <v>5</v>
      </c>
    </row>
    <row r="586" spans="64:66" ht="11.25" customHeight="1" x14ac:dyDescent="0.25">
      <c r="BL586" s="8">
        <f t="shared" si="43"/>
        <v>582</v>
      </c>
      <c r="BM586" s="6">
        <f t="shared" si="44"/>
        <v>17</v>
      </c>
      <c r="BN586" s="6">
        <f t="shared" si="45"/>
        <v>6</v>
      </c>
    </row>
    <row r="587" spans="64:66" ht="11.25" customHeight="1" x14ac:dyDescent="0.25">
      <c r="BL587" s="8">
        <f t="shared" si="43"/>
        <v>583</v>
      </c>
      <c r="BM587" s="6">
        <f t="shared" si="44"/>
        <v>17</v>
      </c>
      <c r="BN587" s="6">
        <f t="shared" si="45"/>
        <v>7</v>
      </c>
    </row>
    <row r="588" spans="64:66" ht="11.25" customHeight="1" x14ac:dyDescent="0.25">
      <c r="BL588" s="8">
        <f t="shared" si="43"/>
        <v>584</v>
      </c>
      <c r="BM588" s="6">
        <f t="shared" si="44"/>
        <v>17</v>
      </c>
      <c r="BN588" s="6">
        <f t="shared" si="45"/>
        <v>8</v>
      </c>
    </row>
    <row r="589" spans="64:66" ht="11.25" customHeight="1" x14ac:dyDescent="0.25">
      <c r="BL589" s="8">
        <f t="shared" si="43"/>
        <v>585</v>
      </c>
      <c r="BM589" s="6">
        <f t="shared" si="44"/>
        <v>17</v>
      </c>
      <c r="BN589" s="6">
        <f t="shared" si="45"/>
        <v>9</v>
      </c>
    </row>
    <row r="590" spans="64:66" ht="11.25" customHeight="1" x14ac:dyDescent="0.25">
      <c r="BL590" s="8">
        <f t="shared" si="43"/>
        <v>586</v>
      </c>
      <c r="BM590" s="6">
        <f t="shared" si="44"/>
        <v>17</v>
      </c>
      <c r="BN590" s="6">
        <f t="shared" si="45"/>
        <v>10</v>
      </c>
    </row>
    <row r="591" spans="64:66" ht="11.25" customHeight="1" x14ac:dyDescent="0.25">
      <c r="BL591" s="8">
        <f t="shared" si="43"/>
        <v>587</v>
      </c>
      <c r="BM591" s="6">
        <f t="shared" si="44"/>
        <v>17</v>
      </c>
      <c r="BN591" s="6">
        <f t="shared" si="45"/>
        <v>11</v>
      </c>
    </row>
    <row r="592" spans="64:66" ht="11.25" customHeight="1" x14ac:dyDescent="0.25">
      <c r="BL592" s="8">
        <f t="shared" si="43"/>
        <v>588</v>
      </c>
      <c r="BM592" s="6">
        <f t="shared" si="44"/>
        <v>17</v>
      </c>
      <c r="BN592" s="6">
        <f t="shared" si="45"/>
        <v>12</v>
      </c>
    </row>
    <row r="593" spans="64:66" ht="11.25" customHeight="1" x14ac:dyDescent="0.25">
      <c r="BL593" s="8">
        <f t="shared" si="43"/>
        <v>589</v>
      </c>
      <c r="BM593" s="6">
        <f t="shared" si="44"/>
        <v>17</v>
      </c>
      <c r="BN593" s="6">
        <f t="shared" si="45"/>
        <v>13</v>
      </c>
    </row>
    <row r="594" spans="64:66" ht="11.25" customHeight="1" x14ac:dyDescent="0.25">
      <c r="BL594" s="8">
        <f t="shared" si="43"/>
        <v>590</v>
      </c>
      <c r="BM594" s="6">
        <f t="shared" si="44"/>
        <v>17</v>
      </c>
      <c r="BN594" s="6">
        <f t="shared" si="45"/>
        <v>14</v>
      </c>
    </row>
    <row r="595" spans="64:66" ht="11.25" customHeight="1" x14ac:dyDescent="0.25">
      <c r="BL595" s="8">
        <f t="shared" si="43"/>
        <v>591</v>
      </c>
      <c r="BM595" s="6">
        <f t="shared" si="44"/>
        <v>17</v>
      </c>
      <c r="BN595" s="6">
        <f t="shared" si="45"/>
        <v>15</v>
      </c>
    </row>
    <row r="596" spans="64:66" ht="11.25" customHeight="1" x14ac:dyDescent="0.25">
      <c r="BL596" s="8">
        <f t="shared" si="43"/>
        <v>592</v>
      </c>
      <c r="BM596" s="6">
        <f t="shared" si="44"/>
        <v>17</v>
      </c>
      <c r="BN596" s="6">
        <f t="shared" si="45"/>
        <v>16</v>
      </c>
    </row>
    <row r="597" spans="64:66" ht="11.25" customHeight="1" x14ac:dyDescent="0.25">
      <c r="BL597" s="8">
        <f t="shared" si="43"/>
        <v>593</v>
      </c>
      <c r="BM597" s="6">
        <f t="shared" si="44"/>
        <v>17</v>
      </c>
      <c r="BN597" s="6">
        <f t="shared" si="45"/>
        <v>17</v>
      </c>
    </row>
    <row r="598" spans="64:66" ht="11.25" customHeight="1" x14ac:dyDescent="0.25">
      <c r="BL598" s="8">
        <f t="shared" si="43"/>
        <v>594</v>
      </c>
      <c r="BM598" s="6">
        <f t="shared" si="44"/>
        <v>17</v>
      </c>
      <c r="BN598" s="6">
        <f t="shared" si="45"/>
        <v>18</v>
      </c>
    </row>
    <row r="599" spans="64:66" ht="11.25" customHeight="1" x14ac:dyDescent="0.25">
      <c r="BL599" s="8">
        <f t="shared" si="43"/>
        <v>595</v>
      </c>
      <c r="BM599" s="6">
        <f t="shared" si="44"/>
        <v>17</v>
      </c>
      <c r="BN599" s="6">
        <f t="shared" si="45"/>
        <v>19</v>
      </c>
    </row>
    <row r="600" spans="64:66" ht="11.25" customHeight="1" x14ac:dyDescent="0.25">
      <c r="BL600" s="8">
        <f t="shared" si="43"/>
        <v>596</v>
      </c>
      <c r="BM600" s="6">
        <f t="shared" si="44"/>
        <v>17</v>
      </c>
      <c r="BN600" s="6">
        <f t="shared" si="45"/>
        <v>20</v>
      </c>
    </row>
    <row r="601" spans="64:66" ht="11.25" customHeight="1" x14ac:dyDescent="0.25">
      <c r="BL601" s="8">
        <f t="shared" si="43"/>
        <v>597</v>
      </c>
      <c r="BM601" s="6">
        <f t="shared" si="44"/>
        <v>17</v>
      </c>
      <c r="BN601" s="6">
        <f t="shared" si="45"/>
        <v>21</v>
      </c>
    </row>
    <row r="602" spans="64:66" ht="11.25" customHeight="1" x14ac:dyDescent="0.25">
      <c r="BL602" s="8">
        <f t="shared" si="43"/>
        <v>598</v>
      </c>
      <c r="BM602" s="6">
        <f t="shared" si="44"/>
        <v>17</v>
      </c>
      <c r="BN602" s="6">
        <f t="shared" si="45"/>
        <v>22</v>
      </c>
    </row>
    <row r="603" spans="64:66" ht="11.25" customHeight="1" x14ac:dyDescent="0.25">
      <c r="BL603" s="8">
        <f t="shared" si="43"/>
        <v>599</v>
      </c>
      <c r="BM603" s="6">
        <f t="shared" si="44"/>
        <v>17</v>
      </c>
      <c r="BN603" s="6">
        <f t="shared" si="45"/>
        <v>23</v>
      </c>
    </row>
    <row r="604" spans="64:66" ht="11.25" customHeight="1" x14ac:dyDescent="0.25">
      <c r="BL604" s="8">
        <f t="shared" si="43"/>
        <v>600</v>
      </c>
      <c r="BM604" s="6">
        <f t="shared" si="44"/>
        <v>17</v>
      </c>
      <c r="BN604" s="6">
        <f t="shared" si="45"/>
        <v>24</v>
      </c>
    </row>
    <row r="605" spans="64:66" ht="11.25" customHeight="1" x14ac:dyDescent="0.25">
      <c r="BL605" s="8">
        <f t="shared" si="43"/>
        <v>601</v>
      </c>
      <c r="BM605" s="6">
        <f t="shared" si="44"/>
        <v>17</v>
      </c>
      <c r="BN605" s="6">
        <f t="shared" si="45"/>
        <v>25</v>
      </c>
    </row>
    <row r="606" spans="64:66" ht="11.25" customHeight="1" x14ac:dyDescent="0.25">
      <c r="BL606" s="8">
        <f t="shared" si="43"/>
        <v>602</v>
      </c>
      <c r="BM606" s="6">
        <f t="shared" si="44"/>
        <v>17</v>
      </c>
      <c r="BN606" s="6">
        <f t="shared" si="45"/>
        <v>26</v>
      </c>
    </row>
    <row r="607" spans="64:66" ht="11.25" customHeight="1" x14ac:dyDescent="0.25">
      <c r="BL607" s="8">
        <f t="shared" si="43"/>
        <v>603</v>
      </c>
      <c r="BM607" s="6">
        <f t="shared" si="44"/>
        <v>17</v>
      </c>
      <c r="BN607" s="6">
        <f t="shared" si="45"/>
        <v>27</v>
      </c>
    </row>
    <row r="608" spans="64:66" ht="11.25" customHeight="1" x14ac:dyDescent="0.25">
      <c r="BL608" s="8">
        <f t="shared" si="43"/>
        <v>604</v>
      </c>
      <c r="BM608" s="6">
        <f t="shared" si="44"/>
        <v>17</v>
      </c>
      <c r="BN608" s="6">
        <f t="shared" si="45"/>
        <v>28</v>
      </c>
    </row>
    <row r="609" spans="64:66" ht="11.25" customHeight="1" x14ac:dyDescent="0.25">
      <c r="BL609" s="8">
        <f t="shared" si="43"/>
        <v>605</v>
      </c>
      <c r="BM609" s="6">
        <f t="shared" si="44"/>
        <v>17</v>
      </c>
      <c r="BN609" s="6">
        <f t="shared" si="45"/>
        <v>29</v>
      </c>
    </row>
    <row r="610" spans="64:66" ht="11.25" customHeight="1" x14ac:dyDescent="0.25">
      <c r="BL610" s="8">
        <f t="shared" si="43"/>
        <v>606</v>
      </c>
      <c r="BM610" s="6">
        <f t="shared" si="44"/>
        <v>17</v>
      </c>
      <c r="BN610" s="6">
        <f t="shared" si="45"/>
        <v>30</v>
      </c>
    </row>
    <row r="611" spans="64:66" ht="11.25" customHeight="1" x14ac:dyDescent="0.25">
      <c r="BL611" s="8">
        <f t="shared" si="43"/>
        <v>607</v>
      </c>
      <c r="BM611" s="6">
        <f t="shared" si="44"/>
        <v>17</v>
      </c>
      <c r="BN611" s="6">
        <f t="shared" si="45"/>
        <v>31</v>
      </c>
    </row>
    <row r="612" spans="64:66" ht="11.25" customHeight="1" x14ac:dyDescent="0.25">
      <c r="BL612" s="8">
        <f t="shared" si="43"/>
        <v>608</v>
      </c>
      <c r="BM612" s="6">
        <f t="shared" si="44"/>
        <v>17</v>
      </c>
      <c r="BN612" s="6">
        <f t="shared" si="45"/>
        <v>32</v>
      </c>
    </row>
    <row r="613" spans="64:66" ht="11.25" customHeight="1" x14ac:dyDescent="0.25">
      <c r="BL613" s="8">
        <f t="shared" si="43"/>
        <v>609</v>
      </c>
      <c r="BM613" s="6">
        <f t="shared" si="44"/>
        <v>17</v>
      </c>
      <c r="BN613" s="6">
        <f t="shared" si="45"/>
        <v>33</v>
      </c>
    </row>
    <row r="614" spans="64:66" ht="11.25" customHeight="1" x14ac:dyDescent="0.25">
      <c r="BL614" s="8">
        <f t="shared" si="43"/>
        <v>610</v>
      </c>
      <c r="BM614" s="6">
        <f t="shared" si="44"/>
        <v>17</v>
      </c>
      <c r="BN614" s="6">
        <f t="shared" si="45"/>
        <v>34</v>
      </c>
    </row>
    <row r="615" spans="64:66" ht="11.25" customHeight="1" x14ac:dyDescent="0.25">
      <c r="BL615" s="8">
        <f t="shared" si="43"/>
        <v>611</v>
      </c>
      <c r="BM615" s="6">
        <f t="shared" si="44"/>
        <v>17</v>
      </c>
      <c r="BN615" s="6">
        <f t="shared" si="45"/>
        <v>35</v>
      </c>
    </row>
    <row r="616" spans="64:66" ht="11.25" customHeight="1" x14ac:dyDescent="0.25">
      <c r="BL616" s="8">
        <f t="shared" si="43"/>
        <v>612</v>
      </c>
      <c r="BM616" s="6">
        <f t="shared" si="44"/>
        <v>17</v>
      </c>
      <c r="BN616" s="6">
        <f t="shared" si="45"/>
        <v>36</v>
      </c>
    </row>
    <row r="617" spans="64:66" ht="11.25" customHeight="1" x14ac:dyDescent="0.25">
      <c r="BL617" s="8">
        <f t="shared" si="43"/>
        <v>613</v>
      </c>
      <c r="BM617" s="6">
        <f t="shared" si="44"/>
        <v>18</v>
      </c>
      <c r="BN617" s="6">
        <f t="shared" si="45"/>
        <v>1</v>
      </c>
    </row>
    <row r="618" spans="64:66" ht="11.25" customHeight="1" x14ac:dyDescent="0.25">
      <c r="BL618" s="8">
        <f t="shared" si="43"/>
        <v>614</v>
      </c>
      <c r="BM618" s="6">
        <f t="shared" si="44"/>
        <v>18</v>
      </c>
      <c r="BN618" s="6">
        <f t="shared" si="45"/>
        <v>2</v>
      </c>
    </row>
    <row r="619" spans="64:66" ht="11.25" customHeight="1" x14ac:dyDescent="0.25">
      <c r="BL619" s="8">
        <f t="shared" si="43"/>
        <v>615</v>
      </c>
      <c r="BM619" s="6">
        <f t="shared" si="44"/>
        <v>18</v>
      </c>
      <c r="BN619" s="6">
        <f t="shared" si="45"/>
        <v>3</v>
      </c>
    </row>
    <row r="620" spans="64:66" ht="11.25" customHeight="1" x14ac:dyDescent="0.25">
      <c r="BL620" s="8">
        <f t="shared" si="43"/>
        <v>616</v>
      </c>
      <c r="BM620" s="6">
        <f t="shared" si="44"/>
        <v>18</v>
      </c>
      <c r="BN620" s="6">
        <f t="shared" si="45"/>
        <v>4</v>
      </c>
    </row>
    <row r="621" spans="64:66" ht="11.25" customHeight="1" x14ac:dyDescent="0.25">
      <c r="BL621" s="8">
        <f t="shared" si="43"/>
        <v>617</v>
      </c>
      <c r="BM621" s="6">
        <f t="shared" si="44"/>
        <v>18</v>
      </c>
      <c r="BN621" s="6">
        <f t="shared" si="45"/>
        <v>5</v>
      </c>
    </row>
    <row r="622" spans="64:66" ht="11.25" customHeight="1" x14ac:dyDescent="0.25">
      <c r="BL622" s="8">
        <f t="shared" si="43"/>
        <v>618</v>
      </c>
      <c r="BM622" s="6">
        <f t="shared" si="44"/>
        <v>18</v>
      </c>
      <c r="BN622" s="6">
        <f t="shared" si="45"/>
        <v>6</v>
      </c>
    </row>
    <row r="623" spans="64:66" ht="11.25" customHeight="1" x14ac:dyDescent="0.25">
      <c r="BL623" s="8">
        <f t="shared" si="43"/>
        <v>619</v>
      </c>
      <c r="BM623" s="6">
        <f t="shared" si="44"/>
        <v>18</v>
      </c>
      <c r="BN623" s="6">
        <f t="shared" si="45"/>
        <v>7</v>
      </c>
    </row>
    <row r="624" spans="64:66" ht="11.25" customHeight="1" x14ac:dyDescent="0.25">
      <c r="BL624" s="8">
        <f t="shared" si="43"/>
        <v>620</v>
      </c>
      <c r="BM624" s="6">
        <f t="shared" si="44"/>
        <v>18</v>
      </c>
      <c r="BN624" s="6">
        <f t="shared" si="45"/>
        <v>8</v>
      </c>
    </row>
    <row r="625" spans="64:66" ht="11.25" customHeight="1" x14ac:dyDescent="0.25">
      <c r="BL625" s="8">
        <f t="shared" si="43"/>
        <v>621</v>
      </c>
      <c r="BM625" s="6">
        <f t="shared" si="44"/>
        <v>18</v>
      </c>
      <c r="BN625" s="6">
        <f t="shared" si="45"/>
        <v>9</v>
      </c>
    </row>
    <row r="626" spans="64:66" ht="11.25" customHeight="1" x14ac:dyDescent="0.25">
      <c r="BL626" s="8">
        <f t="shared" si="43"/>
        <v>622</v>
      </c>
      <c r="BM626" s="6">
        <f t="shared" si="44"/>
        <v>18</v>
      </c>
      <c r="BN626" s="6">
        <f t="shared" si="45"/>
        <v>10</v>
      </c>
    </row>
    <row r="627" spans="64:66" ht="11.25" customHeight="1" x14ac:dyDescent="0.25">
      <c r="BL627" s="8">
        <f t="shared" si="43"/>
        <v>623</v>
      </c>
      <c r="BM627" s="6">
        <f t="shared" si="44"/>
        <v>18</v>
      </c>
      <c r="BN627" s="6">
        <f t="shared" si="45"/>
        <v>11</v>
      </c>
    </row>
    <row r="628" spans="64:66" ht="11.25" customHeight="1" x14ac:dyDescent="0.25">
      <c r="BL628" s="8">
        <f t="shared" si="43"/>
        <v>624</v>
      </c>
      <c r="BM628" s="6">
        <f t="shared" si="44"/>
        <v>18</v>
      </c>
      <c r="BN628" s="6">
        <f t="shared" si="45"/>
        <v>12</v>
      </c>
    </row>
    <row r="629" spans="64:66" ht="11.25" customHeight="1" x14ac:dyDescent="0.25">
      <c r="BL629" s="8">
        <f t="shared" si="43"/>
        <v>625</v>
      </c>
      <c r="BM629" s="6">
        <f t="shared" si="44"/>
        <v>18</v>
      </c>
      <c r="BN629" s="6">
        <f t="shared" si="45"/>
        <v>13</v>
      </c>
    </row>
    <row r="630" spans="64:66" ht="11.25" customHeight="1" x14ac:dyDescent="0.25">
      <c r="BL630" s="8">
        <f t="shared" si="43"/>
        <v>626</v>
      </c>
      <c r="BM630" s="6">
        <f t="shared" si="44"/>
        <v>18</v>
      </c>
      <c r="BN630" s="6">
        <f t="shared" si="45"/>
        <v>14</v>
      </c>
    </row>
    <row r="631" spans="64:66" ht="11.25" customHeight="1" x14ac:dyDescent="0.25">
      <c r="BL631" s="8">
        <f t="shared" si="43"/>
        <v>627</v>
      </c>
      <c r="BM631" s="6">
        <f t="shared" si="44"/>
        <v>18</v>
      </c>
      <c r="BN631" s="6">
        <f t="shared" si="45"/>
        <v>15</v>
      </c>
    </row>
    <row r="632" spans="64:66" ht="11.25" customHeight="1" x14ac:dyDescent="0.25">
      <c r="BL632" s="8">
        <f t="shared" si="43"/>
        <v>628</v>
      </c>
      <c r="BM632" s="6">
        <f t="shared" si="44"/>
        <v>18</v>
      </c>
      <c r="BN632" s="6">
        <f t="shared" si="45"/>
        <v>16</v>
      </c>
    </row>
    <row r="633" spans="64:66" ht="11.25" customHeight="1" x14ac:dyDescent="0.25">
      <c r="BL633" s="8">
        <f t="shared" si="43"/>
        <v>629</v>
      </c>
      <c r="BM633" s="6">
        <f t="shared" si="44"/>
        <v>18</v>
      </c>
      <c r="BN633" s="6">
        <f t="shared" si="45"/>
        <v>17</v>
      </c>
    </row>
    <row r="634" spans="64:66" ht="11.25" customHeight="1" x14ac:dyDescent="0.25">
      <c r="BL634" s="8">
        <f t="shared" si="43"/>
        <v>630</v>
      </c>
      <c r="BM634" s="6">
        <f t="shared" si="44"/>
        <v>18</v>
      </c>
      <c r="BN634" s="6">
        <f t="shared" si="45"/>
        <v>18</v>
      </c>
    </row>
    <row r="635" spans="64:66" ht="11.25" customHeight="1" x14ac:dyDescent="0.25">
      <c r="BL635" s="8">
        <f t="shared" si="43"/>
        <v>631</v>
      </c>
      <c r="BM635" s="6">
        <f t="shared" si="44"/>
        <v>18</v>
      </c>
      <c r="BN635" s="6">
        <f t="shared" si="45"/>
        <v>19</v>
      </c>
    </row>
    <row r="636" spans="64:66" ht="11.25" customHeight="1" x14ac:dyDescent="0.25">
      <c r="BL636" s="8">
        <f t="shared" si="43"/>
        <v>632</v>
      </c>
      <c r="BM636" s="6">
        <f t="shared" si="44"/>
        <v>18</v>
      </c>
      <c r="BN636" s="6">
        <f t="shared" si="45"/>
        <v>20</v>
      </c>
    </row>
    <row r="637" spans="64:66" ht="11.25" customHeight="1" x14ac:dyDescent="0.25">
      <c r="BL637" s="8">
        <f t="shared" si="43"/>
        <v>633</v>
      </c>
      <c r="BM637" s="6">
        <f t="shared" si="44"/>
        <v>18</v>
      </c>
      <c r="BN637" s="6">
        <f t="shared" si="45"/>
        <v>21</v>
      </c>
    </row>
    <row r="638" spans="64:66" ht="11.25" customHeight="1" x14ac:dyDescent="0.25">
      <c r="BL638" s="8">
        <f t="shared" si="43"/>
        <v>634</v>
      </c>
      <c r="BM638" s="6">
        <f t="shared" si="44"/>
        <v>18</v>
      </c>
      <c r="BN638" s="6">
        <f t="shared" si="45"/>
        <v>22</v>
      </c>
    </row>
    <row r="639" spans="64:66" ht="11.25" customHeight="1" x14ac:dyDescent="0.25">
      <c r="BL639" s="8">
        <f t="shared" si="43"/>
        <v>635</v>
      </c>
      <c r="BM639" s="6">
        <f t="shared" si="44"/>
        <v>18</v>
      </c>
      <c r="BN639" s="6">
        <f t="shared" si="45"/>
        <v>23</v>
      </c>
    </row>
    <row r="640" spans="64:66" ht="11.25" customHeight="1" x14ac:dyDescent="0.25">
      <c r="BL640" s="8">
        <f t="shared" si="43"/>
        <v>636</v>
      </c>
      <c r="BM640" s="6">
        <f t="shared" si="44"/>
        <v>18</v>
      </c>
      <c r="BN640" s="6">
        <f t="shared" si="45"/>
        <v>24</v>
      </c>
    </row>
    <row r="641" spans="64:66" ht="11.25" customHeight="1" x14ac:dyDescent="0.25">
      <c r="BL641" s="8">
        <f t="shared" si="43"/>
        <v>637</v>
      </c>
      <c r="BM641" s="6">
        <f t="shared" si="44"/>
        <v>18</v>
      </c>
      <c r="BN641" s="6">
        <f t="shared" si="45"/>
        <v>25</v>
      </c>
    </row>
    <row r="642" spans="64:66" ht="11.25" customHeight="1" x14ac:dyDescent="0.25">
      <c r="BL642" s="8">
        <f t="shared" si="43"/>
        <v>638</v>
      </c>
      <c r="BM642" s="6">
        <f t="shared" si="44"/>
        <v>18</v>
      </c>
      <c r="BN642" s="6">
        <f t="shared" si="45"/>
        <v>26</v>
      </c>
    </row>
    <row r="643" spans="64:66" ht="11.25" customHeight="1" x14ac:dyDescent="0.25">
      <c r="BL643" s="8">
        <f t="shared" si="43"/>
        <v>639</v>
      </c>
      <c r="BM643" s="6">
        <f t="shared" si="44"/>
        <v>18</v>
      </c>
      <c r="BN643" s="6">
        <f t="shared" si="45"/>
        <v>27</v>
      </c>
    </row>
    <row r="644" spans="64:66" ht="11.25" customHeight="1" x14ac:dyDescent="0.25">
      <c r="BL644" s="8">
        <f t="shared" si="43"/>
        <v>640</v>
      </c>
      <c r="BM644" s="6">
        <f t="shared" si="44"/>
        <v>18</v>
      </c>
      <c r="BN644" s="6">
        <f t="shared" si="45"/>
        <v>28</v>
      </c>
    </row>
    <row r="645" spans="64:66" ht="11.25" customHeight="1" x14ac:dyDescent="0.25">
      <c r="BL645" s="8">
        <f t="shared" si="43"/>
        <v>641</v>
      </c>
      <c r="BM645" s="6">
        <f t="shared" si="44"/>
        <v>18</v>
      </c>
      <c r="BN645" s="6">
        <f t="shared" si="45"/>
        <v>29</v>
      </c>
    </row>
    <row r="646" spans="64:66" ht="11.25" customHeight="1" x14ac:dyDescent="0.25">
      <c r="BL646" s="8">
        <f t="shared" ref="BL646:BL709" si="46">IF(ROW()&lt;=$BL$4,ROW()-ROW(BL$4),"")</f>
        <v>642</v>
      </c>
      <c r="BM646" s="6">
        <f t="shared" si="44"/>
        <v>18</v>
      </c>
      <c r="BN646" s="6">
        <f t="shared" si="45"/>
        <v>30</v>
      </c>
    </row>
    <row r="647" spans="64:66" ht="11.25" customHeight="1" x14ac:dyDescent="0.25">
      <c r="BL647" s="8">
        <f t="shared" si="46"/>
        <v>643</v>
      </c>
      <c r="BM647" s="6">
        <f t="shared" si="44"/>
        <v>18</v>
      </c>
      <c r="BN647" s="6">
        <f t="shared" si="45"/>
        <v>31</v>
      </c>
    </row>
    <row r="648" spans="64:66" ht="11.25" customHeight="1" x14ac:dyDescent="0.25">
      <c r="BL648" s="8">
        <f t="shared" si="46"/>
        <v>644</v>
      </c>
      <c r="BM648" s="6">
        <f t="shared" ref="BM648:BM711" si="47">IF(ISNUMBER(BL648),INT(BL647/$BN$4)+1,"")</f>
        <v>18</v>
      </c>
      <c r="BN648" s="6">
        <f t="shared" ref="BN648:BN711" si="48">IF(ISNUMBER(BL648),IF(BM647&lt;&gt;BM648,1,BN647+1),"")</f>
        <v>32</v>
      </c>
    </row>
    <row r="649" spans="64:66" ht="11.25" customHeight="1" x14ac:dyDescent="0.25">
      <c r="BL649" s="8">
        <f t="shared" si="46"/>
        <v>645</v>
      </c>
      <c r="BM649" s="6">
        <f t="shared" si="47"/>
        <v>18</v>
      </c>
      <c r="BN649" s="6">
        <f t="shared" si="48"/>
        <v>33</v>
      </c>
    </row>
    <row r="650" spans="64:66" ht="11.25" customHeight="1" x14ac:dyDescent="0.25">
      <c r="BL650" s="8">
        <f t="shared" si="46"/>
        <v>646</v>
      </c>
      <c r="BM650" s="6">
        <f t="shared" si="47"/>
        <v>18</v>
      </c>
      <c r="BN650" s="6">
        <f t="shared" si="48"/>
        <v>34</v>
      </c>
    </row>
    <row r="651" spans="64:66" ht="11.25" customHeight="1" x14ac:dyDescent="0.25">
      <c r="BL651" s="8">
        <f t="shared" si="46"/>
        <v>647</v>
      </c>
      <c r="BM651" s="6">
        <f t="shared" si="47"/>
        <v>18</v>
      </c>
      <c r="BN651" s="6">
        <f t="shared" si="48"/>
        <v>35</v>
      </c>
    </row>
    <row r="652" spans="64:66" ht="11.25" customHeight="1" x14ac:dyDescent="0.25">
      <c r="BL652" s="8">
        <f t="shared" si="46"/>
        <v>648</v>
      </c>
      <c r="BM652" s="6">
        <f t="shared" si="47"/>
        <v>18</v>
      </c>
      <c r="BN652" s="6">
        <f t="shared" si="48"/>
        <v>36</v>
      </c>
    </row>
    <row r="653" spans="64:66" ht="11.25" customHeight="1" x14ac:dyDescent="0.25">
      <c r="BL653" s="8">
        <f t="shared" si="46"/>
        <v>649</v>
      </c>
      <c r="BM653" s="6">
        <f t="shared" si="47"/>
        <v>19</v>
      </c>
      <c r="BN653" s="6">
        <f t="shared" si="48"/>
        <v>1</v>
      </c>
    </row>
    <row r="654" spans="64:66" ht="11.25" customHeight="1" x14ac:dyDescent="0.25">
      <c r="BL654" s="8">
        <f t="shared" si="46"/>
        <v>650</v>
      </c>
      <c r="BM654" s="6">
        <f t="shared" si="47"/>
        <v>19</v>
      </c>
      <c r="BN654" s="6">
        <f t="shared" si="48"/>
        <v>2</v>
      </c>
    </row>
    <row r="655" spans="64:66" ht="11.25" customHeight="1" x14ac:dyDescent="0.25">
      <c r="BL655" s="8">
        <f t="shared" si="46"/>
        <v>651</v>
      </c>
      <c r="BM655" s="6">
        <f t="shared" si="47"/>
        <v>19</v>
      </c>
      <c r="BN655" s="6">
        <f t="shared" si="48"/>
        <v>3</v>
      </c>
    </row>
    <row r="656" spans="64:66" ht="11.25" customHeight="1" x14ac:dyDescent="0.25">
      <c r="BL656" s="8">
        <f t="shared" si="46"/>
        <v>652</v>
      </c>
      <c r="BM656" s="6">
        <f t="shared" si="47"/>
        <v>19</v>
      </c>
      <c r="BN656" s="6">
        <f t="shared" si="48"/>
        <v>4</v>
      </c>
    </row>
    <row r="657" spans="64:66" ht="11.25" customHeight="1" x14ac:dyDescent="0.25">
      <c r="BL657" s="8">
        <f t="shared" si="46"/>
        <v>653</v>
      </c>
      <c r="BM657" s="6">
        <f t="shared" si="47"/>
        <v>19</v>
      </c>
      <c r="BN657" s="6">
        <f t="shared" si="48"/>
        <v>5</v>
      </c>
    </row>
    <row r="658" spans="64:66" ht="11.25" customHeight="1" x14ac:dyDescent="0.25">
      <c r="BL658" s="8">
        <f t="shared" si="46"/>
        <v>654</v>
      </c>
      <c r="BM658" s="6">
        <f t="shared" si="47"/>
        <v>19</v>
      </c>
      <c r="BN658" s="6">
        <f t="shared" si="48"/>
        <v>6</v>
      </c>
    </row>
    <row r="659" spans="64:66" ht="11.25" customHeight="1" x14ac:dyDescent="0.25">
      <c r="BL659" s="8">
        <f t="shared" si="46"/>
        <v>655</v>
      </c>
      <c r="BM659" s="6">
        <f t="shared" si="47"/>
        <v>19</v>
      </c>
      <c r="BN659" s="6">
        <f t="shared" si="48"/>
        <v>7</v>
      </c>
    </row>
    <row r="660" spans="64:66" ht="11.25" customHeight="1" x14ac:dyDescent="0.25">
      <c r="BL660" s="8">
        <f t="shared" si="46"/>
        <v>656</v>
      </c>
      <c r="BM660" s="6">
        <f t="shared" si="47"/>
        <v>19</v>
      </c>
      <c r="BN660" s="6">
        <f t="shared" si="48"/>
        <v>8</v>
      </c>
    </row>
    <row r="661" spans="64:66" ht="11.25" customHeight="1" x14ac:dyDescent="0.25">
      <c r="BL661" s="8">
        <f t="shared" si="46"/>
        <v>657</v>
      </c>
      <c r="BM661" s="6">
        <f t="shared" si="47"/>
        <v>19</v>
      </c>
      <c r="BN661" s="6">
        <f t="shared" si="48"/>
        <v>9</v>
      </c>
    </row>
    <row r="662" spans="64:66" ht="11.25" customHeight="1" x14ac:dyDescent="0.25">
      <c r="BL662" s="8">
        <f t="shared" si="46"/>
        <v>658</v>
      </c>
      <c r="BM662" s="6">
        <f t="shared" si="47"/>
        <v>19</v>
      </c>
      <c r="BN662" s="6">
        <f t="shared" si="48"/>
        <v>10</v>
      </c>
    </row>
    <row r="663" spans="64:66" ht="11.25" customHeight="1" x14ac:dyDescent="0.25">
      <c r="BL663" s="8">
        <f t="shared" si="46"/>
        <v>659</v>
      </c>
      <c r="BM663" s="6">
        <f t="shared" si="47"/>
        <v>19</v>
      </c>
      <c r="BN663" s="6">
        <f t="shared" si="48"/>
        <v>11</v>
      </c>
    </row>
    <row r="664" spans="64:66" ht="11.25" customHeight="1" x14ac:dyDescent="0.25">
      <c r="BL664" s="8">
        <f t="shared" si="46"/>
        <v>660</v>
      </c>
      <c r="BM664" s="6">
        <f t="shared" si="47"/>
        <v>19</v>
      </c>
      <c r="BN664" s="6">
        <f t="shared" si="48"/>
        <v>12</v>
      </c>
    </row>
    <row r="665" spans="64:66" ht="11.25" customHeight="1" x14ac:dyDescent="0.25">
      <c r="BL665" s="8">
        <f t="shared" si="46"/>
        <v>661</v>
      </c>
      <c r="BM665" s="6">
        <f t="shared" si="47"/>
        <v>19</v>
      </c>
      <c r="BN665" s="6">
        <f t="shared" si="48"/>
        <v>13</v>
      </c>
    </row>
    <row r="666" spans="64:66" ht="11.25" customHeight="1" x14ac:dyDescent="0.25">
      <c r="BL666" s="8">
        <f t="shared" si="46"/>
        <v>662</v>
      </c>
      <c r="BM666" s="6">
        <f t="shared" si="47"/>
        <v>19</v>
      </c>
      <c r="BN666" s="6">
        <f t="shared" si="48"/>
        <v>14</v>
      </c>
    </row>
    <row r="667" spans="64:66" ht="11.25" customHeight="1" x14ac:dyDescent="0.25">
      <c r="BL667" s="8">
        <f t="shared" si="46"/>
        <v>663</v>
      </c>
      <c r="BM667" s="6">
        <f t="shared" si="47"/>
        <v>19</v>
      </c>
      <c r="BN667" s="6">
        <f t="shared" si="48"/>
        <v>15</v>
      </c>
    </row>
    <row r="668" spans="64:66" ht="11.25" customHeight="1" x14ac:dyDescent="0.25">
      <c r="BL668" s="8">
        <f t="shared" si="46"/>
        <v>664</v>
      </c>
      <c r="BM668" s="6">
        <f t="shared" si="47"/>
        <v>19</v>
      </c>
      <c r="BN668" s="6">
        <f t="shared" si="48"/>
        <v>16</v>
      </c>
    </row>
    <row r="669" spans="64:66" ht="11.25" customHeight="1" x14ac:dyDescent="0.25">
      <c r="BL669" s="8">
        <f t="shared" si="46"/>
        <v>665</v>
      </c>
      <c r="BM669" s="6">
        <f t="shared" si="47"/>
        <v>19</v>
      </c>
      <c r="BN669" s="6">
        <f t="shared" si="48"/>
        <v>17</v>
      </c>
    </row>
    <row r="670" spans="64:66" ht="11.25" customHeight="1" x14ac:dyDescent="0.25">
      <c r="BL670" s="8">
        <f t="shared" si="46"/>
        <v>666</v>
      </c>
      <c r="BM670" s="6">
        <f t="shared" si="47"/>
        <v>19</v>
      </c>
      <c r="BN670" s="6">
        <f t="shared" si="48"/>
        <v>18</v>
      </c>
    </row>
    <row r="671" spans="64:66" ht="11.25" customHeight="1" x14ac:dyDescent="0.25">
      <c r="BL671" s="8">
        <f t="shared" si="46"/>
        <v>667</v>
      </c>
      <c r="BM671" s="6">
        <f t="shared" si="47"/>
        <v>19</v>
      </c>
      <c r="BN671" s="6">
        <f t="shared" si="48"/>
        <v>19</v>
      </c>
    </row>
    <row r="672" spans="64:66" ht="11.25" customHeight="1" x14ac:dyDescent="0.25">
      <c r="BL672" s="8">
        <f t="shared" si="46"/>
        <v>668</v>
      </c>
      <c r="BM672" s="6">
        <f t="shared" si="47"/>
        <v>19</v>
      </c>
      <c r="BN672" s="6">
        <f t="shared" si="48"/>
        <v>20</v>
      </c>
    </row>
    <row r="673" spans="64:66" ht="11.25" customHeight="1" x14ac:dyDescent="0.25">
      <c r="BL673" s="8">
        <f t="shared" si="46"/>
        <v>669</v>
      </c>
      <c r="BM673" s="6">
        <f t="shared" si="47"/>
        <v>19</v>
      </c>
      <c r="BN673" s="6">
        <f t="shared" si="48"/>
        <v>21</v>
      </c>
    </row>
    <row r="674" spans="64:66" ht="11.25" customHeight="1" x14ac:dyDescent="0.25">
      <c r="BL674" s="8">
        <f t="shared" si="46"/>
        <v>670</v>
      </c>
      <c r="BM674" s="6">
        <f t="shared" si="47"/>
        <v>19</v>
      </c>
      <c r="BN674" s="6">
        <f t="shared" si="48"/>
        <v>22</v>
      </c>
    </row>
    <row r="675" spans="64:66" ht="11.25" customHeight="1" x14ac:dyDescent="0.25">
      <c r="BL675" s="8">
        <f t="shared" si="46"/>
        <v>671</v>
      </c>
      <c r="BM675" s="6">
        <f t="shared" si="47"/>
        <v>19</v>
      </c>
      <c r="BN675" s="6">
        <f t="shared" si="48"/>
        <v>23</v>
      </c>
    </row>
    <row r="676" spans="64:66" ht="11.25" customHeight="1" x14ac:dyDescent="0.25">
      <c r="BL676" s="8">
        <f t="shared" si="46"/>
        <v>672</v>
      </c>
      <c r="BM676" s="6">
        <f t="shared" si="47"/>
        <v>19</v>
      </c>
      <c r="BN676" s="6">
        <f t="shared" si="48"/>
        <v>24</v>
      </c>
    </row>
    <row r="677" spans="64:66" ht="11.25" customHeight="1" x14ac:dyDescent="0.25">
      <c r="BL677" s="8">
        <f t="shared" si="46"/>
        <v>673</v>
      </c>
      <c r="BM677" s="6">
        <f t="shared" si="47"/>
        <v>19</v>
      </c>
      <c r="BN677" s="6">
        <f t="shared" si="48"/>
        <v>25</v>
      </c>
    </row>
    <row r="678" spans="64:66" ht="11.25" customHeight="1" x14ac:dyDescent="0.25">
      <c r="BL678" s="8">
        <f t="shared" si="46"/>
        <v>674</v>
      </c>
      <c r="BM678" s="6">
        <f t="shared" si="47"/>
        <v>19</v>
      </c>
      <c r="BN678" s="6">
        <f t="shared" si="48"/>
        <v>26</v>
      </c>
    </row>
    <row r="679" spans="64:66" ht="11.25" customHeight="1" x14ac:dyDescent="0.25">
      <c r="BL679" s="8">
        <f t="shared" si="46"/>
        <v>675</v>
      </c>
      <c r="BM679" s="6">
        <f t="shared" si="47"/>
        <v>19</v>
      </c>
      <c r="BN679" s="6">
        <f t="shared" si="48"/>
        <v>27</v>
      </c>
    </row>
    <row r="680" spans="64:66" ht="11.25" customHeight="1" x14ac:dyDescent="0.25">
      <c r="BL680" s="8">
        <f t="shared" si="46"/>
        <v>676</v>
      </c>
      <c r="BM680" s="6">
        <f t="shared" si="47"/>
        <v>19</v>
      </c>
      <c r="BN680" s="6">
        <f t="shared" si="48"/>
        <v>28</v>
      </c>
    </row>
    <row r="681" spans="64:66" ht="11.25" customHeight="1" x14ac:dyDescent="0.25">
      <c r="BL681" s="8">
        <f t="shared" si="46"/>
        <v>677</v>
      </c>
      <c r="BM681" s="6">
        <f t="shared" si="47"/>
        <v>19</v>
      </c>
      <c r="BN681" s="6">
        <f t="shared" si="48"/>
        <v>29</v>
      </c>
    </row>
    <row r="682" spans="64:66" ht="11.25" customHeight="1" x14ac:dyDescent="0.25">
      <c r="BL682" s="8">
        <f t="shared" si="46"/>
        <v>678</v>
      </c>
      <c r="BM682" s="6">
        <f t="shared" si="47"/>
        <v>19</v>
      </c>
      <c r="BN682" s="6">
        <f t="shared" si="48"/>
        <v>30</v>
      </c>
    </row>
    <row r="683" spans="64:66" ht="11.25" customHeight="1" x14ac:dyDescent="0.25">
      <c r="BL683" s="8">
        <f t="shared" si="46"/>
        <v>679</v>
      </c>
      <c r="BM683" s="6">
        <f t="shared" si="47"/>
        <v>19</v>
      </c>
      <c r="BN683" s="6">
        <f t="shared" si="48"/>
        <v>31</v>
      </c>
    </row>
    <row r="684" spans="64:66" ht="11.25" customHeight="1" x14ac:dyDescent="0.25">
      <c r="BL684" s="8">
        <f t="shared" si="46"/>
        <v>680</v>
      </c>
      <c r="BM684" s="6">
        <f t="shared" si="47"/>
        <v>19</v>
      </c>
      <c r="BN684" s="6">
        <f t="shared" si="48"/>
        <v>32</v>
      </c>
    </row>
    <row r="685" spans="64:66" ht="11.25" customHeight="1" x14ac:dyDescent="0.25">
      <c r="BL685" s="8">
        <f t="shared" si="46"/>
        <v>681</v>
      </c>
      <c r="BM685" s="6">
        <f t="shared" si="47"/>
        <v>19</v>
      </c>
      <c r="BN685" s="6">
        <f t="shared" si="48"/>
        <v>33</v>
      </c>
    </row>
    <row r="686" spans="64:66" ht="11.25" customHeight="1" x14ac:dyDescent="0.25">
      <c r="BL686" s="8">
        <f t="shared" si="46"/>
        <v>682</v>
      </c>
      <c r="BM686" s="6">
        <f t="shared" si="47"/>
        <v>19</v>
      </c>
      <c r="BN686" s="6">
        <f t="shared" si="48"/>
        <v>34</v>
      </c>
    </row>
    <row r="687" spans="64:66" ht="11.25" customHeight="1" x14ac:dyDescent="0.25">
      <c r="BL687" s="8">
        <f t="shared" si="46"/>
        <v>683</v>
      </c>
      <c r="BM687" s="6">
        <f t="shared" si="47"/>
        <v>19</v>
      </c>
      <c r="BN687" s="6">
        <f t="shared" si="48"/>
        <v>35</v>
      </c>
    </row>
    <row r="688" spans="64:66" ht="11.25" customHeight="1" x14ac:dyDescent="0.25">
      <c r="BL688" s="8">
        <f t="shared" si="46"/>
        <v>684</v>
      </c>
      <c r="BM688" s="6">
        <f t="shared" si="47"/>
        <v>19</v>
      </c>
      <c r="BN688" s="6">
        <f t="shared" si="48"/>
        <v>36</v>
      </c>
    </row>
    <row r="689" spans="64:66" ht="11.25" customHeight="1" x14ac:dyDescent="0.25">
      <c r="BL689" s="8">
        <f t="shared" si="46"/>
        <v>685</v>
      </c>
      <c r="BM689" s="6">
        <f t="shared" si="47"/>
        <v>20</v>
      </c>
      <c r="BN689" s="6">
        <f t="shared" si="48"/>
        <v>1</v>
      </c>
    </row>
    <row r="690" spans="64:66" ht="11.25" customHeight="1" x14ac:dyDescent="0.25">
      <c r="BL690" s="8">
        <f t="shared" si="46"/>
        <v>686</v>
      </c>
      <c r="BM690" s="6">
        <f t="shared" si="47"/>
        <v>20</v>
      </c>
      <c r="BN690" s="6">
        <f t="shared" si="48"/>
        <v>2</v>
      </c>
    </row>
    <row r="691" spans="64:66" ht="11.25" customHeight="1" x14ac:dyDescent="0.25">
      <c r="BL691" s="8">
        <f t="shared" si="46"/>
        <v>687</v>
      </c>
      <c r="BM691" s="6">
        <f t="shared" si="47"/>
        <v>20</v>
      </c>
      <c r="BN691" s="6">
        <f t="shared" si="48"/>
        <v>3</v>
      </c>
    </row>
    <row r="692" spans="64:66" ht="11.25" customHeight="1" x14ac:dyDescent="0.25">
      <c r="BL692" s="8">
        <f t="shared" si="46"/>
        <v>688</v>
      </c>
      <c r="BM692" s="6">
        <f t="shared" si="47"/>
        <v>20</v>
      </c>
      <c r="BN692" s="6">
        <f t="shared" si="48"/>
        <v>4</v>
      </c>
    </row>
    <row r="693" spans="64:66" ht="11.25" customHeight="1" x14ac:dyDescent="0.25">
      <c r="BL693" s="8">
        <f t="shared" si="46"/>
        <v>689</v>
      </c>
      <c r="BM693" s="6">
        <f t="shared" si="47"/>
        <v>20</v>
      </c>
      <c r="BN693" s="6">
        <f t="shared" si="48"/>
        <v>5</v>
      </c>
    </row>
    <row r="694" spans="64:66" ht="11.25" customHeight="1" x14ac:dyDescent="0.25">
      <c r="BL694" s="8">
        <f t="shared" si="46"/>
        <v>690</v>
      </c>
      <c r="BM694" s="6">
        <f t="shared" si="47"/>
        <v>20</v>
      </c>
      <c r="BN694" s="6">
        <f t="shared" si="48"/>
        <v>6</v>
      </c>
    </row>
    <row r="695" spans="64:66" ht="11.25" customHeight="1" x14ac:dyDescent="0.25">
      <c r="BL695" s="8">
        <f t="shared" si="46"/>
        <v>691</v>
      </c>
      <c r="BM695" s="6">
        <f t="shared" si="47"/>
        <v>20</v>
      </c>
      <c r="BN695" s="6">
        <f t="shared" si="48"/>
        <v>7</v>
      </c>
    </row>
    <row r="696" spans="64:66" ht="11.25" customHeight="1" x14ac:dyDescent="0.25">
      <c r="BL696" s="8">
        <f t="shared" si="46"/>
        <v>692</v>
      </c>
      <c r="BM696" s="6">
        <f t="shared" si="47"/>
        <v>20</v>
      </c>
      <c r="BN696" s="6">
        <f t="shared" si="48"/>
        <v>8</v>
      </c>
    </row>
    <row r="697" spans="64:66" ht="11.25" customHeight="1" x14ac:dyDescent="0.25">
      <c r="BL697" s="8">
        <f t="shared" si="46"/>
        <v>693</v>
      </c>
      <c r="BM697" s="6">
        <f t="shared" si="47"/>
        <v>20</v>
      </c>
      <c r="BN697" s="6">
        <f t="shared" si="48"/>
        <v>9</v>
      </c>
    </row>
    <row r="698" spans="64:66" ht="11.25" customHeight="1" x14ac:dyDescent="0.25">
      <c r="BL698" s="8">
        <f t="shared" si="46"/>
        <v>694</v>
      </c>
      <c r="BM698" s="6">
        <f t="shared" si="47"/>
        <v>20</v>
      </c>
      <c r="BN698" s="6">
        <f t="shared" si="48"/>
        <v>10</v>
      </c>
    </row>
    <row r="699" spans="64:66" ht="11.25" customHeight="1" x14ac:dyDescent="0.25">
      <c r="BL699" s="8">
        <f t="shared" si="46"/>
        <v>695</v>
      </c>
      <c r="BM699" s="6">
        <f t="shared" si="47"/>
        <v>20</v>
      </c>
      <c r="BN699" s="6">
        <f t="shared" si="48"/>
        <v>11</v>
      </c>
    </row>
    <row r="700" spans="64:66" ht="11.25" customHeight="1" x14ac:dyDescent="0.25">
      <c r="BL700" s="8">
        <f t="shared" si="46"/>
        <v>696</v>
      </c>
      <c r="BM700" s="6">
        <f t="shared" si="47"/>
        <v>20</v>
      </c>
      <c r="BN700" s="6">
        <f t="shared" si="48"/>
        <v>12</v>
      </c>
    </row>
    <row r="701" spans="64:66" ht="11.25" customHeight="1" x14ac:dyDescent="0.25">
      <c r="BL701" s="8">
        <f t="shared" si="46"/>
        <v>697</v>
      </c>
      <c r="BM701" s="6">
        <f t="shared" si="47"/>
        <v>20</v>
      </c>
      <c r="BN701" s="6">
        <f t="shared" si="48"/>
        <v>13</v>
      </c>
    </row>
    <row r="702" spans="64:66" ht="11.25" customHeight="1" x14ac:dyDescent="0.25">
      <c r="BL702" s="8">
        <f t="shared" si="46"/>
        <v>698</v>
      </c>
      <c r="BM702" s="6">
        <f t="shared" si="47"/>
        <v>20</v>
      </c>
      <c r="BN702" s="6">
        <f t="shared" si="48"/>
        <v>14</v>
      </c>
    </row>
    <row r="703" spans="64:66" ht="11.25" customHeight="1" x14ac:dyDescent="0.25">
      <c r="BL703" s="8">
        <f t="shared" si="46"/>
        <v>699</v>
      </c>
      <c r="BM703" s="6">
        <f t="shared" si="47"/>
        <v>20</v>
      </c>
      <c r="BN703" s="6">
        <f t="shared" si="48"/>
        <v>15</v>
      </c>
    </row>
    <row r="704" spans="64:66" ht="11.25" customHeight="1" x14ac:dyDescent="0.25">
      <c r="BL704" s="8">
        <f t="shared" si="46"/>
        <v>700</v>
      </c>
      <c r="BM704" s="6">
        <f t="shared" si="47"/>
        <v>20</v>
      </c>
      <c r="BN704" s="6">
        <f t="shared" si="48"/>
        <v>16</v>
      </c>
    </row>
    <row r="705" spans="64:66" ht="11.25" customHeight="1" x14ac:dyDescent="0.25">
      <c r="BL705" s="8">
        <f t="shared" si="46"/>
        <v>701</v>
      </c>
      <c r="BM705" s="6">
        <f t="shared" si="47"/>
        <v>20</v>
      </c>
      <c r="BN705" s="6">
        <f t="shared" si="48"/>
        <v>17</v>
      </c>
    </row>
    <row r="706" spans="64:66" ht="11.25" customHeight="1" x14ac:dyDescent="0.25">
      <c r="BL706" s="8">
        <f t="shared" si="46"/>
        <v>702</v>
      </c>
      <c r="BM706" s="6">
        <f t="shared" si="47"/>
        <v>20</v>
      </c>
      <c r="BN706" s="6">
        <f t="shared" si="48"/>
        <v>18</v>
      </c>
    </row>
    <row r="707" spans="64:66" ht="11.25" customHeight="1" x14ac:dyDescent="0.25">
      <c r="BL707" s="8">
        <f t="shared" si="46"/>
        <v>703</v>
      </c>
      <c r="BM707" s="6">
        <f t="shared" si="47"/>
        <v>20</v>
      </c>
      <c r="BN707" s="6">
        <f t="shared" si="48"/>
        <v>19</v>
      </c>
    </row>
    <row r="708" spans="64:66" ht="11.25" customHeight="1" x14ac:dyDescent="0.25">
      <c r="BL708" s="8">
        <f t="shared" si="46"/>
        <v>704</v>
      </c>
      <c r="BM708" s="6">
        <f t="shared" si="47"/>
        <v>20</v>
      </c>
      <c r="BN708" s="6">
        <f t="shared" si="48"/>
        <v>20</v>
      </c>
    </row>
    <row r="709" spans="64:66" ht="11.25" customHeight="1" x14ac:dyDescent="0.25">
      <c r="BL709" s="8">
        <f t="shared" si="46"/>
        <v>705</v>
      </c>
      <c r="BM709" s="6">
        <f t="shared" si="47"/>
        <v>20</v>
      </c>
      <c r="BN709" s="6">
        <f t="shared" si="48"/>
        <v>21</v>
      </c>
    </row>
    <row r="710" spans="64:66" ht="11.25" customHeight="1" x14ac:dyDescent="0.25">
      <c r="BL710" s="8">
        <f t="shared" ref="BL710:BL773" si="49">IF(ROW()&lt;=$BL$4,ROW()-ROW(BL$4),"")</f>
        <v>706</v>
      </c>
      <c r="BM710" s="6">
        <f t="shared" si="47"/>
        <v>20</v>
      </c>
      <c r="BN710" s="6">
        <f t="shared" si="48"/>
        <v>22</v>
      </c>
    </row>
    <row r="711" spans="64:66" ht="11.25" customHeight="1" x14ac:dyDescent="0.25">
      <c r="BL711" s="8">
        <f t="shared" si="49"/>
        <v>707</v>
      </c>
      <c r="BM711" s="6">
        <f t="shared" si="47"/>
        <v>20</v>
      </c>
      <c r="BN711" s="6">
        <f t="shared" si="48"/>
        <v>23</v>
      </c>
    </row>
    <row r="712" spans="64:66" ht="11.25" customHeight="1" x14ac:dyDescent="0.25">
      <c r="BL712" s="8">
        <f t="shared" si="49"/>
        <v>708</v>
      </c>
      <c r="BM712" s="6">
        <f t="shared" ref="BM712:BM775" si="50">IF(ISNUMBER(BL712),INT(BL711/$BN$4)+1,"")</f>
        <v>20</v>
      </c>
      <c r="BN712" s="6">
        <f t="shared" ref="BN712:BN775" si="51">IF(ISNUMBER(BL712),IF(BM711&lt;&gt;BM712,1,BN711+1),"")</f>
        <v>24</v>
      </c>
    </row>
    <row r="713" spans="64:66" ht="11.25" customHeight="1" x14ac:dyDescent="0.25">
      <c r="BL713" s="8">
        <f t="shared" si="49"/>
        <v>709</v>
      </c>
      <c r="BM713" s="6">
        <f t="shared" si="50"/>
        <v>20</v>
      </c>
      <c r="BN713" s="6">
        <f t="shared" si="51"/>
        <v>25</v>
      </c>
    </row>
    <row r="714" spans="64:66" ht="11.25" customHeight="1" x14ac:dyDescent="0.25">
      <c r="BL714" s="8">
        <f t="shared" si="49"/>
        <v>710</v>
      </c>
      <c r="BM714" s="6">
        <f t="shared" si="50"/>
        <v>20</v>
      </c>
      <c r="BN714" s="6">
        <f t="shared" si="51"/>
        <v>26</v>
      </c>
    </row>
    <row r="715" spans="64:66" ht="11.25" customHeight="1" x14ac:dyDescent="0.25">
      <c r="BL715" s="8">
        <f t="shared" si="49"/>
        <v>711</v>
      </c>
      <c r="BM715" s="6">
        <f t="shared" si="50"/>
        <v>20</v>
      </c>
      <c r="BN715" s="6">
        <f t="shared" si="51"/>
        <v>27</v>
      </c>
    </row>
    <row r="716" spans="64:66" ht="11.25" customHeight="1" x14ac:dyDescent="0.25">
      <c r="BL716" s="8">
        <f t="shared" si="49"/>
        <v>712</v>
      </c>
      <c r="BM716" s="6">
        <f t="shared" si="50"/>
        <v>20</v>
      </c>
      <c r="BN716" s="6">
        <f t="shared" si="51"/>
        <v>28</v>
      </c>
    </row>
    <row r="717" spans="64:66" ht="11.25" customHeight="1" x14ac:dyDescent="0.25">
      <c r="BL717" s="8">
        <f t="shared" si="49"/>
        <v>713</v>
      </c>
      <c r="BM717" s="6">
        <f t="shared" si="50"/>
        <v>20</v>
      </c>
      <c r="BN717" s="6">
        <f t="shared" si="51"/>
        <v>29</v>
      </c>
    </row>
    <row r="718" spans="64:66" ht="11.25" customHeight="1" x14ac:dyDescent="0.25">
      <c r="BL718" s="8">
        <f t="shared" si="49"/>
        <v>714</v>
      </c>
      <c r="BM718" s="6">
        <f t="shared" si="50"/>
        <v>20</v>
      </c>
      <c r="BN718" s="6">
        <f t="shared" si="51"/>
        <v>30</v>
      </c>
    </row>
    <row r="719" spans="64:66" ht="11.25" customHeight="1" x14ac:dyDescent="0.25">
      <c r="BL719" s="8">
        <f t="shared" si="49"/>
        <v>715</v>
      </c>
      <c r="BM719" s="6">
        <f t="shared" si="50"/>
        <v>20</v>
      </c>
      <c r="BN719" s="6">
        <f t="shared" si="51"/>
        <v>31</v>
      </c>
    </row>
    <row r="720" spans="64:66" ht="11.25" customHeight="1" x14ac:dyDescent="0.25">
      <c r="BL720" s="8">
        <f t="shared" si="49"/>
        <v>716</v>
      </c>
      <c r="BM720" s="6">
        <f t="shared" si="50"/>
        <v>20</v>
      </c>
      <c r="BN720" s="6">
        <f t="shared" si="51"/>
        <v>32</v>
      </c>
    </row>
    <row r="721" spans="64:66" ht="11.25" customHeight="1" x14ac:dyDescent="0.25">
      <c r="BL721" s="8">
        <f t="shared" si="49"/>
        <v>717</v>
      </c>
      <c r="BM721" s="6">
        <f t="shared" si="50"/>
        <v>20</v>
      </c>
      <c r="BN721" s="6">
        <f t="shared" si="51"/>
        <v>33</v>
      </c>
    </row>
    <row r="722" spans="64:66" ht="11.25" customHeight="1" x14ac:dyDescent="0.25">
      <c r="BL722" s="8">
        <f t="shared" si="49"/>
        <v>718</v>
      </c>
      <c r="BM722" s="6">
        <f t="shared" si="50"/>
        <v>20</v>
      </c>
      <c r="BN722" s="6">
        <f t="shared" si="51"/>
        <v>34</v>
      </c>
    </row>
    <row r="723" spans="64:66" ht="11.25" customHeight="1" x14ac:dyDescent="0.25">
      <c r="BL723" s="8">
        <f t="shared" si="49"/>
        <v>719</v>
      </c>
      <c r="BM723" s="6">
        <f t="shared" si="50"/>
        <v>20</v>
      </c>
      <c r="BN723" s="6">
        <f t="shared" si="51"/>
        <v>35</v>
      </c>
    </row>
    <row r="724" spans="64:66" ht="11.25" customHeight="1" x14ac:dyDescent="0.25">
      <c r="BL724" s="8">
        <f t="shared" si="49"/>
        <v>720</v>
      </c>
      <c r="BM724" s="6">
        <f t="shared" si="50"/>
        <v>20</v>
      </c>
      <c r="BN724" s="6">
        <f t="shared" si="51"/>
        <v>36</v>
      </c>
    </row>
    <row r="725" spans="64:66" ht="11.25" customHeight="1" x14ac:dyDescent="0.25">
      <c r="BL725" s="8">
        <f t="shared" si="49"/>
        <v>721</v>
      </c>
      <c r="BM725" s="6">
        <f t="shared" si="50"/>
        <v>21</v>
      </c>
      <c r="BN725" s="6">
        <f t="shared" si="51"/>
        <v>1</v>
      </c>
    </row>
    <row r="726" spans="64:66" ht="11.25" customHeight="1" x14ac:dyDescent="0.25">
      <c r="BL726" s="8">
        <f t="shared" si="49"/>
        <v>722</v>
      </c>
      <c r="BM726" s="6">
        <f t="shared" si="50"/>
        <v>21</v>
      </c>
      <c r="BN726" s="6">
        <f t="shared" si="51"/>
        <v>2</v>
      </c>
    </row>
    <row r="727" spans="64:66" ht="11.25" customHeight="1" x14ac:dyDescent="0.25">
      <c r="BL727" s="8">
        <f t="shared" si="49"/>
        <v>723</v>
      </c>
      <c r="BM727" s="6">
        <f t="shared" si="50"/>
        <v>21</v>
      </c>
      <c r="BN727" s="6">
        <f t="shared" si="51"/>
        <v>3</v>
      </c>
    </row>
    <row r="728" spans="64:66" ht="11.25" customHeight="1" x14ac:dyDescent="0.25">
      <c r="BL728" s="8">
        <f t="shared" si="49"/>
        <v>724</v>
      </c>
      <c r="BM728" s="6">
        <f t="shared" si="50"/>
        <v>21</v>
      </c>
      <c r="BN728" s="6">
        <f t="shared" si="51"/>
        <v>4</v>
      </c>
    </row>
    <row r="729" spans="64:66" ht="11.25" customHeight="1" x14ac:dyDescent="0.25">
      <c r="BL729" s="8">
        <f t="shared" si="49"/>
        <v>725</v>
      </c>
      <c r="BM729" s="6">
        <f t="shared" si="50"/>
        <v>21</v>
      </c>
      <c r="BN729" s="6">
        <f t="shared" si="51"/>
        <v>5</v>
      </c>
    </row>
    <row r="730" spans="64:66" ht="11.25" customHeight="1" x14ac:dyDescent="0.25">
      <c r="BL730" s="8">
        <f t="shared" si="49"/>
        <v>726</v>
      </c>
      <c r="BM730" s="6">
        <f t="shared" si="50"/>
        <v>21</v>
      </c>
      <c r="BN730" s="6">
        <f t="shared" si="51"/>
        <v>6</v>
      </c>
    </row>
    <row r="731" spans="64:66" ht="11.25" customHeight="1" x14ac:dyDescent="0.25">
      <c r="BL731" s="8">
        <f t="shared" si="49"/>
        <v>727</v>
      </c>
      <c r="BM731" s="6">
        <f t="shared" si="50"/>
        <v>21</v>
      </c>
      <c r="BN731" s="6">
        <f t="shared" si="51"/>
        <v>7</v>
      </c>
    </row>
    <row r="732" spans="64:66" ht="11.25" customHeight="1" x14ac:dyDescent="0.25">
      <c r="BL732" s="8">
        <f t="shared" si="49"/>
        <v>728</v>
      </c>
      <c r="BM732" s="6">
        <f t="shared" si="50"/>
        <v>21</v>
      </c>
      <c r="BN732" s="6">
        <f t="shared" si="51"/>
        <v>8</v>
      </c>
    </row>
    <row r="733" spans="64:66" ht="11.25" customHeight="1" x14ac:dyDescent="0.25">
      <c r="BL733" s="8">
        <f t="shared" si="49"/>
        <v>729</v>
      </c>
      <c r="BM733" s="6">
        <f t="shared" si="50"/>
        <v>21</v>
      </c>
      <c r="BN733" s="6">
        <f t="shared" si="51"/>
        <v>9</v>
      </c>
    </row>
    <row r="734" spans="64:66" ht="11.25" customHeight="1" x14ac:dyDescent="0.25">
      <c r="BL734" s="8">
        <f t="shared" si="49"/>
        <v>730</v>
      </c>
      <c r="BM734" s="6">
        <f t="shared" si="50"/>
        <v>21</v>
      </c>
      <c r="BN734" s="6">
        <f t="shared" si="51"/>
        <v>10</v>
      </c>
    </row>
    <row r="735" spans="64:66" ht="11.25" customHeight="1" x14ac:dyDescent="0.25">
      <c r="BL735" s="8">
        <f t="shared" si="49"/>
        <v>731</v>
      </c>
      <c r="BM735" s="6">
        <f t="shared" si="50"/>
        <v>21</v>
      </c>
      <c r="BN735" s="6">
        <f t="shared" si="51"/>
        <v>11</v>
      </c>
    </row>
    <row r="736" spans="64:66" ht="11.25" customHeight="1" x14ac:dyDescent="0.25">
      <c r="BL736" s="8">
        <f t="shared" si="49"/>
        <v>732</v>
      </c>
      <c r="BM736" s="6">
        <f t="shared" si="50"/>
        <v>21</v>
      </c>
      <c r="BN736" s="6">
        <f t="shared" si="51"/>
        <v>12</v>
      </c>
    </row>
    <row r="737" spans="64:66" ht="11.25" customHeight="1" x14ac:dyDescent="0.25">
      <c r="BL737" s="8">
        <f t="shared" si="49"/>
        <v>733</v>
      </c>
      <c r="BM737" s="6">
        <f t="shared" si="50"/>
        <v>21</v>
      </c>
      <c r="BN737" s="6">
        <f t="shared" si="51"/>
        <v>13</v>
      </c>
    </row>
    <row r="738" spans="64:66" ht="11.25" customHeight="1" x14ac:dyDescent="0.25">
      <c r="BL738" s="8">
        <f t="shared" si="49"/>
        <v>734</v>
      </c>
      <c r="BM738" s="6">
        <f t="shared" si="50"/>
        <v>21</v>
      </c>
      <c r="BN738" s="6">
        <f t="shared" si="51"/>
        <v>14</v>
      </c>
    </row>
    <row r="739" spans="64:66" ht="11.25" customHeight="1" x14ac:dyDescent="0.25">
      <c r="BL739" s="8">
        <f t="shared" si="49"/>
        <v>735</v>
      </c>
      <c r="BM739" s="6">
        <f t="shared" si="50"/>
        <v>21</v>
      </c>
      <c r="BN739" s="6">
        <f t="shared" si="51"/>
        <v>15</v>
      </c>
    </row>
    <row r="740" spans="64:66" ht="11.25" customHeight="1" x14ac:dyDescent="0.25">
      <c r="BL740" s="8">
        <f t="shared" si="49"/>
        <v>736</v>
      </c>
      <c r="BM740" s="6">
        <f t="shared" si="50"/>
        <v>21</v>
      </c>
      <c r="BN740" s="6">
        <f t="shared" si="51"/>
        <v>16</v>
      </c>
    </row>
    <row r="741" spans="64:66" ht="11.25" customHeight="1" x14ac:dyDescent="0.25">
      <c r="BL741" s="8">
        <f t="shared" si="49"/>
        <v>737</v>
      </c>
      <c r="BM741" s="6">
        <f t="shared" si="50"/>
        <v>21</v>
      </c>
      <c r="BN741" s="6">
        <f t="shared" si="51"/>
        <v>17</v>
      </c>
    </row>
    <row r="742" spans="64:66" ht="11.25" customHeight="1" x14ac:dyDescent="0.25">
      <c r="BL742" s="8">
        <f t="shared" si="49"/>
        <v>738</v>
      </c>
      <c r="BM742" s="6">
        <f t="shared" si="50"/>
        <v>21</v>
      </c>
      <c r="BN742" s="6">
        <f t="shared" si="51"/>
        <v>18</v>
      </c>
    </row>
    <row r="743" spans="64:66" ht="11.25" customHeight="1" x14ac:dyDescent="0.25">
      <c r="BL743" s="8">
        <f t="shared" si="49"/>
        <v>739</v>
      </c>
      <c r="BM743" s="6">
        <f t="shared" si="50"/>
        <v>21</v>
      </c>
      <c r="BN743" s="6">
        <f t="shared" si="51"/>
        <v>19</v>
      </c>
    </row>
    <row r="744" spans="64:66" ht="11.25" customHeight="1" x14ac:dyDescent="0.25">
      <c r="BL744" s="8">
        <f t="shared" si="49"/>
        <v>740</v>
      </c>
      <c r="BM744" s="6">
        <f t="shared" si="50"/>
        <v>21</v>
      </c>
      <c r="BN744" s="6">
        <f t="shared" si="51"/>
        <v>20</v>
      </c>
    </row>
    <row r="745" spans="64:66" ht="11.25" customHeight="1" x14ac:dyDescent="0.25">
      <c r="BL745" s="8">
        <f t="shared" si="49"/>
        <v>741</v>
      </c>
      <c r="BM745" s="6">
        <f t="shared" si="50"/>
        <v>21</v>
      </c>
      <c r="BN745" s="6">
        <f t="shared" si="51"/>
        <v>21</v>
      </c>
    </row>
    <row r="746" spans="64:66" ht="11.25" customHeight="1" x14ac:dyDescent="0.25">
      <c r="BL746" s="8">
        <f t="shared" si="49"/>
        <v>742</v>
      </c>
      <c r="BM746" s="6">
        <f t="shared" si="50"/>
        <v>21</v>
      </c>
      <c r="BN746" s="6">
        <f t="shared" si="51"/>
        <v>22</v>
      </c>
    </row>
    <row r="747" spans="64:66" ht="11.25" customHeight="1" x14ac:dyDescent="0.25">
      <c r="BL747" s="8">
        <f t="shared" si="49"/>
        <v>743</v>
      </c>
      <c r="BM747" s="6">
        <f t="shared" si="50"/>
        <v>21</v>
      </c>
      <c r="BN747" s="6">
        <f t="shared" si="51"/>
        <v>23</v>
      </c>
    </row>
    <row r="748" spans="64:66" ht="11.25" customHeight="1" x14ac:dyDescent="0.25">
      <c r="BL748" s="8">
        <f t="shared" si="49"/>
        <v>744</v>
      </c>
      <c r="BM748" s="6">
        <f t="shared" si="50"/>
        <v>21</v>
      </c>
      <c r="BN748" s="6">
        <f t="shared" si="51"/>
        <v>24</v>
      </c>
    </row>
    <row r="749" spans="64:66" ht="11.25" customHeight="1" x14ac:dyDescent="0.25">
      <c r="BL749" s="8">
        <f t="shared" si="49"/>
        <v>745</v>
      </c>
      <c r="BM749" s="6">
        <f t="shared" si="50"/>
        <v>21</v>
      </c>
      <c r="BN749" s="6">
        <f t="shared" si="51"/>
        <v>25</v>
      </c>
    </row>
    <row r="750" spans="64:66" ht="11.25" customHeight="1" x14ac:dyDescent="0.25">
      <c r="BL750" s="8">
        <f t="shared" si="49"/>
        <v>746</v>
      </c>
      <c r="BM750" s="6">
        <f t="shared" si="50"/>
        <v>21</v>
      </c>
      <c r="BN750" s="6">
        <f t="shared" si="51"/>
        <v>26</v>
      </c>
    </row>
    <row r="751" spans="64:66" ht="11.25" customHeight="1" x14ac:dyDescent="0.25">
      <c r="BL751" s="8">
        <f t="shared" si="49"/>
        <v>747</v>
      </c>
      <c r="BM751" s="6">
        <f t="shared" si="50"/>
        <v>21</v>
      </c>
      <c r="BN751" s="6">
        <f t="shared" si="51"/>
        <v>27</v>
      </c>
    </row>
    <row r="752" spans="64:66" ht="11.25" customHeight="1" x14ac:dyDescent="0.25">
      <c r="BL752" s="8">
        <f t="shared" si="49"/>
        <v>748</v>
      </c>
      <c r="BM752" s="6">
        <f t="shared" si="50"/>
        <v>21</v>
      </c>
      <c r="BN752" s="6">
        <f t="shared" si="51"/>
        <v>28</v>
      </c>
    </row>
    <row r="753" spans="64:66" ht="11.25" customHeight="1" x14ac:dyDescent="0.25">
      <c r="BL753" s="8">
        <f t="shared" si="49"/>
        <v>749</v>
      </c>
      <c r="BM753" s="6">
        <f t="shared" si="50"/>
        <v>21</v>
      </c>
      <c r="BN753" s="6">
        <f t="shared" si="51"/>
        <v>29</v>
      </c>
    </row>
    <row r="754" spans="64:66" ht="11.25" customHeight="1" x14ac:dyDescent="0.25">
      <c r="BL754" s="8">
        <f t="shared" si="49"/>
        <v>750</v>
      </c>
      <c r="BM754" s="6">
        <f t="shared" si="50"/>
        <v>21</v>
      </c>
      <c r="BN754" s="6">
        <f t="shared" si="51"/>
        <v>30</v>
      </c>
    </row>
    <row r="755" spans="64:66" ht="11.25" customHeight="1" x14ac:dyDescent="0.25">
      <c r="BL755" s="8">
        <f t="shared" si="49"/>
        <v>751</v>
      </c>
      <c r="BM755" s="6">
        <f t="shared" si="50"/>
        <v>21</v>
      </c>
      <c r="BN755" s="6">
        <f t="shared" si="51"/>
        <v>31</v>
      </c>
    </row>
    <row r="756" spans="64:66" ht="11.25" customHeight="1" x14ac:dyDescent="0.25">
      <c r="BL756" s="8">
        <f t="shared" si="49"/>
        <v>752</v>
      </c>
      <c r="BM756" s="6">
        <f t="shared" si="50"/>
        <v>21</v>
      </c>
      <c r="BN756" s="6">
        <f t="shared" si="51"/>
        <v>32</v>
      </c>
    </row>
    <row r="757" spans="64:66" ht="11.25" customHeight="1" x14ac:dyDescent="0.25">
      <c r="BL757" s="8">
        <f t="shared" si="49"/>
        <v>753</v>
      </c>
      <c r="BM757" s="6">
        <f t="shared" si="50"/>
        <v>21</v>
      </c>
      <c r="BN757" s="6">
        <f t="shared" si="51"/>
        <v>33</v>
      </c>
    </row>
    <row r="758" spans="64:66" ht="11.25" customHeight="1" x14ac:dyDescent="0.25">
      <c r="BL758" s="8">
        <f t="shared" si="49"/>
        <v>754</v>
      </c>
      <c r="BM758" s="6">
        <f t="shared" si="50"/>
        <v>21</v>
      </c>
      <c r="BN758" s="6">
        <f t="shared" si="51"/>
        <v>34</v>
      </c>
    </row>
    <row r="759" spans="64:66" ht="11.25" customHeight="1" x14ac:dyDescent="0.25">
      <c r="BL759" s="8">
        <f t="shared" si="49"/>
        <v>755</v>
      </c>
      <c r="BM759" s="6">
        <f t="shared" si="50"/>
        <v>21</v>
      </c>
      <c r="BN759" s="6">
        <f t="shared" si="51"/>
        <v>35</v>
      </c>
    </row>
    <row r="760" spans="64:66" ht="11.25" customHeight="1" x14ac:dyDescent="0.25">
      <c r="BL760" s="8">
        <f t="shared" si="49"/>
        <v>756</v>
      </c>
      <c r="BM760" s="6">
        <f t="shared" si="50"/>
        <v>21</v>
      </c>
      <c r="BN760" s="6">
        <f t="shared" si="51"/>
        <v>36</v>
      </c>
    </row>
    <row r="761" spans="64:66" ht="11.25" customHeight="1" x14ac:dyDescent="0.25">
      <c r="BL761" s="8">
        <f t="shared" si="49"/>
        <v>757</v>
      </c>
      <c r="BM761" s="6">
        <f t="shared" si="50"/>
        <v>22</v>
      </c>
      <c r="BN761" s="6">
        <f t="shared" si="51"/>
        <v>1</v>
      </c>
    </row>
    <row r="762" spans="64:66" ht="11.25" customHeight="1" x14ac:dyDescent="0.25">
      <c r="BL762" s="8">
        <f t="shared" si="49"/>
        <v>758</v>
      </c>
      <c r="BM762" s="6">
        <f t="shared" si="50"/>
        <v>22</v>
      </c>
      <c r="BN762" s="6">
        <f t="shared" si="51"/>
        <v>2</v>
      </c>
    </row>
    <row r="763" spans="64:66" ht="11.25" customHeight="1" x14ac:dyDescent="0.25">
      <c r="BL763" s="8">
        <f t="shared" si="49"/>
        <v>759</v>
      </c>
      <c r="BM763" s="6">
        <f t="shared" si="50"/>
        <v>22</v>
      </c>
      <c r="BN763" s="6">
        <f t="shared" si="51"/>
        <v>3</v>
      </c>
    </row>
    <row r="764" spans="64:66" ht="11.25" customHeight="1" x14ac:dyDescent="0.25">
      <c r="BL764" s="8">
        <f t="shared" si="49"/>
        <v>760</v>
      </c>
      <c r="BM764" s="6">
        <f t="shared" si="50"/>
        <v>22</v>
      </c>
      <c r="BN764" s="6">
        <f t="shared" si="51"/>
        <v>4</v>
      </c>
    </row>
    <row r="765" spans="64:66" ht="11.25" customHeight="1" x14ac:dyDescent="0.25">
      <c r="BL765" s="8">
        <f t="shared" si="49"/>
        <v>761</v>
      </c>
      <c r="BM765" s="6">
        <f t="shared" si="50"/>
        <v>22</v>
      </c>
      <c r="BN765" s="6">
        <f t="shared" si="51"/>
        <v>5</v>
      </c>
    </row>
    <row r="766" spans="64:66" ht="11.25" customHeight="1" x14ac:dyDescent="0.25">
      <c r="BL766" s="8">
        <f t="shared" si="49"/>
        <v>762</v>
      </c>
      <c r="BM766" s="6">
        <f t="shared" si="50"/>
        <v>22</v>
      </c>
      <c r="BN766" s="6">
        <f t="shared" si="51"/>
        <v>6</v>
      </c>
    </row>
    <row r="767" spans="64:66" ht="11.25" customHeight="1" x14ac:dyDescent="0.25">
      <c r="BL767" s="8">
        <f t="shared" si="49"/>
        <v>763</v>
      </c>
      <c r="BM767" s="6">
        <f t="shared" si="50"/>
        <v>22</v>
      </c>
      <c r="BN767" s="6">
        <f t="shared" si="51"/>
        <v>7</v>
      </c>
    </row>
    <row r="768" spans="64:66" ht="11.25" customHeight="1" x14ac:dyDescent="0.25">
      <c r="BL768" s="8">
        <f t="shared" si="49"/>
        <v>764</v>
      </c>
      <c r="BM768" s="6">
        <f t="shared" si="50"/>
        <v>22</v>
      </c>
      <c r="BN768" s="6">
        <f t="shared" si="51"/>
        <v>8</v>
      </c>
    </row>
    <row r="769" spans="64:66" ht="11.25" customHeight="1" x14ac:dyDescent="0.25">
      <c r="BL769" s="8">
        <f t="shared" si="49"/>
        <v>765</v>
      </c>
      <c r="BM769" s="6">
        <f t="shared" si="50"/>
        <v>22</v>
      </c>
      <c r="BN769" s="6">
        <f t="shared" si="51"/>
        <v>9</v>
      </c>
    </row>
    <row r="770" spans="64:66" ht="11.25" customHeight="1" x14ac:dyDescent="0.25">
      <c r="BL770" s="8">
        <f t="shared" si="49"/>
        <v>766</v>
      </c>
      <c r="BM770" s="6">
        <f t="shared" si="50"/>
        <v>22</v>
      </c>
      <c r="BN770" s="6">
        <f t="shared" si="51"/>
        <v>10</v>
      </c>
    </row>
    <row r="771" spans="64:66" ht="11.25" customHeight="1" x14ac:dyDescent="0.25">
      <c r="BL771" s="8">
        <f t="shared" si="49"/>
        <v>767</v>
      </c>
      <c r="BM771" s="6">
        <f t="shared" si="50"/>
        <v>22</v>
      </c>
      <c r="BN771" s="6">
        <f t="shared" si="51"/>
        <v>11</v>
      </c>
    </row>
    <row r="772" spans="64:66" ht="11.25" customHeight="1" x14ac:dyDescent="0.25">
      <c r="BL772" s="8">
        <f t="shared" si="49"/>
        <v>768</v>
      </c>
      <c r="BM772" s="6">
        <f t="shared" si="50"/>
        <v>22</v>
      </c>
      <c r="BN772" s="6">
        <f t="shared" si="51"/>
        <v>12</v>
      </c>
    </row>
    <row r="773" spans="64:66" ht="11.25" customHeight="1" x14ac:dyDescent="0.25">
      <c r="BL773" s="8">
        <f t="shared" si="49"/>
        <v>769</v>
      </c>
      <c r="BM773" s="6">
        <f t="shared" si="50"/>
        <v>22</v>
      </c>
      <c r="BN773" s="6">
        <f t="shared" si="51"/>
        <v>13</v>
      </c>
    </row>
    <row r="774" spans="64:66" ht="11.25" customHeight="1" x14ac:dyDescent="0.25">
      <c r="BL774" s="8">
        <f t="shared" ref="BL774:BL837" si="52">IF(ROW()&lt;=$BL$4,ROW()-ROW(BL$4),"")</f>
        <v>770</v>
      </c>
      <c r="BM774" s="6">
        <f t="shared" si="50"/>
        <v>22</v>
      </c>
      <c r="BN774" s="6">
        <f t="shared" si="51"/>
        <v>14</v>
      </c>
    </row>
    <row r="775" spans="64:66" ht="11.25" customHeight="1" x14ac:dyDescent="0.25">
      <c r="BL775" s="8">
        <f t="shared" si="52"/>
        <v>771</v>
      </c>
      <c r="BM775" s="6">
        <f t="shared" si="50"/>
        <v>22</v>
      </c>
      <c r="BN775" s="6">
        <f t="shared" si="51"/>
        <v>15</v>
      </c>
    </row>
    <row r="776" spans="64:66" ht="11.25" customHeight="1" x14ac:dyDescent="0.25">
      <c r="BL776" s="8">
        <f t="shared" si="52"/>
        <v>772</v>
      </c>
      <c r="BM776" s="6">
        <f t="shared" ref="BM776:BM839" si="53">IF(ISNUMBER(BL776),INT(BL775/$BN$4)+1,"")</f>
        <v>22</v>
      </c>
      <c r="BN776" s="6">
        <f t="shared" ref="BN776:BN839" si="54">IF(ISNUMBER(BL776),IF(BM775&lt;&gt;BM776,1,BN775+1),"")</f>
        <v>16</v>
      </c>
    </row>
    <row r="777" spans="64:66" ht="11.25" customHeight="1" x14ac:dyDescent="0.25">
      <c r="BL777" s="8">
        <f t="shared" si="52"/>
        <v>773</v>
      </c>
      <c r="BM777" s="6">
        <f t="shared" si="53"/>
        <v>22</v>
      </c>
      <c r="BN777" s="6">
        <f t="shared" si="54"/>
        <v>17</v>
      </c>
    </row>
    <row r="778" spans="64:66" ht="11.25" customHeight="1" x14ac:dyDescent="0.25">
      <c r="BL778" s="8">
        <f t="shared" si="52"/>
        <v>774</v>
      </c>
      <c r="BM778" s="6">
        <f t="shared" si="53"/>
        <v>22</v>
      </c>
      <c r="BN778" s="6">
        <f t="shared" si="54"/>
        <v>18</v>
      </c>
    </row>
    <row r="779" spans="64:66" ht="11.25" customHeight="1" x14ac:dyDescent="0.25">
      <c r="BL779" s="8">
        <f t="shared" si="52"/>
        <v>775</v>
      </c>
      <c r="BM779" s="6">
        <f t="shared" si="53"/>
        <v>22</v>
      </c>
      <c r="BN779" s="6">
        <f t="shared" si="54"/>
        <v>19</v>
      </c>
    </row>
    <row r="780" spans="64:66" ht="11.25" customHeight="1" x14ac:dyDescent="0.25">
      <c r="BL780" s="8">
        <f t="shared" si="52"/>
        <v>776</v>
      </c>
      <c r="BM780" s="6">
        <f t="shared" si="53"/>
        <v>22</v>
      </c>
      <c r="BN780" s="6">
        <f t="shared" si="54"/>
        <v>20</v>
      </c>
    </row>
    <row r="781" spans="64:66" ht="11.25" customHeight="1" x14ac:dyDescent="0.25">
      <c r="BL781" s="8">
        <f t="shared" si="52"/>
        <v>777</v>
      </c>
      <c r="BM781" s="6">
        <f t="shared" si="53"/>
        <v>22</v>
      </c>
      <c r="BN781" s="6">
        <f t="shared" si="54"/>
        <v>21</v>
      </c>
    </row>
    <row r="782" spans="64:66" ht="11.25" customHeight="1" x14ac:dyDescent="0.25">
      <c r="BL782" s="8">
        <f t="shared" si="52"/>
        <v>778</v>
      </c>
      <c r="BM782" s="6">
        <f t="shared" si="53"/>
        <v>22</v>
      </c>
      <c r="BN782" s="6">
        <f t="shared" si="54"/>
        <v>22</v>
      </c>
    </row>
    <row r="783" spans="64:66" ht="11.25" customHeight="1" x14ac:dyDescent="0.25">
      <c r="BL783" s="8">
        <f t="shared" si="52"/>
        <v>779</v>
      </c>
      <c r="BM783" s="6">
        <f t="shared" si="53"/>
        <v>22</v>
      </c>
      <c r="BN783" s="6">
        <f t="shared" si="54"/>
        <v>23</v>
      </c>
    </row>
    <row r="784" spans="64:66" ht="11.25" customHeight="1" x14ac:dyDescent="0.25">
      <c r="BL784" s="8">
        <f t="shared" si="52"/>
        <v>780</v>
      </c>
      <c r="BM784" s="6">
        <f t="shared" si="53"/>
        <v>22</v>
      </c>
      <c r="BN784" s="6">
        <f t="shared" si="54"/>
        <v>24</v>
      </c>
    </row>
    <row r="785" spans="64:66" ht="11.25" customHeight="1" x14ac:dyDescent="0.25">
      <c r="BL785" s="8">
        <f t="shared" si="52"/>
        <v>781</v>
      </c>
      <c r="BM785" s="6">
        <f t="shared" si="53"/>
        <v>22</v>
      </c>
      <c r="BN785" s="6">
        <f t="shared" si="54"/>
        <v>25</v>
      </c>
    </row>
    <row r="786" spans="64:66" ht="11.25" customHeight="1" x14ac:dyDescent="0.25">
      <c r="BL786" s="8">
        <f t="shared" si="52"/>
        <v>782</v>
      </c>
      <c r="BM786" s="6">
        <f t="shared" si="53"/>
        <v>22</v>
      </c>
      <c r="BN786" s="6">
        <f t="shared" si="54"/>
        <v>26</v>
      </c>
    </row>
    <row r="787" spans="64:66" ht="11.25" customHeight="1" x14ac:dyDescent="0.25">
      <c r="BL787" s="8">
        <f t="shared" si="52"/>
        <v>783</v>
      </c>
      <c r="BM787" s="6">
        <f t="shared" si="53"/>
        <v>22</v>
      </c>
      <c r="BN787" s="6">
        <f t="shared" si="54"/>
        <v>27</v>
      </c>
    </row>
    <row r="788" spans="64:66" ht="11.25" customHeight="1" x14ac:dyDescent="0.25">
      <c r="BL788" s="8">
        <f t="shared" si="52"/>
        <v>784</v>
      </c>
      <c r="BM788" s="6">
        <f t="shared" si="53"/>
        <v>22</v>
      </c>
      <c r="BN788" s="6">
        <f t="shared" si="54"/>
        <v>28</v>
      </c>
    </row>
    <row r="789" spans="64:66" ht="11.25" customHeight="1" x14ac:dyDescent="0.25">
      <c r="BL789" s="8">
        <f t="shared" si="52"/>
        <v>785</v>
      </c>
      <c r="BM789" s="6">
        <f t="shared" si="53"/>
        <v>22</v>
      </c>
      <c r="BN789" s="6">
        <f t="shared" si="54"/>
        <v>29</v>
      </c>
    </row>
    <row r="790" spans="64:66" ht="11.25" customHeight="1" x14ac:dyDescent="0.25">
      <c r="BL790" s="8">
        <f t="shared" si="52"/>
        <v>786</v>
      </c>
      <c r="BM790" s="6">
        <f t="shared" si="53"/>
        <v>22</v>
      </c>
      <c r="BN790" s="6">
        <f t="shared" si="54"/>
        <v>30</v>
      </c>
    </row>
    <row r="791" spans="64:66" ht="11.25" customHeight="1" x14ac:dyDescent="0.25">
      <c r="BL791" s="8">
        <f t="shared" si="52"/>
        <v>787</v>
      </c>
      <c r="BM791" s="6">
        <f t="shared" si="53"/>
        <v>22</v>
      </c>
      <c r="BN791" s="6">
        <f t="shared" si="54"/>
        <v>31</v>
      </c>
    </row>
    <row r="792" spans="64:66" ht="11.25" customHeight="1" x14ac:dyDescent="0.25">
      <c r="BL792" s="8">
        <f t="shared" si="52"/>
        <v>788</v>
      </c>
      <c r="BM792" s="6">
        <f t="shared" si="53"/>
        <v>22</v>
      </c>
      <c r="BN792" s="6">
        <f t="shared" si="54"/>
        <v>32</v>
      </c>
    </row>
    <row r="793" spans="64:66" ht="11.25" customHeight="1" x14ac:dyDescent="0.25">
      <c r="BL793" s="8">
        <f t="shared" si="52"/>
        <v>789</v>
      </c>
      <c r="BM793" s="6">
        <f t="shared" si="53"/>
        <v>22</v>
      </c>
      <c r="BN793" s="6">
        <f t="shared" si="54"/>
        <v>33</v>
      </c>
    </row>
    <row r="794" spans="64:66" ht="11.25" customHeight="1" x14ac:dyDescent="0.25">
      <c r="BL794" s="8">
        <f t="shared" si="52"/>
        <v>790</v>
      </c>
      <c r="BM794" s="6">
        <f t="shared" si="53"/>
        <v>22</v>
      </c>
      <c r="BN794" s="6">
        <f t="shared" si="54"/>
        <v>34</v>
      </c>
    </row>
    <row r="795" spans="64:66" ht="11.25" customHeight="1" x14ac:dyDescent="0.25">
      <c r="BL795" s="8">
        <f t="shared" si="52"/>
        <v>791</v>
      </c>
      <c r="BM795" s="6">
        <f t="shared" si="53"/>
        <v>22</v>
      </c>
      <c r="BN795" s="6">
        <f t="shared" si="54"/>
        <v>35</v>
      </c>
    </row>
    <row r="796" spans="64:66" ht="11.25" customHeight="1" x14ac:dyDescent="0.25">
      <c r="BL796" s="8">
        <f t="shared" si="52"/>
        <v>792</v>
      </c>
      <c r="BM796" s="6">
        <f t="shared" si="53"/>
        <v>22</v>
      </c>
      <c r="BN796" s="6">
        <f t="shared" si="54"/>
        <v>36</v>
      </c>
    </row>
    <row r="797" spans="64:66" ht="11.25" customHeight="1" x14ac:dyDescent="0.25">
      <c r="BL797" s="8">
        <f t="shared" si="52"/>
        <v>793</v>
      </c>
      <c r="BM797" s="6">
        <f t="shared" si="53"/>
        <v>23</v>
      </c>
      <c r="BN797" s="6">
        <f t="shared" si="54"/>
        <v>1</v>
      </c>
    </row>
    <row r="798" spans="64:66" ht="11.25" customHeight="1" x14ac:dyDescent="0.25">
      <c r="BL798" s="8">
        <f t="shared" si="52"/>
        <v>794</v>
      </c>
      <c r="BM798" s="6">
        <f t="shared" si="53"/>
        <v>23</v>
      </c>
      <c r="BN798" s="6">
        <f t="shared" si="54"/>
        <v>2</v>
      </c>
    </row>
    <row r="799" spans="64:66" ht="11.25" customHeight="1" x14ac:dyDescent="0.25">
      <c r="BL799" s="8">
        <f t="shared" si="52"/>
        <v>795</v>
      </c>
      <c r="BM799" s="6">
        <f t="shared" si="53"/>
        <v>23</v>
      </c>
      <c r="BN799" s="6">
        <f t="shared" si="54"/>
        <v>3</v>
      </c>
    </row>
    <row r="800" spans="64:66" ht="11.25" customHeight="1" x14ac:dyDescent="0.25">
      <c r="BL800" s="8">
        <f t="shared" si="52"/>
        <v>796</v>
      </c>
      <c r="BM800" s="6">
        <f t="shared" si="53"/>
        <v>23</v>
      </c>
      <c r="BN800" s="6">
        <f t="shared" si="54"/>
        <v>4</v>
      </c>
    </row>
    <row r="801" spans="64:66" ht="11.25" customHeight="1" x14ac:dyDescent="0.25">
      <c r="BL801" s="8">
        <f t="shared" si="52"/>
        <v>797</v>
      </c>
      <c r="BM801" s="6">
        <f t="shared" si="53"/>
        <v>23</v>
      </c>
      <c r="BN801" s="6">
        <f t="shared" si="54"/>
        <v>5</v>
      </c>
    </row>
    <row r="802" spans="64:66" ht="11.25" customHeight="1" x14ac:dyDescent="0.25">
      <c r="BL802" s="8">
        <f t="shared" si="52"/>
        <v>798</v>
      </c>
      <c r="BM802" s="6">
        <f t="shared" si="53"/>
        <v>23</v>
      </c>
      <c r="BN802" s="6">
        <f t="shared" si="54"/>
        <v>6</v>
      </c>
    </row>
    <row r="803" spans="64:66" ht="11.25" customHeight="1" x14ac:dyDescent="0.25">
      <c r="BL803" s="8">
        <f t="shared" si="52"/>
        <v>799</v>
      </c>
      <c r="BM803" s="6">
        <f t="shared" si="53"/>
        <v>23</v>
      </c>
      <c r="BN803" s="6">
        <f t="shared" si="54"/>
        <v>7</v>
      </c>
    </row>
    <row r="804" spans="64:66" ht="11.25" customHeight="1" x14ac:dyDescent="0.25">
      <c r="BL804" s="8">
        <f t="shared" si="52"/>
        <v>800</v>
      </c>
      <c r="BM804" s="6">
        <f t="shared" si="53"/>
        <v>23</v>
      </c>
      <c r="BN804" s="6">
        <f t="shared" si="54"/>
        <v>8</v>
      </c>
    </row>
    <row r="805" spans="64:66" ht="11.25" customHeight="1" x14ac:dyDescent="0.25">
      <c r="BL805" s="8">
        <f t="shared" si="52"/>
        <v>801</v>
      </c>
      <c r="BM805" s="6">
        <f t="shared" si="53"/>
        <v>23</v>
      </c>
      <c r="BN805" s="6">
        <f t="shared" si="54"/>
        <v>9</v>
      </c>
    </row>
    <row r="806" spans="64:66" ht="11.25" customHeight="1" x14ac:dyDescent="0.25">
      <c r="BL806" s="8">
        <f t="shared" si="52"/>
        <v>802</v>
      </c>
      <c r="BM806" s="6">
        <f t="shared" si="53"/>
        <v>23</v>
      </c>
      <c r="BN806" s="6">
        <f t="shared" si="54"/>
        <v>10</v>
      </c>
    </row>
    <row r="807" spans="64:66" ht="11.25" customHeight="1" x14ac:dyDescent="0.25">
      <c r="BL807" s="8">
        <f t="shared" si="52"/>
        <v>803</v>
      </c>
      <c r="BM807" s="6">
        <f t="shared" si="53"/>
        <v>23</v>
      </c>
      <c r="BN807" s="6">
        <f t="shared" si="54"/>
        <v>11</v>
      </c>
    </row>
    <row r="808" spans="64:66" ht="11.25" customHeight="1" x14ac:dyDescent="0.25">
      <c r="BL808" s="8">
        <f t="shared" si="52"/>
        <v>804</v>
      </c>
      <c r="BM808" s="6">
        <f t="shared" si="53"/>
        <v>23</v>
      </c>
      <c r="BN808" s="6">
        <f t="shared" si="54"/>
        <v>12</v>
      </c>
    </row>
    <row r="809" spans="64:66" ht="11.25" customHeight="1" x14ac:dyDescent="0.25">
      <c r="BL809" s="8">
        <f t="shared" si="52"/>
        <v>805</v>
      </c>
      <c r="BM809" s="6">
        <f t="shared" si="53"/>
        <v>23</v>
      </c>
      <c r="BN809" s="6">
        <f t="shared" si="54"/>
        <v>13</v>
      </c>
    </row>
    <row r="810" spans="64:66" ht="11.25" customHeight="1" x14ac:dyDescent="0.25">
      <c r="BL810" s="8">
        <f t="shared" si="52"/>
        <v>806</v>
      </c>
      <c r="BM810" s="6">
        <f t="shared" si="53"/>
        <v>23</v>
      </c>
      <c r="BN810" s="6">
        <f t="shared" si="54"/>
        <v>14</v>
      </c>
    </row>
    <row r="811" spans="64:66" ht="11.25" customHeight="1" x14ac:dyDescent="0.25">
      <c r="BL811" s="8">
        <f t="shared" si="52"/>
        <v>807</v>
      </c>
      <c r="BM811" s="6">
        <f t="shared" si="53"/>
        <v>23</v>
      </c>
      <c r="BN811" s="6">
        <f t="shared" si="54"/>
        <v>15</v>
      </c>
    </row>
    <row r="812" spans="64:66" ht="11.25" customHeight="1" x14ac:dyDescent="0.25">
      <c r="BL812" s="8">
        <f t="shared" si="52"/>
        <v>808</v>
      </c>
      <c r="BM812" s="6">
        <f t="shared" si="53"/>
        <v>23</v>
      </c>
      <c r="BN812" s="6">
        <f t="shared" si="54"/>
        <v>16</v>
      </c>
    </row>
    <row r="813" spans="64:66" ht="11.25" customHeight="1" x14ac:dyDescent="0.25">
      <c r="BL813" s="8">
        <f t="shared" si="52"/>
        <v>809</v>
      </c>
      <c r="BM813" s="6">
        <f t="shared" si="53"/>
        <v>23</v>
      </c>
      <c r="BN813" s="6">
        <f t="shared" si="54"/>
        <v>17</v>
      </c>
    </row>
    <row r="814" spans="64:66" ht="11.25" customHeight="1" x14ac:dyDescent="0.25">
      <c r="BL814" s="8">
        <f t="shared" si="52"/>
        <v>810</v>
      </c>
      <c r="BM814" s="6">
        <f t="shared" si="53"/>
        <v>23</v>
      </c>
      <c r="BN814" s="6">
        <f t="shared" si="54"/>
        <v>18</v>
      </c>
    </row>
    <row r="815" spans="64:66" ht="11.25" customHeight="1" x14ac:dyDescent="0.25">
      <c r="BL815" s="8">
        <f t="shared" si="52"/>
        <v>811</v>
      </c>
      <c r="BM815" s="6">
        <f t="shared" si="53"/>
        <v>23</v>
      </c>
      <c r="BN815" s="6">
        <f t="shared" si="54"/>
        <v>19</v>
      </c>
    </row>
    <row r="816" spans="64:66" ht="11.25" customHeight="1" x14ac:dyDescent="0.25">
      <c r="BL816" s="8">
        <f t="shared" si="52"/>
        <v>812</v>
      </c>
      <c r="BM816" s="6">
        <f t="shared" si="53"/>
        <v>23</v>
      </c>
      <c r="BN816" s="6">
        <f t="shared" si="54"/>
        <v>20</v>
      </c>
    </row>
    <row r="817" spans="64:66" ht="11.25" customHeight="1" x14ac:dyDescent="0.25">
      <c r="BL817" s="8">
        <f t="shared" si="52"/>
        <v>813</v>
      </c>
      <c r="BM817" s="6">
        <f t="shared" si="53"/>
        <v>23</v>
      </c>
      <c r="BN817" s="6">
        <f t="shared" si="54"/>
        <v>21</v>
      </c>
    </row>
    <row r="818" spans="64:66" ht="11.25" customHeight="1" x14ac:dyDescent="0.25">
      <c r="BL818" s="8">
        <f t="shared" si="52"/>
        <v>814</v>
      </c>
      <c r="BM818" s="6">
        <f t="shared" si="53"/>
        <v>23</v>
      </c>
      <c r="BN818" s="6">
        <f t="shared" si="54"/>
        <v>22</v>
      </c>
    </row>
    <row r="819" spans="64:66" ht="11.25" customHeight="1" x14ac:dyDescent="0.25">
      <c r="BL819" s="8">
        <f t="shared" si="52"/>
        <v>815</v>
      </c>
      <c r="BM819" s="6">
        <f t="shared" si="53"/>
        <v>23</v>
      </c>
      <c r="BN819" s="6">
        <f t="shared" si="54"/>
        <v>23</v>
      </c>
    </row>
    <row r="820" spans="64:66" ht="11.25" customHeight="1" x14ac:dyDescent="0.25">
      <c r="BL820" s="8">
        <f t="shared" si="52"/>
        <v>816</v>
      </c>
      <c r="BM820" s="6">
        <f t="shared" si="53"/>
        <v>23</v>
      </c>
      <c r="BN820" s="6">
        <f t="shared" si="54"/>
        <v>24</v>
      </c>
    </row>
    <row r="821" spans="64:66" ht="11.25" customHeight="1" x14ac:dyDescent="0.25">
      <c r="BL821" s="8">
        <f t="shared" si="52"/>
        <v>817</v>
      </c>
      <c r="BM821" s="6">
        <f t="shared" si="53"/>
        <v>23</v>
      </c>
      <c r="BN821" s="6">
        <f t="shared" si="54"/>
        <v>25</v>
      </c>
    </row>
    <row r="822" spans="64:66" ht="11.25" customHeight="1" x14ac:dyDescent="0.25">
      <c r="BL822" s="8">
        <f t="shared" si="52"/>
        <v>818</v>
      </c>
      <c r="BM822" s="6">
        <f t="shared" si="53"/>
        <v>23</v>
      </c>
      <c r="BN822" s="6">
        <f t="shared" si="54"/>
        <v>26</v>
      </c>
    </row>
    <row r="823" spans="64:66" ht="11.25" customHeight="1" x14ac:dyDescent="0.25">
      <c r="BL823" s="8">
        <f t="shared" si="52"/>
        <v>819</v>
      </c>
      <c r="BM823" s="6">
        <f t="shared" si="53"/>
        <v>23</v>
      </c>
      <c r="BN823" s="6">
        <f t="shared" si="54"/>
        <v>27</v>
      </c>
    </row>
    <row r="824" spans="64:66" ht="11.25" customHeight="1" x14ac:dyDescent="0.25">
      <c r="BL824" s="8">
        <f t="shared" si="52"/>
        <v>820</v>
      </c>
      <c r="BM824" s="6">
        <f t="shared" si="53"/>
        <v>23</v>
      </c>
      <c r="BN824" s="6">
        <f t="shared" si="54"/>
        <v>28</v>
      </c>
    </row>
    <row r="825" spans="64:66" ht="11.25" customHeight="1" x14ac:dyDescent="0.25">
      <c r="BL825" s="8">
        <f t="shared" si="52"/>
        <v>821</v>
      </c>
      <c r="BM825" s="6">
        <f t="shared" si="53"/>
        <v>23</v>
      </c>
      <c r="BN825" s="6">
        <f t="shared" si="54"/>
        <v>29</v>
      </c>
    </row>
    <row r="826" spans="64:66" ht="11.25" customHeight="1" x14ac:dyDescent="0.25">
      <c r="BL826" s="8">
        <f t="shared" si="52"/>
        <v>822</v>
      </c>
      <c r="BM826" s="6">
        <f t="shared" si="53"/>
        <v>23</v>
      </c>
      <c r="BN826" s="6">
        <f t="shared" si="54"/>
        <v>30</v>
      </c>
    </row>
    <row r="827" spans="64:66" ht="11.25" customHeight="1" x14ac:dyDescent="0.25">
      <c r="BL827" s="8">
        <f t="shared" si="52"/>
        <v>823</v>
      </c>
      <c r="BM827" s="6">
        <f t="shared" si="53"/>
        <v>23</v>
      </c>
      <c r="BN827" s="6">
        <f t="shared" si="54"/>
        <v>31</v>
      </c>
    </row>
    <row r="828" spans="64:66" ht="11.25" customHeight="1" x14ac:dyDescent="0.25">
      <c r="BL828" s="8">
        <f t="shared" si="52"/>
        <v>824</v>
      </c>
      <c r="BM828" s="6">
        <f t="shared" si="53"/>
        <v>23</v>
      </c>
      <c r="BN828" s="6">
        <f t="shared" si="54"/>
        <v>32</v>
      </c>
    </row>
    <row r="829" spans="64:66" ht="11.25" customHeight="1" x14ac:dyDescent="0.25">
      <c r="BL829" s="8" t="str">
        <f t="shared" si="52"/>
        <v/>
      </c>
      <c r="BM829" s="6" t="str">
        <f t="shared" si="53"/>
        <v/>
      </c>
      <c r="BN829" s="6" t="str">
        <f t="shared" si="54"/>
        <v/>
      </c>
    </row>
    <row r="830" spans="64:66" ht="11.25" customHeight="1" x14ac:dyDescent="0.25">
      <c r="BL830" s="8" t="str">
        <f t="shared" si="52"/>
        <v/>
      </c>
      <c r="BM830" s="6" t="str">
        <f t="shared" si="53"/>
        <v/>
      </c>
      <c r="BN830" s="6" t="str">
        <f t="shared" si="54"/>
        <v/>
      </c>
    </row>
    <row r="831" spans="64:66" ht="11.25" customHeight="1" x14ac:dyDescent="0.25">
      <c r="BL831" s="8" t="str">
        <f t="shared" si="52"/>
        <v/>
      </c>
      <c r="BM831" s="6" t="str">
        <f t="shared" si="53"/>
        <v/>
      </c>
      <c r="BN831" s="6" t="str">
        <f t="shared" si="54"/>
        <v/>
      </c>
    </row>
    <row r="832" spans="64:66" ht="11.25" customHeight="1" x14ac:dyDescent="0.25">
      <c r="BL832" s="8" t="str">
        <f t="shared" si="52"/>
        <v/>
      </c>
      <c r="BM832" s="6" t="str">
        <f t="shared" si="53"/>
        <v/>
      </c>
      <c r="BN832" s="6" t="str">
        <f t="shared" si="54"/>
        <v/>
      </c>
    </row>
    <row r="833" spans="64:66" ht="11.25" customHeight="1" x14ac:dyDescent="0.25">
      <c r="BL833" s="8" t="str">
        <f t="shared" si="52"/>
        <v/>
      </c>
      <c r="BM833" s="6" t="str">
        <f t="shared" si="53"/>
        <v/>
      </c>
      <c r="BN833" s="6" t="str">
        <f t="shared" si="54"/>
        <v/>
      </c>
    </row>
    <row r="834" spans="64:66" ht="11.25" customHeight="1" x14ac:dyDescent="0.25">
      <c r="BL834" s="8" t="str">
        <f t="shared" si="52"/>
        <v/>
      </c>
      <c r="BM834" s="6" t="str">
        <f t="shared" si="53"/>
        <v/>
      </c>
      <c r="BN834" s="6" t="str">
        <f t="shared" si="54"/>
        <v/>
      </c>
    </row>
    <row r="835" spans="64:66" ht="11.25" customHeight="1" x14ac:dyDescent="0.25">
      <c r="BL835" s="8" t="str">
        <f t="shared" si="52"/>
        <v/>
      </c>
      <c r="BM835" s="6" t="str">
        <f t="shared" si="53"/>
        <v/>
      </c>
      <c r="BN835" s="6" t="str">
        <f t="shared" si="54"/>
        <v/>
      </c>
    </row>
    <row r="836" spans="64:66" ht="11.25" customHeight="1" x14ac:dyDescent="0.25">
      <c r="BL836" s="8" t="str">
        <f t="shared" si="52"/>
        <v/>
      </c>
      <c r="BM836" s="6" t="str">
        <f t="shared" si="53"/>
        <v/>
      </c>
      <c r="BN836" s="6" t="str">
        <f t="shared" si="54"/>
        <v/>
      </c>
    </row>
    <row r="837" spans="64:66" ht="11.25" customHeight="1" x14ac:dyDescent="0.25">
      <c r="BL837" s="8" t="str">
        <f t="shared" si="52"/>
        <v/>
      </c>
      <c r="BM837" s="6" t="str">
        <f t="shared" si="53"/>
        <v/>
      </c>
      <c r="BN837" s="6" t="str">
        <f t="shared" si="54"/>
        <v/>
      </c>
    </row>
    <row r="838" spans="64:66" ht="11.25" customHeight="1" x14ac:dyDescent="0.25">
      <c r="BL838" s="8" t="str">
        <f t="shared" ref="BL838:BL901" si="55">IF(ROW()&lt;=$BL$4,ROW()-ROW(BL$4),"")</f>
        <v/>
      </c>
      <c r="BM838" s="6" t="str">
        <f t="shared" si="53"/>
        <v/>
      </c>
      <c r="BN838" s="6" t="str">
        <f t="shared" si="54"/>
        <v/>
      </c>
    </row>
    <row r="839" spans="64:66" ht="11.25" customHeight="1" x14ac:dyDescent="0.25">
      <c r="BL839" s="8" t="str">
        <f t="shared" si="55"/>
        <v/>
      </c>
      <c r="BM839" s="6" t="str">
        <f t="shared" si="53"/>
        <v/>
      </c>
      <c r="BN839" s="6" t="str">
        <f t="shared" si="54"/>
        <v/>
      </c>
    </row>
    <row r="840" spans="64:66" ht="11.25" customHeight="1" x14ac:dyDescent="0.25">
      <c r="BL840" s="8" t="str">
        <f t="shared" si="55"/>
        <v/>
      </c>
      <c r="BM840" s="6" t="str">
        <f t="shared" ref="BM840:BM903" si="56">IF(ISNUMBER(BL840),INT(BL839/$BN$4)+1,"")</f>
        <v/>
      </c>
      <c r="BN840" s="6" t="str">
        <f t="shared" ref="BN840:BN903" si="57">IF(ISNUMBER(BL840),IF(BM839&lt;&gt;BM840,1,BN839+1),"")</f>
        <v/>
      </c>
    </row>
    <row r="841" spans="64:66" ht="11.25" customHeight="1" x14ac:dyDescent="0.25">
      <c r="BL841" s="8" t="str">
        <f t="shared" si="55"/>
        <v/>
      </c>
      <c r="BM841" s="6" t="str">
        <f t="shared" si="56"/>
        <v/>
      </c>
      <c r="BN841" s="6" t="str">
        <f t="shared" si="57"/>
        <v/>
      </c>
    </row>
    <row r="842" spans="64:66" ht="11.25" customHeight="1" x14ac:dyDescent="0.25">
      <c r="BL842" s="8" t="str">
        <f t="shared" si="55"/>
        <v/>
      </c>
      <c r="BM842" s="6" t="str">
        <f t="shared" si="56"/>
        <v/>
      </c>
      <c r="BN842" s="6" t="str">
        <f t="shared" si="57"/>
        <v/>
      </c>
    </row>
    <row r="843" spans="64:66" ht="11.25" customHeight="1" x14ac:dyDescent="0.25">
      <c r="BL843" s="8" t="str">
        <f t="shared" si="55"/>
        <v/>
      </c>
      <c r="BM843" s="6" t="str">
        <f t="shared" si="56"/>
        <v/>
      </c>
      <c r="BN843" s="6" t="str">
        <f t="shared" si="57"/>
        <v/>
      </c>
    </row>
    <row r="844" spans="64:66" ht="11.25" customHeight="1" x14ac:dyDescent="0.25">
      <c r="BL844" s="8" t="str">
        <f t="shared" si="55"/>
        <v/>
      </c>
      <c r="BM844" s="6" t="str">
        <f t="shared" si="56"/>
        <v/>
      </c>
      <c r="BN844" s="6" t="str">
        <f t="shared" si="57"/>
        <v/>
      </c>
    </row>
    <row r="845" spans="64:66" ht="11.25" customHeight="1" x14ac:dyDescent="0.25">
      <c r="BL845" s="8" t="str">
        <f t="shared" si="55"/>
        <v/>
      </c>
      <c r="BM845" s="6" t="str">
        <f t="shared" si="56"/>
        <v/>
      </c>
      <c r="BN845" s="6" t="str">
        <f t="shared" si="57"/>
        <v/>
      </c>
    </row>
    <row r="846" spans="64:66" ht="11.25" customHeight="1" x14ac:dyDescent="0.25">
      <c r="BL846" s="8" t="str">
        <f t="shared" si="55"/>
        <v/>
      </c>
      <c r="BM846" s="6" t="str">
        <f t="shared" si="56"/>
        <v/>
      </c>
      <c r="BN846" s="6" t="str">
        <f t="shared" si="57"/>
        <v/>
      </c>
    </row>
    <row r="847" spans="64:66" ht="11.25" customHeight="1" x14ac:dyDescent="0.25">
      <c r="BL847" s="8" t="str">
        <f t="shared" si="55"/>
        <v/>
      </c>
      <c r="BM847" s="6" t="str">
        <f t="shared" si="56"/>
        <v/>
      </c>
      <c r="BN847" s="6" t="str">
        <f t="shared" si="57"/>
        <v/>
      </c>
    </row>
    <row r="848" spans="64:66" ht="11.25" customHeight="1" x14ac:dyDescent="0.25">
      <c r="BL848" s="8" t="str">
        <f t="shared" si="55"/>
        <v/>
      </c>
      <c r="BM848" s="6" t="str">
        <f t="shared" si="56"/>
        <v/>
      </c>
      <c r="BN848" s="6" t="str">
        <f t="shared" si="57"/>
        <v/>
      </c>
    </row>
    <row r="849" spans="64:66" ht="11.25" customHeight="1" x14ac:dyDescent="0.25">
      <c r="BL849" s="8" t="str">
        <f t="shared" si="55"/>
        <v/>
      </c>
      <c r="BM849" s="6" t="str">
        <f t="shared" si="56"/>
        <v/>
      </c>
      <c r="BN849" s="6" t="str">
        <f t="shared" si="57"/>
        <v/>
      </c>
    </row>
    <row r="850" spans="64:66" ht="11.25" customHeight="1" x14ac:dyDescent="0.25">
      <c r="BL850" s="8" t="str">
        <f t="shared" si="55"/>
        <v/>
      </c>
      <c r="BM850" s="6" t="str">
        <f t="shared" si="56"/>
        <v/>
      </c>
      <c r="BN850" s="6" t="str">
        <f t="shared" si="57"/>
        <v/>
      </c>
    </row>
    <row r="851" spans="64:66" ht="11.25" customHeight="1" x14ac:dyDescent="0.25">
      <c r="BL851" s="8" t="str">
        <f t="shared" si="55"/>
        <v/>
      </c>
      <c r="BM851" s="6" t="str">
        <f t="shared" si="56"/>
        <v/>
      </c>
      <c r="BN851" s="6" t="str">
        <f t="shared" si="57"/>
        <v/>
      </c>
    </row>
    <row r="852" spans="64:66" ht="11.25" customHeight="1" x14ac:dyDescent="0.25">
      <c r="BL852" s="8" t="str">
        <f t="shared" si="55"/>
        <v/>
      </c>
      <c r="BM852" s="6" t="str">
        <f t="shared" si="56"/>
        <v/>
      </c>
      <c r="BN852" s="6" t="str">
        <f t="shared" si="57"/>
        <v/>
      </c>
    </row>
    <row r="853" spans="64:66" ht="11.25" customHeight="1" x14ac:dyDescent="0.25">
      <c r="BL853" s="8" t="str">
        <f t="shared" si="55"/>
        <v/>
      </c>
      <c r="BM853" s="6" t="str">
        <f t="shared" si="56"/>
        <v/>
      </c>
      <c r="BN853" s="6" t="str">
        <f t="shared" si="57"/>
        <v/>
      </c>
    </row>
    <row r="854" spans="64:66" ht="11.25" customHeight="1" x14ac:dyDescent="0.25">
      <c r="BL854" s="8" t="str">
        <f t="shared" si="55"/>
        <v/>
      </c>
      <c r="BM854" s="6" t="str">
        <f t="shared" si="56"/>
        <v/>
      </c>
      <c r="BN854" s="6" t="str">
        <f t="shared" si="57"/>
        <v/>
      </c>
    </row>
    <row r="855" spans="64:66" ht="11.25" customHeight="1" x14ac:dyDescent="0.25">
      <c r="BL855" s="8" t="str">
        <f t="shared" si="55"/>
        <v/>
      </c>
      <c r="BM855" s="6" t="str">
        <f t="shared" si="56"/>
        <v/>
      </c>
      <c r="BN855" s="6" t="str">
        <f t="shared" si="57"/>
        <v/>
      </c>
    </row>
    <row r="856" spans="64:66" ht="11.25" customHeight="1" x14ac:dyDescent="0.25">
      <c r="BL856" s="8" t="str">
        <f t="shared" si="55"/>
        <v/>
      </c>
      <c r="BM856" s="6" t="str">
        <f t="shared" si="56"/>
        <v/>
      </c>
      <c r="BN856" s="6" t="str">
        <f t="shared" si="57"/>
        <v/>
      </c>
    </row>
    <row r="857" spans="64:66" ht="11.25" customHeight="1" x14ac:dyDescent="0.25">
      <c r="BL857" s="8" t="str">
        <f t="shared" si="55"/>
        <v/>
      </c>
      <c r="BM857" s="6" t="str">
        <f t="shared" si="56"/>
        <v/>
      </c>
      <c r="BN857" s="6" t="str">
        <f t="shared" si="57"/>
        <v/>
      </c>
    </row>
    <row r="858" spans="64:66" ht="11.25" customHeight="1" x14ac:dyDescent="0.25">
      <c r="BL858" s="8" t="str">
        <f t="shared" si="55"/>
        <v/>
      </c>
      <c r="BM858" s="6" t="str">
        <f t="shared" si="56"/>
        <v/>
      </c>
      <c r="BN858" s="6" t="str">
        <f t="shared" si="57"/>
        <v/>
      </c>
    </row>
    <row r="859" spans="64:66" ht="11.25" customHeight="1" x14ac:dyDescent="0.25">
      <c r="BL859" s="8" t="str">
        <f t="shared" si="55"/>
        <v/>
      </c>
      <c r="BM859" s="6" t="str">
        <f t="shared" si="56"/>
        <v/>
      </c>
      <c r="BN859" s="6" t="str">
        <f t="shared" si="57"/>
        <v/>
      </c>
    </row>
    <row r="860" spans="64:66" ht="11.25" customHeight="1" x14ac:dyDescent="0.25">
      <c r="BL860" s="8" t="str">
        <f t="shared" si="55"/>
        <v/>
      </c>
      <c r="BM860" s="6" t="str">
        <f t="shared" si="56"/>
        <v/>
      </c>
      <c r="BN860" s="6" t="str">
        <f t="shared" si="57"/>
        <v/>
      </c>
    </row>
    <row r="861" spans="64:66" ht="11.25" customHeight="1" x14ac:dyDescent="0.25">
      <c r="BL861" s="8" t="str">
        <f t="shared" si="55"/>
        <v/>
      </c>
      <c r="BM861" s="6" t="str">
        <f t="shared" si="56"/>
        <v/>
      </c>
      <c r="BN861" s="6" t="str">
        <f t="shared" si="57"/>
        <v/>
      </c>
    </row>
    <row r="862" spans="64:66" ht="11.25" customHeight="1" x14ac:dyDescent="0.25">
      <c r="BL862" s="8" t="str">
        <f t="shared" si="55"/>
        <v/>
      </c>
      <c r="BM862" s="6" t="str">
        <f t="shared" si="56"/>
        <v/>
      </c>
      <c r="BN862" s="6" t="str">
        <f t="shared" si="57"/>
        <v/>
      </c>
    </row>
    <row r="863" spans="64:66" ht="11.25" customHeight="1" x14ac:dyDescent="0.25">
      <c r="BL863" s="8" t="str">
        <f t="shared" si="55"/>
        <v/>
      </c>
      <c r="BM863" s="6" t="str">
        <f t="shared" si="56"/>
        <v/>
      </c>
      <c r="BN863" s="6" t="str">
        <f t="shared" si="57"/>
        <v/>
      </c>
    </row>
    <row r="864" spans="64:66" ht="11.25" customHeight="1" x14ac:dyDescent="0.25">
      <c r="BL864" s="8" t="str">
        <f t="shared" si="55"/>
        <v/>
      </c>
      <c r="BM864" s="6" t="str">
        <f t="shared" si="56"/>
        <v/>
      </c>
      <c r="BN864" s="6" t="str">
        <f t="shared" si="57"/>
        <v/>
      </c>
    </row>
    <row r="865" spans="64:66" ht="11.25" customHeight="1" x14ac:dyDescent="0.25">
      <c r="BL865" s="8" t="str">
        <f t="shared" si="55"/>
        <v/>
      </c>
      <c r="BM865" s="6" t="str">
        <f t="shared" si="56"/>
        <v/>
      </c>
      <c r="BN865" s="6" t="str">
        <f t="shared" si="57"/>
        <v/>
      </c>
    </row>
    <row r="866" spans="64:66" ht="11.25" customHeight="1" x14ac:dyDescent="0.25">
      <c r="BL866" s="8" t="str">
        <f t="shared" si="55"/>
        <v/>
      </c>
      <c r="BM866" s="6" t="str">
        <f t="shared" si="56"/>
        <v/>
      </c>
      <c r="BN866" s="6" t="str">
        <f t="shared" si="57"/>
        <v/>
      </c>
    </row>
    <row r="867" spans="64:66" ht="11.25" customHeight="1" x14ac:dyDescent="0.25">
      <c r="BL867" s="8" t="str">
        <f t="shared" si="55"/>
        <v/>
      </c>
      <c r="BM867" s="6" t="str">
        <f t="shared" si="56"/>
        <v/>
      </c>
      <c r="BN867" s="6" t="str">
        <f t="shared" si="57"/>
        <v/>
      </c>
    </row>
    <row r="868" spans="64:66" ht="11.25" customHeight="1" x14ac:dyDescent="0.25">
      <c r="BL868" s="8" t="str">
        <f t="shared" si="55"/>
        <v/>
      </c>
      <c r="BM868" s="6" t="str">
        <f t="shared" si="56"/>
        <v/>
      </c>
      <c r="BN868" s="6" t="str">
        <f t="shared" si="57"/>
        <v/>
      </c>
    </row>
    <row r="869" spans="64:66" ht="11.25" customHeight="1" x14ac:dyDescent="0.25">
      <c r="BL869" s="8" t="str">
        <f t="shared" si="55"/>
        <v/>
      </c>
      <c r="BM869" s="6" t="str">
        <f t="shared" si="56"/>
        <v/>
      </c>
      <c r="BN869" s="6" t="str">
        <f t="shared" si="57"/>
        <v/>
      </c>
    </row>
    <row r="870" spans="64:66" ht="11.25" customHeight="1" x14ac:dyDescent="0.25">
      <c r="BL870" s="8" t="str">
        <f t="shared" si="55"/>
        <v/>
      </c>
      <c r="BM870" s="6" t="str">
        <f t="shared" si="56"/>
        <v/>
      </c>
      <c r="BN870" s="6" t="str">
        <f t="shared" si="57"/>
        <v/>
      </c>
    </row>
    <row r="871" spans="64:66" ht="11.25" customHeight="1" x14ac:dyDescent="0.25">
      <c r="BL871" s="8" t="str">
        <f t="shared" si="55"/>
        <v/>
      </c>
      <c r="BM871" s="6" t="str">
        <f t="shared" si="56"/>
        <v/>
      </c>
      <c r="BN871" s="6" t="str">
        <f t="shared" si="57"/>
        <v/>
      </c>
    </row>
    <row r="872" spans="64:66" ht="11.25" customHeight="1" x14ac:dyDescent="0.25">
      <c r="BL872" s="8" t="str">
        <f t="shared" si="55"/>
        <v/>
      </c>
      <c r="BM872" s="6" t="str">
        <f t="shared" si="56"/>
        <v/>
      </c>
      <c r="BN872" s="6" t="str">
        <f t="shared" si="57"/>
        <v/>
      </c>
    </row>
    <row r="873" spans="64:66" ht="11.25" customHeight="1" x14ac:dyDescent="0.25">
      <c r="BL873" s="8" t="str">
        <f t="shared" si="55"/>
        <v/>
      </c>
      <c r="BM873" s="6" t="str">
        <f t="shared" si="56"/>
        <v/>
      </c>
      <c r="BN873" s="6" t="str">
        <f t="shared" si="57"/>
        <v/>
      </c>
    </row>
    <row r="874" spans="64:66" ht="11.25" customHeight="1" x14ac:dyDescent="0.25">
      <c r="BL874" s="8" t="str">
        <f t="shared" si="55"/>
        <v/>
      </c>
      <c r="BM874" s="6" t="str">
        <f t="shared" si="56"/>
        <v/>
      </c>
      <c r="BN874" s="6" t="str">
        <f t="shared" si="57"/>
        <v/>
      </c>
    </row>
    <row r="875" spans="64:66" ht="11.25" customHeight="1" x14ac:dyDescent="0.25">
      <c r="BL875" s="8" t="str">
        <f t="shared" si="55"/>
        <v/>
      </c>
      <c r="BM875" s="6" t="str">
        <f t="shared" si="56"/>
        <v/>
      </c>
      <c r="BN875" s="6" t="str">
        <f t="shared" si="57"/>
        <v/>
      </c>
    </row>
    <row r="876" spans="64:66" ht="11.25" customHeight="1" x14ac:dyDescent="0.25">
      <c r="BL876" s="8" t="str">
        <f t="shared" si="55"/>
        <v/>
      </c>
      <c r="BM876" s="6" t="str">
        <f t="shared" si="56"/>
        <v/>
      </c>
      <c r="BN876" s="6" t="str">
        <f t="shared" si="57"/>
        <v/>
      </c>
    </row>
    <row r="877" spans="64:66" ht="11.25" customHeight="1" x14ac:dyDescent="0.25">
      <c r="BL877" s="8" t="str">
        <f t="shared" si="55"/>
        <v/>
      </c>
      <c r="BM877" s="6" t="str">
        <f t="shared" si="56"/>
        <v/>
      </c>
      <c r="BN877" s="6" t="str">
        <f t="shared" si="57"/>
        <v/>
      </c>
    </row>
    <row r="878" spans="64:66" ht="11.25" customHeight="1" x14ac:dyDescent="0.25">
      <c r="BL878" s="8" t="str">
        <f t="shared" si="55"/>
        <v/>
      </c>
      <c r="BM878" s="6" t="str">
        <f t="shared" si="56"/>
        <v/>
      </c>
      <c r="BN878" s="6" t="str">
        <f t="shared" si="57"/>
        <v/>
      </c>
    </row>
    <row r="879" spans="64:66" ht="11.25" customHeight="1" x14ac:dyDescent="0.25">
      <c r="BL879" s="8" t="str">
        <f t="shared" si="55"/>
        <v/>
      </c>
      <c r="BM879" s="6" t="str">
        <f t="shared" si="56"/>
        <v/>
      </c>
      <c r="BN879" s="6" t="str">
        <f t="shared" si="57"/>
        <v/>
      </c>
    </row>
    <row r="880" spans="64:66" ht="11.25" customHeight="1" x14ac:dyDescent="0.25">
      <c r="BL880" s="8" t="str">
        <f t="shared" si="55"/>
        <v/>
      </c>
      <c r="BM880" s="6" t="str">
        <f t="shared" si="56"/>
        <v/>
      </c>
      <c r="BN880" s="6" t="str">
        <f t="shared" si="57"/>
        <v/>
      </c>
    </row>
    <row r="881" spans="64:66" ht="11.25" customHeight="1" x14ac:dyDescent="0.25">
      <c r="BL881" s="8" t="str">
        <f t="shared" si="55"/>
        <v/>
      </c>
      <c r="BM881" s="6" t="str">
        <f t="shared" si="56"/>
        <v/>
      </c>
      <c r="BN881" s="6" t="str">
        <f t="shared" si="57"/>
        <v/>
      </c>
    </row>
    <row r="882" spans="64:66" ht="11.25" customHeight="1" x14ac:dyDescent="0.25">
      <c r="BL882" s="8" t="str">
        <f t="shared" si="55"/>
        <v/>
      </c>
      <c r="BM882" s="6" t="str">
        <f t="shared" si="56"/>
        <v/>
      </c>
      <c r="BN882" s="6" t="str">
        <f t="shared" si="57"/>
        <v/>
      </c>
    </row>
    <row r="883" spans="64:66" ht="11.25" customHeight="1" x14ac:dyDescent="0.25">
      <c r="BL883" s="8" t="str">
        <f t="shared" si="55"/>
        <v/>
      </c>
      <c r="BM883" s="6" t="str">
        <f t="shared" si="56"/>
        <v/>
      </c>
      <c r="BN883" s="6" t="str">
        <f t="shared" si="57"/>
        <v/>
      </c>
    </row>
    <row r="884" spans="64:66" ht="11.25" customHeight="1" x14ac:dyDescent="0.25">
      <c r="BL884" s="8" t="str">
        <f t="shared" si="55"/>
        <v/>
      </c>
      <c r="BM884" s="6" t="str">
        <f t="shared" si="56"/>
        <v/>
      </c>
      <c r="BN884" s="6" t="str">
        <f t="shared" si="57"/>
        <v/>
      </c>
    </row>
    <row r="885" spans="64:66" ht="11.25" customHeight="1" x14ac:dyDescent="0.25">
      <c r="BL885" s="8" t="str">
        <f t="shared" si="55"/>
        <v/>
      </c>
      <c r="BM885" s="6" t="str">
        <f t="shared" si="56"/>
        <v/>
      </c>
      <c r="BN885" s="6" t="str">
        <f t="shared" si="57"/>
        <v/>
      </c>
    </row>
    <row r="886" spans="64:66" ht="11.25" customHeight="1" x14ac:dyDescent="0.25">
      <c r="BL886" s="8" t="str">
        <f t="shared" si="55"/>
        <v/>
      </c>
      <c r="BM886" s="6" t="str">
        <f t="shared" si="56"/>
        <v/>
      </c>
      <c r="BN886" s="6" t="str">
        <f t="shared" si="57"/>
        <v/>
      </c>
    </row>
    <row r="887" spans="64:66" ht="11.25" customHeight="1" x14ac:dyDescent="0.25">
      <c r="BL887" s="8" t="str">
        <f t="shared" si="55"/>
        <v/>
      </c>
      <c r="BM887" s="6" t="str">
        <f t="shared" si="56"/>
        <v/>
      </c>
      <c r="BN887" s="6" t="str">
        <f t="shared" si="57"/>
        <v/>
      </c>
    </row>
    <row r="888" spans="64:66" ht="11.25" customHeight="1" x14ac:dyDescent="0.25">
      <c r="BL888" s="8" t="str">
        <f t="shared" si="55"/>
        <v/>
      </c>
      <c r="BM888" s="6" t="str">
        <f t="shared" si="56"/>
        <v/>
      </c>
      <c r="BN888" s="6" t="str">
        <f t="shared" si="57"/>
        <v/>
      </c>
    </row>
    <row r="889" spans="64:66" ht="11.25" customHeight="1" x14ac:dyDescent="0.25">
      <c r="BL889" s="8" t="str">
        <f t="shared" si="55"/>
        <v/>
      </c>
      <c r="BM889" s="6" t="str">
        <f t="shared" si="56"/>
        <v/>
      </c>
      <c r="BN889" s="6" t="str">
        <f t="shared" si="57"/>
        <v/>
      </c>
    </row>
    <row r="890" spans="64:66" ht="11.25" customHeight="1" x14ac:dyDescent="0.25">
      <c r="BL890" s="8" t="str">
        <f t="shared" si="55"/>
        <v/>
      </c>
      <c r="BM890" s="6" t="str">
        <f t="shared" si="56"/>
        <v/>
      </c>
      <c r="BN890" s="6" t="str">
        <f t="shared" si="57"/>
        <v/>
      </c>
    </row>
    <row r="891" spans="64:66" ht="11.25" customHeight="1" x14ac:dyDescent="0.25">
      <c r="BL891" s="8" t="str">
        <f t="shared" si="55"/>
        <v/>
      </c>
      <c r="BM891" s="6" t="str">
        <f t="shared" si="56"/>
        <v/>
      </c>
      <c r="BN891" s="6" t="str">
        <f t="shared" si="57"/>
        <v/>
      </c>
    </row>
    <row r="892" spans="64:66" ht="11.25" customHeight="1" x14ac:dyDescent="0.25">
      <c r="BL892" s="8" t="str">
        <f t="shared" si="55"/>
        <v/>
      </c>
      <c r="BM892" s="6" t="str">
        <f t="shared" si="56"/>
        <v/>
      </c>
      <c r="BN892" s="6" t="str">
        <f t="shared" si="57"/>
        <v/>
      </c>
    </row>
    <row r="893" spans="64:66" ht="11.25" customHeight="1" x14ac:dyDescent="0.25">
      <c r="BL893" s="8" t="str">
        <f t="shared" si="55"/>
        <v/>
      </c>
      <c r="BM893" s="6" t="str">
        <f t="shared" si="56"/>
        <v/>
      </c>
      <c r="BN893" s="6" t="str">
        <f t="shared" si="57"/>
        <v/>
      </c>
    </row>
    <row r="894" spans="64:66" ht="11.25" customHeight="1" x14ac:dyDescent="0.25">
      <c r="BL894" s="8" t="str">
        <f t="shared" si="55"/>
        <v/>
      </c>
      <c r="BM894" s="6" t="str">
        <f t="shared" si="56"/>
        <v/>
      </c>
      <c r="BN894" s="6" t="str">
        <f t="shared" si="57"/>
        <v/>
      </c>
    </row>
    <row r="895" spans="64:66" ht="11.25" customHeight="1" x14ac:dyDescent="0.25">
      <c r="BL895" s="8" t="str">
        <f t="shared" si="55"/>
        <v/>
      </c>
      <c r="BM895" s="6" t="str">
        <f t="shared" si="56"/>
        <v/>
      </c>
      <c r="BN895" s="6" t="str">
        <f t="shared" si="57"/>
        <v/>
      </c>
    </row>
    <row r="896" spans="64:66" ht="11.25" customHeight="1" x14ac:dyDescent="0.25">
      <c r="BL896" s="8" t="str">
        <f t="shared" si="55"/>
        <v/>
      </c>
      <c r="BM896" s="6" t="str">
        <f t="shared" si="56"/>
        <v/>
      </c>
      <c r="BN896" s="6" t="str">
        <f t="shared" si="57"/>
        <v/>
      </c>
    </row>
    <row r="897" spans="64:66" ht="11.25" customHeight="1" x14ac:dyDescent="0.25">
      <c r="BL897" s="8" t="str">
        <f t="shared" si="55"/>
        <v/>
      </c>
      <c r="BM897" s="6" t="str">
        <f t="shared" si="56"/>
        <v/>
      </c>
      <c r="BN897" s="6" t="str">
        <f t="shared" si="57"/>
        <v/>
      </c>
    </row>
    <row r="898" spans="64:66" ht="11.25" customHeight="1" x14ac:dyDescent="0.25">
      <c r="BL898" s="8" t="str">
        <f t="shared" si="55"/>
        <v/>
      </c>
      <c r="BM898" s="6" t="str">
        <f t="shared" si="56"/>
        <v/>
      </c>
      <c r="BN898" s="6" t="str">
        <f t="shared" si="57"/>
        <v/>
      </c>
    </row>
    <row r="899" spans="64:66" ht="11.25" customHeight="1" x14ac:dyDescent="0.25">
      <c r="BL899" s="8" t="str">
        <f t="shared" si="55"/>
        <v/>
      </c>
      <c r="BM899" s="6" t="str">
        <f t="shared" si="56"/>
        <v/>
      </c>
      <c r="BN899" s="6" t="str">
        <f t="shared" si="57"/>
        <v/>
      </c>
    </row>
    <row r="900" spans="64:66" ht="11.25" customHeight="1" x14ac:dyDescent="0.25">
      <c r="BL900" s="8" t="str">
        <f t="shared" si="55"/>
        <v/>
      </c>
      <c r="BM900" s="6" t="str">
        <f t="shared" si="56"/>
        <v/>
      </c>
      <c r="BN900" s="6" t="str">
        <f t="shared" si="57"/>
        <v/>
      </c>
    </row>
    <row r="901" spans="64:66" ht="11.25" customHeight="1" x14ac:dyDescent="0.25">
      <c r="BL901" s="8" t="str">
        <f t="shared" si="55"/>
        <v/>
      </c>
      <c r="BM901" s="6" t="str">
        <f t="shared" si="56"/>
        <v/>
      </c>
      <c r="BN901" s="6" t="str">
        <f t="shared" si="57"/>
        <v/>
      </c>
    </row>
    <row r="902" spans="64:66" ht="11.25" customHeight="1" x14ac:dyDescent="0.25">
      <c r="BL902" s="8" t="str">
        <f t="shared" ref="BL902:BL965" si="58">IF(ROW()&lt;=$BL$4,ROW()-ROW(BL$4),"")</f>
        <v/>
      </c>
      <c r="BM902" s="6" t="str">
        <f t="shared" si="56"/>
        <v/>
      </c>
      <c r="BN902" s="6" t="str">
        <f t="shared" si="57"/>
        <v/>
      </c>
    </row>
    <row r="903" spans="64:66" ht="11.25" customHeight="1" x14ac:dyDescent="0.25">
      <c r="BL903" s="8" t="str">
        <f t="shared" si="58"/>
        <v/>
      </c>
      <c r="BM903" s="6" t="str">
        <f t="shared" si="56"/>
        <v/>
      </c>
      <c r="BN903" s="6" t="str">
        <f t="shared" si="57"/>
        <v/>
      </c>
    </row>
    <row r="904" spans="64:66" ht="11.25" customHeight="1" x14ac:dyDescent="0.25">
      <c r="BL904" s="8" t="str">
        <f t="shared" si="58"/>
        <v/>
      </c>
      <c r="BM904" s="6" t="str">
        <f t="shared" ref="BM904:BM967" si="59">IF(ISNUMBER(BL904),INT(BL903/$BN$4)+1,"")</f>
        <v/>
      </c>
      <c r="BN904" s="6" t="str">
        <f t="shared" ref="BN904:BN967" si="60">IF(ISNUMBER(BL904),IF(BM903&lt;&gt;BM904,1,BN903+1),"")</f>
        <v/>
      </c>
    </row>
    <row r="905" spans="64:66" ht="11.25" customHeight="1" x14ac:dyDescent="0.25">
      <c r="BL905" s="8" t="str">
        <f t="shared" si="58"/>
        <v/>
      </c>
      <c r="BM905" s="6" t="str">
        <f t="shared" si="59"/>
        <v/>
      </c>
      <c r="BN905" s="6" t="str">
        <f t="shared" si="60"/>
        <v/>
      </c>
    </row>
    <row r="906" spans="64:66" ht="11.25" customHeight="1" x14ac:dyDescent="0.25">
      <c r="BL906" s="8" t="str">
        <f t="shared" si="58"/>
        <v/>
      </c>
      <c r="BM906" s="6" t="str">
        <f t="shared" si="59"/>
        <v/>
      </c>
      <c r="BN906" s="6" t="str">
        <f t="shared" si="60"/>
        <v/>
      </c>
    </row>
    <row r="907" spans="64:66" ht="11.25" customHeight="1" x14ac:dyDescent="0.25">
      <c r="BL907" s="8" t="str">
        <f t="shared" si="58"/>
        <v/>
      </c>
      <c r="BM907" s="6" t="str">
        <f t="shared" si="59"/>
        <v/>
      </c>
      <c r="BN907" s="6" t="str">
        <f t="shared" si="60"/>
        <v/>
      </c>
    </row>
    <row r="908" spans="64:66" ht="11.25" customHeight="1" x14ac:dyDescent="0.25">
      <c r="BL908" s="8" t="str">
        <f t="shared" si="58"/>
        <v/>
      </c>
      <c r="BM908" s="6" t="str">
        <f t="shared" si="59"/>
        <v/>
      </c>
      <c r="BN908" s="6" t="str">
        <f t="shared" si="60"/>
        <v/>
      </c>
    </row>
    <row r="909" spans="64:66" ht="11.25" customHeight="1" x14ac:dyDescent="0.25">
      <c r="BL909" s="8" t="str">
        <f t="shared" si="58"/>
        <v/>
      </c>
      <c r="BM909" s="6" t="str">
        <f t="shared" si="59"/>
        <v/>
      </c>
      <c r="BN909" s="6" t="str">
        <f t="shared" si="60"/>
        <v/>
      </c>
    </row>
    <row r="910" spans="64:66" ht="11.25" customHeight="1" x14ac:dyDescent="0.25">
      <c r="BL910" s="8" t="str">
        <f t="shared" si="58"/>
        <v/>
      </c>
      <c r="BM910" s="6" t="str">
        <f t="shared" si="59"/>
        <v/>
      </c>
      <c r="BN910" s="6" t="str">
        <f t="shared" si="60"/>
        <v/>
      </c>
    </row>
    <row r="911" spans="64:66" ht="11.25" customHeight="1" x14ac:dyDescent="0.25">
      <c r="BL911" s="8" t="str">
        <f t="shared" si="58"/>
        <v/>
      </c>
      <c r="BM911" s="6" t="str">
        <f t="shared" si="59"/>
        <v/>
      </c>
      <c r="BN911" s="6" t="str">
        <f t="shared" si="60"/>
        <v/>
      </c>
    </row>
    <row r="912" spans="64:66" ht="11.25" customHeight="1" x14ac:dyDescent="0.25">
      <c r="BL912" s="8" t="str">
        <f t="shared" si="58"/>
        <v/>
      </c>
      <c r="BM912" s="6" t="str">
        <f t="shared" si="59"/>
        <v/>
      </c>
      <c r="BN912" s="6" t="str">
        <f t="shared" si="60"/>
        <v/>
      </c>
    </row>
    <row r="913" spans="64:66" ht="11.25" customHeight="1" x14ac:dyDescent="0.25">
      <c r="BL913" s="8" t="str">
        <f t="shared" si="58"/>
        <v/>
      </c>
      <c r="BM913" s="6" t="str">
        <f t="shared" si="59"/>
        <v/>
      </c>
      <c r="BN913" s="6" t="str">
        <f t="shared" si="60"/>
        <v/>
      </c>
    </row>
    <row r="914" spans="64:66" ht="11.25" customHeight="1" x14ac:dyDescent="0.25">
      <c r="BL914" s="8" t="str">
        <f t="shared" si="58"/>
        <v/>
      </c>
      <c r="BM914" s="6" t="str">
        <f t="shared" si="59"/>
        <v/>
      </c>
      <c r="BN914" s="6" t="str">
        <f t="shared" si="60"/>
        <v/>
      </c>
    </row>
    <row r="915" spans="64:66" ht="11.25" customHeight="1" x14ac:dyDescent="0.25">
      <c r="BL915" s="8" t="str">
        <f t="shared" si="58"/>
        <v/>
      </c>
      <c r="BM915" s="6" t="str">
        <f t="shared" si="59"/>
        <v/>
      </c>
      <c r="BN915" s="6" t="str">
        <f t="shared" si="60"/>
        <v/>
      </c>
    </row>
    <row r="916" spans="64:66" ht="11.25" customHeight="1" x14ac:dyDescent="0.25">
      <c r="BL916" s="8" t="str">
        <f t="shared" si="58"/>
        <v/>
      </c>
      <c r="BM916" s="6" t="str">
        <f t="shared" si="59"/>
        <v/>
      </c>
      <c r="BN916" s="6" t="str">
        <f t="shared" si="60"/>
        <v/>
      </c>
    </row>
    <row r="917" spans="64:66" ht="11.25" customHeight="1" x14ac:dyDescent="0.25">
      <c r="BL917" s="8" t="str">
        <f t="shared" si="58"/>
        <v/>
      </c>
      <c r="BM917" s="6" t="str">
        <f t="shared" si="59"/>
        <v/>
      </c>
      <c r="BN917" s="6" t="str">
        <f t="shared" si="60"/>
        <v/>
      </c>
    </row>
    <row r="918" spans="64:66" ht="11.25" customHeight="1" x14ac:dyDescent="0.25">
      <c r="BL918" s="8" t="str">
        <f t="shared" si="58"/>
        <v/>
      </c>
      <c r="BM918" s="6" t="str">
        <f t="shared" si="59"/>
        <v/>
      </c>
      <c r="BN918" s="6" t="str">
        <f t="shared" si="60"/>
        <v/>
      </c>
    </row>
    <row r="919" spans="64:66" ht="11.25" customHeight="1" x14ac:dyDescent="0.25">
      <c r="BL919" s="8" t="str">
        <f t="shared" si="58"/>
        <v/>
      </c>
      <c r="BM919" s="6" t="str">
        <f t="shared" si="59"/>
        <v/>
      </c>
      <c r="BN919" s="6" t="str">
        <f t="shared" si="60"/>
        <v/>
      </c>
    </row>
    <row r="920" spans="64:66" ht="11.25" customHeight="1" x14ac:dyDescent="0.25">
      <c r="BL920" s="8" t="str">
        <f t="shared" si="58"/>
        <v/>
      </c>
      <c r="BM920" s="6" t="str">
        <f t="shared" si="59"/>
        <v/>
      </c>
      <c r="BN920" s="6" t="str">
        <f t="shared" si="60"/>
        <v/>
      </c>
    </row>
    <row r="921" spans="64:66" ht="11.25" customHeight="1" x14ac:dyDescent="0.25">
      <c r="BL921" s="8" t="str">
        <f t="shared" si="58"/>
        <v/>
      </c>
      <c r="BM921" s="6" t="str">
        <f t="shared" si="59"/>
        <v/>
      </c>
      <c r="BN921" s="6" t="str">
        <f t="shared" si="60"/>
        <v/>
      </c>
    </row>
    <row r="922" spans="64:66" ht="11.25" customHeight="1" x14ac:dyDescent="0.25">
      <c r="BL922" s="8" t="str">
        <f t="shared" si="58"/>
        <v/>
      </c>
      <c r="BM922" s="6" t="str">
        <f t="shared" si="59"/>
        <v/>
      </c>
      <c r="BN922" s="6" t="str">
        <f t="shared" si="60"/>
        <v/>
      </c>
    </row>
    <row r="923" spans="64:66" ht="11.25" customHeight="1" x14ac:dyDescent="0.25">
      <c r="BL923" s="8" t="str">
        <f t="shared" si="58"/>
        <v/>
      </c>
      <c r="BM923" s="6" t="str">
        <f t="shared" si="59"/>
        <v/>
      </c>
      <c r="BN923" s="6" t="str">
        <f t="shared" si="60"/>
        <v/>
      </c>
    </row>
    <row r="924" spans="64:66" ht="11.25" customHeight="1" x14ac:dyDescent="0.25">
      <c r="BL924" s="8" t="str">
        <f t="shared" si="58"/>
        <v/>
      </c>
      <c r="BM924" s="6" t="str">
        <f t="shared" si="59"/>
        <v/>
      </c>
      <c r="BN924" s="6" t="str">
        <f t="shared" si="60"/>
        <v/>
      </c>
    </row>
    <row r="925" spans="64:66" ht="11.25" customHeight="1" x14ac:dyDescent="0.25">
      <c r="BL925" s="8" t="str">
        <f t="shared" si="58"/>
        <v/>
      </c>
      <c r="BM925" s="6" t="str">
        <f t="shared" si="59"/>
        <v/>
      </c>
      <c r="BN925" s="6" t="str">
        <f t="shared" si="60"/>
        <v/>
      </c>
    </row>
    <row r="926" spans="64:66" ht="11.25" customHeight="1" x14ac:dyDescent="0.25">
      <c r="BL926" s="8" t="str">
        <f t="shared" si="58"/>
        <v/>
      </c>
      <c r="BM926" s="6" t="str">
        <f t="shared" si="59"/>
        <v/>
      </c>
      <c r="BN926" s="6" t="str">
        <f t="shared" si="60"/>
        <v/>
      </c>
    </row>
    <row r="927" spans="64:66" ht="11.25" customHeight="1" x14ac:dyDescent="0.25">
      <c r="BL927" s="8" t="str">
        <f t="shared" si="58"/>
        <v/>
      </c>
      <c r="BM927" s="6" t="str">
        <f t="shared" si="59"/>
        <v/>
      </c>
      <c r="BN927" s="6" t="str">
        <f t="shared" si="60"/>
        <v/>
      </c>
    </row>
    <row r="928" spans="64:66" ht="11.25" customHeight="1" x14ac:dyDescent="0.25">
      <c r="BL928" s="8" t="str">
        <f t="shared" si="58"/>
        <v/>
      </c>
      <c r="BM928" s="6" t="str">
        <f t="shared" si="59"/>
        <v/>
      </c>
      <c r="BN928" s="6" t="str">
        <f t="shared" si="60"/>
        <v/>
      </c>
    </row>
    <row r="929" spans="64:66" ht="11.25" customHeight="1" x14ac:dyDescent="0.25">
      <c r="BL929" s="8" t="str">
        <f t="shared" si="58"/>
        <v/>
      </c>
      <c r="BM929" s="6" t="str">
        <f t="shared" si="59"/>
        <v/>
      </c>
      <c r="BN929" s="6" t="str">
        <f t="shared" si="60"/>
        <v/>
      </c>
    </row>
    <row r="930" spans="64:66" ht="11.25" customHeight="1" x14ac:dyDescent="0.25">
      <c r="BL930" s="8" t="str">
        <f t="shared" si="58"/>
        <v/>
      </c>
      <c r="BM930" s="6" t="str">
        <f t="shared" si="59"/>
        <v/>
      </c>
      <c r="BN930" s="6" t="str">
        <f t="shared" si="60"/>
        <v/>
      </c>
    </row>
    <row r="931" spans="64:66" ht="11.25" customHeight="1" x14ac:dyDescent="0.25">
      <c r="BL931" s="8" t="str">
        <f t="shared" si="58"/>
        <v/>
      </c>
      <c r="BM931" s="6" t="str">
        <f t="shared" si="59"/>
        <v/>
      </c>
      <c r="BN931" s="6" t="str">
        <f t="shared" si="60"/>
        <v/>
      </c>
    </row>
    <row r="932" spans="64:66" ht="11.25" customHeight="1" x14ac:dyDescent="0.25">
      <c r="BL932" s="8" t="str">
        <f t="shared" si="58"/>
        <v/>
      </c>
      <c r="BM932" s="6" t="str">
        <f t="shared" si="59"/>
        <v/>
      </c>
      <c r="BN932" s="6" t="str">
        <f t="shared" si="60"/>
        <v/>
      </c>
    </row>
    <row r="933" spans="64:66" ht="11.25" customHeight="1" x14ac:dyDescent="0.25">
      <c r="BL933" s="8" t="str">
        <f t="shared" si="58"/>
        <v/>
      </c>
      <c r="BM933" s="6" t="str">
        <f t="shared" si="59"/>
        <v/>
      </c>
      <c r="BN933" s="6" t="str">
        <f t="shared" si="60"/>
        <v/>
      </c>
    </row>
    <row r="934" spans="64:66" ht="11.25" customHeight="1" x14ac:dyDescent="0.25">
      <c r="BL934" s="8" t="str">
        <f t="shared" si="58"/>
        <v/>
      </c>
      <c r="BM934" s="6" t="str">
        <f t="shared" si="59"/>
        <v/>
      </c>
      <c r="BN934" s="6" t="str">
        <f t="shared" si="60"/>
        <v/>
      </c>
    </row>
    <row r="935" spans="64:66" ht="11.25" customHeight="1" x14ac:dyDescent="0.25">
      <c r="BL935" s="8" t="str">
        <f t="shared" si="58"/>
        <v/>
      </c>
      <c r="BM935" s="6" t="str">
        <f t="shared" si="59"/>
        <v/>
      </c>
      <c r="BN935" s="6" t="str">
        <f t="shared" si="60"/>
        <v/>
      </c>
    </row>
    <row r="936" spans="64:66" ht="11.25" customHeight="1" x14ac:dyDescent="0.25">
      <c r="BL936" s="8" t="str">
        <f t="shared" si="58"/>
        <v/>
      </c>
      <c r="BM936" s="6" t="str">
        <f t="shared" si="59"/>
        <v/>
      </c>
      <c r="BN936" s="6" t="str">
        <f t="shared" si="60"/>
        <v/>
      </c>
    </row>
    <row r="937" spans="64:66" ht="11.25" customHeight="1" x14ac:dyDescent="0.25">
      <c r="BL937" s="8" t="str">
        <f t="shared" si="58"/>
        <v/>
      </c>
      <c r="BM937" s="6" t="str">
        <f t="shared" si="59"/>
        <v/>
      </c>
      <c r="BN937" s="6" t="str">
        <f t="shared" si="60"/>
        <v/>
      </c>
    </row>
    <row r="938" spans="64:66" ht="11.25" customHeight="1" x14ac:dyDescent="0.25">
      <c r="BL938" s="8" t="str">
        <f t="shared" si="58"/>
        <v/>
      </c>
      <c r="BM938" s="6" t="str">
        <f t="shared" si="59"/>
        <v/>
      </c>
      <c r="BN938" s="6" t="str">
        <f t="shared" si="60"/>
        <v/>
      </c>
    </row>
    <row r="939" spans="64:66" ht="11.25" customHeight="1" x14ac:dyDescent="0.25">
      <c r="BL939" s="8" t="str">
        <f t="shared" si="58"/>
        <v/>
      </c>
      <c r="BM939" s="6" t="str">
        <f t="shared" si="59"/>
        <v/>
      </c>
      <c r="BN939" s="6" t="str">
        <f t="shared" si="60"/>
        <v/>
      </c>
    </row>
    <row r="940" spans="64:66" ht="11.25" customHeight="1" x14ac:dyDescent="0.25">
      <c r="BL940" s="8" t="str">
        <f t="shared" si="58"/>
        <v/>
      </c>
      <c r="BM940" s="6" t="str">
        <f t="shared" si="59"/>
        <v/>
      </c>
      <c r="BN940" s="6" t="str">
        <f t="shared" si="60"/>
        <v/>
      </c>
    </row>
    <row r="941" spans="64:66" ht="11.25" customHeight="1" x14ac:dyDescent="0.25">
      <c r="BL941" s="8" t="str">
        <f t="shared" si="58"/>
        <v/>
      </c>
      <c r="BM941" s="6" t="str">
        <f t="shared" si="59"/>
        <v/>
      </c>
      <c r="BN941" s="6" t="str">
        <f t="shared" si="60"/>
        <v/>
      </c>
    </row>
    <row r="942" spans="64:66" ht="11.25" customHeight="1" x14ac:dyDescent="0.25">
      <c r="BL942" s="8" t="str">
        <f t="shared" si="58"/>
        <v/>
      </c>
      <c r="BM942" s="6" t="str">
        <f t="shared" si="59"/>
        <v/>
      </c>
      <c r="BN942" s="6" t="str">
        <f t="shared" si="60"/>
        <v/>
      </c>
    </row>
    <row r="943" spans="64:66" ht="11.25" customHeight="1" x14ac:dyDescent="0.25">
      <c r="BL943" s="8" t="str">
        <f t="shared" si="58"/>
        <v/>
      </c>
      <c r="BM943" s="6" t="str">
        <f t="shared" si="59"/>
        <v/>
      </c>
      <c r="BN943" s="6" t="str">
        <f t="shared" si="60"/>
        <v/>
      </c>
    </row>
    <row r="944" spans="64:66" ht="11.25" customHeight="1" x14ac:dyDescent="0.25">
      <c r="BL944" s="8" t="str">
        <f t="shared" si="58"/>
        <v/>
      </c>
      <c r="BM944" s="6" t="str">
        <f t="shared" si="59"/>
        <v/>
      </c>
      <c r="BN944" s="6" t="str">
        <f t="shared" si="60"/>
        <v/>
      </c>
    </row>
    <row r="945" spans="64:66" ht="11.25" customHeight="1" x14ac:dyDescent="0.25">
      <c r="BL945" s="8" t="str">
        <f t="shared" si="58"/>
        <v/>
      </c>
      <c r="BM945" s="6" t="str">
        <f t="shared" si="59"/>
        <v/>
      </c>
      <c r="BN945" s="6" t="str">
        <f t="shared" si="60"/>
        <v/>
      </c>
    </row>
    <row r="946" spans="64:66" ht="11.25" customHeight="1" x14ac:dyDescent="0.25">
      <c r="BL946" s="8" t="str">
        <f t="shared" si="58"/>
        <v/>
      </c>
      <c r="BM946" s="6" t="str">
        <f t="shared" si="59"/>
        <v/>
      </c>
      <c r="BN946" s="6" t="str">
        <f t="shared" si="60"/>
        <v/>
      </c>
    </row>
    <row r="947" spans="64:66" ht="11.25" customHeight="1" x14ac:dyDescent="0.25">
      <c r="BL947" s="8" t="str">
        <f t="shared" si="58"/>
        <v/>
      </c>
      <c r="BM947" s="6" t="str">
        <f t="shared" si="59"/>
        <v/>
      </c>
      <c r="BN947" s="6" t="str">
        <f t="shared" si="60"/>
        <v/>
      </c>
    </row>
    <row r="948" spans="64:66" ht="11.25" customHeight="1" x14ac:dyDescent="0.25">
      <c r="BL948" s="8" t="str">
        <f t="shared" si="58"/>
        <v/>
      </c>
      <c r="BM948" s="6" t="str">
        <f t="shared" si="59"/>
        <v/>
      </c>
      <c r="BN948" s="6" t="str">
        <f t="shared" si="60"/>
        <v/>
      </c>
    </row>
    <row r="949" spans="64:66" ht="11.25" customHeight="1" x14ac:dyDescent="0.25">
      <c r="BL949" s="8" t="str">
        <f t="shared" si="58"/>
        <v/>
      </c>
      <c r="BM949" s="6" t="str">
        <f t="shared" si="59"/>
        <v/>
      </c>
      <c r="BN949" s="6" t="str">
        <f t="shared" si="60"/>
        <v/>
      </c>
    </row>
    <row r="950" spans="64:66" ht="11.25" customHeight="1" x14ac:dyDescent="0.25">
      <c r="BL950" s="8" t="str">
        <f t="shared" si="58"/>
        <v/>
      </c>
      <c r="BM950" s="6" t="str">
        <f t="shared" si="59"/>
        <v/>
      </c>
      <c r="BN950" s="6" t="str">
        <f t="shared" si="60"/>
        <v/>
      </c>
    </row>
    <row r="951" spans="64:66" ht="11.25" customHeight="1" x14ac:dyDescent="0.25">
      <c r="BL951" s="8" t="str">
        <f t="shared" si="58"/>
        <v/>
      </c>
      <c r="BM951" s="6" t="str">
        <f t="shared" si="59"/>
        <v/>
      </c>
      <c r="BN951" s="6" t="str">
        <f t="shared" si="60"/>
        <v/>
      </c>
    </row>
    <row r="952" spans="64:66" ht="11.25" customHeight="1" x14ac:dyDescent="0.25">
      <c r="BL952" s="8" t="str">
        <f t="shared" si="58"/>
        <v/>
      </c>
      <c r="BM952" s="6" t="str">
        <f t="shared" si="59"/>
        <v/>
      </c>
      <c r="BN952" s="6" t="str">
        <f t="shared" si="60"/>
        <v/>
      </c>
    </row>
    <row r="953" spans="64:66" ht="11.25" customHeight="1" x14ac:dyDescent="0.25">
      <c r="BL953" s="8" t="str">
        <f t="shared" si="58"/>
        <v/>
      </c>
      <c r="BM953" s="6" t="str">
        <f t="shared" si="59"/>
        <v/>
      </c>
      <c r="BN953" s="6" t="str">
        <f t="shared" si="60"/>
        <v/>
      </c>
    </row>
    <row r="954" spans="64:66" ht="11.25" customHeight="1" x14ac:dyDescent="0.25">
      <c r="BL954" s="8" t="str">
        <f t="shared" si="58"/>
        <v/>
      </c>
      <c r="BM954" s="6" t="str">
        <f t="shared" si="59"/>
        <v/>
      </c>
      <c r="BN954" s="6" t="str">
        <f t="shared" si="60"/>
        <v/>
      </c>
    </row>
    <row r="955" spans="64:66" ht="11.25" customHeight="1" x14ac:dyDescent="0.25">
      <c r="BL955" s="8" t="str">
        <f t="shared" si="58"/>
        <v/>
      </c>
      <c r="BM955" s="6" t="str">
        <f t="shared" si="59"/>
        <v/>
      </c>
      <c r="BN955" s="6" t="str">
        <f t="shared" si="60"/>
        <v/>
      </c>
    </row>
    <row r="956" spans="64:66" ht="11.25" customHeight="1" x14ac:dyDescent="0.25">
      <c r="BL956" s="8" t="str">
        <f t="shared" si="58"/>
        <v/>
      </c>
      <c r="BM956" s="6" t="str">
        <f t="shared" si="59"/>
        <v/>
      </c>
      <c r="BN956" s="6" t="str">
        <f t="shared" si="60"/>
        <v/>
      </c>
    </row>
    <row r="957" spans="64:66" ht="11.25" customHeight="1" x14ac:dyDescent="0.25">
      <c r="BL957" s="8" t="str">
        <f t="shared" si="58"/>
        <v/>
      </c>
      <c r="BM957" s="6" t="str">
        <f t="shared" si="59"/>
        <v/>
      </c>
      <c r="BN957" s="6" t="str">
        <f t="shared" si="60"/>
        <v/>
      </c>
    </row>
    <row r="958" spans="64:66" ht="11.25" customHeight="1" x14ac:dyDescent="0.25">
      <c r="BL958" s="8" t="str">
        <f t="shared" si="58"/>
        <v/>
      </c>
      <c r="BM958" s="6" t="str">
        <f t="shared" si="59"/>
        <v/>
      </c>
      <c r="BN958" s="6" t="str">
        <f t="shared" si="60"/>
        <v/>
      </c>
    </row>
    <row r="959" spans="64:66" ht="11.25" customHeight="1" x14ac:dyDescent="0.25">
      <c r="BL959" s="8" t="str">
        <f t="shared" si="58"/>
        <v/>
      </c>
      <c r="BM959" s="6" t="str">
        <f t="shared" si="59"/>
        <v/>
      </c>
      <c r="BN959" s="6" t="str">
        <f t="shared" si="60"/>
        <v/>
      </c>
    </row>
    <row r="960" spans="64:66" ht="11.25" customHeight="1" x14ac:dyDescent="0.25">
      <c r="BL960" s="8" t="str">
        <f t="shared" si="58"/>
        <v/>
      </c>
      <c r="BM960" s="6" t="str">
        <f t="shared" si="59"/>
        <v/>
      </c>
      <c r="BN960" s="6" t="str">
        <f t="shared" si="60"/>
        <v/>
      </c>
    </row>
    <row r="961" spans="64:66" ht="11.25" customHeight="1" x14ac:dyDescent="0.25">
      <c r="BL961" s="8" t="str">
        <f t="shared" si="58"/>
        <v/>
      </c>
      <c r="BM961" s="6" t="str">
        <f t="shared" si="59"/>
        <v/>
      </c>
      <c r="BN961" s="6" t="str">
        <f t="shared" si="60"/>
        <v/>
      </c>
    </row>
    <row r="962" spans="64:66" ht="11.25" customHeight="1" x14ac:dyDescent="0.25">
      <c r="BL962" s="8" t="str">
        <f t="shared" si="58"/>
        <v/>
      </c>
      <c r="BM962" s="6" t="str">
        <f t="shared" si="59"/>
        <v/>
      </c>
      <c r="BN962" s="6" t="str">
        <f t="shared" si="60"/>
        <v/>
      </c>
    </row>
    <row r="963" spans="64:66" ht="11.25" customHeight="1" x14ac:dyDescent="0.25">
      <c r="BL963" s="8" t="str">
        <f t="shared" si="58"/>
        <v/>
      </c>
      <c r="BM963" s="6" t="str">
        <f t="shared" si="59"/>
        <v/>
      </c>
      <c r="BN963" s="6" t="str">
        <f t="shared" si="60"/>
        <v/>
      </c>
    </row>
    <row r="964" spans="64:66" ht="11.25" customHeight="1" x14ac:dyDescent="0.25">
      <c r="BL964" s="8" t="str">
        <f t="shared" si="58"/>
        <v/>
      </c>
      <c r="BM964" s="6" t="str">
        <f t="shared" si="59"/>
        <v/>
      </c>
      <c r="BN964" s="6" t="str">
        <f t="shared" si="60"/>
        <v/>
      </c>
    </row>
    <row r="965" spans="64:66" ht="11.25" customHeight="1" x14ac:dyDescent="0.25">
      <c r="BL965" s="8" t="str">
        <f t="shared" si="58"/>
        <v/>
      </c>
      <c r="BM965" s="6" t="str">
        <f t="shared" si="59"/>
        <v/>
      </c>
      <c r="BN965" s="6" t="str">
        <f t="shared" si="60"/>
        <v/>
      </c>
    </row>
    <row r="966" spans="64:66" ht="11.25" customHeight="1" x14ac:dyDescent="0.25">
      <c r="BL966" s="8" t="str">
        <f t="shared" ref="BL966:BL1029" si="61">IF(ROW()&lt;=$BL$4,ROW()-ROW(BL$4),"")</f>
        <v/>
      </c>
      <c r="BM966" s="6" t="str">
        <f t="shared" si="59"/>
        <v/>
      </c>
      <c r="BN966" s="6" t="str">
        <f t="shared" si="60"/>
        <v/>
      </c>
    </row>
    <row r="967" spans="64:66" ht="11.25" customHeight="1" x14ac:dyDescent="0.25">
      <c r="BL967" s="8" t="str">
        <f t="shared" si="61"/>
        <v/>
      </c>
      <c r="BM967" s="6" t="str">
        <f t="shared" si="59"/>
        <v/>
      </c>
      <c r="BN967" s="6" t="str">
        <f t="shared" si="60"/>
        <v/>
      </c>
    </row>
    <row r="968" spans="64:66" ht="11.25" customHeight="1" x14ac:dyDescent="0.25">
      <c r="BL968" s="8" t="str">
        <f t="shared" si="61"/>
        <v/>
      </c>
      <c r="BM968" s="6" t="str">
        <f t="shared" ref="BM968:BM1031" si="62">IF(ISNUMBER(BL968),INT(BL967/$BN$4)+1,"")</f>
        <v/>
      </c>
      <c r="BN968" s="6" t="str">
        <f t="shared" ref="BN968:BN1031" si="63">IF(ISNUMBER(BL968),IF(BM967&lt;&gt;BM968,1,BN967+1),"")</f>
        <v/>
      </c>
    </row>
    <row r="969" spans="64:66" ht="11.25" customHeight="1" x14ac:dyDescent="0.25">
      <c r="BL969" s="8" t="str">
        <f t="shared" si="61"/>
        <v/>
      </c>
      <c r="BM969" s="6" t="str">
        <f t="shared" si="62"/>
        <v/>
      </c>
      <c r="BN969" s="6" t="str">
        <f t="shared" si="63"/>
        <v/>
      </c>
    </row>
    <row r="970" spans="64:66" ht="11.25" customHeight="1" x14ac:dyDescent="0.25">
      <c r="BL970" s="8" t="str">
        <f t="shared" si="61"/>
        <v/>
      </c>
      <c r="BM970" s="6" t="str">
        <f t="shared" si="62"/>
        <v/>
      </c>
      <c r="BN970" s="6" t="str">
        <f t="shared" si="63"/>
        <v/>
      </c>
    </row>
    <row r="971" spans="64:66" ht="11.25" customHeight="1" x14ac:dyDescent="0.25">
      <c r="BL971" s="8" t="str">
        <f t="shared" si="61"/>
        <v/>
      </c>
      <c r="BM971" s="6" t="str">
        <f t="shared" si="62"/>
        <v/>
      </c>
      <c r="BN971" s="6" t="str">
        <f t="shared" si="63"/>
        <v/>
      </c>
    </row>
    <row r="972" spans="64:66" ht="11.25" customHeight="1" x14ac:dyDescent="0.25">
      <c r="BL972" s="8" t="str">
        <f t="shared" si="61"/>
        <v/>
      </c>
      <c r="BM972" s="6" t="str">
        <f t="shared" si="62"/>
        <v/>
      </c>
      <c r="BN972" s="6" t="str">
        <f t="shared" si="63"/>
        <v/>
      </c>
    </row>
    <row r="973" spans="64:66" ht="11.25" customHeight="1" x14ac:dyDescent="0.25">
      <c r="BL973" s="8" t="str">
        <f t="shared" si="61"/>
        <v/>
      </c>
      <c r="BM973" s="6" t="str">
        <f t="shared" si="62"/>
        <v/>
      </c>
      <c r="BN973" s="6" t="str">
        <f t="shared" si="63"/>
        <v/>
      </c>
    </row>
    <row r="974" spans="64:66" ht="11.25" customHeight="1" x14ac:dyDescent="0.25">
      <c r="BL974" s="8" t="str">
        <f t="shared" si="61"/>
        <v/>
      </c>
      <c r="BM974" s="6" t="str">
        <f t="shared" si="62"/>
        <v/>
      </c>
      <c r="BN974" s="6" t="str">
        <f t="shared" si="63"/>
        <v/>
      </c>
    </row>
    <row r="975" spans="64:66" ht="11.25" customHeight="1" x14ac:dyDescent="0.25">
      <c r="BL975" s="8" t="str">
        <f t="shared" si="61"/>
        <v/>
      </c>
      <c r="BM975" s="6" t="str">
        <f t="shared" si="62"/>
        <v/>
      </c>
      <c r="BN975" s="6" t="str">
        <f t="shared" si="63"/>
        <v/>
      </c>
    </row>
    <row r="976" spans="64:66" ht="11.25" customHeight="1" x14ac:dyDescent="0.25">
      <c r="BL976" s="8" t="str">
        <f t="shared" si="61"/>
        <v/>
      </c>
      <c r="BM976" s="6" t="str">
        <f t="shared" si="62"/>
        <v/>
      </c>
      <c r="BN976" s="6" t="str">
        <f t="shared" si="63"/>
        <v/>
      </c>
    </row>
    <row r="977" spans="64:66" ht="11.25" customHeight="1" x14ac:dyDescent="0.25">
      <c r="BL977" s="8" t="str">
        <f t="shared" si="61"/>
        <v/>
      </c>
      <c r="BM977" s="6" t="str">
        <f t="shared" si="62"/>
        <v/>
      </c>
      <c r="BN977" s="6" t="str">
        <f t="shared" si="63"/>
        <v/>
      </c>
    </row>
    <row r="978" spans="64:66" ht="11.25" customHeight="1" x14ac:dyDescent="0.25">
      <c r="BL978" s="8" t="str">
        <f t="shared" si="61"/>
        <v/>
      </c>
      <c r="BM978" s="6" t="str">
        <f t="shared" si="62"/>
        <v/>
      </c>
      <c r="BN978" s="6" t="str">
        <f t="shared" si="63"/>
        <v/>
      </c>
    </row>
    <row r="979" spans="64:66" ht="11.25" customHeight="1" x14ac:dyDescent="0.25">
      <c r="BL979" s="8" t="str">
        <f t="shared" si="61"/>
        <v/>
      </c>
      <c r="BM979" s="6" t="str">
        <f t="shared" si="62"/>
        <v/>
      </c>
      <c r="BN979" s="6" t="str">
        <f t="shared" si="63"/>
        <v/>
      </c>
    </row>
    <row r="980" spans="64:66" ht="11.25" customHeight="1" x14ac:dyDescent="0.25">
      <c r="BL980" s="8" t="str">
        <f t="shared" si="61"/>
        <v/>
      </c>
      <c r="BM980" s="6" t="str">
        <f t="shared" si="62"/>
        <v/>
      </c>
      <c r="BN980" s="6" t="str">
        <f t="shared" si="63"/>
        <v/>
      </c>
    </row>
    <row r="981" spans="64:66" ht="11.25" customHeight="1" x14ac:dyDescent="0.25">
      <c r="BL981" s="8" t="str">
        <f t="shared" si="61"/>
        <v/>
      </c>
      <c r="BM981" s="6" t="str">
        <f t="shared" si="62"/>
        <v/>
      </c>
      <c r="BN981" s="6" t="str">
        <f t="shared" si="63"/>
        <v/>
      </c>
    </row>
    <row r="982" spans="64:66" ht="11.25" customHeight="1" x14ac:dyDescent="0.25">
      <c r="BL982" s="8" t="str">
        <f t="shared" si="61"/>
        <v/>
      </c>
      <c r="BM982" s="6" t="str">
        <f t="shared" si="62"/>
        <v/>
      </c>
      <c r="BN982" s="6" t="str">
        <f t="shared" si="63"/>
        <v/>
      </c>
    </row>
    <row r="983" spans="64:66" ht="11.25" customHeight="1" x14ac:dyDescent="0.25">
      <c r="BL983" s="8" t="str">
        <f t="shared" si="61"/>
        <v/>
      </c>
      <c r="BM983" s="6" t="str">
        <f t="shared" si="62"/>
        <v/>
      </c>
      <c r="BN983" s="6" t="str">
        <f t="shared" si="63"/>
        <v/>
      </c>
    </row>
    <row r="984" spans="64:66" ht="11.25" customHeight="1" x14ac:dyDescent="0.25">
      <c r="BL984" s="8" t="str">
        <f t="shared" si="61"/>
        <v/>
      </c>
      <c r="BM984" s="6" t="str">
        <f t="shared" si="62"/>
        <v/>
      </c>
      <c r="BN984" s="6" t="str">
        <f t="shared" si="63"/>
        <v/>
      </c>
    </row>
    <row r="985" spans="64:66" ht="11.25" customHeight="1" x14ac:dyDescent="0.25">
      <c r="BL985" s="8" t="str">
        <f t="shared" si="61"/>
        <v/>
      </c>
      <c r="BM985" s="6" t="str">
        <f t="shared" si="62"/>
        <v/>
      </c>
      <c r="BN985" s="6" t="str">
        <f t="shared" si="63"/>
        <v/>
      </c>
    </row>
    <row r="986" spans="64:66" ht="11.25" customHeight="1" x14ac:dyDescent="0.25">
      <c r="BL986" s="8" t="str">
        <f t="shared" si="61"/>
        <v/>
      </c>
      <c r="BM986" s="6" t="str">
        <f t="shared" si="62"/>
        <v/>
      </c>
      <c r="BN986" s="6" t="str">
        <f t="shared" si="63"/>
        <v/>
      </c>
    </row>
    <row r="987" spans="64:66" ht="11.25" customHeight="1" x14ac:dyDescent="0.25">
      <c r="BL987" s="8" t="str">
        <f t="shared" si="61"/>
        <v/>
      </c>
      <c r="BM987" s="6" t="str">
        <f t="shared" si="62"/>
        <v/>
      </c>
      <c r="BN987" s="6" t="str">
        <f t="shared" si="63"/>
        <v/>
      </c>
    </row>
    <row r="988" spans="64:66" ht="11.25" customHeight="1" x14ac:dyDescent="0.25">
      <c r="BL988" s="8" t="str">
        <f t="shared" si="61"/>
        <v/>
      </c>
      <c r="BM988" s="6" t="str">
        <f t="shared" si="62"/>
        <v/>
      </c>
      <c r="BN988" s="6" t="str">
        <f t="shared" si="63"/>
        <v/>
      </c>
    </row>
    <row r="989" spans="64:66" ht="11.25" customHeight="1" x14ac:dyDescent="0.25">
      <c r="BL989" s="8" t="str">
        <f t="shared" si="61"/>
        <v/>
      </c>
      <c r="BM989" s="6" t="str">
        <f t="shared" si="62"/>
        <v/>
      </c>
      <c r="BN989" s="6" t="str">
        <f t="shared" si="63"/>
        <v/>
      </c>
    </row>
    <row r="990" spans="64:66" ht="11.25" customHeight="1" x14ac:dyDescent="0.25">
      <c r="BL990" s="8" t="str">
        <f t="shared" si="61"/>
        <v/>
      </c>
      <c r="BM990" s="6" t="str">
        <f t="shared" si="62"/>
        <v/>
      </c>
      <c r="BN990" s="6" t="str">
        <f t="shared" si="63"/>
        <v/>
      </c>
    </row>
    <row r="991" spans="64:66" ht="11.25" customHeight="1" x14ac:dyDescent="0.25">
      <c r="BL991" s="8" t="str">
        <f t="shared" si="61"/>
        <v/>
      </c>
      <c r="BM991" s="6" t="str">
        <f t="shared" si="62"/>
        <v/>
      </c>
      <c r="BN991" s="6" t="str">
        <f t="shared" si="63"/>
        <v/>
      </c>
    </row>
    <row r="992" spans="64:66" ht="11.25" customHeight="1" x14ac:dyDescent="0.25">
      <c r="BL992" s="8" t="str">
        <f t="shared" si="61"/>
        <v/>
      </c>
      <c r="BM992" s="6" t="str">
        <f t="shared" si="62"/>
        <v/>
      </c>
      <c r="BN992" s="6" t="str">
        <f t="shared" si="63"/>
        <v/>
      </c>
    </row>
    <row r="993" spans="64:66" ht="11.25" customHeight="1" x14ac:dyDescent="0.25">
      <c r="BL993" s="8" t="str">
        <f t="shared" si="61"/>
        <v/>
      </c>
      <c r="BM993" s="6" t="str">
        <f t="shared" si="62"/>
        <v/>
      </c>
      <c r="BN993" s="6" t="str">
        <f t="shared" si="63"/>
        <v/>
      </c>
    </row>
    <row r="994" spans="64:66" ht="11.25" customHeight="1" x14ac:dyDescent="0.25">
      <c r="BL994" s="8" t="str">
        <f t="shared" si="61"/>
        <v/>
      </c>
      <c r="BM994" s="6" t="str">
        <f t="shared" si="62"/>
        <v/>
      </c>
      <c r="BN994" s="6" t="str">
        <f t="shared" si="63"/>
        <v/>
      </c>
    </row>
    <row r="995" spans="64:66" ht="11.25" customHeight="1" x14ac:dyDescent="0.25">
      <c r="BL995" s="8" t="str">
        <f t="shared" si="61"/>
        <v/>
      </c>
      <c r="BM995" s="6" t="str">
        <f t="shared" si="62"/>
        <v/>
      </c>
      <c r="BN995" s="6" t="str">
        <f t="shared" si="63"/>
        <v/>
      </c>
    </row>
    <row r="996" spans="64:66" ht="11.25" customHeight="1" x14ac:dyDescent="0.25">
      <c r="BL996" s="8" t="str">
        <f t="shared" si="61"/>
        <v/>
      </c>
      <c r="BM996" s="6" t="str">
        <f t="shared" si="62"/>
        <v/>
      </c>
      <c r="BN996" s="6" t="str">
        <f t="shared" si="63"/>
        <v/>
      </c>
    </row>
    <row r="997" spans="64:66" ht="11.25" customHeight="1" x14ac:dyDescent="0.25">
      <c r="BL997" s="8" t="str">
        <f t="shared" si="61"/>
        <v/>
      </c>
      <c r="BM997" s="6" t="str">
        <f t="shared" si="62"/>
        <v/>
      </c>
      <c r="BN997" s="6" t="str">
        <f t="shared" si="63"/>
        <v/>
      </c>
    </row>
    <row r="998" spans="64:66" ht="11.25" customHeight="1" x14ac:dyDescent="0.25">
      <c r="BL998" s="8" t="str">
        <f t="shared" si="61"/>
        <v/>
      </c>
      <c r="BM998" s="6" t="str">
        <f t="shared" si="62"/>
        <v/>
      </c>
      <c r="BN998" s="6" t="str">
        <f t="shared" si="63"/>
        <v/>
      </c>
    </row>
    <row r="999" spans="64:66" ht="11.25" customHeight="1" x14ac:dyDescent="0.25">
      <c r="BL999" s="8" t="str">
        <f t="shared" si="61"/>
        <v/>
      </c>
      <c r="BM999" s="6" t="str">
        <f t="shared" si="62"/>
        <v/>
      </c>
      <c r="BN999" s="6" t="str">
        <f t="shared" si="63"/>
        <v/>
      </c>
    </row>
    <row r="1000" spans="64:66" ht="11.25" customHeight="1" x14ac:dyDescent="0.25">
      <c r="BL1000" s="8" t="str">
        <f t="shared" si="61"/>
        <v/>
      </c>
      <c r="BM1000" s="6" t="str">
        <f t="shared" si="62"/>
        <v/>
      </c>
      <c r="BN1000" s="6" t="str">
        <f t="shared" si="63"/>
        <v/>
      </c>
    </row>
    <row r="1001" spans="64:66" ht="11.25" customHeight="1" x14ac:dyDescent="0.25">
      <c r="BL1001" s="8" t="str">
        <f t="shared" si="61"/>
        <v/>
      </c>
      <c r="BM1001" s="6" t="str">
        <f t="shared" si="62"/>
        <v/>
      </c>
      <c r="BN1001" s="6" t="str">
        <f t="shared" si="63"/>
        <v/>
      </c>
    </row>
    <row r="1002" spans="64:66" ht="11.25" customHeight="1" x14ac:dyDescent="0.25">
      <c r="BL1002" s="8" t="str">
        <f t="shared" si="61"/>
        <v/>
      </c>
      <c r="BM1002" s="6" t="str">
        <f t="shared" si="62"/>
        <v/>
      </c>
      <c r="BN1002" s="6" t="str">
        <f t="shared" si="63"/>
        <v/>
      </c>
    </row>
    <row r="1003" spans="64:66" ht="11.25" customHeight="1" x14ac:dyDescent="0.25">
      <c r="BL1003" s="8" t="str">
        <f t="shared" si="61"/>
        <v/>
      </c>
      <c r="BM1003" s="6" t="str">
        <f t="shared" si="62"/>
        <v/>
      </c>
      <c r="BN1003" s="6" t="str">
        <f t="shared" si="63"/>
        <v/>
      </c>
    </row>
    <row r="1004" spans="64:66" ht="11.25" customHeight="1" x14ac:dyDescent="0.25">
      <c r="BL1004" s="8" t="str">
        <f t="shared" si="61"/>
        <v/>
      </c>
      <c r="BM1004" s="6" t="str">
        <f t="shared" si="62"/>
        <v/>
      </c>
      <c r="BN1004" s="6" t="str">
        <f t="shared" si="63"/>
        <v/>
      </c>
    </row>
    <row r="1005" spans="64:66" ht="11.25" customHeight="1" x14ac:dyDescent="0.25">
      <c r="BL1005" s="8" t="str">
        <f t="shared" si="61"/>
        <v/>
      </c>
      <c r="BM1005" s="6" t="str">
        <f t="shared" si="62"/>
        <v/>
      </c>
      <c r="BN1005" s="6" t="str">
        <f t="shared" si="63"/>
        <v/>
      </c>
    </row>
    <row r="1006" spans="64:66" ht="11.25" customHeight="1" x14ac:dyDescent="0.25">
      <c r="BL1006" s="8" t="str">
        <f t="shared" si="61"/>
        <v/>
      </c>
      <c r="BM1006" s="6" t="str">
        <f t="shared" si="62"/>
        <v/>
      </c>
      <c r="BN1006" s="6" t="str">
        <f t="shared" si="63"/>
        <v/>
      </c>
    </row>
    <row r="1007" spans="64:66" ht="11.25" customHeight="1" x14ac:dyDescent="0.25">
      <c r="BL1007" s="8" t="str">
        <f t="shared" si="61"/>
        <v/>
      </c>
      <c r="BM1007" s="6" t="str">
        <f t="shared" si="62"/>
        <v/>
      </c>
      <c r="BN1007" s="6" t="str">
        <f t="shared" si="63"/>
        <v/>
      </c>
    </row>
    <row r="1008" spans="64:66" ht="11.25" customHeight="1" x14ac:dyDescent="0.25">
      <c r="BL1008" s="8" t="str">
        <f t="shared" si="61"/>
        <v/>
      </c>
      <c r="BM1008" s="6" t="str">
        <f t="shared" si="62"/>
        <v/>
      </c>
      <c r="BN1008" s="6" t="str">
        <f t="shared" si="63"/>
        <v/>
      </c>
    </row>
    <row r="1009" spans="64:66" ht="11.25" customHeight="1" x14ac:dyDescent="0.25">
      <c r="BL1009" s="8" t="str">
        <f t="shared" si="61"/>
        <v/>
      </c>
      <c r="BM1009" s="6" t="str">
        <f t="shared" si="62"/>
        <v/>
      </c>
      <c r="BN1009" s="6" t="str">
        <f t="shared" si="63"/>
        <v/>
      </c>
    </row>
    <row r="1010" spans="64:66" ht="11.25" customHeight="1" x14ac:dyDescent="0.25">
      <c r="BL1010" s="8" t="str">
        <f t="shared" si="61"/>
        <v/>
      </c>
      <c r="BM1010" s="6" t="str">
        <f t="shared" si="62"/>
        <v/>
      </c>
      <c r="BN1010" s="6" t="str">
        <f t="shared" si="63"/>
        <v/>
      </c>
    </row>
    <row r="1011" spans="64:66" ht="11.25" customHeight="1" x14ac:dyDescent="0.25">
      <c r="BL1011" s="8" t="str">
        <f t="shared" si="61"/>
        <v/>
      </c>
      <c r="BM1011" s="6" t="str">
        <f t="shared" si="62"/>
        <v/>
      </c>
      <c r="BN1011" s="6" t="str">
        <f t="shared" si="63"/>
        <v/>
      </c>
    </row>
    <row r="1012" spans="64:66" ht="11.25" customHeight="1" x14ac:dyDescent="0.25">
      <c r="BL1012" s="8" t="str">
        <f t="shared" si="61"/>
        <v/>
      </c>
      <c r="BM1012" s="6" t="str">
        <f t="shared" si="62"/>
        <v/>
      </c>
      <c r="BN1012" s="6" t="str">
        <f t="shared" si="63"/>
        <v/>
      </c>
    </row>
    <row r="1013" spans="64:66" ht="11.25" customHeight="1" x14ac:dyDescent="0.25">
      <c r="BL1013" s="8" t="str">
        <f t="shared" si="61"/>
        <v/>
      </c>
      <c r="BM1013" s="6" t="str">
        <f t="shared" si="62"/>
        <v/>
      </c>
      <c r="BN1013" s="6" t="str">
        <f t="shared" si="63"/>
        <v/>
      </c>
    </row>
    <row r="1014" spans="64:66" ht="11.25" customHeight="1" x14ac:dyDescent="0.25">
      <c r="BL1014" s="8" t="str">
        <f t="shared" si="61"/>
        <v/>
      </c>
      <c r="BM1014" s="6" t="str">
        <f t="shared" si="62"/>
        <v/>
      </c>
      <c r="BN1014" s="6" t="str">
        <f t="shared" si="63"/>
        <v/>
      </c>
    </row>
    <row r="1015" spans="64:66" ht="11.25" customHeight="1" x14ac:dyDescent="0.25">
      <c r="BL1015" s="8" t="str">
        <f t="shared" si="61"/>
        <v/>
      </c>
      <c r="BM1015" s="6" t="str">
        <f t="shared" si="62"/>
        <v/>
      </c>
      <c r="BN1015" s="6" t="str">
        <f t="shared" si="63"/>
        <v/>
      </c>
    </row>
    <row r="1016" spans="64:66" ht="11.25" customHeight="1" x14ac:dyDescent="0.25">
      <c r="BL1016" s="8" t="str">
        <f t="shared" si="61"/>
        <v/>
      </c>
      <c r="BM1016" s="6" t="str">
        <f t="shared" si="62"/>
        <v/>
      </c>
      <c r="BN1016" s="6" t="str">
        <f t="shared" si="63"/>
        <v/>
      </c>
    </row>
    <row r="1017" spans="64:66" ht="11.25" customHeight="1" x14ac:dyDescent="0.25">
      <c r="BL1017" s="8" t="str">
        <f t="shared" si="61"/>
        <v/>
      </c>
      <c r="BM1017" s="6" t="str">
        <f t="shared" si="62"/>
        <v/>
      </c>
      <c r="BN1017" s="6" t="str">
        <f t="shared" si="63"/>
        <v/>
      </c>
    </row>
    <row r="1018" spans="64:66" ht="11.25" customHeight="1" x14ac:dyDescent="0.25">
      <c r="BL1018" s="8" t="str">
        <f t="shared" si="61"/>
        <v/>
      </c>
      <c r="BM1018" s="6" t="str">
        <f t="shared" si="62"/>
        <v/>
      </c>
      <c r="BN1018" s="6" t="str">
        <f t="shared" si="63"/>
        <v/>
      </c>
    </row>
    <row r="1019" spans="64:66" ht="11.25" customHeight="1" x14ac:dyDescent="0.25">
      <c r="BL1019" s="8" t="str">
        <f t="shared" si="61"/>
        <v/>
      </c>
      <c r="BM1019" s="6" t="str">
        <f t="shared" si="62"/>
        <v/>
      </c>
      <c r="BN1019" s="6" t="str">
        <f t="shared" si="63"/>
        <v/>
      </c>
    </row>
    <row r="1020" spans="64:66" ht="11.25" customHeight="1" x14ac:dyDescent="0.25">
      <c r="BL1020" s="8" t="str">
        <f t="shared" si="61"/>
        <v/>
      </c>
      <c r="BM1020" s="6" t="str">
        <f t="shared" si="62"/>
        <v/>
      </c>
      <c r="BN1020" s="6" t="str">
        <f t="shared" si="63"/>
        <v/>
      </c>
    </row>
    <row r="1021" spans="64:66" ht="11.25" customHeight="1" x14ac:dyDescent="0.25">
      <c r="BL1021" s="8" t="str">
        <f t="shared" si="61"/>
        <v/>
      </c>
      <c r="BM1021" s="6" t="str">
        <f t="shared" si="62"/>
        <v/>
      </c>
      <c r="BN1021" s="6" t="str">
        <f t="shared" si="63"/>
        <v/>
      </c>
    </row>
    <row r="1022" spans="64:66" ht="11.25" customHeight="1" x14ac:dyDescent="0.25">
      <c r="BL1022" s="8" t="str">
        <f t="shared" si="61"/>
        <v/>
      </c>
      <c r="BM1022" s="6" t="str">
        <f t="shared" si="62"/>
        <v/>
      </c>
      <c r="BN1022" s="6" t="str">
        <f t="shared" si="63"/>
        <v/>
      </c>
    </row>
    <row r="1023" spans="64:66" ht="11.25" customHeight="1" x14ac:dyDescent="0.25">
      <c r="BL1023" s="8" t="str">
        <f t="shared" si="61"/>
        <v/>
      </c>
      <c r="BM1023" s="6" t="str">
        <f t="shared" si="62"/>
        <v/>
      </c>
      <c r="BN1023" s="6" t="str">
        <f t="shared" si="63"/>
        <v/>
      </c>
    </row>
    <row r="1024" spans="64:66" ht="11.25" customHeight="1" x14ac:dyDescent="0.25">
      <c r="BL1024" s="8" t="str">
        <f t="shared" si="61"/>
        <v/>
      </c>
      <c r="BM1024" s="6" t="str">
        <f t="shared" si="62"/>
        <v/>
      </c>
      <c r="BN1024" s="6" t="str">
        <f t="shared" si="63"/>
        <v/>
      </c>
    </row>
    <row r="1025" spans="64:66" ht="11.25" customHeight="1" x14ac:dyDescent="0.25">
      <c r="BL1025" s="8" t="str">
        <f t="shared" si="61"/>
        <v/>
      </c>
      <c r="BM1025" s="6" t="str">
        <f t="shared" si="62"/>
        <v/>
      </c>
      <c r="BN1025" s="6" t="str">
        <f t="shared" si="63"/>
        <v/>
      </c>
    </row>
    <row r="1026" spans="64:66" ht="11.25" customHeight="1" x14ac:dyDescent="0.25">
      <c r="BL1026" s="8" t="str">
        <f t="shared" si="61"/>
        <v/>
      </c>
      <c r="BM1026" s="6" t="str">
        <f t="shared" si="62"/>
        <v/>
      </c>
      <c r="BN1026" s="6" t="str">
        <f t="shared" si="63"/>
        <v/>
      </c>
    </row>
    <row r="1027" spans="64:66" ht="11.25" customHeight="1" x14ac:dyDescent="0.25">
      <c r="BL1027" s="8" t="str">
        <f t="shared" si="61"/>
        <v/>
      </c>
      <c r="BM1027" s="6" t="str">
        <f t="shared" si="62"/>
        <v/>
      </c>
      <c r="BN1027" s="6" t="str">
        <f t="shared" si="63"/>
        <v/>
      </c>
    </row>
    <row r="1028" spans="64:66" ht="11.25" customHeight="1" x14ac:dyDescent="0.25">
      <c r="BL1028" s="8" t="str">
        <f t="shared" si="61"/>
        <v/>
      </c>
      <c r="BM1028" s="6" t="str">
        <f t="shared" si="62"/>
        <v/>
      </c>
      <c r="BN1028" s="6" t="str">
        <f t="shared" si="63"/>
        <v/>
      </c>
    </row>
    <row r="1029" spans="64:66" ht="11.25" customHeight="1" x14ac:dyDescent="0.25">
      <c r="BL1029" s="8" t="str">
        <f t="shared" si="61"/>
        <v/>
      </c>
      <c r="BM1029" s="6" t="str">
        <f t="shared" si="62"/>
        <v/>
      </c>
      <c r="BN1029" s="6" t="str">
        <f t="shared" si="63"/>
        <v/>
      </c>
    </row>
    <row r="1030" spans="64:66" ht="11.25" customHeight="1" x14ac:dyDescent="0.25">
      <c r="BL1030" s="8" t="str">
        <f t="shared" ref="BL1030:BL1093" si="64">IF(ROW()&lt;=$BL$4,ROW()-ROW(BL$4),"")</f>
        <v/>
      </c>
      <c r="BM1030" s="6" t="str">
        <f t="shared" si="62"/>
        <v/>
      </c>
      <c r="BN1030" s="6" t="str">
        <f t="shared" si="63"/>
        <v/>
      </c>
    </row>
    <row r="1031" spans="64:66" ht="11.25" customHeight="1" x14ac:dyDescent="0.25">
      <c r="BL1031" s="8" t="str">
        <f t="shared" si="64"/>
        <v/>
      </c>
      <c r="BM1031" s="6" t="str">
        <f t="shared" si="62"/>
        <v/>
      </c>
      <c r="BN1031" s="6" t="str">
        <f t="shared" si="63"/>
        <v/>
      </c>
    </row>
    <row r="1032" spans="64:66" ht="11.25" customHeight="1" x14ac:dyDescent="0.25">
      <c r="BL1032" s="8" t="str">
        <f t="shared" si="64"/>
        <v/>
      </c>
      <c r="BM1032" s="6" t="str">
        <f t="shared" ref="BM1032:BM1095" si="65">IF(ISNUMBER(BL1032),INT(BL1031/$BN$4)+1,"")</f>
        <v/>
      </c>
      <c r="BN1032" s="6" t="str">
        <f t="shared" ref="BN1032:BN1095" si="66">IF(ISNUMBER(BL1032),IF(BM1031&lt;&gt;BM1032,1,BN1031+1),"")</f>
        <v/>
      </c>
    </row>
    <row r="1033" spans="64:66" ht="11.25" customHeight="1" x14ac:dyDescent="0.25">
      <c r="BL1033" s="8" t="str">
        <f t="shared" si="64"/>
        <v/>
      </c>
      <c r="BM1033" s="6" t="str">
        <f t="shared" si="65"/>
        <v/>
      </c>
      <c r="BN1033" s="6" t="str">
        <f t="shared" si="66"/>
        <v/>
      </c>
    </row>
    <row r="1034" spans="64:66" ht="11.25" customHeight="1" x14ac:dyDescent="0.25">
      <c r="BL1034" s="8" t="str">
        <f t="shared" si="64"/>
        <v/>
      </c>
      <c r="BM1034" s="6" t="str">
        <f t="shared" si="65"/>
        <v/>
      </c>
      <c r="BN1034" s="6" t="str">
        <f t="shared" si="66"/>
        <v/>
      </c>
    </row>
    <row r="1035" spans="64:66" ht="11.25" customHeight="1" x14ac:dyDescent="0.25">
      <c r="BL1035" s="8" t="str">
        <f t="shared" si="64"/>
        <v/>
      </c>
      <c r="BM1035" s="6" t="str">
        <f t="shared" si="65"/>
        <v/>
      </c>
      <c r="BN1035" s="6" t="str">
        <f t="shared" si="66"/>
        <v/>
      </c>
    </row>
    <row r="1036" spans="64:66" ht="11.25" customHeight="1" x14ac:dyDescent="0.25">
      <c r="BL1036" s="8" t="str">
        <f t="shared" si="64"/>
        <v/>
      </c>
      <c r="BM1036" s="6" t="str">
        <f t="shared" si="65"/>
        <v/>
      </c>
      <c r="BN1036" s="6" t="str">
        <f t="shared" si="66"/>
        <v/>
      </c>
    </row>
    <row r="1037" spans="64:66" ht="11.25" customHeight="1" x14ac:dyDescent="0.25">
      <c r="BL1037" s="8" t="str">
        <f t="shared" si="64"/>
        <v/>
      </c>
      <c r="BM1037" s="6" t="str">
        <f t="shared" si="65"/>
        <v/>
      </c>
      <c r="BN1037" s="6" t="str">
        <f t="shared" si="66"/>
        <v/>
      </c>
    </row>
    <row r="1038" spans="64:66" ht="11.25" customHeight="1" x14ac:dyDescent="0.25">
      <c r="BL1038" s="8" t="str">
        <f t="shared" si="64"/>
        <v/>
      </c>
      <c r="BM1038" s="6" t="str">
        <f t="shared" si="65"/>
        <v/>
      </c>
      <c r="BN1038" s="6" t="str">
        <f t="shared" si="66"/>
        <v/>
      </c>
    </row>
    <row r="1039" spans="64:66" ht="11.25" customHeight="1" x14ac:dyDescent="0.25">
      <c r="BL1039" s="8" t="str">
        <f t="shared" si="64"/>
        <v/>
      </c>
      <c r="BM1039" s="6" t="str">
        <f t="shared" si="65"/>
        <v/>
      </c>
      <c r="BN1039" s="6" t="str">
        <f t="shared" si="66"/>
        <v/>
      </c>
    </row>
    <row r="1040" spans="64:66" ht="11.25" customHeight="1" x14ac:dyDescent="0.25">
      <c r="BL1040" s="8" t="str">
        <f t="shared" si="64"/>
        <v/>
      </c>
      <c r="BM1040" s="6" t="str">
        <f t="shared" si="65"/>
        <v/>
      </c>
      <c r="BN1040" s="6" t="str">
        <f t="shared" si="66"/>
        <v/>
      </c>
    </row>
    <row r="1041" spans="64:66" ht="11.25" customHeight="1" x14ac:dyDescent="0.25">
      <c r="BL1041" s="8" t="str">
        <f t="shared" si="64"/>
        <v/>
      </c>
      <c r="BM1041" s="6" t="str">
        <f t="shared" si="65"/>
        <v/>
      </c>
      <c r="BN1041" s="6" t="str">
        <f t="shared" si="66"/>
        <v/>
      </c>
    </row>
    <row r="1042" spans="64:66" ht="11.25" customHeight="1" x14ac:dyDescent="0.25">
      <c r="BL1042" s="8" t="str">
        <f t="shared" si="64"/>
        <v/>
      </c>
      <c r="BM1042" s="6" t="str">
        <f t="shared" si="65"/>
        <v/>
      </c>
      <c r="BN1042" s="6" t="str">
        <f t="shared" si="66"/>
        <v/>
      </c>
    </row>
    <row r="1043" spans="64:66" ht="11.25" customHeight="1" x14ac:dyDescent="0.25">
      <c r="BL1043" s="8" t="str">
        <f t="shared" si="64"/>
        <v/>
      </c>
      <c r="BM1043" s="6" t="str">
        <f t="shared" si="65"/>
        <v/>
      </c>
      <c r="BN1043" s="6" t="str">
        <f t="shared" si="66"/>
        <v/>
      </c>
    </row>
    <row r="1044" spans="64:66" ht="11.25" customHeight="1" x14ac:dyDescent="0.25">
      <c r="BL1044" s="8" t="str">
        <f t="shared" si="64"/>
        <v/>
      </c>
      <c r="BM1044" s="6" t="str">
        <f t="shared" si="65"/>
        <v/>
      </c>
      <c r="BN1044" s="6" t="str">
        <f t="shared" si="66"/>
        <v/>
      </c>
    </row>
    <row r="1045" spans="64:66" ht="11.25" customHeight="1" x14ac:dyDescent="0.25">
      <c r="BL1045" s="8" t="str">
        <f t="shared" si="64"/>
        <v/>
      </c>
      <c r="BM1045" s="6" t="str">
        <f t="shared" si="65"/>
        <v/>
      </c>
      <c r="BN1045" s="6" t="str">
        <f t="shared" si="66"/>
        <v/>
      </c>
    </row>
    <row r="1046" spans="64:66" ht="11.25" customHeight="1" x14ac:dyDescent="0.25">
      <c r="BL1046" s="8" t="str">
        <f t="shared" si="64"/>
        <v/>
      </c>
      <c r="BM1046" s="6" t="str">
        <f t="shared" si="65"/>
        <v/>
      </c>
      <c r="BN1046" s="6" t="str">
        <f t="shared" si="66"/>
        <v/>
      </c>
    </row>
    <row r="1047" spans="64:66" ht="11.25" customHeight="1" x14ac:dyDescent="0.25">
      <c r="BL1047" s="8" t="str">
        <f t="shared" si="64"/>
        <v/>
      </c>
      <c r="BM1047" s="6" t="str">
        <f t="shared" si="65"/>
        <v/>
      </c>
      <c r="BN1047" s="6" t="str">
        <f t="shared" si="66"/>
        <v/>
      </c>
    </row>
    <row r="1048" spans="64:66" ht="11.25" customHeight="1" x14ac:dyDescent="0.25">
      <c r="BL1048" s="8" t="str">
        <f t="shared" si="64"/>
        <v/>
      </c>
      <c r="BM1048" s="6" t="str">
        <f t="shared" si="65"/>
        <v/>
      </c>
      <c r="BN1048" s="6" t="str">
        <f t="shared" si="66"/>
        <v/>
      </c>
    </row>
    <row r="1049" spans="64:66" ht="11.25" customHeight="1" x14ac:dyDescent="0.25">
      <c r="BL1049" s="8" t="str">
        <f t="shared" si="64"/>
        <v/>
      </c>
      <c r="BM1049" s="6" t="str">
        <f t="shared" si="65"/>
        <v/>
      </c>
      <c r="BN1049" s="6" t="str">
        <f t="shared" si="66"/>
        <v/>
      </c>
    </row>
    <row r="1050" spans="64:66" ht="11.25" customHeight="1" x14ac:dyDescent="0.25">
      <c r="BL1050" s="8" t="str">
        <f t="shared" si="64"/>
        <v/>
      </c>
      <c r="BM1050" s="6" t="str">
        <f t="shared" si="65"/>
        <v/>
      </c>
      <c r="BN1050" s="6" t="str">
        <f t="shared" si="66"/>
        <v/>
      </c>
    </row>
    <row r="1051" spans="64:66" ht="11.25" customHeight="1" x14ac:dyDescent="0.25">
      <c r="BL1051" s="8" t="str">
        <f t="shared" si="64"/>
        <v/>
      </c>
      <c r="BM1051" s="6" t="str">
        <f t="shared" si="65"/>
        <v/>
      </c>
      <c r="BN1051" s="6" t="str">
        <f t="shared" si="66"/>
        <v/>
      </c>
    </row>
    <row r="1052" spans="64:66" ht="11.25" customHeight="1" x14ac:dyDescent="0.25">
      <c r="BL1052" s="8" t="str">
        <f t="shared" si="64"/>
        <v/>
      </c>
      <c r="BM1052" s="6" t="str">
        <f t="shared" si="65"/>
        <v/>
      </c>
      <c r="BN1052" s="6" t="str">
        <f t="shared" si="66"/>
        <v/>
      </c>
    </row>
    <row r="1053" spans="64:66" ht="11.25" customHeight="1" x14ac:dyDescent="0.25">
      <c r="BL1053" s="8" t="str">
        <f t="shared" si="64"/>
        <v/>
      </c>
      <c r="BM1053" s="6" t="str">
        <f t="shared" si="65"/>
        <v/>
      </c>
      <c r="BN1053" s="6" t="str">
        <f t="shared" si="66"/>
        <v/>
      </c>
    </row>
    <row r="1054" spans="64:66" ht="11.25" customHeight="1" x14ac:dyDescent="0.25">
      <c r="BL1054" s="8" t="str">
        <f t="shared" si="64"/>
        <v/>
      </c>
      <c r="BM1054" s="6" t="str">
        <f t="shared" si="65"/>
        <v/>
      </c>
      <c r="BN1054" s="6" t="str">
        <f t="shared" si="66"/>
        <v/>
      </c>
    </row>
    <row r="1055" spans="64:66" ht="11.25" customHeight="1" x14ac:dyDescent="0.25">
      <c r="BL1055" s="8" t="str">
        <f t="shared" si="64"/>
        <v/>
      </c>
      <c r="BM1055" s="6" t="str">
        <f t="shared" si="65"/>
        <v/>
      </c>
      <c r="BN1055" s="6" t="str">
        <f t="shared" si="66"/>
        <v/>
      </c>
    </row>
    <row r="1056" spans="64:66" ht="11.25" customHeight="1" x14ac:dyDescent="0.25">
      <c r="BL1056" s="8" t="str">
        <f t="shared" si="64"/>
        <v/>
      </c>
      <c r="BM1056" s="6" t="str">
        <f t="shared" si="65"/>
        <v/>
      </c>
      <c r="BN1056" s="6" t="str">
        <f t="shared" si="66"/>
        <v/>
      </c>
    </row>
    <row r="1057" spans="64:66" ht="11.25" customHeight="1" x14ac:dyDescent="0.25">
      <c r="BL1057" s="8" t="str">
        <f t="shared" si="64"/>
        <v/>
      </c>
      <c r="BM1057" s="6" t="str">
        <f t="shared" si="65"/>
        <v/>
      </c>
      <c r="BN1057" s="6" t="str">
        <f t="shared" si="66"/>
        <v/>
      </c>
    </row>
    <row r="1058" spans="64:66" ht="11.25" customHeight="1" x14ac:dyDescent="0.25">
      <c r="BL1058" s="8" t="str">
        <f t="shared" si="64"/>
        <v/>
      </c>
      <c r="BM1058" s="6" t="str">
        <f t="shared" si="65"/>
        <v/>
      </c>
      <c r="BN1058" s="6" t="str">
        <f t="shared" si="66"/>
        <v/>
      </c>
    </row>
    <row r="1059" spans="64:66" ht="11.25" customHeight="1" x14ac:dyDescent="0.25">
      <c r="BL1059" s="8" t="str">
        <f t="shared" si="64"/>
        <v/>
      </c>
      <c r="BM1059" s="6" t="str">
        <f t="shared" si="65"/>
        <v/>
      </c>
      <c r="BN1059" s="6" t="str">
        <f t="shared" si="66"/>
        <v/>
      </c>
    </row>
    <row r="1060" spans="64:66" ht="11.25" customHeight="1" x14ac:dyDescent="0.25">
      <c r="BL1060" s="8" t="str">
        <f t="shared" si="64"/>
        <v/>
      </c>
      <c r="BM1060" s="6" t="str">
        <f t="shared" si="65"/>
        <v/>
      </c>
      <c r="BN1060" s="6" t="str">
        <f t="shared" si="66"/>
        <v/>
      </c>
    </row>
    <row r="1061" spans="64:66" ht="11.25" customHeight="1" x14ac:dyDescent="0.25">
      <c r="BL1061" s="8" t="str">
        <f t="shared" si="64"/>
        <v/>
      </c>
      <c r="BM1061" s="6" t="str">
        <f t="shared" si="65"/>
        <v/>
      </c>
      <c r="BN1061" s="6" t="str">
        <f t="shared" si="66"/>
        <v/>
      </c>
    </row>
    <row r="1062" spans="64:66" ht="11.25" customHeight="1" x14ac:dyDescent="0.25">
      <c r="BL1062" s="8" t="str">
        <f t="shared" si="64"/>
        <v/>
      </c>
      <c r="BM1062" s="6" t="str">
        <f t="shared" si="65"/>
        <v/>
      </c>
      <c r="BN1062" s="6" t="str">
        <f t="shared" si="66"/>
        <v/>
      </c>
    </row>
    <row r="1063" spans="64:66" ht="11.25" customHeight="1" x14ac:dyDescent="0.25">
      <c r="BL1063" s="8" t="str">
        <f t="shared" si="64"/>
        <v/>
      </c>
      <c r="BM1063" s="6" t="str">
        <f t="shared" si="65"/>
        <v/>
      </c>
      <c r="BN1063" s="6" t="str">
        <f t="shared" si="66"/>
        <v/>
      </c>
    </row>
    <row r="1064" spans="64:66" ht="11.25" customHeight="1" x14ac:dyDescent="0.25">
      <c r="BL1064" s="8" t="str">
        <f t="shared" si="64"/>
        <v/>
      </c>
      <c r="BM1064" s="6" t="str">
        <f t="shared" si="65"/>
        <v/>
      </c>
      <c r="BN1064" s="6" t="str">
        <f t="shared" si="66"/>
        <v/>
      </c>
    </row>
    <row r="1065" spans="64:66" ht="11.25" customHeight="1" x14ac:dyDescent="0.25">
      <c r="BL1065" s="8" t="str">
        <f t="shared" si="64"/>
        <v/>
      </c>
      <c r="BM1065" s="6" t="str">
        <f t="shared" si="65"/>
        <v/>
      </c>
      <c r="BN1065" s="6" t="str">
        <f t="shared" si="66"/>
        <v/>
      </c>
    </row>
    <row r="1066" spans="64:66" ht="11.25" customHeight="1" x14ac:dyDescent="0.25">
      <c r="BL1066" s="8" t="str">
        <f t="shared" si="64"/>
        <v/>
      </c>
      <c r="BM1066" s="6" t="str">
        <f t="shared" si="65"/>
        <v/>
      </c>
      <c r="BN1066" s="6" t="str">
        <f t="shared" si="66"/>
        <v/>
      </c>
    </row>
    <row r="1067" spans="64:66" ht="11.25" customHeight="1" x14ac:dyDescent="0.25">
      <c r="BL1067" s="8" t="str">
        <f t="shared" si="64"/>
        <v/>
      </c>
      <c r="BM1067" s="6" t="str">
        <f t="shared" si="65"/>
        <v/>
      </c>
      <c r="BN1067" s="6" t="str">
        <f t="shared" si="66"/>
        <v/>
      </c>
    </row>
    <row r="1068" spans="64:66" ht="11.25" customHeight="1" x14ac:dyDescent="0.25">
      <c r="BL1068" s="8" t="str">
        <f t="shared" si="64"/>
        <v/>
      </c>
      <c r="BM1068" s="6" t="str">
        <f t="shared" si="65"/>
        <v/>
      </c>
      <c r="BN1068" s="6" t="str">
        <f t="shared" si="66"/>
        <v/>
      </c>
    </row>
    <row r="1069" spans="64:66" ht="11.25" customHeight="1" x14ac:dyDescent="0.25">
      <c r="BL1069" s="8" t="str">
        <f t="shared" si="64"/>
        <v/>
      </c>
      <c r="BM1069" s="6" t="str">
        <f t="shared" si="65"/>
        <v/>
      </c>
      <c r="BN1069" s="6" t="str">
        <f t="shared" si="66"/>
        <v/>
      </c>
    </row>
    <row r="1070" spans="64:66" ht="11.25" customHeight="1" x14ac:dyDescent="0.25">
      <c r="BL1070" s="8" t="str">
        <f t="shared" si="64"/>
        <v/>
      </c>
      <c r="BM1070" s="6" t="str">
        <f t="shared" si="65"/>
        <v/>
      </c>
      <c r="BN1070" s="6" t="str">
        <f t="shared" si="66"/>
        <v/>
      </c>
    </row>
    <row r="1071" spans="64:66" ht="11.25" customHeight="1" x14ac:dyDescent="0.25">
      <c r="BL1071" s="8" t="str">
        <f t="shared" si="64"/>
        <v/>
      </c>
      <c r="BM1071" s="6" t="str">
        <f t="shared" si="65"/>
        <v/>
      </c>
      <c r="BN1071" s="6" t="str">
        <f t="shared" si="66"/>
        <v/>
      </c>
    </row>
    <row r="1072" spans="64:66" ht="11.25" customHeight="1" x14ac:dyDescent="0.25">
      <c r="BL1072" s="8" t="str">
        <f t="shared" si="64"/>
        <v/>
      </c>
      <c r="BM1072" s="6" t="str">
        <f t="shared" si="65"/>
        <v/>
      </c>
      <c r="BN1072" s="6" t="str">
        <f t="shared" si="66"/>
        <v/>
      </c>
    </row>
    <row r="1073" spans="64:66" ht="11.25" customHeight="1" x14ac:dyDescent="0.25">
      <c r="BL1073" s="8" t="str">
        <f t="shared" si="64"/>
        <v/>
      </c>
      <c r="BM1073" s="6" t="str">
        <f t="shared" si="65"/>
        <v/>
      </c>
      <c r="BN1073" s="6" t="str">
        <f t="shared" si="66"/>
        <v/>
      </c>
    </row>
    <row r="1074" spans="64:66" ht="11.25" customHeight="1" x14ac:dyDescent="0.25">
      <c r="BL1074" s="8" t="str">
        <f t="shared" si="64"/>
        <v/>
      </c>
      <c r="BM1074" s="6" t="str">
        <f t="shared" si="65"/>
        <v/>
      </c>
      <c r="BN1074" s="6" t="str">
        <f t="shared" si="66"/>
        <v/>
      </c>
    </row>
    <row r="1075" spans="64:66" ht="11.25" customHeight="1" x14ac:dyDescent="0.25">
      <c r="BL1075" s="8" t="str">
        <f t="shared" si="64"/>
        <v/>
      </c>
      <c r="BM1075" s="6" t="str">
        <f t="shared" si="65"/>
        <v/>
      </c>
      <c r="BN1075" s="6" t="str">
        <f t="shared" si="66"/>
        <v/>
      </c>
    </row>
    <row r="1076" spans="64:66" ht="11.25" customHeight="1" x14ac:dyDescent="0.25">
      <c r="BL1076" s="8" t="str">
        <f t="shared" si="64"/>
        <v/>
      </c>
      <c r="BM1076" s="6" t="str">
        <f t="shared" si="65"/>
        <v/>
      </c>
      <c r="BN1076" s="6" t="str">
        <f t="shared" si="66"/>
        <v/>
      </c>
    </row>
    <row r="1077" spans="64:66" ht="11.25" customHeight="1" x14ac:dyDescent="0.25">
      <c r="BL1077" s="8" t="str">
        <f t="shared" si="64"/>
        <v/>
      </c>
      <c r="BM1077" s="6" t="str">
        <f t="shared" si="65"/>
        <v/>
      </c>
      <c r="BN1077" s="6" t="str">
        <f t="shared" si="66"/>
        <v/>
      </c>
    </row>
    <row r="1078" spans="64:66" ht="11.25" customHeight="1" x14ac:dyDescent="0.25">
      <c r="BL1078" s="8" t="str">
        <f t="shared" si="64"/>
        <v/>
      </c>
      <c r="BM1078" s="6" t="str">
        <f t="shared" si="65"/>
        <v/>
      </c>
      <c r="BN1078" s="6" t="str">
        <f t="shared" si="66"/>
        <v/>
      </c>
    </row>
    <row r="1079" spans="64:66" ht="11.25" customHeight="1" x14ac:dyDescent="0.25">
      <c r="BL1079" s="8" t="str">
        <f t="shared" si="64"/>
        <v/>
      </c>
      <c r="BM1079" s="6" t="str">
        <f t="shared" si="65"/>
        <v/>
      </c>
      <c r="BN1079" s="6" t="str">
        <f t="shared" si="66"/>
        <v/>
      </c>
    </row>
    <row r="1080" spans="64:66" ht="11.25" customHeight="1" x14ac:dyDescent="0.25">
      <c r="BL1080" s="8" t="str">
        <f t="shared" si="64"/>
        <v/>
      </c>
      <c r="BM1080" s="6" t="str">
        <f t="shared" si="65"/>
        <v/>
      </c>
      <c r="BN1080" s="6" t="str">
        <f t="shared" si="66"/>
        <v/>
      </c>
    </row>
    <row r="1081" spans="64:66" ht="11.25" customHeight="1" x14ac:dyDescent="0.25">
      <c r="BL1081" s="8" t="str">
        <f t="shared" si="64"/>
        <v/>
      </c>
      <c r="BM1081" s="6" t="str">
        <f t="shared" si="65"/>
        <v/>
      </c>
      <c r="BN1081" s="6" t="str">
        <f t="shared" si="66"/>
        <v/>
      </c>
    </row>
    <row r="1082" spans="64:66" ht="11.25" customHeight="1" x14ac:dyDescent="0.25">
      <c r="BL1082" s="8" t="str">
        <f t="shared" si="64"/>
        <v/>
      </c>
      <c r="BM1082" s="6" t="str">
        <f t="shared" si="65"/>
        <v/>
      </c>
      <c r="BN1082" s="6" t="str">
        <f t="shared" si="66"/>
        <v/>
      </c>
    </row>
    <row r="1083" spans="64:66" ht="11.25" customHeight="1" x14ac:dyDescent="0.25">
      <c r="BL1083" s="8" t="str">
        <f t="shared" si="64"/>
        <v/>
      </c>
      <c r="BM1083" s="6" t="str">
        <f t="shared" si="65"/>
        <v/>
      </c>
      <c r="BN1083" s="6" t="str">
        <f t="shared" si="66"/>
        <v/>
      </c>
    </row>
    <row r="1084" spans="64:66" ht="11.25" customHeight="1" x14ac:dyDescent="0.25">
      <c r="BL1084" s="8" t="str">
        <f t="shared" si="64"/>
        <v/>
      </c>
      <c r="BM1084" s="6" t="str">
        <f t="shared" si="65"/>
        <v/>
      </c>
      <c r="BN1084" s="6" t="str">
        <f t="shared" si="66"/>
        <v/>
      </c>
    </row>
    <row r="1085" spans="64:66" ht="11.25" customHeight="1" x14ac:dyDescent="0.25">
      <c r="BL1085" s="8" t="str">
        <f t="shared" si="64"/>
        <v/>
      </c>
      <c r="BM1085" s="6" t="str">
        <f t="shared" si="65"/>
        <v/>
      </c>
      <c r="BN1085" s="6" t="str">
        <f t="shared" si="66"/>
        <v/>
      </c>
    </row>
    <row r="1086" spans="64:66" ht="11.25" customHeight="1" x14ac:dyDescent="0.25">
      <c r="BL1086" s="8" t="str">
        <f t="shared" si="64"/>
        <v/>
      </c>
      <c r="BM1086" s="6" t="str">
        <f t="shared" si="65"/>
        <v/>
      </c>
      <c r="BN1086" s="6" t="str">
        <f t="shared" si="66"/>
        <v/>
      </c>
    </row>
    <row r="1087" spans="64:66" ht="11.25" customHeight="1" x14ac:dyDescent="0.25">
      <c r="BL1087" s="8" t="str">
        <f t="shared" si="64"/>
        <v/>
      </c>
      <c r="BM1087" s="6" t="str">
        <f t="shared" si="65"/>
        <v/>
      </c>
      <c r="BN1087" s="6" t="str">
        <f t="shared" si="66"/>
        <v/>
      </c>
    </row>
    <row r="1088" spans="64:66" ht="11.25" customHeight="1" x14ac:dyDescent="0.25">
      <c r="BL1088" s="8" t="str">
        <f t="shared" si="64"/>
        <v/>
      </c>
      <c r="BM1088" s="6" t="str">
        <f t="shared" si="65"/>
        <v/>
      </c>
      <c r="BN1088" s="6" t="str">
        <f t="shared" si="66"/>
        <v/>
      </c>
    </row>
    <row r="1089" spans="64:66" ht="11.25" customHeight="1" x14ac:dyDescent="0.25">
      <c r="BL1089" s="8" t="str">
        <f t="shared" si="64"/>
        <v/>
      </c>
      <c r="BM1089" s="6" t="str">
        <f t="shared" si="65"/>
        <v/>
      </c>
      <c r="BN1089" s="6" t="str">
        <f t="shared" si="66"/>
        <v/>
      </c>
    </row>
    <row r="1090" spans="64:66" ht="11.25" customHeight="1" x14ac:dyDescent="0.25">
      <c r="BL1090" s="8" t="str">
        <f t="shared" si="64"/>
        <v/>
      </c>
      <c r="BM1090" s="6" t="str">
        <f t="shared" si="65"/>
        <v/>
      </c>
      <c r="BN1090" s="6" t="str">
        <f t="shared" si="66"/>
        <v/>
      </c>
    </row>
    <row r="1091" spans="64:66" ht="11.25" customHeight="1" x14ac:dyDescent="0.25">
      <c r="BL1091" s="8" t="str">
        <f t="shared" si="64"/>
        <v/>
      </c>
      <c r="BM1091" s="6" t="str">
        <f t="shared" si="65"/>
        <v/>
      </c>
      <c r="BN1091" s="6" t="str">
        <f t="shared" si="66"/>
        <v/>
      </c>
    </row>
    <row r="1092" spans="64:66" ht="11.25" customHeight="1" x14ac:dyDescent="0.25">
      <c r="BL1092" s="8" t="str">
        <f t="shared" si="64"/>
        <v/>
      </c>
      <c r="BM1092" s="6" t="str">
        <f t="shared" si="65"/>
        <v/>
      </c>
      <c r="BN1092" s="6" t="str">
        <f t="shared" si="66"/>
        <v/>
      </c>
    </row>
    <row r="1093" spans="64:66" ht="11.25" customHeight="1" x14ac:dyDescent="0.25">
      <c r="BL1093" s="8" t="str">
        <f t="shared" si="64"/>
        <v/>
      </c>
      <c r="BM1093" s="6" t="str">
        <f t="shared" si="65"/>
        <v/>
      </c>
      <c r="BN1093" s="6" t="str">
        <f t="shared" si="66"/>
        <v/>
      </c>
    </row>
    <row r="1094" spans="64:66" ht="11.25" customHeight="1" x14ac:dyDescent="0.25">
      <c r="BL1094" s="8" t="str">
        <f t="shared" ref="BL1094:BL1157" si="67">IF(ROW()&lt;=$BL$4,ROW()-ROW(BL$4),"")</f>
        <v/>
      </c>
      <c r="BM1094" s="6" t="str">
        <f t="shared" si="65"/>
        <v/>
      </c>
      <c r="BN1094" s="6" t="str">
        <f t="shared" si="66"/>
        <v/>
      </c>
    </row>
    <row r="1095" spans="64:66" ht="11.25" customHeight="1" x14ac:dyDescent="0.25">
      <c r="BL1095" s="8" t="str">
        <f t="shared" si="67"/>
        <v/>
      </c>
      <c r="BM1095" s="6" t="str">
        <f t="shared" si="65"/>
        <v/>
      </c>
      <c r="BN1095" s="6" t="str">
        <f t="shared" si="66"/>
        <v/>
      </c>
    </row>
    <row r="1096" spans="64:66" ht="11.25" customHeight="1" x14ac:dyDescent="0.25">
      <c r="BL1096" s="8" t="str">
        <f t="shared" si="67"/>
        <v/>
      </c>
      <c r="BM1096" s="6" t="str">
        <f t="shared" ref="BM1096:BM1159" si="68">IF(ISNUMBER(BL1096),INT(BL1095/$BN$4)+1,"")</f>
        <v/>
      </c>
      <c r="BN1096" s="6" t="str">
        <f t="shared" ref="BN1096:BN1159" si="69">IF(ISNUMBER(BL1096),IF(BM1095&lt;&gt;BM1096,1,BN1095+1),"")</f>
        <v/>
      </c>
    </row>
    <row r="1097" spans="64:66" ht="11.25" customHeight="1" x14ac:dyDescent="0.25">
      <c r="BL1097" s="8" t="str">
        <f t="shared" si="67"/>
        <v/>
      </c>
      <c r="BM1097" s="6" t="str">
        <f t="shared" si="68"/>
        <v/>
      </c>
      <c r="BN1097" s="6" t="str">
        <f t="shared" si="69"/>
        <v/>
      </c>
    </row>
    <row r="1098" spans="64:66" ht="11.25" customHeight="1" x14ac:dyDescent="0.25">
      <c r="BL1098" s="8" t="str">
        <f t="shared" si="67"/>
        <v/>
      </c>
      <c r="BM1098" s="6" t="str">
        <f t="shared" si="68"/>
        <v/>
      </c>
      <c r="BN1098" s="6" t="str">
        <f t="shared" si="69"/>
        <v/>
      </c>
    </row>
    <row r="1099" spans="64:66" ht="11.25" customHeight="1" x14ac:dyDescent="0.25">
      <c r="BL1099" s="8" t="str">
        <f t="shared" si="67"/>
        <v/>
      </c>
      <c r="BM1099" s="6" t="str">
        <f t="shared" si="68"/>
        <v/>
      </c>
      <c r="BN1099" s="6" t="str">
        <f t="shared" si="69"/>
        <v/>
      </c>
    </row>
    <row r="1100" spans="64:66" ht="11.25" customHeight="1" x14ac:dyDescent="0.25">
      <c r="BL1100" s="8" t="str">
        <f t="shared" si="67"/>
        <v/>
      </c>
      <c r="BM1100" s="6" t="str">
        <f t="shared" si="68"/>
        <v/>
      </c>
      <c r="BN1100" s="6" t="str">
        <f t="shared" si="69"/>
        <v/>
      </c>
    </row>
    <row r="1101" spans="64:66" ht="11.25" customHeight="1" x14ac:dyDescent="0.25">
      <c r="BL1101" s="8" t="str">
        <f t="shared" si="67"/>
        <v/>
      </c>
      <c r="BM1101" s="6" t="str">
        <f t="shared" si="68"/>
        <v/>
      </c>
      <c r="BN1101" s="6" t="str">
        <f t="shared" si="69"/>
        <v/>
      </c>
    </row>
    <row r="1102" spans="64:66" ht="11.25" customHeight="1" x14ac:dyDescent="0.25">
      <c r="BL1102" s="8" t="str">
        <f t="shared" si="67"/>
        <v/>
      </c>
      <c r="BM1102" s="6" t="str">
        <f t="shared" si="68"/>
        <v/>
      </c>
      <c r="BN1102" s="6" t="str">
        <f t="shared" si="69"/>
        <v/>
      </c>
    </row>
    <row r="1103" spans="64:66" ht="11.25" customHeight="1" x14ac:dyDescent="0.25">
      <c r="BL1103" s="8" t="str">
        <f t="shared" si="67"/>
        <v/>
      </c>
      <c r="BM1103" s="6" t="str">
        <f t="shared" si="68"/>
        <v/>
      </c>
      <c r="BN1103" s="6" t="str">
        <f t="shared" si="69"/>
        <v/>
      </c>
    </row>
    <row r="1104" spans="64:66" ht="11.25" customHeight="1" x14ac:dyDescent="0.25">
      <c r="BL1104" s="8" t="str">
        <f t="shared" si="67"/>
        <v/>
      </c>
      <c r="BM1104" s="6" t="str">
        <f t="shared" si="68"/>
        <v/>
      </c>
      <c r="BN1104" s="6" t="str">
        <f t="shared" si="69"/>
        <v/>
      </c>
    </row>
    <row r="1105" spans="64:66" ht="11.25" customHeight="1" x14ac:dyDescent="0.25">
      <c r="BL1105" s="8" t="str">
        <f t="shared" si="67"/>
        <v/>
      </c>
      <c r="BM1105" s="6" t="str">
        <f t="shared" si="68"/>
        <v/>
      </c>
      <c r="BN1105" s="6" t="str">
        <f t="shared" si="69"/>
        <v/>
      </c>
    </row>
    <row r="1106" spans="64:66" ht="11.25" customHeight="1" x14ac:dyDescent="0.25">
      <c r="BL1106" s="8" t="str">
        <f t="shared" si="67"/>
        <v/>
      </c>
      <c r="BM1106" s="6" t="str">
        <f t="shared" si="68"/>
        <v/>
      </c>
      <c r="BN1106" s="6" t="str">
        <f t="shared" si="69"/>
        <v/>
      </c>
    </row>
    <row r="1107" spans="64:66" ht="11.25" customHeight="1" x14ac:dyDescent="0.25">
      <c r="BL1107" s="8" t="str">
        <f t="shared" si="67"/>
        <v/>
      </c>
      <c r="BM1107" s="6" t="str">
        <f t="shared" si="68"/>
        <v/>
      </c>
      <c r="BN1107" s="6" t="str">
        <f t="shared" si="69"/>
        <v/>
      </c>
    </row>
    <row r="1108" spans="64:66" ht="11.25" customHeight="1" x14ac:dyDescent="0.25">
      <c r="BL1108" s="8" t="str">
        <f t="shared" si="67"/>
        <v/>
      </c>
      <c r="BM1108" s="6" t="str">
        <f t="shared" si="68"/>
        <v/>
      </c>
      <c r="BN1108" s="6" t="str">
        <f t="shared" si="69"/>
        <v/>
      </c>
    </row>
    <row r="1109" spans="64:66" ht="11.25" customHeight="1" x14ac:dyDescent="0.25">
      <c r="BL1109" s="8" t="str">
        <f t="shared" si="67"/>
        <v/>
      </c>
      <c r="BM1109" s="6" t="str">
        <f t="shared" si="68"/>
        <v/>
      </c>
      <c r="BN1109" s="6" t="str">
        <f t="shared" si="69"/>
        <v/>
      </c>
    </row>
    <row r="1110" spans="64:66" ht="11.25" customHeight="1" x14ac:dyDescent="0.25">
      <c r="BL1110" s="8" t="str">
        <f t="shared" si="67"/>
        <v/>
      </c>
      <c r="BM1110" s="6" t="str">
        <f t="shared" si="68"/>
        <v/>
      </c>
      <c r="BN1110" s="6" t="str">
        <f t="shared" si="69"/>
        <v/>
      </c>
    </row>
    <row r="1111" spans="64:66" ht="11.25" customHeight="1" x14ac:dyDescent="0.25">
      <c r="BL1111" s="8" t="str">
        <f t="shared" si="67"/>
        <v/>
      </c>
      <c r="BM1111" s="6" t="str">
        <f t="shared" si="68"/>
        <v/>
      </c>
      <c r="BN1111" s="6" t="str">
        <f t="shared" si="69"/>
        <v/>
      </c>
    </row>
    <row r="1112" spans="64:66" ht="11.25" customHeight="1" x14ac:dyDescent="0.25">
      <c r="BL1112" s="8" t="str">
        <f t="shared" si="67"/>
        <v/>
      </c>
      <c r="BM1112" s="6" t="str">
        <f t="shared" si="68"/>
        <v/>
      </c>
      <c r="BN1112" s="6" t="str">
        <f t="shared" si="69"/>
        <v/>
      </c>
    </row>
    <row r="1113" spans="64:66" ht="11.25" customHeight="1" x14ac:dyDescent="0.25">
      <c r="BL1113" s="8" t="str">
        <f t="shared" si="67"/>
        <v/>
      </c>
      <c r="BM1113" s="6" t="str">
        <f t="shared" si="68"/>
        <v/>
      </c>
      <c r="BN1113" s="6" t="str">
        <f t="shared" si="69"/>
        <v/>
      </c>
    </row>
    <row r="1114" spans="64:66" ht="11.25" customHeight="1" x14ac:dyDescent="0.25">
      <c r="BL1114" s="8" t="str">
        <f t="shared" si="67"/>
        <v/>
      </c>
      <c r="BM1114" s="6" t="str">
        <f t="shared" si="68"/>
        <v/>
      </c>
      <c r="BN1114" s="6" t="str">
        <f t="shared" si="69"/>
        <v/>
      </c>
    </row>
    <row r="1115" spans="64:66" ht="11.25" customHeight="1" x14ac:dyDescent="0.25">
      <c r="BL1115" s="8" t="str">
        <f t="shared" si="67"/>
        <v/>
      </c>
      <c r="BM1115" s="6" t="str">
        <f t="shared" si="68"/>
        <v/>
      </c>
      <c r="BN1115" s="6" t="str">
        <f t="shared" si="69"/>
        <v/>
      </c>
    </row>
    <row r="1116" spans="64:66" ht="11.25" customHeight="1" x14ac:dyDescent="0.25">
      <c r="BL1116" s="8" t="str">
        <f t="shared" si="67"/>
        <v/>
      </c>
      <c r="BM1116" s="6" t="str">
        <f t="shared" si="68"/>
        <v/>
      </c>
      <c r="BN1116" s="6" t="str">
        <f t="shared" si="69"/>
        <v/>
      </c>
    </row>
    <row r="1117" spans="64:66" ht="11.25" customHeight="1" x14ac:dyDescent="0.25">
      <c r="BL1117" s="8" t="str">
        <f t="shared" si="67"/>
        <v/>
      </c>
      <c r="BM1117" s="6" t="str">
        <f t="shared" si="68"/>
        <v/>
      </c>
      <c r="BN1117" s="6" t="str">
        <f t="shared" si="69"/>
        <v/>
      </c>
    </row>
    <row r="1118" spans="64:66" ht="11.25" customHeight="1" x14ac:dyDescent="0.25">
      <c r="BL1118" s="8" t="str">
        <f t="shared" si="67"/>
        <v/>
      </c>
      <c r="BM1118" s="6" t="str">
        <f t="shared" si="68"/>
        <v/>
      </c>
      <c r="BN1118" s="6" t="str">
        <f t="shared" si="69"/>
        <v/>
      </c>
    </row>
    <row r="1119" spans="64:66" ht="11.25" customHeight="1" x14ac:dyDescent="0.25">
      <c r="BL1119" s="8" t="str">
        <f t="shared" si="67"/>
        <v/>
      </c>
      <c r="BM1119" s="6" t="str">
        <f t="shared" si="68"/>
        <v/>
      </c>
      <c r="BN1119" s="6" t="str">
        <f t="shared" si="69"/>
        <v/>
      </c>
    </row>
    <row r="1120" spans="64:66" ht="11.25" customHeight="1" x14ac:dyDescent="0.25">
      <c r="BL1120" s="8" t="str">
        <f t="shared" si="67"/>
        <v/>
      </c>
      <c r="BM1120" s="6" t="str">
        <f t="shared" si="68"/>
        <v/>
      </c>
      <c r="BN1120" s="6" t="str">
        <f t="shared" si="69"/>
        <v/>
      </c>
    </row>
    <row r="1121" spans="64:66" ht="11.25" customHeight="1" x14ac:dyDescent="0.25">
      <c r="BL1121" s="8" t="str">
        <f t="shared" si="67"/>
        <v/>
      </c>
      <c r="BM1121" s="6" t="str">
        <f t="shared" si="68"/>
        <v/>
      </c>
      <c r="BN1121" s="6" t="str">
        <f t="shared" si="69"/>
        <v/>
      </c>
    </row>
    <row r="1122" spans="64:66" ht="11.25" customHeight="1" x14ac:dyDescent="0.25">
      <c r="BL1122" s="8" t="str">
        <f t="shared" si="67"/>
        <v/>
      </c>
      <c r="BM1122" s="6" t="str">
        <f t="shared" si="68"/>
        <v/>
      </c>
      <c r="BN1122" s="6" t="str">
        <f t="shared" si="69"/>
        <v/>
      </c>
    </row>
    <row r="1123" spans="64:66" ht="11.25" customHeight="1" x14ac:dyDescent="0.25">
      <c r="BL1123" s="8" t="str">
        <f t="shared" si="67"/>
        <v/>
      </c>
      <c r="BM1123" s="6" t="str">
        <f t="shared" si="68"/>
        <v/>
      </c>
      <c r="BN1123" s="6" t="str">
        <f t="shared" si="69"/>
        <v/>
      </c>
    </row>
    <row r="1124" spans="64:66" ht="11.25" customHeight="1" x14ac:dyDescent="0.25">
      <c r="BL1124" s="8" t="str">
        <f t="shared" si="67"/>
        <v/>
      </c>
      <c r="BM1124" s="6" t="str">
        <f t="shared" si="68"/>
        <v/>
      </c>
      <c r="BN1124" s="6" t="str">
        <f t="shared" si="69"/>
        <v/>
      </c>
    </row>
    <row r="1125" spans="64:66" ht="11.25" customHeight="1" x14ac:dyDescent="0.25">
      <c r="BL1125" s="8" t="str">
        <f t="shared" si="67"/>
        <v/>
      </c>
      <c r="BM1125" s="6" t="str">
        <f t="shared" si="68"/>
        <v/>
      </c>
      <c r="BN1125" s="6" t="str">
        <f t="shared" si="69"/>
        <v/>
      </c>
    </row>
    <row r="1126" spans="64:66" ht="11.25" customHeight="1" x14ac:dyDescent="0.25">
      <c r="BL1126" s="8" t="str">
        <f t="shared" si="67"/>
        <v/>
      </c>
      <c r="BM1126" s="6" t="str">
        <f t="shared" si="68"/>
        <v/>
      </c>
      <c r="BN1126" s="6" t="str">
        <f t="shared" si="69"/>
        <v/>
      </c>
    </row>
    <row r="1127" spans="64:66" ht="11.25" customHeight="1" x14ac:dyDescent="0.25">
      <c r="BL1127" s="8" t="str">
        <f t="shared" si="67"/>
        <v/>
      </c>
      <c r="BM1127" s="6" t="str">
        <f t="shared" si="68"/>
        <v/>
      </c>
      <c r="BN1127" s="6" t="str">
        <f t="shared" si="69"/>
        <v/>
      </c>
    </row>
    <row r="1128" spans="64:66" ht="11.25" customHeight="1" x14ac:dyDescent="0.25">
      <c r="BL1128" s="8" t="str">
        <f t="shared" si="67"/>
        <v/>
      </c>
      <c r="BM1128" s="6" t="str">
        <f t="shared" si="68"/>
        <v/>
      </c>
      <c r="BN1128" s="6" t="str">
        <f t="shared" si="69"/>
        <v/>
      </c>
    </row>
    <row r="1129" spans="64:66" ht="11.25" customHeight="1" x14ac:dyDescent="0.25">
      <c r="BL1129" s="8" t="str">
        <f t="shared" si="67"/>
        <v/>
      </c>
      <c r="BM1129" s="6" t="str">
        <f t="shared" si="68"/>
        <v/>
      </c>
      <c r="BN1129" s="6" t="str">
        <f t="shared" si="69"/>
        <v/>
      </c>
    </row>
    <row r="1130" spans="64:66" ht="11.25" customHeight="1" x14ac:dyDescent="0.25">
      <c r="BL1130" s="8" t="str">
        <f t="shared" si="67"/>
        <v/>
      </c>
      <c r="BM1130" s="6" t="str">
        <f t="shared" si="68"/>
        <v/>
      </c>
      <c r="BN1130" s="6" t="str">
        <f t="shared" si="69"/>
        <v/>
      </c>
    </row>
    <row r="1131" spans="64:66" ht="11.25" customHeight="1" x14ac:dyDescent="0.25">
      <c r="BL1131" s="8" t="str">
        <f t="shared" si="67"/>
        <v/>
      </c>
      <c r="BM1131" s="6" t="str">
        <f t="shared" si="68"/>
        <v/>
      </c>
      <c r="BN1131" s="6" t="str">
        <f t="shared" si="69"/>
        <v/>
      </c>
    </row>
    <row r="1132" spans="64:66" ht="11.25" customHeight="1" x14ac:dyDescent="0.25">
      <c r="BL1132" s="8" t="str">
        <f t="shared" si="67"/>
        <v/>
      </c>
      <c r="BM1132" s="6" t="str">
        <f t="shared" si="68"/>
        <v/>
      </c>
      <c r="BN1132" s="6" t="str">
        <f t="shared" si="69"/>
        <v/>
      </c>
    </row>
    <row r="1133" spans="64:66" ht="11.25" customHeight="1" x14ac:dyDescent="0.25">
      <c r="BL1133" s="8" t="str">
        <f t="shared" si="67"/>
        <v/>
      </c>
      <c r="BM1133" s="6" t="str">
        <f t="shared" si="68"/>
        <v/>
      </c>
      <c r="BN1133" s="6" t="str">
        <f t="shared" si="69"/>
        <v/>
      </c>
    </row>
    <row r="1134" spans="64:66" ht="11.25" customHeight="1" x14ac:dyDescent="0.25">
      <c r="BL1134" s="8" t="str">
        <f t="shared" si="67"/>
        <v/>
      </c>
      <c r="BM1134" s="6" t="str">
        <f t="shared" si="68"/>
        <v/>
      </c>
      <c r="BN1134" s="6" t="str">
        <f t="shared" si="69"/>
        <v/>
      </c>
    </row>
    <row r="1135" spans="64:66" ht="11.25" customHeight="1" x14ac:dyDescent="0.25">
      <c r="BL1135" s="8" t="str">
        <f t="shared" si="67"/>
        <v/>
      </c>
      <c r="BM1135" s="6" t="str">
        <f t="shared" si="68"/>
        <v/>
      </c>
      <c r="BN1135" s="6" t="str">
        <f t="shared" si="69"/>
        <v/>
      </c>
    </row>
    <row r="1136" spans="64:66" ht="11.25" customHeight="1" x14ac:dyDescent="0.25">
      <c r="BL1136" s="8" t="str">
        <f t="shared" si="67"/>
        <v/>
      </c>
      <c r="BM1136" s="6" t="str">
        <f t="shared" si="68"/>
        <v/>
      </c>
      <c r="BN1136" s="6" t="str">
        <f t="shared" si="69"/>
        <v/>
      </c>
    </row>
    <row r="1137" spans="64:66" ht="11.25" customHeight="1" x14ac:dyDescent="0.25">
      <c r="BL1137" s="8" t="str">
        <f t="shared" si="67"/>
        <v/>
      </c>
      <c r="BM1137" s="6" t="str">
        <f t="shared" si="68"/>
        <v/>
      </c>
      <c r="BN1137" s="6" t="str">
        <f t="shared" si="69"/>
        <v/>
      </c>
    </row>
    <row r="1138" spans="64:66" ht="11.25" customHeight="1" x14ac:dyDescent="0.25">
      <c r="BL1138" s="8" t="str">
        <f t="shared" si="67"/>
        <v/>
      </c>
      <c r="BM1138" s="6" t="str">
        <f t="shared" si="68"/>
        <v/>
      </c>
      <c r="BN1138" s="6" t="str">
        <f t="shared" si="69"/>
        <v/>
      </c>
    </row>
    <row r="1139" spans="64:66" ht="11.25" customHeight="1" x14ac:dyDescent="0.25">
      <c r="BL1139" s="8" t="str">
        <f t="shared" si="67"/>
        <v/>
      </c>
      <c r="BM1139" s="6" t="str">
        <f t="shared" si="68"/>
        <v/>
      </c>
      <c r="BN1139" s="6" t="str">
        <f t="shared" si="69"/>
        <v/>
      </c>
    </row>
    <row r="1140" spans="64:66" ht="11.25" customHeight="1" x14ac:dyDescent="0.25">
      <c r="BL1140" s="8" t="str">
        <f t="shared" si="67"/>
        <v/>
      </c>
      <c r="BM1140" s="6" t="str">
        <f t="shared" si="68"/>
        <v/>
      </c>
      <c r="BN1140" s="6" t="str">
        <f t="shared" si="69"/>
        <v/>
      </c>
    </row>
    <row r="1141" spans="64:66" ht="11.25" customHeight="1" x14ac:dyDescent="0.25">
      <c r="BL1141" s="8" t="str">
        <f t="shared" si="67"/>
        <v/>
      </c>
      <c r="BM1141" s="6" t="str">
        <f t="shared" si="68"/>
        <v/>
      </c>
      <c r="BN1141" s="6" t="str">
        <f t="shared" si="69"/>
        <v/>
      </c>
    </row>
    <row r="1142" spans="64:66" ht="11.25" customHeight="1" x14ac:dyDescent="0.25">
      <c r="BL1142" s="8" t="str">
        <f t="shared" si="67"/>
        <v/>
      </c>
      <c r="BM1142" s="6" t="str">
        <f t="shared" si="68"/>
        <v/>
      </c>
      <c r="BN1142" s="6" t="str">
        <f t="shared" si="69"/>
        <v/>
      </c>
    </row>
    <row r="1143" spans="64:66" ht="11.25" customHeight="1" x14ac:dyDescent="0.25">
      <c r="BL1143" s="8" t="str">
        <f t="shared" si="67"/>
        <v/>
      </c>
      <c r="BM1143" s="6" t="str">
        <f t="shared" si="68"/>
        <v/>
      </c>
      <c r="BN1143" s="6" t="str">
        <f t="shared" si="69"/>
        <v/>
      </c>
    </row>
    <row r="1144" spans="64:66" ht="11.25" customHeight="1" x14ac:dyDescent="0.25">
      <c r="BL1144" s="8" t="str">
        <f t="shared" si="67"/>
        <v/>
      </c>
      <c r="BM1144" s="6" t="str">
        <f t="shared" si="68"/>
        <v/>
      </c>
      <c r="BN1144" s="6" t="str">
        <f t="shared" si="69"/>
        <v/>
      </c>
    </row>
    <row r="1145" spans="64:66" ht="11.25" customHeight="1" x14ac:dyDescent="0.25">
      <c r="BL1145" s="8" t="str">
        <f t="shared" si="67"/>
        <v/>
      </c>
      <c r="BM1145" s="6" t="str">
        <f t="shared" si="68"/>
        <v/>
      </c>
      <c r="BN1145" s="6" t="str">
        <f t="shared" si="69"/>
        <v/>
      </c>
    </row>
    <row r="1146" spans="64:66" ht="11.25" customHeight="1" x14ac:dyDescent="0.25">
      <c r="BL1146" s="8" t="str">
        <f t="shared" si="67"/>
        <v/>
      </c>
      <c r="BM1146" s="6" t="str">
        <f t="shared" si="68"/>
        <v/>
      </c>
      <c r="BN1146" s="6" t="str">
        <f t="shared" si="69"/>
        <v/>
      </c>
    </row>
    <row r="1147" spans="64:66" ht="11.25" customHeight="1" x14ac:dyDescent="0.25">
      <c r="BL1147" s="8" t="str">
        <f t="shared" si="67"/>
        <v/>
      </c>
      <c r="BM1147" s="6" t="str">
        <f t="shared" si="68"/>
        <v/>
      </c>
      <c r="BN1147" s="6" t="str">
        <f t="shared" si="69"/>
        <v/>
      </c>
    </row>
    <row r="1148" spans="64:66" ht="11.25" customHeight="1" x14ac:dyDescent="0.25">
      <c r="BL1148" s="8" t="str">
        <f t="shared" si="67"/>
        <v/>
      </c>
      <c r="BM1148" s="6" t="str">
        <f t="shared" si="68"/>
        <v/>
      </c>
      <c r="BN1148" s="6" t="str">
        <f t="shared" si="69"/>
        <v/>
      </c>
    </row>
    <row r="1149" spans="64:66" ht="11.25" customHeight="1" x14ac:dyDescent="0.25">
      <c r="BL1149" s="8" t="str">
        <f t="shared" si="67"/>
        <v/>
      </c>
      <c r="BM1149" s="6" t="str">
        <f t="shared" si="68"/>
        <v/>
      </c>
      <c r="BN1149" s="6" t="str">
        <f t="shared" si="69"/>
        <v/>
      </c>
    </row>
    <row r="1150" spans="64:66" ht="11.25" customHeight="1" x14ac:dyDescent="0.25">
      <c r="BL1150" s="8" t="str">
        <f t="shared" si="67"/>
        <v/>
      </c>
      <c r="BM1150" s="6" t="str">
        <f t="shared" si="68"/>
        <v/>
      </c>
      <c r="BN1150" s="6" t="str">
        <f t="shared" si="69"/>
        <v/>
      </c>
    </row>
    <row r="1151" spans="64:66" ht="11.25" customHeight="1" x14ac:dyDescent="0.25">
      <c r="BL1151" s="8" t="str">
        <f t="shared" si="67"/>
        <v/>
      </c>
      <c r="BM1151" s="6" t="str">
        <f t="shared" si="68"/>
        <v/>
      </c>
      <c r="BN1151" s="6" t="str">
        <f t="shared" si="69"/>
        <v/>
      </c>
    </row>
    <row r="1152" spans="64:66" ht="11.25" customHeight="1" x14ac:dyDescent="0.25">
      <c r="BL1152" s="8" t="str">
        <f t="shared" si="67"/>
        <v/>
      </c>
      <c r="BM1152" s="6" t="str">
        <f t="shared" si="68"/>
        <v/>
      </c>
      <c r="BN1152" s="6" t="str">
        <f t="shared" si="69"/>
        <v/>
      </c>
    </row>
    <row r="1153" spans="64:66" ht="11.25" customHeight="1" x14ac:dyDescent="0.25">
      <c r="BL1153" s="8" t="str">
        <f t="shared" si="67"/>
        <v/>
      </c>
      <c r="BM1153" s="6" t="str">
        <f t="shared" si="68"/>
        <v/>
      </c>
      <c r="BN1153" s="6" t="str">
        <f t="shared" si="69"/>
        <v/>
      </c>
    </row>
    <row r="1154" spans="64:66" ht="11.25" customHeight="1" x14ac:dyDescent="0.25">
      <c r="BL1154" s="8" t="str">
        <f t="shared" si="67"/>
        <v/>
      </c>
      <c r="BM1154" s="6" t="str">
        <f t="shared" si="68"/>
        <v/>
      </c>
      <c r="BN1154" s="6" t="str">
        <f t="shared" si="69"/>
        <v/>
      </c>
    </row>
    <row r="1155" spans="64:66" ht="11.25" customHeight="1" x14ac:dyDescent="0.25">
      <c r="BL1155" s="8" t="str">
        <f t="shared" si="67"/>
        <v/>
      </c>
      <c r="BM1155" s="6" t="str">
        <f t="shared" si="68"/>
        <v/>
      </c>
      <c r="BN1155" s="6" t="str">
        <f t="shared" si="69"/>
        <v/>
      </c>
    </row>
    <row r="1156" spans="64:66" ht="11.25" customHeight="1" x14ac:dyDescent="0.25">
      <c r="BL1156" s="8" t="str">
        <f t="shared" si="67"/>
        <v/>
      </c>
      <c r="BM1156" s="6" t="str">
        <f t="shared" si="68"/>
        <v/>
      </c>
      <c r="BN1156" s="6" t="str">
        <f t="shared" si="69"/>
        <v/>
      </c>
    </row>
    <row r="1157" spans="64:66" ht="11.25" customHeight="1" x14ac:dyDescent="0.25">
      <c r="BL1157" s="8" t="str">
        <f t="shared" si="67"/>
        <v/>
      </c>
      <c r="BM1157" s="6" t="str">
        <f t="shared" si="68"/>
        <v/>
      </c>
      <c r="BN1157" s="6" t="str">
        <f t="shared" si="69"/>
        <v/>
      </c>
    </row>
    <row r="1158" spans="64:66" ht="11.25" customHeight="1" x14ac:dyDescent="0.25">
      <c r="BL1158" s="8" t="str">
        <f t="shared" ref="BL1158:BL1221" si="70">IF(ROW()&lt;=$BL$4,ROW()-ROW(BL$4),"")</f>
        <v/>
      </c>
      <c r="BM1158" s="6" t="str">
        <f t="shared" si="68"/>
        <v/>
      </c>
      <c r="BN1158" s="6" t="str">
        <f t="shared" si="69"/>
        <v/>
      </c>
    </row>
    <row r="1159" spans="64:66" ht="11.25" customHeight="1" x14ac:dyDescent="0.25">
      <c r="BL1159" s="8" t="str">
        <f t="shared" si="70"/>
        <v/>
      </c>
      <c r="BM1159" s="6" t="str">
        <f t="shared" si="68"/>
        <v/>
      </c>
      <c r="BN1159" s="6" t="str">
        <f t="shared" si="69"/>
        <v/>
      </c>
    </row>
    <row r="1160" spans="64:66" ht="11.25" customHeight="1" x14ac:dyDescent="0.25">
      <c r="BL1160" s="8" t="str">
        <f t="shared" si="70"/>
        <v/>
      </c>
      <c r="BM1160" s="6" t="str">
        <f t="shared" ref="BM1160:BM1223" si="71">IF(ISNUMBER(BL1160),INT(BL1159/$BN$4)+1,"")</f>
        <v/>
      </c>
      <c r="BN1160" s="6" t="str">
        <f t="shared" ref="BN1160:BN1223" si="72">IF(ISNUMBER(BL1160),IF(BM1159&lt;&gt;BM1160,1,BN1159+1),"")</f>
        <v/>
      </c>
    </row>
    <row r="1161" spans="64:66" ht="11.25" customHeight="1" x14ac:dyDescent="0.25">
      <c r="BL1161" s="8" t="str">
        <f t="shared" si="70"/>
        <v/>
      </c>
      <c r="BM1161" s="6" t="str">
        <f t="shared" si="71"/>
        <v/>
      </c>
      <c r="BN1161" s="6" t="str">
        <f t="shared" si="72"/>
        <v/>
      </c>
    </row>
    <row r="1162" spans="64:66" ht="11.25" customHeight="1" x14ac:dyDescent="0.25">
      <c r="BL1162" s="8" t="str">
        <f t="shared" si="70"/>
        <v/>
      </c>
      <c r="BM1162" s="6" t="str">
        <f t="shared" si="71"/>
        <v/>
      </c>
      <c r="BN1162" s="6" t="str">
        <f t="shared" si="72"/>
        <v/>
      </c>
    </row>
    <row r="1163" spans="64:66" ht="11.25" customHeight="1" x14ac:dyDescent="0.25">
      <c r="BL1163" s="8" t="str">
        <f t="shared" si="70"/>
        <v/>
      </c>
      <c r="BM1163" s="6" t="str">
        <f t="shared" si="71"/>
        <v/>
      </c>
      <c r="BN1163" s="6" t="str">
        <f t="shared" si="72"/>
        <v/>
      </c>
    </row>
    <row r="1164" spans="64:66" ht="11.25" customHeight="1" x14ac:dyDescent="0.25">
      <c r="BL1164" s="8" t="str">
        <f t="shared" si="70"/>
        <v/>
      </c>
      <c r="BM1164" s="6" t="str">
        <f t="shared" si="71"/>
        <v/>
      </c>
      <c r="BN1164" s="6" t="str">
        <f t="shared" si="72"/>
        <v/>
      </c>
    </row>
    <row r="1165" spans="64:66" ht="11.25" customHeight="1" x14ac:dyDescent="0.25">
      <c r="BL1165" s="8" t="str">
        <f t="shared" si="70"/>
        <v/>
      </c>
      <c r="BM1165" s="6" t="str">
        <f t="shared" si="71"/>
        <v/>
      </c>
      <c r="BN1165" s="6" t="str">
        <f t="shared" si="72"/>
        <v/>
      </c>
    </row>
    <row r="1166" spans="64:66" ht="11.25" customHeight="1" x14ac:dyDescent="0.25">
      <c r="BL1166" s="8" t="str">
        <f t="shared" si="70"/>
        <v/>
      </c>
      <c r="BM1166" s="6" t="str">
        <f t="shared" si="71"/>
        <v/>
      </c>
      <c r="BN1166" s="6" t="str">
        <f t="shared" si="72"/>
        <v/>
      </c>
    </row>
    <row r="1167" spans="64:66" ht="11.25" customHeight="1" x14ac:dyDescent="0.25">
      <c r="BL1167" s="8" t="str">
        <f t="shared" si="70"/>
        <v/>
      </c>
      <c r="BM1167" s="6" t="str">
        <f t="shared" si="71"/>
        <v/>
      </c>
      <c r="BN1167" s="6" t="str">
        <f t="shared" si="72"/>
        <v/>
      </c>
    </row>
    <row r="1168" spans="64:66" ht="11.25" customHeight="1" x14ac:dyDescent="0.25">
      <c r="BL1168" s="8" t="str">
        <f t="shared" si="70"/>
        <v/>
      </c>
      <c r="BM1168" s="6" t="str">
        <f t="shared" si="71"/>
        <v/>
      </c>
      <c r="BN1168" s="6" t="str">
        <f t="shared" si="72"/>
        <v/>
      </c>
    </row>
    <row r="1169" spans="64:66" ht="11.25" customHeight="1" x14ac:dyDescent="0.25">
      <c r="BL1169" s="8" t="str">
        <f t="shared" si="70"/>
        <v/>
      </c>
      <c r="BM1169" s="6" t="str">
        <f t="shared" si="71"/>
        <v/>
      </c>
      <c r="BN1169" s="6" t="str">
        <f t="shared" si="72"/>
        <v/>
      </c>
    </row>
    <row r="1170" spans="64:66" ht="11.25" customHeight="1" x14ac:dyDescent="0.25">
      <c r="BL1170" s="8" t="str">
        <f t="shared" si="70"/>
        <v/>
      </c>
      <c r="BM1170" s="6" t="str">
        <f t="shared" si="71"/>
        <v/>
      </c>
      <c r="BN1170" s="6" t="str">
        <f t="shared" si="72"/>
        <v/>
      </c>
    </row>
    <row r="1171" spans="64:66" ht="11.25" customHeight="1" x14ac:dyDescent="0.25">
      <c r="BL1171" s="8" t="str">
        <f t="shared" si="70"/>
        <v/>
      </c>
      <c r="BM1171" s="6" t="str">
        <f t="shared" si="71"/>
        <v/>
      </c>
      <c r="BN1171" s="6" t="str">
        <f t="shared" si="72"/>
        <v/>
      </c>
    </row>
    <row r="1172" spans="64:66" ht="11.25" customHeight="1" x14ac:dyDescent="0.25">
      <c r="BL1172" s="8" t="str">
        <f t="shared" si="70"/>
        <v/>
      </c>
      <c r="BM1172" s="6" t="str">
        <f t="shared" si="71"/>
        <v/>
      </c>
      <c r="BN1172" s="6" t="str">
        <f t="shared" si="72"/>
        <v/>
      </c>
    </row>
    <row r="1173" spans="64:66" ht="11.25" customHeight="1" x14ac:dyDescent="0.25">
      <c r="BL1173" s="8" t="str">
        <f t="shared" si="70"/>
        <v/>
      </c>
      <c r="BM1173" s="6" t="str">
        <f t="shared" si="71"/>
        <v/>
      </c>
      <c r="BN1173" s="6" t="str">
        <f t="shared" si="72"/>
        <v/>
      </c>
    </row>
    <row r="1174" spans="64:66" ht="11.25" customHeight="1" x14ac:dyDescent="0.25">
      <c r="BL1174" s="8" t="str">
        <f t="shared" si="70"/>
        <v/>
      </c>
      <c r="BM1174" s="6" t="str">
        <f t="shared" si="71"/>
        <v/>
      </c>
      <c r="BN1174" s="6" t="str">
        <f t="shared" si="72"/>
        <v/>
      </c>
    </row>
    <row r="1175" spans="64:66" ht="11.25" customHeight="1" x14ac:dyDescent="0.25">
      <c r="BL1175" s="8" t="str">
        <f t="shared" si="70"/>
        <v/>
      </c>
      <c r="BM1175" s="6" t="str">
        <f t="shared" si="71"/>
        <v/>
      </c>
      <c r="BN1175" s="6" t="str">
        <f t="shared" si="72"/>
        <v/>
      </c>
    </row>
    <row r="1176" spans="64:66" ht="11.25" customHeight="1" x14ac:dyDescent="0.25">
      <c r="BL1176" s="8" t="str">
        <f t="shared" si="70"/>
        <v/>
      </c>
      <c r="BM1176" s="6" t="str">
        <f t="shared" si="71"/>
        <v/>
      </c>
      <c r="BN1176" s="6" t="str">
        <f t="shared" si="72"/>
        <v/>
      </c>
    </row>
    <row r="1177" spans="64:66" ht="11.25" customHeight="1" x14ac:dyDescent="0.25">
      <c r="BL1177" s="8" t="str">
        <f t="shared" si="70"/>
        <v/>
      </c>
      <c r="BM1177" s="6" t="str">
        <f t="shared" si="71"/>
        <v/>
      </c>
      <c r="BN1177" s="6" t="str">
        <f t="shared" si="72"/>
        <v/>
      </c>
    </row>
    <row r="1178" spans="64:66" ht="11.25" customHeight="1" x14ac:dyDescent="0.25">
      <c r="BL1178" s="8" t="str">
        <f t="shared" si="70"/>
        <v/>
      </c>
      <c r="BM1178" s="6" t="str">
        <f t="shared" si="71"/>
        <v/>
      </c>
      <c r="BN1178" s="6" t="str">
        <f t="shared" si="72"/>
        <v/>
      </c>
    </row>
    <row r="1179" spans="64:66" ht="11.25" customHeight="1" x14ac:dyDescent="0.25">
      <c r="BL1179" s="8" t="str">
        <f t="shared" si="70"/>
        <v/>
      </c>
      <c r="BM1179" s="6" t="str">
        <f t="shared" si="71"/>
        <v/>
      </c>
      <c r="BN1179" s="6" t="str">
        <f t="shared" si="72"/>
        <v/>
      </c>
    </row>
    <row r="1180" spans="64:66" ht="11.25" customHeight="1" x14ac:dyDescent="0.25">
      <c r="BL1180" s="8" t="str">
        <f t="shared" si="70"/>
        <v/>
      </c>
      <c r="BM1180" s="6" t="str">
        <f t="shared" si="71"/>
        <v/>
      </c>
      <c r="BN1180" s="6" t="str">
        <f t="shared" si="72"/>
        <v/>
      </c>
    </row>
    <row r="1181" spans="64:66" ht="11.25" customHeight="1" x14ac:dyDescent="0.25">
      <c r="BL1181" s="8" t="str">
        <f t="shared" si="70"/>
        <v/>
      </c>
      <c r="BM1181" s="6" t="str">
        <f t="shared" si="71"/>
        <v/>
      </c>
      <c r="BN1181" s="6" t="str">
        <f t="shared" si="72"/>
        <v/>
      </c>
    </row>
    <row r="1182" spans="64:66" ht="11.25" customHeight="1" x14ac:dyDescent="0.25">
      <c r="BL1182" s="8" t="str">
        <f t="shared" si="70"/>
        <v/>
      </c>
      <c r="BM1182" s="6" t="str">
        <f t="shared" si="71"/>
        <v/>
      </c>
      <c r="BN1182" s="6" t="str">
        <f t="shared" si="72"/>
        <v/>
      </c>
    </row>
    <row r="1183" spans="64:66" ht="11.25" customHeight="1" x14ac:dyDescent="0.25">
      <c r="BL1183" s="8" t="str">
        <f t="shared" si="70"/>
        <v/>
      </c>
      <c r="BM1183" s="6" t="str">
        <f t="shared" si="71"/>
        <v/>
      </c>
      <c r="BN1183" s="6" t="str">
        <f t="shared" si="72"/>
        <v/>
      </c>
    </row>
    <row r="1184" spans="64:66" ht="11.25" customHeight="1" x14ac:dyDescent="0.25">
      <c r="BL1184" s="8" t="str">
        <f t="shared" si="70"/>
        <v/>
      </c>
      <c r="BM1184" s="6" t="str">
        <f t="shared" si="71"/>
        <v/>
      </c>
      <c r="BN1184" s="6" t="str">
        <f t="shared" si="72"/>
        <v/>
      </c>
    </row>
    <row r="1185" spans="64:66" ht="11.25" customHeight="1" x14ac:dyDescent="0.25">
      <c r="BL1185" s="8" t="str">
        <f t="shared" si="70"/>
        <v/>
      </c>
      <c r="BM1185" s="6" t="str">
        <f t="shared" si="71"/>
        <v/>
      </c>
      <c r="BN1185" s="6" t="str">
        <f t="shared" si="72"/>
        <v/>
      </c>
    </row>
    <row r="1186" spans="64:66" ht="11.25" customHeight="1" x14ac:dyDescent="0.25">
      <c r="BL1186" s="8" t="str">
        <f t="shared" si="70"/>
        <v/>
      </c>
      <c r="BM1186" s="6" t="str">
        <f t="shared" si="71"/>
        <v/>
      </c>
      <c r="BN1186" s="6" t="str">
        <f t="shared" si="72"/>
        <v/>
      </c>
    </row>
    <row r="1187" spans="64:66" ht="11.25" customHeight="1" x14ac:dyDescent="0.25">
      <c r="BL1187" s="8" t="str">
        <f t="shared" si="70"/>
        <v/>
      </c>
      <c r="BM1187" s="6" t="str">
        <f t="shared" si="71"/>
        <v/>
      </c>
      <c r="BN1187" s="6" t="str">
        <f t="shared" si="72"/>
        <v/>
      </c>
    </row>
    <row r="1188" spans="64:66" ht="11.25" customHeight="1" x14ac:dyDescent="0.25">
      <c r="BL1188" s="8" t="str">
        <f t="shared" si="70"/>
        <v/>
      </c>
      <c r="BM1188" s="6" t="str">
        <f t="shared" si="71"/>
        <v/>
      </c>
      <c r="BN1188" s="6" t="str">
        <f t="shared" si="72"/>
        <v/>
      </c>
    </row>
    <row r="1189" spans="64:66" ht="11.25" customHeight="1" x14ac:dyDescent="0.25">
      <c r="BL1189" s="8" t="str">
        <f t="shared" si="70"/>
        <v/>
      </c>
      <c r="BM1189" s="6" t="str">
        <f t="shared" si="71"/>
        <v/>
      </c>
      <c r="BN1189" s="6" t="str">
        <f t="shared" si="72"/>
        <v/>
      </c>
    </row>
    <row r="1190" spans="64:66" ht="11.25" customHeight="1" x14ac:dyDescent="0.25">
      <c r="BL1190" s="8" t="str">
        <f t="shared" si="70"/>
        <v/>
      </c>
      <c r="BM1190" s="6" t="str">
        <f t="shared" si="71"/>
        <v/>
      </c>
      <c r="BN1190" s="6" t="str">
        <f t="shared" si="72"/>
        <v/>
      </c>
    </row>
    <row r="1191" spans="64:66" ht="11.25" customHeight="1" x14ac:dyDescent="0.25">
      <c r="BL1191" s="8" t="str">
        <f t="shared" si="70"/>
        <v/>
      </c>
      <c r="BM1191" s="6" t="str">
        <f t="shared" si="71"/>
        <v/>
      </c>
      <c r="BN1191" s="6" t="str">
        <f t="shared" si="72"/>
        <v/>
      </c>
    </row>
    <row r="1192" spans="64:66" ht="11.25" customHeight="1" x14ac:dyDescent="0.25">
      <c r="BL1192" s="8" t="str">
        <f t="shared" si="70"/>
        <v/>
      </c>
      <c r="BM1192" s="6" t="str">
        <f t="shared" si="71"/>
        <v/>
      </c>
      <c r="BN1192" s="6" t="str">
        <f t="shared" si="72"/>
        <v/>
      </c>
    </row>
    <row r="1193" spans="64:66" ht="11.25" customHeight="1" x14ac:dyDescent="0.25">
      <c r="BL1193" s="8" t="str">
        <f t="shared" si="70"/>
        <v/>
      </c>
      <c r="BM1193" s="6" t="str">
        <f t="shared" si="71"/>
        <v/>
      </c>
      <c r="BN1193" s="6" t="str">
        <f t="shared" si="72"/>
        <v/>
      </c>
    </row>
    <row r="1194" spans="64:66" ht="11.25" customHeight="1" x14ac:dyDescent="0.25">
      <c r="BL1194" s="8" t="str">
        <f t="shared" si="70"/>
        <v/>
      </c>
      <c r="BM1194" s="6" t="str">
        <f t="shared" si="71"/>
        <v/>
      </c>
      <c r="BN1194" s="6" t="str">
        <f t="shared" si="72"/>
        <v/>
      </c>
    </row>
    <row r="1195" spans="64:66" ht="11.25" customHeight="1" x14ac:dyDescent="0.25">
      <c r="BL1195" s="8" t="str">
        <f t="shared" si="70"/>
        <v/>
      </c>
      <c r="BM1195" s="6" t="str">
        <f t="shared" si="71"/>
        <v/>
      </c>
      <c r="BN1195" s="6" t="str">
        <f t="shared" si="72"/>
        <v/>
      </c>
    </row>
    <row r="1196" spans="64:66" ht="11.25" customHeight="1" x14ac:dyDescent="0.25">
      <c r="BL1196" s="8" t="str">
        <f t="shared" si="70"/>
        <v/>
      </c>
      <c r="BM1196" s="6" t="str">
        <f t="shared" si="71"/>
        <v/>
      </c>
      <c r="BN1196" s="6" t="str">
        <f t="shared" si="72"/>
        <v/>
      </c>
    </row>
    <row r="1197" spans="64:66" ht="11.25" customHeight="1" x14ac:dyDescent="0.25">
      <c r="BL1197" s="8" t="str">
        <f t="shared" si="70"/>
        <v/>
      </c>
      <c r="BM1197" s="6" t="str">
        <f t="shared" si="71"/>
        <v/>
      </c>
      <c r="BN1197" s="6" t="str">
        <f t="shared" si="72"/>
        <v/>
      </c>
    </row>
    <row r="1198" spans="64:66" ht="11.25" customHeight="1" x14ac:dyDescent="0.25">
      <c r="BL1198" s="8" t="str">
        <f t="shared" si="70"/>
        <v/>
      </c>
      <c r="BM1198" s="6" t="str">
        <f t="shared" si="71"/>
        <v/>
      </c>
      <c r="BN1198" s="6" t="str">
        <f t="shared" si="72"/>
        <v/>
      </c>
    </row>
    <row r="1199" spans="64:66" ht="11.25" customHeight="1" x14ac:dyDescent="0.25">
      <c r="BL1199" s="8" t="str">
        <f t="shared" si="70"/>
        <v/>
      </c>
      <c r="BM1199" s="6" t="str">
        <f t="shared" si="71"/>
        <v/>
      </c>
      <c r="BN1199" s="6" t="str">
        <f t="shared" si="72"/>
        <v/>
      </c>
    </row>
    <row r="1200" spans="64:66" ht="11.25" customHeight="1" x14ac:dyDescent="0.25">
      <c r="BL1200" s="8" t="str">
        <f t="shared" si="70"/>
        <v/>
      </c>
      <c r="BM1200" s="6" t="str">
        <f t="shared" si="71"/>
        <v/>
      </c>
      <c r="BN1200" s="6" t="str">
        <f t="shared" si="72"/>
        <v/>
      </c>
    </row>
    <row r="1201" spans="64:66" ht="11.25" customHeight="1" x14ac:dyDescent="0.25">
      <c r="BL1201" s="8" t="str">
        <f t="shared" si="70"/>
        <v/>
      </c>
      <c r="BM1201" s="6" t="str">
        <f t="shared" si="71"/>
        <v/>
      </c>
      <c r="BN1201" s="6" t="str">
        <f t="shared" si="72"/>
        <v/>
      </c>
    </row>
    <row r="1202" spans="64:66" ht="11.25" customHeight="1" x14ac:dyDescent="0.25">
      <c r="BL1202" s="8" t="str">
        <f t="shared" si="70"/>
        <v/>
      </c>
      <c r="BM1202" s="6" t="str">
        <f t="shared" si="71"/>
        <v/>
      </c>
      <c r="BN1202" s="6" t="str">
        <f t="shared" si="72"/>
        <v/>
      </c>
    </row>
    <row r="1203" spans="64:66" ht="11.25" customHeight="1" x14ac:dyDescent="0.25">
      <c r="BL1203" s="8" t="str">
        <f t="shared" si="70"/>
        <v/>
      </c>
      <c r="BM1203" s="6" t="str">
        <f t="shared" si="71"/>
        <v/>
      </c>
      <c r="BN1203" s="6" t="str">
        <f t="shared" si="72"/>
        <v/>
      </c>
    </row>
    <row r="1204" spans="64:66" ht="11.25" customHeight="1" x14ac:dyDescent="0.25">
      <c r="BL1204" s="8" t="str">
        <f t="shared" si="70"/>
        <v/>
      </c>
      <c r="BM1204" s="6" t="str">
        <f t="shared" si="71"/>
        <v/>
      </c>
      <c r="BN1204" s="6" t="str">
        <f t="shared" si="72"/>
        <v/>
      </c>
    </row>
    <row r="1205" spans="64:66" ht="11.25" customHeight="1" x14ac:dyDescent="0.25">
      <c r="BL1205" s="8" t="str">
        <f t="shared" si="70"/>
        <v/>
      </c>
      <c r="BM1205" s="6" t="str">
        <f t="shared" si="71"/>
        <v/>
      </c>
      <c r="BN1205" s="6" t="str">
        <f t="shared" si="72"/>
        <v/>
      </c>
    </row>
    <row r="1206" spans="64:66" ht="11.25" customHeight="1" x14ac:dyDescent="0.25">
      <c r="BL1206" s="8" t="str">
        <f t="shared" si="70"/>
        <v/>
      </c>
      <c r="BM1206" s="6" t="str">
        <f t="shared" si="71"/>
        <v/>
      </c>
      <c r="BN1206" s="6" t="str">
        <f t="shared" si="72"/>
        <v/>
      </c>
    </row>
    <row r="1207" spans="64:66" ht="11.25" customHeight="1" x14ac:dyDescent="0.25">
      <c r="BL1207" s="8" t="str">
        <f t="shared" si="70"/>
        <v/>
      </c>
      <c r="BM1207" s="6" t="str">
        <f t="shared" si="71"/>
        <v/>
      </c>
      <c r="BN1207" s="6" t="str">
        <f t="shared" si="72"/>
        <v/>
      </c>
    </row>
    <row r="1208" spans="64:66" ht="11.25" customHeight="1" x14ac:dyDescent="0.25">
      <c r="BL1208" s="8" t="str">
        <f t="shared" si="70"/>
        <v/>
      </c>
      <c r="BM1208" s="6" t="str">
        <f t="shared" si="71"/>
        <v/>
      </c>
      <c r="BN1208" s="6" t="str">
        <f t="shared" si="72"/>
        <v/>
      </c>
    </row>
    <row r="1209" spans="64:66" ht="11.25" customHeight="1" x14ac:dyDescent="0.25">
      <c r="BL1209" s="8" t="str">
        <f t="shared" si="70"/>
        <v/>
      </c>
      <c r="BM1209" s="6" t="str">
        <f t="shared" si="71"/>
        <v/>
      </c>
      <c r="BN1209" s="6" t="str">
        <f t="shared" si="72"/>
        <v/>
      </c>
    </row>
    <row r="1210" spans="64:66" ht="11.25" customHeight="1" x14ac:dyDescent="0.25">
      <c r="BL1210" s="8" t="str">
        <f t="shared" si="70"/>
        <v/>
      </c>
      <c r="BM1210" s="6" t="str">
        <f t="shared" si="71"/>
        <v/>
      </c>
      <c r="BN1210" s="6" t="str">
        <f t="shared" si="72"/>
        <v/>
      </c>
    </row>
    <row r="1211" spans="64:66" ht="11.25" customHeight="1" x14ac:dyDescent="0.25">
      <c r="BL1211" s="8" t="str">
        <f t="shared" si="70"/>
        <v/>
      </c>
      <c r="BM1211" s="6" t="str">
        <f t="shared" si="71"/>
        <v/>
      </c>
      <c r="BN1211" s="6" t="str">
        <f t="shared" si="72"/>
        <v/>
      </c>
    </row>
    <row r="1212" spans="64:66" ht="11.25" customHeight="1" x14ac:dyDescent="0.25">
      <c r="BL1212" s="8" t="str">
        <f t="shared" si="70"/>
        <v/>
      </c>
      <c r="BM1212" s="6" t="str">
        <f t="shared" si="71"/>
        <v/>
      </c>
      <c r="BN1212" s="6" t="str">
        <f t="shared" si="72"/>
        <v/>
      </c>
    </row>
    <row r="1213" spans="64:66" ht="11.25" customHeight="1" x14ac:dyDescent="0.25">
      <c r="BL1213" s="8" t="str">
        <f t="shared" si="70"/>
        <v/>
      </c>
      <c r="BM1213" s="6" t="str">
        <f t="shared" si="71"/>
        <v/>
      </c>
      <c r="BN1213" s="6" t="str">
        <f t="shared" si="72"/>
        <v/>
      </c>
    </row>
    <row r="1214" spans="64:66" ht="11.25" customHeight="1" x14ac:dyDescent="0.25">
      <c r="BL1214" s="8" t="str">
        <f t="shared" si="70"/>
        <v/>
      </c>
      <c r="BM1214" s="6" t="str">
        <f t="shared" si="71"/>
        <v/>
      </c>
      <c r="BN1214" s="6" t="str">
        <f t="shared" si="72"/>
        <v/>
      </c>
    </row>
    <row r="1215" spans="64:66" ht="11.25" customHeight="1" x14ac:dyDescent="0.25">
      <c r="BL1215" s="8" t="str">
        <f t="shared" si="70"/>
        <v/>
      </c>
      <c r="BM1215" s="6" t="str">
        <f t="shared" si="71"/>
        <v/>
      </c>
      <c r="BN1215" s="6" t="str">
        <f t="shared" si="72"/>
        <v/>
      </c>
    </row>
    <row r="1216" spans="64:66" ht="11.25" customHeight="1" x14ac:dyDescent="0.25">
      <c r="BL1216" s="8" t="str">
        <f t="shared" si="70"/>
        <v/>
      </c>
      <c r="BM1216" s="6" t="str">
        <f t="shared" si="71"/>
        <v/>
      </c>
      <c r="BN1216" s="6" t="str">
        <f t="shared" si="72"/>
        <v/>
      </c>
    </row>
    <row r="1217" spans="64:66" ht="11.25" customHeight="1" x14ac:dyDescent="0.25">
      <c r="BL1217" s="8" t="str">
        <f t="shared" si="70"/>
        <v/>
      </c>
      <c r="BM1217" s="6" t="str">
        <f t="shared" si="71"/>
        <v/>
      </c>
      <c r="BN1217" s="6" t="str">
        <f t="shared" si="72"/>
        <v/>
      </c>
    </row>
    <row r="1218" spans="64:66" ht="11.25" customHeight="1" x14ac:dyDescent="0.25">
      <c r="BL1218" s="8" t="str">
        <f t="shared" si="70"/>
        <v/>
      </c>
      <c r="BM1218" s="6" t="str">
        <f t="shared" si="71"/>
        <v/>
      </c>
      <c r="BN1218" s="6" t="str">
        <f t="shared" si="72"/>
        <v/>
      </c>
    </row>
    <row r="1219" spans="64:66" ht="11.25" customHeight="1" x14ac:dyDescent="0.25">
      <c r="BL1219" s="8" t="str">
        <f t="shared" si="70"/>
        <v/>
      </c>
      <c r="BM1219" s="6" t="str">
        <f t="shared" si="71"/>
        <v/>
      </c>
      <c r="BN1219" s="6" t="str">
        <f t="shared" si="72"/>
        <v/>
      </c>
    </row>
    <row r="1220" spans="64:66" ht="11.25" customHeight="1" x14ac:dyDescent="0.25">
      <c r="BL1220" s="8" t="str">
        <f t="shared" si="70"/>
        <v/>
      </c>
      <c r="BM1220" s="6" t="str">
        <f t="shared" si="71"/>
        <v/>
      </c>
      <c r="BN1220" s="6" t="str">
        <f t="shared" si="72"/>
        <v/>
      </c>
    </row>
    <row r="1221" spans="64:66" ht="11.25" customHeight="1" x14ac:dyDescent="0.25">
      <c r="BL1221" s="8" t="str">
        <f t="shared" si="70"/>
        <v/>
      </c>
      <c r="BM1221" s="6" t="str">
        <f t="shared" si="71"/>
        <v/>
      </c>
      <c r="BN1221" s="6" t="str">
        <f t="shared" si="72"/>
        <v/>
      </c>
    </row>
    <row r="1222" spans="64:66" ht="11.25" customHeight="1" x14ac:dyDescent="0.25">
      <c r="BL1222" s="8" t="str">
        <f t="shared" ref="BL1222:BL1285" si="73">IF(ROW()&lt;=$BL$4,ROW()-ROW(BL$4),"")</f>
        <v/>
      </c>
      <c r="BM1222" s="6" t="str">
        <f t="shared" si="71"/>
        <v/>
      </c>
      <c r="BN1222" s="6" t="str">
        <f t="shared" si="72"/>
        <v/>
      </c>
    </row>
    <row r="1223" spans="64:66" ht="11.25" customHeight="1" x14ac:dyDescent="0.25">
      <c r="BL1223" s="8" t="str">
        <f t="shared" si="73"/>
        <v/>
      </c>
      <c r="BM1223" s="6" t="str">
        <f t="shared" si="71"/>
        <v/>
      </c>
      <c r="BN1223" s="6" t="str">
        <f t="shared" si="72"/>
        <v/>
      </c>
    </row>
    <row r="1224" spans="64:66" ht="11.25" customHeight="1" x14ac:dyDescent="0.25">
      <c r="BL1224" s="8" t="str">
        <f t="shared" si="73"/>
        <v/>
      </c>
      <c r="BM1224" s="6" t="str">
        <f t="shared" ref="BM1224:BM1287" si="74">IF(ISNUMBER(BL1224),INT(BL1223/$BN$4)+1,"")</f>
        <v/>
      </c>
      <c r="BN1224" s="6" t="str">
        <f t="shared" ref="BN1224:BN1287" si="75">IF(ISNUMBER(BL1224),IF(BM1223&lt;&gt;BM1224,1,BN1223+1),"")</f>
        <v/>
      </c>
    </row>
    <row r="1225" spans="64:66" ht="11.25" customHeight="1" x14ac:dyDescent="0.25">
      <c r="BL1225" s="8" t="str">
        <f t="shared" si="73"/>
        <v/>
      </c>
      <c r="BM1225" s="6" t="str">
        <f t="shared" si="74"/>
        <v/>
      </c>
      <c r="BN1225" s="6" t="str">
        <f t="shared" si="75"/>
        <v/>
      </c>
    </row>
    <row r="1226" spans="64:66" ht="11.25" customHeight="1" x14ac:dyDescent="0.25">
      <c r="BL1226" s="8" t="str">
        <f t="shared" si="73"/>
        <v/>
      </c>
      <c r="BM1226" s="6" t="str">
        <f t="shared" si="74"/>
        <v/>
      </c>
      <c r="BN1226" s="6" t="str">
        <f t="shared" si="75"/>
        <v/>
      </c>
    </row>
    <row r="1227" spans="64:66" ht="11.25" customHeight="1" x14ac:dyDescent="0.25">
      <c r="BL1227" s="8" t="str">
        <f t="shared" si="73"/>
        <v/>
      </c>
      <c r="BM1227" s="6" t="str">
        <f t="shared" si="74"/>
        <v/>
      </c>
      <c r="BN1227" s="6" t="str">
        <f t="shared" si="75"/>
        <v/>
      </c>
    </row>
    <row r="1228" spans="64:66" ht="11.25" customHeight="1" x14ac:dyDescent="0.25">
      <c r="BL1228" s="8" t="str">
        <f t="shared" si="73"/>
        <v/>
      </c>
      <c r="BM1228" s="6" t="str">
        <f t="shared" si="74"/>
        <v/>
      </c>
      <c r="BN1228" s="6" t="str">
        <f t="shared" si="75"/>
        <v/>
      </c>
    </row>
    <row r="1229" spans="64:66" ht="11.25" customHeight="1" x14ac:dyDescent="0.25">
      <c r="BL1229" s="8" t="str">
        <f t="shared" si="73"/>
        <v/>
      </c>
      <c r="BM1229" s="6" t="str">
        <f t="shared" si="74"/>
        <v/>
      </c>
      <c r="BN1229" s="6" t="str">
        <f t="shared" si="75"/>
        <v/>
      </c>
    </row>
    <row r="1230" spans="64:66" ht="11.25" customHeight="1" x14ac:dyDescent="0.25">
      <c r="BL1230" s="8" t="str">
        <f t="shared" si="73"/>
        <v/>
      </c>
      <c r="BM1230" s="6" t="str">
        <f t="shared" si="74"/>
        <v/>
      </c>
      <c r="BN1230" s="6" t="str">
        <f t="shared" si="75"/>
        <v/>
      </c>
    </row>
    <row r="1231" spans="64:66" ht="11.25" customHeight="1" x14ac:dyDescent="0.25">
      <c r="BL1231" s="8" t="str">
        <f t="shared" si="73"/>
        <v/>
      </c>
      <c r="BM1231" s="6" t="str">
        <f t="shared" si="74"/>
        <v/>
      </c>
      <c r="BN1231" s="6" t="str">
        <f t="shared" si="75"/>
        <v/>
      </c>
    </row>
    <row r="1232" spans="64:66" ht="11.25" customHeight="1" x14ac:dyDescent="0.25">
      <c r="BL1232" s="8" t="str">
        <f t="shared" si="73"/>
        <v/>
      </c>
      <c r="BM1232" s="6" t="str">
        <f t="shared" si="74"/>
        <v/>
      </c>
      <c r="BN1232" s="6" t="str">
        <f t="shared" si="75"/>
        <v/>
      </c>
    </row>
    <row r="1233" spans="64:66" ht="11.25" customHeight="1" x14ac:dyDescent="0.25">
      <c r="BL1233" s="8" t="str">
        <f t="shared" si="73"/>
        <v/>
      </c>
      <c r="BM1233" s="6" t="str">
        <f t="shared" si="74"/>
        <v/>
      </c>
      <c r="BN1233" s="6" t="str">
        <f t="shared" si="75"/>
        <v/>
      </c>
    </row>
    <row r="1234" spans="64:66" ht="11.25" customHeight="1" x14ac:dyDescent="0.25">
      <c r="BL1234" s="8" t="str">
        <f t="shared" si="73"/>
        <v/>
      </c>
      <c r="BM1234" s="6" t="str">
        <f t="shared" si="74"/>
        <v/>
      </c>
      <c r="BN1234" s="6" t="str">
        <f t="shared" si="75"/>
        <v/>
      </c>
    </row>
    <row r="1235" spans="64:66" ht="11.25" customHeight="1" x14ac:dyDescent="0.25">
      <c r="BL1235" s="8" t="str">
        <f t="shared" si="73"/>
        <v/>
      </c>
      <c r="BM1235" s="6" t="str">
        <f t="shared" si="74"/>
        <v/>
      </c>
      <c r="BN1235" s="6" t="str">
        <f t="shared" si="75"/>
        <v/>
      </c>
    </row>
    <row r="1236" spans="64:66" ht="11.25" customHeight="1" x14ac:dyDescent="0.25">
      <c r="BL1236" s="8" t="str">
        <f t="shared" si="73"/>
        <v/>
      </c>
      <c r="BM1236" s="6" t="str">
        <f t="shared" si="74"/>
        <v/>
      </c>
      <c r="BN1236" s="6" t="str">
        <f t="shared" si="75"/>
        <v/>
      </c>
    </row>
    <row r="1237" spans="64:66" ht="11.25" customHeight="1" x14ac:dyDescent="0.25">
      <c r="BL1237" s="8" t="str">
        <f t="shared" si="73"/>
        <v/>
      </c>
      <c r="BM1237" s="6" t="str">
        <f t="shared" si="74"/>
        <v/>
      </c>
      <c r="BN1237" s="6" t="str">
        <f t="shared" si="75"/>
        <v/>
      </c>
    </row>
    <row r="1238" spans="64:66" ht="11.25" customHeight="1" x14ac:dyDescent="0.25">
      <c r="BL1238" s="8" t="str">
        <f t="shared" si="73"/>
        <v/>
      </c>
      <c r="BM1238" s="6" t="str">
        <f t="shared" si="74"/>
        <v/>
      </c>
      <c r="BN1238" s="6" t="str">
        <f t="shared" si="75"/>
        <v/>
      </c>
    </row>
    <row r="1239" spans="64:66" ht="11.25" customHeight="1" x14ac:dyDescent="0.25">
      <c r="BL1239" s="8" t="str">
        <f t="shared" si="73"/>
        <v/>
      </c>
      <c r="BM1239" s="6" t="str">
        <f t="shared" si="74"/>
        <v/>
      </c>
      <c r="BN1239" s="6" t="str">
        <f t="shared" si="75"/>
        <v/>
      </c>
    </row>
    <row r="1240" spans="64:66" ht="11.25" customHeight="1" x14ac:dyDescent="0.25">
      <c r="BL1240" s="8" t="str">
        <f t="shared" si="73"/>
        <v/>
      </c>
      <c r="BM1240" s="6" t="str">
        <f t="shared" si="74"/>
        <v/>
      </c>
      <c r="BN1240" s="6" t="str">
        <f t="shared" si="75"/>
        <v/>
      </c>
    </row>
    <row r="1241" spans="64:66" ht="11.25" customHeight="1" x14ac:dyDescent="0.25">
      <c r="BL1241" s="8" t="str">
        <f t="shared" si="73"/>
        <v/>
      </c>
      <c r="BM1241" s="6" t="str">
        <f t="shared" si="74"/>
        <v/>
      </c>
      <c r="BN1241" s="6" t="str">
        <f t="shared" si="75"/>
        <v/>
      </c>
    </row>
    <row r="1242" spans="64:66" ht="11.25" customHeight="1" x14ac:dyDescent="0.25">
      <c r="BL1242" s="8" t="str">
        <f t="shared" si="73"/>
        <v/>
      </c>
      <c r="BM1242" s="6" t="str">
        <f t="shared" si="74"/>
        <v/>
      </c>
      <c r="BN1242" s="6" t="str">
        <f t="shared" si="75"/>
        <v/>
      </c>
    </row>
    <row r="1243" spans="64:66" ht="11.25" customHeight="1" x14ac:dyDescent="0.25">
      <c r="BL1243" s="8" t="str">
        <f t="shared" si="73"/>
        <v/>
      </c>
      <c r="BM1243" s="6" t="str">
        <f t="shared" si="74"/>
        <v/>
      </c>
      <c r="BN1243" s="6" t="str">
        <f t="shared" si="75"/>
        <v/>
      </c>
    </row>
    <row r="1244" spans="64:66" ht="11.25" customHeight="1" x14ac:dyDescent="0.25">
      <c r="BL1244" s="8" t="str">
        <f t="shared" si="73"/>
        <v/>
      </c>
      <c r="BM1244" s="6" t="str">
        <f t="shared" si="74"/>
        <v/>
      </c>
      <c r="BN1244" s="6" t="str">
        <f t="shared" si="75"/>
        <v/>
      </c>
    </row>
    <row r="1245" spans="64:66" ht="11.25" customHeight="1" x14ac:dyDescent="0.25">
      <c r="BL1245" s="8" t="str">
        <f t="shared" si="73"/>
        <v/>
      </c>
      <c r="BM1245" s="6" t="str">
        <f t="shared" si="74"/>
        <v/>
      </c>
      <c r="BN1245" s="6" t="str">
        <f t="shared" si="75"/>
        <v/>
      </c>
    </row>
    <row r="1246" spans="64:66" ht="11.25" customHeight="1" x14ac:dyDescent="0.25">
      <c r="BL1246" s="8" t="str">
        <f t="shared" si="73"/>
        <v/>
      </c>
      <c r="BM1246" s="6" t="str">
        <f t="shared" si="74"/>
        <v/>
      </c>
      <c r="BN1246" s="6" t="str">
        <f t="shared" si="75"/>
        <v/>
      </c>
    </row>
    <row r="1247" spans="64:66" ht="11.25" customHeight="1" x14ac:dyDescent="0.25">
      <c r="BL1247" s="8" t="str">
        <f t="shared" si="73"/>
        <v/>
      </c>
      <c r="BM1247" s="6" t="str">
        <f t="shared" si="74"/>
        <v/>
      </c>
      <c r="BN1247" s="6" t="str">
        <f t="shared" si="75"/>
        <v/>
      </c>
    </row>
    <row r="1248" spans="64:66" ht="11.25" customHeight="1" x14ac:dyDescent="0.25">
      <c r="BL1248" s="8" t="str">
        <f t="shared" si="73"/>
        <v/>
      </c>
      <c r="BM1248" s="6" t="str">
        <f t="shared" si="74"/>
        <v/>
      </c>
      <c r="BN1248" s="6" t="str">
        <f t="shared" si="75"/>
        <v/>
      </c>
    </row>
    <row r="1249" spans="64:66" ht="11.25" customHeight="1" x14ac:dyDescent="0.25">
      <c r="BL1249" s="8" t="str">
        <f t="shared" si="73"/>
        <v/>
      </c>
      <c r="BM1249" s="6" t="str">
        <f t="shared" si="74"/>
        <v/>
      </c>
      <c r="BN1249" s="6" t="str">
        <f t="shared" si="75"/>
        <v/>
      </c>
    </row>
    <row r="1250" spans="64:66" ht="11.25" customHeight="1" x14ac:dyDescent="0.25">
      <c r="BL1250" s="8" t="str">
        <f t="shared" si="73"/>
        <v/>
      </c>
      <c r="BM1250" s="6" t="str">
        <f t="shared" si="74"/>
        <v/>
      </c>
      <c r="BN1250" s="6" t="str">
        <f t="shared" si="75"/>
        <v/>
      </c>
    </row>
    <row r="1251" spans="64:66" ht="11.25" customHeight="1" x14ac:dyDescent="0.25">
      <c r="BL1251" s="8" t="str">
        <f t="shared" si="73"/>
        <v/>
      </c>
      <c r="BM1251" s="6" t="str">
        <f t="shared" si="74"/>
        <v/>
      </c>
      <c r="BN1251" s="6" t="str">
        <f t="shared" si="75"/>
        <v/>
      </c>
    </row>
    <row r="1252" spans="64:66" ht="11.25" customHeight="1" x14ac:dyDescent="0.25">
      <c r="BL1252" s="8" t="str">
        <f t="shared" si="73"/>
        <v/>
      </c>
      <c r="BM1252" s="6" t="str">
        <f t="shared" si="74"/>
        <v/>
      </c>
      <c r="BN1252" s="6" t="str">
        <f t="shared" si="75"/>
        <v/>
      </c>
    </row>
    <row r="1253" spans="64:66" ht="11.25" customHeight="1" x14ac:dyDescent="0.25">
      <c r="BL1253" s="8" t="str">
        <f t="shared" si="73"/>
        <v/>
      </c>
      <c r="BM1253" s="6" t="str">
        <f t="shared" si="74"/>
        <v/>
      </c>
      <c r="BN1253" s="6" t="str">
        <f t="shared" si="75"/>
        <v/>
      </c>
    </row>
    <row r="1254" spans="64:66" ht="11.25" customHeight="1" x14ac:dyDescent="0.25">
      <c r="BL1254" s="8" t="str">
        <f t="shared" si="73"/>
        <v/>
      </c>
      <c r="BM1254" s="6" t="str">
        <f t="shared" si="74"/>
        <v/>
      </c>
      <c r="BN1254" s="6" t="str">
        <f t="shared" si="75"/>
        <v/>
      </c>
    </row>
    <row r="1255" spans="64:66" ht="11.25" customHeight="1" x14ac:dyDescent="0.25">
      <c r="BL1255" s="8" t="str">
        <f t="shared" si="73"/>
        <v/>
      </c>
      <c r="BM1255" s="6" t="str">
        <f t="shared" si="74"/>
        <v/>
      </c>
      <c r="BN1255" s="6" t="str">
        <f t="shared" si="75"/>
        <v/>
      </c>
    </row>
    <row r="1256" spans="64:66" ht="11.25" customHeight="1" x14ac:dyDescent="0.25">
      <c r="BL1256" s="8" t="str">
        <f t="shared" si="73"/>
        <v/>
      </c>
      <c r="BM1256" s="6" t="str">
        <f t="shared" si="74"/>
        <v/>
      </c>
      <c r="BN1256" s="6" t="str">
        <f t="shared" si="75"/>
        <v/>
      </c>
    </row>
    <row r="1257" spans="64:66" ht="11.25" customHeight="1" x14ac:dyDescent="0.25">
      <c r="BL1257" s="8" t="str">
        <f t="shared" si="73"/>
        <v/>
      </c>
      <c r="BM1257" s="6" t="str">
        <f t="shared" si="74"/>
        <v/>
      </c>
      <c r="BN1257" s="6" t="str">
        <f t="shared" si="75"/>
        <v/>
      </c>
    </row>
    <row r="1258" spans="64:66" ht="11.25" customHeight="1" x14ac:dyDescent="0.25">
      <c r="BL1258" s="8" t="str">
        <f t="shared" si="73"/>
        <v/>
      </c>
      <c r="BM1258" s="6" t="str">
        <f t="shared" si="74"/>
        <v/>
      </c>
      <c r="BN1258" s="6" t="str">
        <f t="shared" si="75"/>
        <v/>
      </c>
    </row>
    <row r="1259" spans="64:66" ht="11.25" customHeight="1" x14ac:dyDescent="0.25">
      <c r="BL1259" s="8" t="str">
        <f t="shared" si="73"/>
        <v/>
      </c>
      <c r="BM1259" s="6" t="str">
        <f t="shared" si="74"/>
        <v/>
      </c>
      <c r="BN1259" s="6" t="str">
        <f t="shared" si="75"/>
        <v/>
      </c>
    </row>
    <row r="1260" spans="64:66" ht="11.25" customHeight="1" x14ac:dyDescent="0.25">
      <c r="BL1260" s="8" t="str">
        <f t="shared" si="73"/>
        <v/>
      </c>
      <c r="BM1260" s="6" t="str">
        <f t="shared" si="74"/>
        <v/>
      </c>
      <c r="BN1260" s="6" t="str">
        <f t="shared" si="75"/>
        <v/>
      </c>
    </row>
    <row r="1261" spans="64:66" ht="11.25" customHeight="1" x14ac:dyDescent="0.25">
      <c r="BL1261" s="8" t="str">
        <f t="shared" si="73"/>
        <v/>
      </c>
      <c r="BM1261" s="6" t="str">
        <f t="shared" si="74"/>
        <v/>
      </c>
      <c r="BN1261" s="6" t="str">
        <f t="shared" si="75"/>
        <v/>
      </c>
    </row>
    <row r="1262" spans="64:66" ht="11.25" customHeight="1" x14ac:dyDescent="0.25">
      <c r="BL1262" s="8" t="str">
        <f t="shared" si="73"/>
        <v/>
      </c>
      <c r="BM1262" s="6" t="str">
        <f t="shared" si="74"/>
        <v/>
      </c>
      <c r="BN1262" s="6" t="str">
        <f t="shared" si="75"/>
        <v/>
      </c>
    </row>
    <row r="1263" spans="64:66" ht="11.25" customHeight="1" x14ac:dyDescent="0.25">
      <c r="BL1263" s="8" t="str">
        <f t="shared" si="73"/>
        <v/>
      </c>
      <c r="BM1263" s="6" t="str">
        <f t="shared" si="74"/>
        <v/>
      </c>
      <c r="BN1263" s="6" t="str">
        <f t="shared" si="75"/>
        <v/>
      </c>
    </row>
    <row r="1264" spans="64:66" ht="11.25" customHeight="1" x14ac:dyDescent="0.25">
      <c r="BL1264" s="8" t="str">
        <f t="shared" si="73"/>
        <v/>
      </c>
      <c r="BM1264" s="6" t="str">
        <f t="shared" si="74"/>
        <v/>
      </c>
      <c r="BN1264" s="6" t="str">
        <f t="shared" si="75"/>
        <v/>
      </c>
    </row>
    <row r="1265" spans="64:66" ht="11.25" customHeight="1" x14ac:dyDescent="0.25">
      <c r="BL1265" s="8" t="str">
        <f t="shared" si="73"/>
        <v/>
      </c>
      <c r="BM1265" s="6" t="str">
        <f t="shared" si="74"/>
        <v/>
      </c>
      <c r="BN1265" s="6" t="str">
        <f t="shared" si="75"/>
        <v/>
      </c>
    </row>
    <row r="1266" spans="64:66" ht="11.25" customHeight="1" x14ac:dyDescent="0.25">
      <c r="BL1266" s="8" t="str">
        <f t="shared" si="73"/>
        <v/>
      </c>
      <c r="BM1266" s="6" t="str">
        <f t="shared" si="74"/>
        <v/>
      </c>
      <c r="BN1266" s="6" t="str">
        <f t="shared" si="75"/>
        <v/>
      </c>
    </row>
    <row r="1267" spans="64:66" ht="11.25" customHeight="1" x14ac:dyDescent="0.25">
      <c r="BL1267" s="8" t="str">
        <f t="shared" si="73"/>
        <v/>
      </c>
      <c r="BM1267" s="6" t="str">
        <f t="shared" si="74"/>
        <v/>
      </c>
      <c r="BN1267" s="6" t="str">
        <f t="shared" si="75"/>
        <v/>
      </c>
    </row>
    <row r="1268" spans="64:66" ht="11.25" customHeight="1" x14ac:dyDescent="0.25">
      <c r="BL1268" s="8" t="str">
        <f t="shared" si="73"/>
        <v/>
      </c>
      <c r="BM1268" s="6" t="str">
        <f t="shared" si="74"/>
        <v/>
      </c>
      <c r="BN1268" s="6" t="str">
        <f t="shared" si="75"/>
        <v/>
      </c>
    </row>
    <row r="1269" spans="64:66" ht="11.25" customHeight="1" x14ac:dyDescent="0.25">
      <c r="BL1269" s="8" t="str">
        <f t="shared" si="73"/>
        <v/>
      </c>
      <c r="BM1269" s="6" t="str">
        <f t="shared" si="74"/>
        <v/>
      </c>
      <c r="BN1269" s="6" t="str">
        <f t="shared" si="75"/>
        <v/>
      </c>
    </row>
    <row r="1270" spans="64:66" ht="11.25" customHeight="1" x14ac:dyDescent="0.25">
      <c r="BL1270" s="8" t="str">
        <f t="shared" si="73"/>
        <v/>
      </c>
      <c r="BM1270" s="6" t="str">
        <f t="shared" si="74"/>
        <v/>
      </c>
      <c r="BN1270" s="6" t="str">
        <f t="shared" si="75"/>
        <v/>
      </c>
    </row>
    <row r="1271" spans="64:66" ht="11.25" customHeight="1" x14ac:dyDescent="0.25">
      <c r="BL1271" s="8" t="str">
        <f t="shared" si="73"/>
        <v/>
      </c>
      <c r="BM1271" s="6" t="str">
        <f t="shared" si="74"/>
        <v/>
      </c>
      <c r="BN1271" s="6" t="str">
        <f t="shared" si="75"/>
        <v/>
      </c>
    </row>
    <row r="1272" spans="64:66" ht="11.25" customHeight="1" x14ac:dyDescent="0.25">
      <c r="BL1272" s="8" t="str">
        <f t="shared" si="73"/>
        <v/>
      </c>
      <c r="BM1272" s="6" t="str">
        <f t="shared" si="74"/>
        <v/>
      </c>
      <c r="BN1272" s="6" t="str">
        <f t="shared" si="75"/>
        <v/>
      </c>
    </row>
    <row r="1273" spans="64:66" ht="11.25" customHeight="1" x14ac:dyDescent="0.25">
      <c r="BL1273" s="8" t="str">
        <f t="shared" si="73"/>
        <v/>
      </c>
      <c r="BM1273" s="6" t="str">
        <f t="shared" si="74"/>
        <v/>
      </c>
      <c r="BN1273" s="6" t="str">
        <f t="shared" si="75"/>
        <v/>
      </c>
    </row>
    <row r="1274" spans="64:66" ht="11.25" customHeight="1" x14ac:dyDescent="0.25">
      <c r="BL1274" s="8" t="str">
        <f t="shared" si="73"/>
        <v/>
      </c>
      <c r="BM1274" s="6" t="str">
        <f t="shared" si="74"/>
        <v/>
      </c>
      <c r="BN1274" s="6" t="str">
        <f t="shared" si="75"/>
        <v/>
      </c>
    </row>
    <row r="1275" spans="64:66" ht="11.25" customHeight="1" x14ac:dyDescent="0.25">
      <c r="BL1275" s="8" t="str">
        <f t="shared" si="73"/>
        <v/>
      </c>
      <c r="BM1275" s="6" t="str">
        <f t="shared" si="74"/>
        <v/>
      </c>
      <c r="BN1275" s="6" t="str">
        <f t="shared" si="75"/>
        <v/>
      </c>
    </row>
    <row r="1276" spans="64:66" ht="11.25" customHeight="1" x14ac:dyDescent="0.25">
      <c r="BL1276" s="8" t="str">
        <f t="shared" si="73"/>
        <v/>
      </c>
      <c r="BM1276" s="6" t="str">
        <f t="shared" si="74"/>
        <v/>
      </c>
      <c r="BN1276" s="6" t="str">
        <f t="shared" si="75"/>
        <v/>
      </c>
    </row>
    <row r="1277" spans="64:66" ht="11.25" customHeight="1" x14ac:dyDescent="0.25">
      <c r="BL1277" s="8" t="str">
        <f t="shared" si="73"/>
        <v/>
      </c>
      <c r="BM1277" s="6" t="str">
        <f t="shared" si="74"/>
        <v/>
      </c>
      <c r="BN1277" s="6" t="str">
        <f t="shared" si="75"/>
        <v/>
      </c>
    </row>
    <row r="1278" spans="64:66" ht="11.25" customHeight="1" x14ac:dyDescent="0.25">
      <c r="BL1278" s="8" t="str">
        <f t="shared" si="73"/>
        <v/>
      </c>
      <c r="BM1278" s="6" t="str">
        <f t="shared" si="74"/>
        <v/>
      </c>
      <c r="BN1278" s="6" t="str">
        <f t="shared" si="75"/>
        <v/>
      </c>
    </row>
    <row r="1279" spans="64:66" ht="11.25" customHeight="1" x14ac:dyDescent="0.25">
      <c r="BL1279" s="8" t="str">
        <f t="shared" si="73"/>
        <v/>
      </c>
      <c r="BM1279" s="6" t="str">
        <f t="shared" si="74"/>
        <v/>
      </c>
      <c r="BN1279" s="6" t="str">
        <f t="shared" si="75"/>
        <v/>
      </c>
    </row>
    <row r="1280" spans="64:66" ht="11.25" customHeight="1" x14ac:dyDescent="0.25">
      <c r="BL1280" s="8" t="str">
        <f t="shared" si="73"/>
        <v/>
      </c>
      <c r="BM1280" s="6" t="str">
        <f t="shared" si="74"/>
        <v/>
      </c>
      <c r="BN1280" s="6" t="str">
        <f t="shared" si="75"/>
        <v/>
      </c>
    </row>
    <row r="1281" spans="64:66" ht="11.25" customHeight="1" x14ac:dyDescent="0.25">
      <c r="BL1281" s="8" t="str">
        <f t="shared" si="73"/>
        <v/>
      </c>
      <c r="BM1281" s="6" t="str">
        <f t="shared" si="74"/>
        <v/>
      </c>
      <c r="BN1281" s="6" t="str">
        <f t="shared" si="75"/>
        <v/>
      </c>
    </row>
    <row r="1282" spans="64:66" ht="11.25" customHeight="1" x14ac:dyDescent="0.25">
      <c r="BL1282" s="8" t="str">
        <f t="shared" si="73"/>
        <v/>
      </c>
      <c r="BM1282" s="6" t="str">
        <f t="shared" si="74"/>
        <v/>
      </c>
      <c r="BN1282" s="6" t="str">
        <f t="shared" si="75"/>
        <v/>
      </c>
    </row>
    <row r="1283" spans="64:66" ht="11.25" customHeight="1" x14ac:dyDescent="0.25">
      <c r="BL1283" s="8" t="str">
        <f t="shared" si="73"/>
        <v/>
      </c>
      <c r="BM1283" s="6" t="str">
        <f t="shared" si="74"/>
        <v/>
      </c>
      <c r="BN1283" s="6" t="str">
        <f t="shared" si="75"/>
        <v/>
      </c>
    </row>
    <row r="1284" spans="64:66" ht="11.25" customHeight="1" x14ac:dyDescent="0.25">
      <c r="BL1284" s="8" t="str">
        <f t="shared" si="73"/>
        <v/>
      </c>
      <c r="BM1284" s="6" t="str">
        <f t="shared" si="74"/>
        <v/>
      </c>
      <c r="BN1284" s="6" t="str">
        <f t="shared" si="75"/>
        <v/>
      </c>
    </row>
    <row r="1285" spans="64:66" ht="11.25" customHeight="1" x14ac:dyDescent="0.25">
      <c r="BL1285" s="8" t="str">
        <f t="shared" si="73"/>
        <v/>
      </c>
      <c r="BM1285" s="6" t="str">
        <f t="shared" si="74"/>
        <v/>
      </c>
      <c r="BN1285" s="6" t="str">
        <f t="shared" si="75"/>
        <v/>
      </c>
    </row>
    <row r="1286" spans="64:66" ht="11.25" customHeight="1" x14ac:dyDescent="0.25">
      <c r="BL1286" s="8" t="str">
        <f t="shared" ref="BL1286:BL1349" si="76">IF(ROW()&lt;=$BL$4,ROW()-ROW(BL$4),"")</f>
        <v/>
      </c>
      <c r="BM1286" s="6" t="str">
        <f t="shared" si="74"/>
        <v/>
      </c>
      <c r="BN1286" s="6" t="str">
        <f t="shared" si="75"/>
        <v/>
      </c>
    </row>
    <row r="1287" spans="64:66" ht="11.25" customHeight="1" x14ac:dyDescent="0.25">
      <c r="BL1287" s="8" t="str">
        <f t="shared" si="76"/>
        <v/>
      </c>
      <c r="BM1287" s="6" t="str">
        <f t="shared" si="74"/>
        <v/>
      </c>
      <c r="BN1287" s="6" t="str">
        <f t="shared" si="75"/>
        <v/>
      </c>
    </row>
    <row r="1288" spans="64:66" ht="11.25" customHeight="1" x14ac:dyDescent="0.25">
      <c r="BL1288" s="8" t="str">
        <f t="shared" si="76"/>
        <v/>
      </c>
      <c r="BM1288" s="6" t="str">
        <f t="shared" ref="BM1288:BM1351" si="77">IF(ISNUMBER(BL1288),INT(BL1287/$BN$4)+1,"")</f>
        <v/>
      </c>
      <c r="BN1288" s="6" t="str">
        <f t="shared" ref="BN1288:BN1351" si="78">IF(ISNUMBER(BL1288),IF(BM1287&lt;&gt;BM1288,1,BN1287+1),"")</f>
        <v/>
      </c>
    </row>
    <row r="1289" spans="64:66" ht="11.25" customHeight="1" x14ac:dyDescent="0.25">
      <c r="BL1289" s="8" t="str">
        <f t="shared" si="76"/>
        <v/>
      </c>
      <c r="BM1289" s="6" t="str">
        <f t="shared" si="77"/>
        <v/>
      </c>
      <c r="BN1289" s="6" t="str">
        <f t="shared" si="78"/>
        <v/>
      </c>
    </row>
    <row r="1290" spans="64:66" ht="11.25" customHeight="1" x14ac:dyDescent="0.25">
      <c r="BL1290" s="8" t="str">
        <f t="shared" si="76"/>
        <v/>
      </c>
      <c r="BM1290" s="6" t="str">
        <f t="shared" si="77"/>
        <v/>
      </c>
      <c r="BN1290" s="6" t="str">
        <f t="shared" si="78"/>
        <v/>
      </c>
    </row>
    <row r="1291" spans="64:66" ht="11.25" customHeight="1" x14ac:dyDescent="0.25">
      <c r="BL1291" s="8" t="str">
        <f t="shared" si="76"/>
        <v/>
      </c>
      <c r="BM1291" s="6" t="str">
        <f t="shared" si="77"/>
        <v/>
      </c>
      <c r="BN1291" s="6" t="str">
        <f t="shared" si="78"/>
        <v/>
      </c>
    </row>
    <row r="1292" spans="64:66" ht="11.25" customHeight="1" x14ac:dyDescent="0.25">
      <c r="BL1292" s="8" t="str">
        <f t="shared" si="76"/>
        <v/>
      </c>
      <c r="BM1292" s="6" t="str">
        <f t="shared" si="77"/>
        <v/>
      </c>
      <c r="BN1292" s="6" t="str">
        <f t="shared" si="78"/>
        <v/>
      </c>
    </row>
    <row r="1293" spans="64:66" ht="11.25" customHeight="1" x14ac:dyDescent="0.25">
      <c r="BL1293" s="8" t="str">
        <f t="shared" si="76"/>
        <v/>
      </c>
      <c r="BM1293" s="6" t="str">
        <f t="shared" si="77"/>
        <v/>
      </c>
      <c r="BN1293" s="6" t="str">
        <f t="shared" si="78"/>
        <v/>
      </c>
    </row>
    <row r="1294" spans="64:66" ht="11.25" customHeight="1" x14ac:dyDescent="0.25">
      <c r="BL1294" s="8" t="str">
        <f t="shared" si="76"/>
        <v/>
      </c>
      <c r="BM1294" s="6" t="str">
        <f t="shared" si="77"/>
        <v/>
      </c>
      <c r="BN1294" s="6" t="str">
        <f t="shared" si="78"/>
        <v/>
      </c>
    </row>
    <row r="1295" spans="64:66" ht="11.25" customHeight="1" x14ac:dyDescent="0.25">
      <c r="BL1295" s="8" t="str">
        <f t="shared" si="76"/>
        <v/>
      </c>
      <c r="BM1295" s="6" t="str">
        <f t="shared" si="77"/>
        <v/>
      </c>
      <c r="BN1295" s="6" t="str">
        <f t="shared" si="78"/>
        <v/>
      </c>
    </row>
    <row r="1296" spans="64:66" ht="11.25" customHeight="1" x14ac:dyDescent="0.25">
      <c r="BL1296" s="8" t="str">
        <f t="shared" si="76"/>
        <v/>
      </c>
      <c r="BM1296" s="6" t="str">
        <f t="shared" si="77"/>
        <v/>
      </c>
      <c r="BN1296" s="6" t="str">
        <f t="shared" si="78"/>
        <v/>
      </c>
    </row>
    <row r="1297" spans="64:66" ht="11.25" customHeight="1" x14ac:dyDescent="0.25">
      <c r="BL1297" s="8" t="str">
        <f t="shared" si="76"/>
        <v/>
      </c>
      <c r="BM1297" s="6" t="str">
        <f t="shared" si="77"/>
        <v/>
      </c>
      <c r="BN1297" s="6" t="str">
        <f t="shared" si="78"/>
        <v/>
      </c>
    </row>
    <row r="1298" spans="64:66" ht="11.25" customHeight="1" x14ac:dyDescent="0.25">
      <c r="BL1298" s="8" t="str">
        <f t="shared" si="76"/>
        <v/>
      </c>
      <c r="BM1298" s="6" t="str">
        <f t="shared" si="77"/>
        <v/>
      </c>
      <c r="BN1298" s="6" t="str">
        <f t="shared" si="78"/>
        <v/>
      </c>
    </row>
    <row r="1299" spans="64:66" ht="11.25" customHeight="1" x14ac:dyDescent="0.25">
      <c r="BL1299" s="8" t="str">
        <f t="shared" si="76"/>
        <v/>
      </c>
      <c r="BM1299" s="6" t="str">
        <f t="shared" si="77"/>
        <v/>
      </c>
      <c r="BN1299" s="6" t="str">
        <f t="shared" si="78"/>
        <v/>
      </c>
    </row>
    <row r="1300" spans="64:66" ht="11.25" customHeight="1" x14ac:dyDescent="0.25">
      <c r="BL1300" s="8" t="str">
        <f t="shared" si="76"/>
        <v/>
      </c>
      <c r="BM1300" s="6" t="str">
        <f t="shared" si="77"/>
        <v/>
      </c>
      <c r="BN1300" s="6" t="str">
        <f t="shared" si="78"/>
        <v/>
      </c>
    </row>
    <row r="1301" spans="64:66" ht="11.25" customHeight="1" x14ac:dyDescent="0.25">
      <c r="BL1301" s="8" t="str">
        <f t="shared" si="76"/>
        <v/>
      </c>
      <c r="BM1301" s="6" t="str">
        <f t="shared" si="77"/>
        <v/>
      </c>
      <c r="BN1301" s="6" t="str">
        <f t="shared" si="78"/>
        <v/>
      </c>
    </row>
    <row r="1302" spans="64:66" ht="11.25" customHeight="1" x14ac:dyDescent="0.25">
      <c r="BL1302" s="8" t="str">
        <f t="shared" si="76"/>
        <v/>
      </c>
      <c r="BM1302" s="6" t="str">
        <f t="shared" si="77"/>
        <v/>
      </c>
      <c r="BN1302" s="6" t="str">
        <f t="shared" si="78"/>
        <v/>
      </c>
    </row>
    <row r="1303" spans="64:66" ht="11.25" customHeight="1" x14ac:dyDescent="0.25">
      <c r="BL1303" s="8" t="str">
        <f t="shared" si="76"/>
        <v/>
      </c>
      <c r="BM1303" s="6" t="str">
        <f t="shared" si="77"/>
        <v/>
      </c>
      <c r="BN1303" s="6" t="str">
        <f t="shared" si="78"/>
        <v/>
      </c>
    </row>
    <row r="1304" spans="64:66" ht="11.25" customHeight="1" x14ac:dyDescent="0.25">
      <c r="BL1304" s="8" t="str">
        <f t="shared" si="76"/>
        <v/>
      </c>
      <c r="BM1304" s="6" t="str">
        <f t="shared" si="77"/>
        <v/>
      </c>
      <c r="BN1304" s="6" t="str">
        <f t="shared" si="78"/>
        <v/>
      </c>
    </row>
    <row r="1305" spans="64:66" ht="11.25" customHeight="1" x14ac:dyDescent="0.25">
      <c r="BL1305" s="8" t="str">
        <f t="shared" si="76"/>
        <v/>
      </c>
      <c r="BM1305" s="6" t="str">
        <f t="shared" si="77"/>
        <v/>
      </c>
      <c r="BN1305" s="6" t="str">
        <f t="shared" si="78"/>
        <v/>
      </c>
    </row>
    <row r="1306" spans="64:66" ht="11.25" customHeight="1" x14ac:dyDescent="0.25">
      <c r="BL1306" s="8" t="str">
        <f t="shared" si="76"/>
        <v/>
      </c>
      <c r="BM1306" s="6" t="str">
        <f t="shared" si="77"/>
        <v/>
      </c>
      <c r="BN1306" s="6" t="str">
        <f t="shared" si="78"/>
        <v/>
      </c>
    </row>
    <row r="1307" spans="64:66" ht="11.25" customHeight="1" x14ac:dyDescent="0.25">
      <c r="BL1307" s="8" t="str">
        <f t="shared" si="76"/>
        <v/>
      </c>
      <c r="BM1307" s="6" t="str">
        <f t="shared" si="77"/>
        <v/>
      </c>
      <c r="BN1307" s="6" t="str">
        <f t="shared" si="78"/>
        <v/>
      </c>
    </row>
    <row r="1308" spans="64:66" ht="11.25" customHeight="1" x14ac:dyDescent="0.25">
      <c r="BL1308" s="8" t="str">
        <f t="shared" si="76"/>
        <v/>
      </c>
      <c r="BM1308" s="6" t="str">
        <f t="shared" si="77"/>
        <v/>
      </c>
      <c r="BN1308" s="6" t="str">
        <f t="shared" si="78"/>
        <v/>
      </c>
    </row>
    <row r="1309" spans="64:66" ht="11.25" customHeight="1" x14ac:dyDescent="0.25">
      <c r="BL1309" s="8" t="str">
        <f t="shared" si="76"/>
        <v/>
      </c>
      <c r="BM1309" s="6" t="str">
        <f t="shared" si="77"/>
        <v/>
      </c>
      <c r="BN1309" s="6" t="str">
        <f t="shared" si="78"/>
        <v/>
      </c>
    </row>
    <row r="1310" spans="64:66" ht="11.25" customHeight="1" x14ac:dyDescent="0.25">
      <c r="BL1310" s="8" t="str">
        <f t="shared" si="76"/>
        <v/>
      </c>
      <c r="BM1310" s="6" t="str">
        <f t="shared" si="77"/>
        <v/>
      </c>
      <c r="BN1310" s="6" t="str">
        <f t="shared" si="78"/>
        <v/>
      </c>
    </row>
    <row r="1311" spans="64:66" ht="11.25" customHeight="1" x14ac:dyDescent="0.25">
      <c r="BL1311" s="8" t="str">
        <f t="shared" si="76"/>
        <v/>
      </c>
      <c r="BM1311" s="6" t="str">
        <f t="shared" si="77"/>
        <v/>
      </c>
      <c r="BN1311" s="6" t="str">
        <f t="shared" si="78"/>
        <v/>
      </c>
    </row>
    <row r="1312" spans="64:66" ht="11.25" customHeight="1" x14ac:dyDescent="0.25">
      <c r="BL1312" s="8" t="str">
        <f t="shared" si="76"/>
        <v/>
      </c>
      <c r="BM1312" s="6" t="str">
        <f t="shared" si="77"/>
        <v/>
      </c>
      <c r="BN1312" s="6" t="str">
        <f t="shared" si="78"/>
        <v/>
      </c>
    </row>
    <row r="1313" spans="64:66" ht="11.25" customHeight="1" x14ac:dyDescent="0.25">
      <c r="BL1313" s="8" t="str">
        <f t="shared" si="76"/>
        <v/>
      </c>
      <c r="BM1313" s="6" t="str">
        <f t="shared" si="77"/>
        <v/>
      </c>
      <c r="BN1313" s="6" t="str">
        <f t="shared" si="78"/>
        <v/>
      </c>
    </row>
    <row r="1314" spans="64:66" ht="11.25" customHeight="1" x14ac:dyDescent="0.25">
      <c r="BL1314" s="8" t="str">
        <f t="shared" si="76"/>
        <v/>
      </c>
      <c r="BM1314" s="6" t="str">
        <f t="shared" si="77"/>
        <v/>
      </c>
      <c r="BN1314" s="6" t="str">
        <f t="shared" si="78"/>
        <v/>
      </c>
    </row>
    <row r="1315" spans="64:66" ht="11.25" customHeight="1" x14ac:dyDescent="0.25">
      <c r="BL1315" s="8" t="str">
        <f t="shared" si="76"/>
        <v/>
      </c>
      <c r="BM1315" s="6" t="str">
        <f t="shared" si="77"/>
        <v/>
      </c>
      <c r="BN1315" s="6" t="str">
        <f t="shared" si="78"/>
        <v/>
      </c>
    </row>
    <row r="1316" spans="64:66" ht="11.25" customHeight="1" x14ac:dyDescent="0.25">
      <c r="BL1316" s="8" t="str">
        <f t="shared" si="76"/>
        <v/>
      </c>
      <c r="BM1316" s="6" t="str">
        <f t="shared" si="77"/>
        <v/>
      </c>
      <c r="BN1316" s="6" t="str">
        <f t="shared" si="78"/>
        <v/>
      </c>
    </row>
    <row r="1317" spans="64:66" ht="11.25" customHeight="1" x14ac:dyDescent="0.25">
      <c r="BL1317" s="8" t="str">
        <f t="shared" si="76"/>
        <v/>
      </c>
      <c r="BM1317" s="6" t="str">
        <f t="shared" si="77"/>
        <v/>
      </c>
      <c r="BN1317" s="6" t="str">
        <f t="shared" si="78"/>
        <v/>
      </c>
    </row>
    <row r="1318" spans="64:66" ht="11.25" customHeight="1" x14ac:dyDescent="0.25">
      <c r="BL1318" s="8" t="str">
        <f t="shared" si="76"/>
        <v/>
      </c>
      <c r="BM1318" s="6" t="str">
        <f t="shared" si="77"/>
        <v/>
      </c>
      <c r="BN1318" s="6" t="str">
        <f t="shared" si="78"/>
        <v/>
      </c>
    </row>
    <row r="1319" spans="64:66" ht="11.25" customHeight="1" x14ac:dyDescent="0.25">
      <c r="BL1319" s="8" t="str">
        <f t="shared" si="76"/>
        <v/>
      </c>
      <c r="BM1319" s="6" t="str">
        <f t="shared" si="77"/>
        <v/>
      </c>
      <c r="BN1319" s="6" t="str">
        <f t="shared" si="78"/>
        <v/>
      </c>
    </row>
    <row r="1320" spans="64:66" ht="11.25" customHeight="1" x14ac:dyDescent="0.25">
      <c r="BL1320" s="8" t="str">
        <f t="shared" si="76"/>
        <v/>
      </c>
      <c r="BM1320" s="6" t="str">
        <f t="shared" si="77"/>
        <v/>
      </c>
      <c r="BN1320" s="6" t="str">
        <f t="shared" si="78"/>
        <v/>
      </c>
    </row>
    <row r="1321" spans="64:66" ht="11.25" customHeight="1" x14ac:dyDescent="0.25">
      <c r="BL1321" s="8" t="str">
        <f t="shared" si="76"/>
        <v/>
      </c>
      <c r="BM1321" s="6" t="str">
        <f t="shared" si="77"/>
        <v/>
      </c>
      <c r="BN1321" s="6" t="str">
        <f t="shared" si="78"/>
        <v/>
      </c>
    </row>
    <row r="1322" spans="64:66" ht="11.25" customHeight="1" x14ac:dyDescent="0.25">
      <c r="BL1322" s="8" t="str">
        <f t="shared" si="76"/>
        <v/>
      </c>
      <c r="BM1322" s="6" t="str">
        <f t="shared" si="77"/>
        <v/>
      </c>
      <c r="BN1322" s="6" t="str">
        <f t="shared" si="78"/>
        <v/>
      </c>
    </row>
    <row r="1323" spans="64:66" ht="11.25" customHeight="1" x14ac:dyDescent="0.25">
      <c r="BL1323" s="8" t="str">
        <f t="shared" si="76"/>
        <v/>
      </c>
      <c r="BM1323" s="6" t="str">
        <f t="shared" si="77"/>
        <v/>
      </c>
      <c r="BN1323" s="6" t="str">
        <f t="shared" si="78"/>
        <v/>
      </c>
    </row>
    <row r="1324" spans="64:66" ht="11.25" customHeight="1" x14ac:dyDescent="0.25">
      <c r="BL1324" s="8" t="str">
        <f t="shared" si="76"/>
        <v/>
      </c>
      <c r="BM1324" s="6" t="str">
        <f t="shared" si="77"/>
        <v/>
      </c>
      <c r="BN1324" s="6" t="str">
        <f t="shared" si="78"/>
        <v/>
      </c>
    </row>
    <row r="1325" spans="64:66" ht="11.25" customHeight="1" x14ac:dyDescent="0.25">
      <c r="BL1325" s="8" t="str">
        <f t="shared" si="76"/>
        <v/>
      </c>
      <c r="BM1325" s="6" t="str">
        <f t="shared" si="77"/>
        <v/>
      </c>
      <c r="BN1325" s="6" t="str">
        <f t="shared" si="78"/>
        <v/>
      </c>
    </row>
    <row r="1326" spans="64:66" ht="11.25" customHeight="1" x14ac:dyDescent="0.25">
      <c r="BL1326" s="8" t="str">
        <f t="shared" si="76"/>
        <v/>
      </c>
      <c r="BM1326" s="6" t="str">
        <f t="shared" si="77"/>
        <v/>
      </c>
      <c r="BN1326" s="6" t="str">
        <f t="shared" si="78"/>
        <v/>
      </c>
    </row>
    <row r="1327" spans="64:66" ht="11.25" customHeight="1" x14ac:dyDescent="0.25">
      <c r="BL1327" s="8" t="str">
        <f t="shared" si="76"/>
        <v/>
      </c>
      <c r="BM1327" s="6" t="str">
        <f t="shared" si="77"/>
        <v/>
      </c>
      <c r="BN1327" s="6" t="str">
        <f t="shared" si="78"/>
        <v/>
      </c>
    </row>
    <row r="1328" spans="64:66" ht="11.25" customHeight="1" x14ac:dyDescent="0.25">
      <c r="BL1328" s="8" t="str">
        <f t="shared" si="76"/>
        <v/>
      </c>
      <c r="BM1328" s="6" t="str">
        <f t="shared" si="77"/>
        <v/>
      </c>
      <c r="BN1328" s="6" t="str">
        <f t="shared" si="78"/>
        <v/>
      </c>
    </row>
    <row r="1329" spans="64:66" ht="11.25" customHeight="1" x14ac:dyDescent="0.25">
      <c r="BL1329" s="8" t="str">
        <f t="shared" si="76"/>
        <v/>
      </c>
      <c r="BM1329" s="6" t="str">
        <f t="shared" si="77"/>
        <v/>
      </c>
      <c r="BN1329" s="6" t="str">
        <f t="shared" si="78"/>
        <v/>
      </c>
    </row>
    <row r="1330" spans="64:66" ht="11.25" customHeight="1" x14ac:dyDescent="0.25">
      <c r="BL1330" s="8" t="str">
        <f t="shared" si="76"/>
        <v/>
      </c>
      <c r="BM1330" s="6" t="str">
        <f t="shared" si="77"/>
        <v/>
      </c>
      <c r="BN1330" s="6" t="str">
        <f t="shared" si="78"/>
        <v/>
      </c>
    </row>
    <row r="1331" spans="64:66" ht="11.25" customHeight="1" x14ac:dyDescent="0.25">
      <c r="BL1331" s="8" t="str">
        <f t="shared" si="76"/>
        <v/>
      </c>
      <c r="BM1331" s="6" t="str">
        <f t="shared" si="77"/>
        <v/>
      </c>
      <c r="BN1331" s="6" t="str">
        <f t="shared" si="78"/>
        <v/>
      </c>
    </row>
    <row r="1332" spans="64:66" ht="11.25" customHeight="1" x14ac:dyDescent="0.25">
      <c r="BL1332" s="8" t="str">
        <f t="shared" si="76"/>
        <v/>
      </c>
      <c r="BM1332" s="6" t="str">
        <f t="shared" si="77"/>
        <v/>
      </c>
      <c r="BN1332" s="6" t="str">
        <f t="shared" si="78"/>
        <v/>
      </c>
    </row>
    <row r="1333" spans="64:66" ht="11.25" customHeight="1" x14ac:dyDescent="0.25">
      <c r="BL1333" s="8" t="str">
        <f t="shared" si="76"/>
        <v/>
      </c>
      <c r="BM1333" s="6" t="str">
        <f t="shared" si="77"/>
        <v/>
      </c>
      <c r="BN1333" s="6" t="str">
        <f t="shared" si="78"/>
        <v/>
      </c>
    </row>
    <row r="1334" spans="64:66" ht="11.25" customHeight="1" x14ac:dyDescent="0.25">
      <c r="BL1334" s="8" t="str">
        <f t="shared" si="76"/>
        <v/>
      </c>
      <c r="BM1334" s="6" t="str">
        <f t="shared" si="77"/>
        <v/>
      </c>
      <c r="BN1334" s="6" t="str">
        <f t="shared" si="78"/>
        <v/>
      </c>
    </row>
    <row r="1335" spans="64:66" ht="11.25" customHeight="1" x14ac:dyDescent="0.25">
      <c r="BL1335" s="8" t="str">
        <f t="shared" si="76"/>
        <v/>
      </c>
      <c r="BM1335" s="6" t="str">
        <f t="shared" si="77"/>
        <v/>
      </c>
      <c r="BN1335" s="6" t="str">
        <f t="shared" si="78"/>
        <v/>
      </c>
    </row>
    <row r="1336" spans="64:66" ht="11.25" customHeight="1" x14ac:dyDescent="0.25">
      <c r="BL1336" s="8" t="str">
        <f t="shared" si="76"/>
        <v/>
      </c>
      <c r="BM1336" s="6" t="str">
        <f t="shared" si="77"/>
        <v/>
      </c>
      <c r="BN1336" s="6" t="str">
        <f t="shared" si="78"/>
        <v/>
      </c>
    </row>
    <row r="1337" spans="64:66" ht="11.25" customHeight="1" x14ac:dyDescent="0.25">
      <c r="BL1337" s="8" t="str">
        <f t="shared" si="76"/>
        <v/>
      </c>
      <c r="BM1337" s="6" t="str">
        <f t="shared" si="77"/>
        <v/>
      </c>
      <c r="BN1337" s="6" t="str">
        <f t="shared" si="78"/>
        <v/>
      </c>
    </row>
    <row r="1338" spans="64:66" ht="11.25" customHeight="1" x14ac:dyDescent="0.25">
      <c r="BL1338" s="8" t="str">
        <f t="shared" si="76"/>
        <v/>
      </c>
      <c r="BM1338" s="6" t="str">
        <f t="shared" si="77"/>
        <v/>
      </c>
      <c r="BN1338" s="6" t="str">
        <f t="shared" si="78"/>
        <v/>
      </c>
    </row>
    <row r="1339" spans="64:66" ht="11.25" customHeight="1" x14ac:dyDescent="0.25">
      <c r="BL1339" s="8" t="str">
        <f t="shared" si="76"/>
        <v/>
      </c>
      <c r="BM1339" s="6" t="str">
        <f t="shared" si="77"/>
        <v/>
      </c>
      <c r="BN1339" s="6" t="str">
        <f t="shared" si="78"/>
        <v/>
      </c>
    </row>
    <row r="1340" spans="64:66" ht="11.25" customHeight="1" x14ac:dyDescent="0.25">
      <c r="BL1340" s="8" t="str">
        <f t="shared" si="76"/>
        <v/>
      </c>
      <c r="BM1340" s="6" t="str">
        <f t="shared" si="77"/>
        <v/>
      </c>
      <c r="BN1340" s="6" t="str">
        <f t="shared" si="78"/>
        <v/>
      </c>
    </row>
    <row r="1341" spans="64:66" ht="11.25" customHeight="1" x14ac:dyDescent="0.25">
      <c r="BL1341" s="8" t="str">
        <f t="shared" si="76"/>
        <v/>
      </c>
      <c r="BM1341" s="6" t="str">
        <f t="shared" si="77"/>
        <v/>
      </c>
      <c r="BN1341" s="6" t="str">
        <f t="shared" si="78"/>
        <v/>
      </c>
    </row>
    <row r="1342" spans="64:66" ht="11.25" customHeight="1" x14ac:dyDescent="0.25">
      <c r="BL1342" s="8" t="str">
        <f t="shared" si="76"/>
        <v/>
      </c>
      <c r="BM1342" s="6" t="str">
        <f t="shared" si="77"/>
        <v/>
      </c>
      <c r="BN1342" s="6" t="str">
        <f t="shared" si="78"/>
        <v/>
      </c>
    </row>
    <row r="1343" spans="64:66" ht="11.25" customHeight="1" x14ac:dyDescent="0.25">
      <c r="BL1343" s="8" t="str">
        <f t="shared" si="76"/>
        <v/>
      </c>
      <c r="BM1343" s="6" t="str">
        <f t="shared" si="77"/>
        <v/>
      </c>
      <c r="BN1343" s="6" t="str">
        <f t="shared" si="78"/>
        <v/>
      </c>
    </row>
    <row r="1344" spans="64:66" ht="11.25" customHeight="1" x14ac:dyDescent="0.25">
      <c r="BL1344" s="8" t="str">
        <f t="shared" si="76"/>
        <v/>
      </c>
      <c r="BM1344" s="6" t="str">
        <f t="shared" si="77"/>
        <v/>
      </c>
      <c r="BN1344" s="6" t="str">
        <f t="shared" si="78"/>
        <v/>
      </c>
    </row>
    <row r="1345" spans="64:66" ht="11.25" customHeight="1" x14ac:dyDescent="0.25">
      <c r="BL1345" s="8" t="str">
        <f t="shared" si="76"/>
        <v/>
      </c>
      <c r="BM1345" s="6" t="str">
        <f t="shared" si="77"/>
        <v/>
      </c>
      <c r="BN1345" s="6" t="str">
        <f t="shared" si="78"/>
        <v/>
      </c>
    </row>
    <row r="1346" spans="64:66" ht="11.25" customHeight="1" x14ac:dyDescent="0.25">
      <c r="BL1346" s="8" t="str">
        <f t="shared" si="76"/>
        <v/>
      </c>
      <c r="BM1346" s="6" t="str">
        <f t="shared" si="77"/>
        <v/>
      </c>
      <c r="BN1346" s="6" t="str">
        <f t="shared" si="78"/>
        <v/>
      </c>
    </row>
    <row r="1347" spans="64:66" ht="11.25" customHeight="1" x14ac:dyDescent="0.25">
      <c r="BL1347" s="8" t="str">
        <f t="shared" si="76"/>
        <v/>
      </c>
      <c r="BM1347" s="6" t="str">
        <f t="shared" si="77"/>
        <v/>
      </c>
      <c r="BN1347" s="6" t="str">
        <f t="shared" si="78"/>
        <v/>
      </c>
    </row>
    <row r="1348" spans="64:66" ht="11.25" customHeight="1" x14ac:dyDescent="0.25">
      <c r="BL1348" s="8" t="str">
        <f t="shared" si="76"/>
        <v/>
      </c>
      <c r="BM1348" s="6" t="str">
        <f t="shared" si="77"/>
        <v/>
      </c>
      <c r="BN1348" s="6" t="str">
        <f t="shared" si="78"/>
        <v/>
      </c>
    </row>
    <row r="1349" spans="64:66" ht="11.25" customHeight="1" x14ac:dyDescent="0.25">
      <c r="BL1349" s="8" t="str">
        <f t="shared" si="76"/>
        <v/>
      </c>
      <c r="BM1349" s="6" t="str">
        <f t="shared" si="77"/>
        <v/>
      </c>
      <c r="BN1349" s="6" t="str">
        <f t="shared" si="78"/>
        <v/>
      </c>
    </row>
    <row r="1350" spans="64:66" ht="11.25" customHeight="1" x14ac:dyDescent="0.25">
      <c r="BL1350" s="8" t="str">
        <f t="shared" ref="BL1350:BL1413" si="79">IF(ROW()&lt;=$BL$4,ROW()-ROW(BL$4),"")</f>
        <v/>
      </c>
      <c r="BM1350" s="6" t="str">
        <f t="shared" si="77"/>
        <v/>
      </c>
      <c r="BN1350" s="6" t="str">
        <f t="shared" si="78"/>
        <v/>
      </c>
    </row>
    <row r="1351" spans="64:66" ht="11.25" customHeight="1" x14ac:dyDescent="0.25">
      <c r="BL1351" s="8" t="str">
        <f t="shared" si="79"/>
        <v/>
      </c>
      <c r="BM1351" s="6" t="str">
        <f t="shared" si="77"/>
        <v/>
      </c>
      <c r="BN1351" s="6" t="str">
        <f t="shared" si="78"/>
        <v/>
      </c>
    </row>
    <row r="1352" spans="64:66" ht="11.25" customHeight="1" x14ac:dyDescent="0.25">
      <c r="BL1352" s="8" t="str">
        <f t="shared" si="79"/>
        <v/>
      </c>
      <c r="BM1352" s="6" t="str">
        <f t="shared" ref="BM1352:BM1415" si="80">IF(ISNUMBER(BL1352),INT(BL1351/$BN$4)+1,"")</f>
        <v/>
      </c>
      <c r="BN1352" s="6" t="str">
        <f t="shared" ref="BN1352:BN1415" si="81">IF(ISNUMBER(BL1352),IF(BM1351&lt;&gt;BM1352,1,BN1351+1),"")</f>
        <v/>
      </c>
    </row>
    <row r="1353" spans="64:66" ht="11.25" customHeight="1" x14ac:dyDescent="0.25">
      <c r="BL1353" s="8" t="str">
        <f t="shared" si="79"/>
        <v/>
      </c>
      <c r="BM1353" s="6" t="str">
        <f t="shared" si="80"/>
        <v/>
      </c>
      <c r="BN1353" s="6" t="str">
        <f t="shared" si="81"/>
        <v/>
      </c>
    </row>
    <row r="1354" spans="64:66" ht="11.25" customHeight="1" x14ac:dyDescent="0.25">
      <c r="BL1354" s="8" t="str">
        <f t="shared" si="79"/>
        <v/>
      </c>
      <c r="BM1354" s="6" t="str">
        <f t="shared" si="80"/>
        <v/>
      </c>
      <c r="BN1354" s="6" t="str">
        <f t="shared" si="81"/>
        <v/>
      </c>
    </row>
    <row r="1355" spans="64:66" ht="11.25" customHeight="1" x14ac:dyDescent="0.25">
      <c r="BL1355" s="8" t="str">
        <f t="shared" si="79"/>
        <v/>
      </c>
      <c r="BM1355" s="6" t="str">
        <f t="shared" si="80"/>
        <v/>
      </c>
      <c r="BN1355" s="6" t="str">
        <f t="shared" si="81"/>
        <v/>
      </c>
    </row>
    <row r="1356" spans="64:66" ht="11.25" customHeight="1" x14ac:dyDescent="0.25">
      <c r="BL1356" s="8" t="str">
        <f t="shared" si="79"/>
        <v/>
      </c>
      <c r="BM1356" s="6" t="str">
        <f t="shared" si="80"/>
        <v/>
      </c>
      <c r="BN1356" s="6" t="str">
        <f t="shared" si="81"/>
        <v/>
      </c>
    </row>
    <row r="1357" spans="64:66" ht="11.25" customHeight="1" x14ac:dyDescent="0.25">
      <c r="BL1357" s="8" t="str">
        <f t="shared" si="79"/>
        <v/>
      </c>
      <c r="BM1357" s="6" t="str">
        <f t="shared" si="80"/>
        <v/>
      </c>
      <c r="BN1357" s="6" t="str">
        <f t="shared" si="81"/>
        <v/>
      </c>
    </row>
    <row r="1358" spans="64:66" ht="11.25" customHeight="1" x14ac:dyDescent="0.25">
      <c r="BL1358" s="8" t="str">
        <f t="shared" si="79"/>
        <v/>
      </c>
      <c r="BM1358" s="6" t="str">
        <f t="shared" si="80"/>
        <v/>
      </c>
      <c r="BN1358" s="6" t="str">
        <f t="shared" si="81"/>
        <v/>
      </c>
    </row>
    <row r="1359" spans="64:66" ht="11.25" customHeight="1" x14ac:dyDescent="0.25">
      <c r="BL1359" s="8" t="str">
        <f t="shared" si="79"/>
        <v/>
      </c>
      <c r="BM1359" s="6" t="str">
        <f t="shared" si="80"/>
        <v/>
      </c>
      <c r="BN1359" s="6" t="str">
        <f t="shared" si="81"/>
        <v/>
      </c>
    </row>
    <row r="1360" spans="64:66" ht="11.25" customHeight="1" x14ac:dyDescent="0.25">
      <c r="BL1360" s="8" t="str">
        <f t="shared" si="79"/>
        <v/>
      </c>
      <c r="BM1360" s="6" t="str">
        <f t="shared" si="80"/>
        <v/>
      </c>
      <c r="BN1360" s="6" t="str">
        <f t="shared" si="81"/>
        <v/>
      </c>
    </row>
    <row r="1361" spans="64:66" ht="11.25" customHeight="1" x14ac:dyDescent="0.25">
      <c r="BL1361" s="8" t="str">
        <f t="shared" si="79"/>
        <v/>
      </c>
      <c r="BM1361" s="6" t="str">
        <f t="shared" si="80"/>
        <v/>
      </c>
      <c r="BN1361" s="6" t="str">
        <f t="shared" si="81"/>
        <v/>
      </c>
    </row>
    <row r="1362" spans="64:66" ht="11.25" customHeight="1" x14ac:dyDescent="0.25">
      <c r="BL1362" s="8" t="str">
        <f t="shared" si="79"/>
        <v/>
      </c>
      <c r="BM1362" s="6" t="str">
        <f t="shared" si="80"/>
        <v/>
      </c>
      <c r="BN1362" s="6" t="str">
        <f t="shared" si="81"/>
        <v/>
      </c>
    </row>
    <row r="1363" spans="64:66" ht="11.25" customHeight="1" x14ac:dyDescent="0.25">
      <c r="BL1363" s="8" t="str">
        <f t="shared" si="79"/>
        <v/>
      </c>
      <c r="BM1363" s="6" t="str">
        <f t="shared" si="80"/>
        <v/>
      </c>
      <c r="BN1363" s="6" t="str">
        <f t="shared" si="81"/>
        <v/>
      </c>
    </row>
    <row r="1364" spans="64:66" ht="11.25" customHeight="1" x14ac:dyDescent="0.25">
      <c r="BL1364" s="8" t="str">
        <f t="shared" si="79"/>
        <v/>
      </c>
      <c r="BM1364" s="6" t="str">
        <f t="shared" si="80"/>
        <v/>
      </c>
      <c r="BN1364" s="6" t="str">
        <f t="shared" si="81"/>
        <v/>
      </c>
    </row>
    <row r="1365" spans="64:66" ht="11.25" customHeight="1" x14ac:dyDescent="0.25">
      <c r="BL1365" s="8" t="str">
        <f t="shared" si="79"/>
        <v/>
      </c>
      <c r="BM1365" s="6" t="str">
        <f t="shared" si="80"/>
        <v/>
      </c>
      <c r="BN1365" s="6" t="str">
        <f t="shared" si="81"/>
        <v/>
      </c>
    </row>
    <row r="1366" spans="64:66" ht="11.25" customHeight="1" x14ac:dyDescent="0.25">
      <c r="BL1366" s="8" t="str">
        <f t="shared" si="79"/>
        <v/>
      </c>
      <c r="BM1366" s="6" t="str">
        <f t="shared" si="80"/>
        <v/>
      </c>
      <c r="BN1366" s="6" t="str">
        <f t="shared" si="81"/>
        <v/>
      </c>
    </row>
    <row r="1367" spans="64:66" ht="11.25" customHeight="1" x14ac:dyDescent="0.25">
      <c r="BL1367" s="8" t="str">
        <f t="shared" si="79"/>
        <v/>
      </c>
      <c r="BM1367" s="6" t="str">
        <f t="shared" si="80"/>
        <v/>
      </c>
      <c r="BN1367" s="6" t="str">
        <f t="shared" si="81"/>
        <v/>
      </c>
    </row>
    <row r="1368" spans="64:66" ht="11.25" customHeight="1" x14ac:dyDescent="0.25">
      <c r="BL1368" s="8" t="str">
        <f t="shared" si="79"/>
        <v/>
      </c>
      <c r="BM1368" s="6" t="str">
        <f t="shared" si="80"/>
        <v/>
      </c>
      <c r="BN1368" s="6" t="str">
        <f t="shared" si="81"/>
        <v/>
      </c>
    </row>
    <row r="1369" spans="64:66" ht="11.25" customHeight="1" x14ac:dyDescent="0.25">
      <c r="BL1369" s="8" t="str">
        <f t="shared" si="79"/>
        <v/>
      </c>
      <c r="BM1369" s="6" t="str">
        <f t="shared" si="80"/>
        <v/>
      </c>
      <c r="BN1369" s="6" t="str">
        <f t="shared" si="81"/>
        <v/>
      </c>
    </row>
    <row r="1370" spans="64:66" ht="11.25" customHeight="1" x14ac:dyDescent="0.25">
      <c r="BL1370" s="8" t="str">
        <f t="shared" si="79"/>
        <v/>
      </c>
      <c r="BM1370" s="6" t="str">
        <f t="shared" si="80"/>
        <v/>
      </c>
      <c r="BN1370" s="6" t="str">
        <f t="shared" si="81"/>
        <v/>
      </c>
    </row>
    <row r="1371" spans="64:66" ht="11.25" customHeight="1" x14ac:dyDescent="0.25">
      <c r="BL1371" s="8" t="str">
        <f t="shared" si="79"/>
        <v/>
      </c>
      <c r="BM1371" s="6" t="str">
        <f t="shared" si="80"/>
        <v/>
      </c>
      <c r="BN1371" s="6" t="str">
        <f t="shared" si="81"/>
        <v/>
      </c>
    </row>
    <row r="1372" spans="64:66" ht="11.25" customHeight="1" x14ac:dyDescent="0.25">
      <c r="BL1372" s="8" t="str">
        <f t="shared" si="79"/>
        <v/>
      </c>
      <c r="BM1372" s="6" t="str">
        <f t="shared" si="80"/>
        <v/>
      </c>
      <c r="BN1372" s="6" t="str">
        <f t="shared" si="81"/>
        <v/>
      </c>
    </row>
    <row r="1373" spans="64:66" ht="11.25" customHeight="1" x14ac:dyDescent="0.25">
      <c r="BL1373" s="8" t="str">
        <f t="shared" si="79"/>
        <v/>
      </c>
      <c r="BM1373" s="6" t="str">
        <f t="shared" si="80"/>
        <v/>
      </c>
      <c r="BN1373" s="6" t="str">
        <f t="shared" si="81"/>
        <v/>
      </c>
    </row>
    <row r="1374" spans="64:66" ht="11.25" customHeight="1" x14ac:dyDescent="0.25">
      <c r="BL1374" s="8" t="str">
        <f t="shared" si="79"/>
        <v/>
      </c>
      <c r="BM1374" s="6" t="str">
        <f t="shared" si="80"/>
        <v/>
      </c>
      <c r="BN1374" s="6" t="str">
        <f t="shared" si="81"/>
        <v/>
      </c>
    </row>
    <row r="1375" spans="64:66" ht="11.25" customHeight="1" x14ac:dyDescent="0.25">
      <c r="BL1375" s="8" t="str">
        <f t="shared" si="79"/>
        <v/>
      </c>
      <c r="BM1375" s="6" t="str">
        <f t="shared" si="80"/>
        <v/>
      </c>
      <c r="BN1375" s="6" t="str">
        <f t="shared" si="81"/>
        <v/>
      </c>
    </row>
    <row r="1376" spans="64:66" ht="11.25" customHeight="1" x14ac:dyDescent="0.25">
      <c r="BL1376" s="8" t="str">
        <f t="shared" si="79"/>
        <v/>
      </c>
      <c r="BM1376" s="6" t="str">
        <f t="shared" si="80"/>
        <v/>
      </c>
      <c r="BN1376" s="6" t="str">
        <f t="shared" si="81"/>
        <v/>
      </c>
    </row>
    <row r="1377" spans="64:66" ht="11.25" customHeight="1" x14ac:dyDescent="0.25">
      <c r="BL1377" s="8" t="str">
        <f t="shared" si="79"/>
        <v/>
      </c>
      <c r="BM1377" s="6" t="str">
        <f t="shared" si="80"/>
        <v/>
      </c>
      <c r="BN1377" s="6" t="str">
        <f t="shared" si="81"/>
        <v/>
      </c>
    </row>
    <row r="1378" spans="64:66" ht="11.25" customHeight="1" x14ac:dyDescent="0.25">
      <c r="BL1378" s="8" t="str">
        <f t="shared" si="79"/>
        <v/>
      </c>
      <c r="BM1378" s="6" t="str">
        <f t="shared" si="80"/>
        <v/>
      </c>
      <c r="BN1378" s="6" t="str">
        <f t="shared" si="81"/>
        <v/>
      </c>
    </row>
    <row r="1379" spans="64:66" ht="11.25" customHeight="1" x14ac:dyDescent="0.25">
      <c r="BL1379" s="8" t="str">
        <f t="shared" si="79"/>
        <v/>
      </c>
      <c r="BM1379" s="6" t="str">
        <f t="shared" si="80"/>
        <v/>
      </c>
      <c r="BN1379" s="6" t="str">
        <f t="shared" si="81"/>
        <v/>
      </c>
    </row>
    <row r="1380" spans="64:66" ht="11.25" customHeight="1" x14ac:dyDescent="0.25">
      <c r="BL1380" s="8" t="str">
        <f t="shared" si="79"/>
        <v/>
      </c>
      <c r="BM1380" s="6" t="str">
        <f t="shared" si="80"/>
        <v/>
      </c>
      <c r="BN1380" s="6" t="str">
        <f t="shared" si="81"/>
        <v/>
      </c>
    </row>
    <row r="1381" spans="64:66" ht="11.25" customHeight="1" x14ac:dyDescent="0.25">
      <c r="BL1381" s="8" t="str">
        <f t="shared" si="79"/>
        <v/>
      </c>
      <c r="BM1381" s="6" t="str">
        <f t="shared" si="80"/>
        <v/>
      </c>
      <c r="BN1381" s="6" t="str">
        <f t="shared" si="81"/>
        <v/>
      </c>
    </row>
    <row r="1382" spans="64:66" ht="11.25" customHeight="1" x14ac:dyDescent="0.25">
      <c r="BL1382" s="8" t="str">
        <f t="shared" si="79"/>
        <v/>
      </c>
      <c r="BM1382" s="6" t="str">
        <f t="shared" si="80"/>
        <v/>
      </c>
      <c r="BN1382" s="6" t="str">
        <f t="shared" si="81"/>
        <v/>
      </c>
    </row>
    <row r="1383" spans="64:66" ht="11.25" customHeight="1" x14ac:dyDescent="0.25">
      <c r="BL1383" s="8" t="str">
        <f t="shared" si="79"/>
        <v/>
      </c>
      <c r="BM1383" s="6" t="str">
        <f t="shared" si="80"/>
        <v/>
      </c>
      <c r="BN1383" s="6" t="str">
        <f t="shared" si="81"/>
        <v/>
      </c>
    </row>
    <row r="1384" spans="64:66" ht="11.25" customHeight="1" x14ac:dyDescent="0.25">
      <c r="BL1384" s="8" t="str">
        <f t="shared" si="79"/>
        <v/>
      </c>
      <c r="BM1384" s="6" t="str">
        <f t="shared" si="80"/>
        <v/>
      </c>
      <c r="BN1384" s="6" t="str">
        <f t="shared" si="81"/>
        <v/>
      </c>
    </row>
    <row r="1385" spans="64:66" ht="11.25" customHeight="1" x14ac:dyDescent="0.25">
      <c r="BL1385" s="8" t="str">
        <f t="shared" si="79"/>
        <v/>
      </c>
      <c r="BM1385" s="6" t="str">
        <f t="shared" si="80"/>
        <v/>
      </c>
      <c r="BN1385" s="6" t="str">
        <f t="shared" si="81"/>
        <v/>
      </c>
    </row>
    <row r="1386" spans="64:66" ht="11.25" customHeight="1" x14ac:dyDescent="0.25">
      <c r="BL1386" s="8" t="str">
        <f t="shared" si="79"/>
        <v/>
      </c>
      <c r="BM1386" s="6" t="str">
        <f t="shared" si="80"/>
        <v/>
      </c>
      <c r="BN1386" s="6" t="str">
        <f t="shared" si="81"/>
        <v/>
      </c>
    </row>
    <row r="1387" spans="64:66" ht="11.25" customHeight="1" x14ac:dyDescent="0.25">
      <c r="BL1387" s="8" t="str">
        <f t="shared" si="79"/>
        <v/>
      </c>
      <c r="BM1387" s="6" t="str">
        <f t="shared" si="80"/>
        <v/>
      </c>
      <c r="BN1387" s="6" t="str">
        <f t="shared" si="81"/>
        <v/>
      </c>
    </row>
    <row r="1388" spans="64:66" ht="11.25" customHeight="1" x14ac:dyDescent="0.25">
      <c r="BL1388" s="8" t="str">
        <f t="shared" si="79"/>
        <v/>
      </c>
      <c r="BM1388" s="6" t="str">
        <f t="shared" si="80"/>
        <v/>
      </c>
      <c r="BN1388" s="6" t="str">
        <f t="shared" si="81"/>
        <v/>
      </c>
    </row>
    <row r="1389" spans="64:66" ht="11.25" customHeight="1" x14ac:dyDescent="0.25">
      <c r="BL1389" s="8" t="str">
        <f t="shared" si="79"/>
        <v/>
      </c>
      <c r="BM1389" s="6" t="str">
        <f t="shared" si="80"/>
        <v/>
      </c>
      <c r="BN1389" s="6" t="str">
        <f t="shared" si="81"/>
        <v/>
      </c>
    </row>
    <row r="1390" spans="64:66" ht="11.25" customHeight="1" x14ac:dyDescent="0.25">
      <c r="BL1390" s="8" t="str">
        <f t="shared" si="79"/>
        <v/>
      </c>
      <c r="BM1390" s="6" t="str">
        <f t="shared" si="80"/>
        <v/>
      </c>
      <c r="BN1390" s="6" t="str">
        <f t="shared" si="81"/>
        <v/>
      </c>
    </row>
    <row r="1391" spans="64:66" ht="11.25" customHeight="1" x14ac:dyDescent="0.25">
      <c r="BL1391" s="8" t="str">
        <f t="shared" si="79"/>
        <v/>
      </c>
      <c r="BM1391" s="6" t="str">
        <f t="shared" si="80"/>
        <v/>
      </c>
      <c r="BN1391" s="6" t="str">
        <f t="shared" si="81"/>
        <v/>
      </c>
    </row>
    <row r="1392" spans="64:66" ht="11.25" customHeight="1" x14ac:dyDescent="0.25">
      <c r="BL1392" s="8" t="str">
        <f t="shared" si="79"/>
        <v/>
      </c>
      <c r="BM1392" s="6" t="str">
        <f t="shared" si="80"/>
        <v/>
      </c>
      <c r="BN1392" s="6" t="str">
        <f t="shared" si="81"/>
        <v/>
      </c>
    </row>
    <row r="1393" spans="64:66" ht="11.25" customHeight="1" x14ac:dyDescent="0.25">
      <c r="BL1393" s="8" t="str">
        <f t="shared" si="79"/>
        <v/>
      </c>
      <c r="BM1393" s="6" t="str">
        <f t="shared" si="80"/>
        <v/>
      </c>
      <c r="BN1393" s="6" t="str">
        <f t="shared" si="81"/>
        <v/>
      </c>
    </row>
    <row r="1394" spans="64:66" ht="11.25" customHeight="1" x14ac:dyDescent="0.25">
      <c r="BL1394" s="8" t="str">
        <f t="shared" si="79"/>
        <v/>
      </c>
      <c r="BM1394" s="6" t="str">
        <f t="shared" si="80"/>
        <v/>
      </c>
      <c r="BN1394" s="6" t="str">
        <f t="shared" si="81"/>
        <v/>
      </c>
    </row>
    <row r="1395" spans="64:66" ht="11.25" customHeight="1" x14ac:dyDescent="0.25">
      <c r="BL1395" s="8" t="str">
        <f t="shared" si="79"/>
        <v/>
      </c>
      <c r="BM1395" s="6" t="str">
        <f t="shared" si="80"/>
        <v/>
      </c>
      <c r="BN1395" s="6" t="str">
        <f t="shared" si="81"/>
        <v/>
      </c>
    </row>
    <row r="1396" spans="64:66" ht="11.25" customHeight="1" x14ac:dyDescent="0.25">
      <c r="BL1396" s="8" t="str">
        <f t="shared" si="79"/>
        <v/>
      </c>
      <c r="BM1396" s="6" t="str">
        <f t="shared" si="80"/>
        <v/>
      </c>
      <c r="BN1396" s="6" t="str">
        <f t="shared" si="81"/>
        <v/>
      </c>
    </row>
    <row r="1397" spans="64:66" ht="11.25" customHeight="1" x14ac:dyDescent="0.25">
      <c r="BL1397" s="8" t="str">
        <f t="shared" si="79"/>
        <v/>
      </c>
      <c r="BM1397" s="6" t="str">
        <f t="shared" si="80"/>
        <v/>
      </c>
      <c r="BN1397" s="6" t="str">
        <f t="shared" si="81"/>
        <v/>
      </c>
    </row>
    <row r="1398" spans="64:66" ht="11.25" customHeight="1" x14ac:dyDescent="0.25">
      <c r="BL1398" s="8" t="str">
        <f t="shared" si="79"/>
        <v/>
      </c>
      <c r="BM1398" s="6" t="str">
        <f t="shared" si="80"/>
        <v/>
      </c>
      <c r="BN1398" s="6" t="str">
        <f t="shared" si="81"/>
        <v/>
      </c>
    </row>
    <row r="1399" spans="64:66" ht="11.25" customHeight="1" x14ac:dyDescent="0.25">
      <c r="BL1399" s="8" t="str">
        <f t="shared" si="79"/>
        <v/>
      </c>
      <c r="BM1399" s="6" t="str">
        <f t="shared" si="80"/>
        <v/>
      </c>
      <c r="BN1399" s="6" t="str">
        <f t="shared" si="81"/>
        <v/>
      </c>
    </row>
    <row r="1400" spans="64:66" ht="11.25" customHeight="1" x14ac:dyDescent="0.25">
      <c r="BL1400" s="8" t="str">
        <f t="shared" si="79"/>
        <v/>
      </c>
      <c r="BM1400" s="6" t="str">
        <f t="shared" si="80"/>
        <v/>
      </c>
      <c r="BN1400" s="6" t="str">
        <f t="shared" si="81"/>
        <v/>
      </c>
    </row>
    <row r="1401" spans="64:66" ht="11.25" customHeight="1" x14ac:dyDescent="0.25">
      <c r="BL1401" s="8" t="str">
        <f t="shared" si="79"/>
        <v/>
      </c>
      <c r="BM1401" s="6" t="str">
        <f t="shared" si="80"/>
        <v/>
      </c>
      <c r="BN1401" s="6" t="str">
        <f t="shared" si="81"/>
        <v/>
      </c>
    </row>
    <row r="1402" spans="64:66" ht="11.25" customHeight="1" x14ac:dyDescent="0.25">
      <c r="BL1402" s="8" t="str">
        <f t="shared" si="79"/>
        <v/>
      </c>
      <c r="BM1402" s="6" t="str">
        <f t="shared" si="80"/>
        <v/>
      </c>
      <c r="BN1402" s="6" t="str">
        <f t="shared" si="81"/>
        <v/>
      </c>
    </row>
    <row r="1403" spans="64:66" ht="11.25" customHeight="1" x14ac:dyDescent="0.25">
      <c r="BL1403" s="8" t="str">
        <f t="shared" si="79"/>
        <v/>
      </c>
      <c r="BM1403" s="6" t="str">
        <f t="shared" si="80"/>
        <v/>
      </c>
      <c r="BN1403" s="6" t="str">
        <f t="shared" si="81"/>
        <v/>
      </c>
    </row>
    <row r="1404" spans="64:66" ht="11.25" customHeight="1" x14ac:dyDescent="0.25">
      <c r="BL1404" s="8" t="str">
        <f t="shared" si="79"/>
        <v/>
      </c>
      <c r="BM1404" s="6" t="str">
        <f t="shared" si="80"/>
        <v/>
      </c>
      <c r="BN1404" s="6" t="str">
        <f t="shared" si="81"/>
        <v/>
      </c>
    </row>
    <row r="1405" spans="64:66" ht="11.25" customHeight="1" x14ac:dyDescent="0.25">
      <c r="BL1405" s="8" t="str">
        <f t="shared" si="79"/>
        <v/>
      </c>
      <c r="BM1405" s="6" t="str">
        <f t="shared" si="80"/>
        <v/>
      </c>
      <c r="BN1405" s="6" t="str">
        <f t="shared" si="81"/>
        <v/>
      </c>
    </row>
    <row r="1406" spans="64:66" ht="11.25" customHeight="1" x14ac:dyDescent="0.25">
      <c r="BL1406" s="8" t="str">
        <f t="shared" si="79"/>
        <v/>
      </c>
      <c r="BM1406" s="6" t="str">
        <f t="shared" si="80"/>
        <v/>
      </c>
      <c r="BN1406" s="6" t="str">
        <f t="shared" si="81"/>
        <v/>
      </c>
    </row>
    <row r="1407" spans="64:66" ht="11.25" customHeight="1" x14ac:dyDescent="0.25">
      <c r="BL1407" s="8" t="str">
        <f t="shared" si="79"/>
        <v/>
      </c>
      <c r="BM1407" s="6" t="str">
        <f t="shared" si="80"/>
        <v/>
      </c>
      <c r="BN1407" s="6" t="str">
        <f t="shared" si="81"/>
        <v/>
      </c>
    </row>
    <row r="1408" spans="64:66" ht="11.25" customHeight="1" x14ac:dyDescent="0.25">
      <c r="BL1408" s="8" t="str">
        <f t="shared" si="79"/>
        <v/>
      </c>
      <c r="BM1408" s="6" t="str">
        <f t="shared" si="80"/>
        <v/>
      </c>
      <c r="BN1408" s="6" t="str">
        <f t="shared" si="81"/>
        <v/>
      </c>
    </row>
    <row r="1409" spans="64:66" ht="11.25" customHeight="1" x14ac:dyDescent="0.25">
      <c r="BL1409" s="8" t="str">
        <f t="shared" si="79"/>
        <v/>
      </c>
      <c r="BM1409" s="6" t="str">
        <f t="shared" si="80"/>
        <v/>
      </c>
      <c r="BN1409" s="6" t="str">
        <f t="shared" si="81"/>
        <v/>
      </c>
    </row>
    <row r="1410" spans="64:66" ht="11.25" customHeight="1" x14ac:dyDescent="0.25">
      <c r="BL1410" s="8" t="str">
        <f t="shared" si="79"/>
        <v/>
      </c>
      <c r="BM1410" s="6" t="str">
        <f t="shared" si="80"/>
        <v/>
      </c>
      <c r="BN1410" s="6" t="str">
        <f t="shared" si="81"/>
        <v/>
      </c>
    </row>
    <row r="1411" spans="64:66" ht="11.25" customHeight="1" x14ac:dyDescent="0.25">
      <c r="BL1411" s="8" t="str">
        <f t="shared" si="79"/>
        <v/>
      </c>
      <c r="BM1411" s="6" t="str">
        <f t="shared" si="80"/>
        <v/>
      </c>
      <c r="BN1411" s="6" t="str">
        <f t="shared" si="81"/>
        <v/>
      </c>
    </row>
    <row r="1412" spans="64:66" ht="11.25" customHeight="1" x14ac:dyDescent="0.25">
      <c r="BL1412" s="8" t="str">
        <f t="shared" si="79"/>
        <v/>
      </c>
      <c r="BM1412" s="6" t="str">
        <f t="shared" si="80"/>
        <v/>
      </c>
      <c r="BN1412" s="6" t="str">
        <f t="shared" si="81"/>
        <v/>
      </c>
    </row>
    <row r="1413" spans="64:66" ht="11.25" customHeight="1" x14ac:dyDescent="0.25">
      <c r="BL1413" s="8" t="str">
        <f t="shared" si="79"/>
        <v/>
      </c>
      <c r="BM1413" s="6" t="str">
        <f t="shared" si="80"/>
        <v/>
      </c>
      <c r="BN1413" s="6" t="str">
        <f t="shared" si="81"/>
        <v/>
      </c>
    </row>
    <row r="1414" spans="64:66" ht="11.25" customHeight="1" x14ac:dyDescent="0.25">
      <c r="BL1414" s="8" t="str">
        <f t="shared" ref="BL1414:BL1477" si="82">IF(ROW()&lt;=$BL$4,ROW()-ROW(BL$4),"")</f>
        <v/>
      </c>
      <c r="BM1414" s="6" t="str">
        <f t="shared" si="80"/>
        <v/>
      </c>
      <c r="BN1414" s="6" t="str">
        <f t="shared" si="81"/>
        <v/>
      </c>
    </row>
    <row r="1415" spans="64:66" ht="11.25" customHeight="1" x14ac:dyDescent="0.25">
      <c r="BL1415" s="8" t="str">
        <f t="shared" si="82"/>
        <v/>
      </c>
      <c r="BM1415" s="6" t="str">
        <f t="shared" si="80"/>
        <v/>
      </c>
      <c r="BN1415" s="6" t="str">
        <f t="shared" si="81"/>
        <v/>
      </c>
    </row>
    <row r="1416" spans="64:66" ht="11.25" customHeight="1" x14ac:dyDescent="0.25">
      <c r="BL1416" s="8" t="str">
        <f t="shared" si="82"/>
        <v/>
      </c>
      <c r="BM1416" s="6" t="str">
        <f t="shared" ref="BM1416:BM1479" si="83">IF(ISNUMBER(BL1416),INT(BL1415/$BN$4)+1,"")</f>
        <v/>
      </c>
      <c r="BN1416" s="6" t="str">
        <f t="shared" ref="BN1416:BN1479" si="84">IF(ISNUMBER(BL1416),IF(BM1415&lt;&gt;BM1416,1,BN1415+1),"")</f>
        <v/>
      </c>
    </row>
    <row r="1417" spans="64:66" ht="11.25" customHeight="1" x14ac:dyDescent="0.25">
      <c r="BL1417" s="8" t="str">
        <f t="shared" si="82"/>
        <v/>
      </c>
      <c r="BM1417" s="6" t="str">
        <f t="shared" si="83"/>
        <v/>
      </c>
      <c r="BN1417" s="6" t="str">
        <f t="shared" si="84"/>
        <v/>
      </c>
    </row>
    <row r="1418" spans="64:66" ht="11.25" customHeight="1" x14ac:dyDescent="0.25">
      <c r="BL1418" s="8" t="str">
        <f t="shared" si="82"/>
        <v/>
      </c>
      <c r="BM1418" s="6" t="str">
        <f t="shared" si="83"/>
        <v/>
      </c>
      <c r="BN1418" s="6" t="str">
        <f t="shared" si="84"/>
        <v/>
      </c>
    </row>
    <row r="1419" spans="64:66" ht="11.25" customHeight="1" x14ac:dyDescent="0.25">
      <c r="BL1419" s="8" t="str">
        <f t="shared" si="82"/>
        <v/>
      </c>
      <c r="BM1419" s="6" t="str">
        <f t="shared" si="83"/>
        <v/>
      </c>
      <c r="BN1419" s="6" t="str">
        <f t="shared" si="84"/>
        <v/>
      </c>
    </row>
    <row r="1420" spans="64:66" ht="11.25" customHeight="1" x14ac:dyDescent="0.25">
      <c r="BL1420" s="8" t="str">
        <f t="shared" si="82"/>
        <v/>
      </c>
      <c r="BM1420" s="6" t="str">
        <f t="shared" si="83"/>
        <v/>
      </c>
      <c r="BN1420" s="6" t="str">
        <f t="shared" si="84"/>
        <v/>
      </c>
    </row>
    <row r="1421" spans="64:66" ht="11.25" customHeight="1" x14ac:dyDescent="0.25">
      <c r="BL1421" s="8" t="str">
        <f t="shared" si="82"/>
        <v/>
      </c>
      <c r="BM1421" s="6" t="str">
        <f t="shared" si="83"/>
        <v/>
      </c>
      <c r="BN1421" s="6" t="str">
        <f t="shared" si="84"/>
        <v/>
      </c>
    </row>
    <row r="1422" spans="64:66" ht="11.25" customHeight="1" x14ac:dyDescent="0.25">
      <c r="BL1422" s="8" t="str">
        <f t="shared" si="82"/>
        <v/>
      </c>
      <c r="BM1422" s="6" t="str">
        <f t="shared" si="83"/>
        <v/>
      </c>
      <c r="BN1422" s="6" t="str">
        <f t="shared" si="84"/>
        <v/>
      </c>
    </row>
    <row r="1423" spans="64:66" ht="11.25" customHeight="1" x14ac:dyDescent="0.25">
      <c r="BL1423" s="8" t="str">
        <f t="shared" si="82"/>
        <v/>
      </c>
      <c r="BM1423" s="6" t="str">
        <f t="shared" si="83"/>
        <v/>
      </c>
      <c r="BN1423" s="6" t="str">
        <f t="shared" si="84"/>
        <v/>
      </c>
    </row>
    <row r="1424" spans="64:66" ht="11.25" customHeight="1" x14ac:dyDescent="0.25">
      <c r="BL1424" s="8" t="str">
        <f t="shared" si="82"/>
        <v/>
      </c>
      <c r="BM1424" s="6" t="str">
        <f t="shared" si="83"/>
        <v/>
      </c>
      <c r="BN1424" s="6" t="str">
        <f t="shared" si="84"/>
        <v/>
      </c>
    </row>
    <row r="1425" spans="64:66" ht="11.25" customHeight="1" x14ac:dyDescent="0.25">
      <c r="BL1425" s="8" t="str">
        <f t="shared" si="82"/>
        <v/>
      </c>
      <c r="BM1425" s="6" t="str">
        <f t="shared" si="83"/>
        <v/>
      </c>
      <c r="BN1425" s="6" t="str">
        <f t="shared" si="84"/>
        <v/>
      </c>
    </row>
    <row r="1426" spans="64:66" ht="11.25" customHeight="1" x14ac:dyDescent="0.25">
      <c r="BL1426" s="8" t="str">
        <f t="shared" si="82"/>
        <v/>
      </c>
      <c r="BM1426" s="6" t="str">
        <f t="shared" si="83"/>
        <v/>
      </c>
      <c r="BN1426" s="6" t="str">
        <f t="shared" si="84"/>
        <v/>
      </c>
    </row>
    <row r="1427" spans="64:66" ht="11.25" customHeight="1" x14ac:dyDescent="0.25">
      <c r="BL1427" s="8" t="str">
        <f t="shared" si="82"/>
        <v/>
      </c>
      <c r="BM1427" s="6" t="str">
        <f t="shared" si="83"/>
        <v/>
      </c>
      <c r="BN1427" s="6" t="str">
        <f t="shared" si="84"/>
        <v/>
      </c>
    </row>
    <row r="1428" spans="64:66" ht="11.25" customHeight="1" x14ac:dyDescent="0.25">
      <c r="BL1428" s="8" t="str">
        <f t="shared" si="82"/>
        <v/>
      </c>
      <c r="BM1428" s="6" t="str">
        <f t="shared" si="83"/>
        <v/>
      </c>
      <c r="BN1428" s="6" t="str">
        <f t="shared" si="84"/>
        <v/>
      </c>
    </row>
    <row r="1429" spans="64:66" ht="11.25" customHeight="1" x14ac:dyDescent="0.25">
      <c r="BL1429" s="8" t="str">
        <f t="shared" si="82"/>
        <v/>
      </c>
      <c r="BM1429" s="6" t="str">
        <f t="shared" si="83"/>
        <v/>
      </c>
      <c r="BN1429" s="6" t="str">
        <f t="shared" si="84"/>
        <v/>
      </c>
    </row>
    <row r="1430" spans="64:66" ht="11.25" customHeight="1" x14ac:dyDescent="0.25">
      <c r="BL1430" s="8" t="str">
        <f t="shared" si="82"/>
        <v/>
      </c>
      <c r="BM1430" s="6" t="str">
        <f t="shared" si="83"/>
        <v/>
      </c>
      <c r="BN1430" s="6" t="str">
        <f t="shared" si="84"/>
        <v/>
      </c>
    </row>
    <row r="1431" spans="64:66" ht="11.25" customHeight="1" x14ac:dyDescent="0.25">
      <c r="BL1431" s="8" t="str">
        <f t="shared" si="82"/>
        <v/>
      </c>
      <c r="BM1431" s="6" t="str">
        <f t="shared" si="83"/>
        <v/>
      </c>
      <c r="BN1431" s="6" t="str">
        <f t="shared" si="84"/>
        <v/>
      </c>
    </row>
    <row r="1432" spans="64:66" ht="11.25" customHeight="1" x14ac:dyDescent="0.25">
      <c r="BL1432" s="8" t="str">
        <f t="shared" si="82"/>
        <v/>
      </c>
      <c r="BM1432" s="6" t="str">
        <f t="shared" si="83"/>
        <v/>
      </c>
      <c r="BN1432" s="6" t="str">
        <f t="shared" si="84"/>
        <v/>
      </c>
    </row>
    <row r="1433" spans="64:66" ht="11.25" customHeight="1" x14ac:dyDescent="0.25">
      <c r="BL1433" s="8" t="str">
        <f t="shared" si="82"/>
        <v/>
      </c>
      <c r="BM1433" s="6" t="str">
        <f t="shared" si="83"/>
        <v/>
      </c>
      <c r="BN1433" s="6" t="str">
        <f t="shared" si="84"/>
        <v/>
      </c>
    </row>
    <row r="1434" spans="64:66" ht="11.25" customHeight="1" x14ac:dyDescent="0.25">
      <c r="BL1434" s="8" t="str">
        <f t="shared" si="82"/>
        <v/>
      </c>
      <c r="BM1434" s="6" t="str">
        <f t="shared" si="83"/>
        <v/>
      </c>
      <c r="BN1434" s="6" t="str">
        <f t="shared" si="84"/>
        <v/>
      </c>
    </row>
    <row r="1435" spans="64:66" ht="11.25" customHeight="1" x14ac:dyDescent="0.25">
      <c r="BL1435" s="8" t="str">
        <f t="shared" si="82"/>
        <v/>
      </c>
      <c r="BM1435" s="6" t="str">
        <f t="shared" si="83"/>
        <v/>
      </c>
      <c r="BN1435" s="6" t="str">
        <f t="shared" si="84"/>
        <v/>
      </c>
    </row>
    <row r="1436" spans="64:66" ht="11.25" customHeight="1" x14ac:dyDescent="0.25">
      <c r="BL1436" s="8" t="str">
        <f t="shared" si="82"/>
        <v/>
      </c>
      <c r="BM1436" s="6" t="str">
        <f t="shared" si="83"/>
        <v/>
      </c>
      <c r="BN1436" s="6" t="str">
        <f t="shared" si="84"/>
        <v/>
      </c>
    </row>
    <row r="1437" spans="64:66" ht="11.25" customHeight="1" x14ac:dyDescent="0.25">
      <c r="BL1437" s="8" t="str">
        <f t="shared" si="82"/>
        <v/>
      </c>
      <c r="BM1437" s="6" t="str">
        <f t="shared" si="83"/>
        <v/>
      </c>
      <c r="BN1437" s="6" t="str">
        <f t="shared" si="84"/>
        <v/>
      </c>
    </row>
    <row r="1438" spans="64:66" ht="11.25" customHeight="1" x14ac:dyDescent="0.25">
      <c r="BL1438" s="8" t="str">
        <f t="shared" si="82"/>
        <v/>
      </c>
      <c r="BM1438" s="6" t="str">
        <f t="shared" si="83"/>
        <v/>
      </c>
      <c r="BN1438" s="6" t="str">
        <f t="shared" si="84"/>
        <v/>
      </c>
    </row>
    <row r="1439" spans="64:66" ht="11.25" customHeight="1" x14ac:dyDescent="0.25">
      <c r="BL1439" s="8" t="str">
        <f t="shared" si="82"/>
        <v/>
      </c>
      <c r="BM1439" s="6" t="str">
        <f t="shared" si="83"/>
        <v/>
      </c>
      <c r="BN1439" s="6" t="str">
        <f t="shared" si="84"/>
        <v/>
      </c>
    </row>
    <row r="1440" spans="64:66" ht="11.25" customHeight="1" x14ac:dyDescent="0.25">
      <c r="BL1440" s="8" t="str">
        <f t="shared" si="82"/>
        <v/>
      </c>
      <c r="BM1440" s="6" t="str">
        <f t="shared" si="83"/>
        <v/>
      </c>
      <c r="BN1440" s="6" t="str">
        <f t="shared" si="84"/>
        <v/>
      </c>
    </row>
    <row r="1441" spans="64:66" ht="11.25" customHeight="1" x14ac:dyDescent="0.25">
      <c r="BL1441" s="8" t="str">
        <f t="shared" si="82"/>
        <v/>
      </c>
      <c r="BM1441" s="6" t="str">
        <f t="shared" si="83"/>
        <v/>
      </c>
      <c r="BN1441" s="6" t="str">
        <f t="shared" si="84"/>
        <v/>
      </c>
    </row>
    <row r="1442" spans="64:66" ht="11.25" customHeight="1" x14ac:dyDescent="0.25">
      <c r="BL1442" s="8" t="str">
        <f t="shared" si="82"/>
        <v/>
      </c>
      <c r="BM1442" s="6" t="str">
        <f t="shared" si="83"/>
        <v/>
      </c>
      <c r="BN1442" s="6" t="str">
        <f t="shared" si="84"/>
        <v/>
      </c>
    </row>
    <row r="1443" spans="64:66" ht="11.25" customHeight="1" x14ac:dyDescent="0.25">
      <c r="BL1443" s="8" t="str">
        <f t="shared" si="82"/>
        <v/>
      </c>
      <c r="BM1443" s="6" t="str">
        <f t="shared" si="83"/>
        <v/>
      </c>
      <c r="BN1443" s="6" t="str">
        <f t="shared" si="84"/>
        <v/>
      </c>
    </row>
    <row r="1444" spans="64:66" ht="11.25" customHeight="1" x14ac:dyDescent="0.25">
      <c r="BL1444" s="8" t="str">
        <f t="shared" si="82"/>
        <v/>
      </c>
      <c r="BM1444" s="6" t="str">
        <f t="shared" si="83"/>
        <v/>
      </c>
      <c r="BN1444" s="6" t="str">
        <f t="shared" si="84"/>
        <v/>
      </c>
    </row>
    <row r="1445" spans="64:66" ht="11.25" customHeight="1" x14ac:dyDescent="0.25">
      <c r="BL1445" s="8" t="str">
        <f t="shared" si="82"/>
        <v/>
      </c>
      <c r="BM1445" s="6" t="str">
        <f t="shared" si="83"/>
        <v/>
      </c>
      <c r="BN1445" s="6" t="str">
        <f t="shared" si="84"/>
        <v/>
      </c>
    </row>
    <row r="1446" spans="64:66" ht="11.25" customHeight="1" x14ac:dyDescent="0.25">
      <c r="BL1446" s="8" t="str">
        <f t="shared" si="82"/>
        <v/>
      </c>
      <c r="BM1446" s="6" t="str">
        <f t="shared" si="83"/>
        <v/>
      </c>
      <c r="BN1446" s="6" t="str">
        <f t="shared" si="84"/>
        <v/>
      </c>
    </row>
    <row r="1447" spans="64:66" ht="11.25" customHeight="1" x14ac:dyDescent="0.25">
      <c r="BL1447" s="8" t="str">
        <f t="shared" si="82"/>
        <v/>
      </c>
      <c r="BM1447" s="6" t="str">
        <f t="shared" si="83"/>
        <v/>
      </c>
      <c r="BN1447" s="6" t="str">
        <f t="shared" si="84"/>
        <v/>
      </c>
    </row>
    <row r="1448" spans="64:66" ht="11.25" customHeight="1" x14ac:dyDescent="0.25">
      <c r="BL1448" s="8" t="str">
        <f t="shared" si="82"/>
        <v/>
      </c>
      <c r="BM1448" s="6" t="str">
        <f t="shared" si="83"/>
        <v/>
      </c>
      <c r="BN1448" s="6" t="str">
        <f t="shared" si="84"/>
        <v/>
      </c>
    </row>
    <row r="1449" spans="64:66" ht="11.25" customHeight="1" x14ac:dyDescent="0.25">
      <c r="BL1449" s="8" t="str">
        <f t="shared" si="82"/>
        <v/>
      </c>
      <c r="BM1449" s="6" t="str">
        <f t="shared" si="83"/>
        <v/>
      </c>
      <c r="BN1449" s="6" t="str">
        <f t="shared" si="84"/>
        <v/>
      </c>
    </row>
    <row r="1450" spans="64:66" ht="11.25" customHeight="1" x14ac:dyDescent="0.25">
      <c r="BL1450" s="8" t="str">
        <f t="shared" si="82"/>
        <v/>
      </c>
      <c r="BM1450" s="6" t="str">
        <f t="shared" si="83"/>
        <v/>
      </c>
      <c r="BN1450" s="6" t="str">
        <f t="shared" si="84"/>
        <v/>
      </c>
    </row>
    <row r="1451" spans="64:66" ht="11.25" customHeight="1" x14ac:dyDescent="0.25">
      <c r="BL1451" s="8" t="str">
        <f t="shared" si="82"/>
        <v/>
      </c>
      <c r="BM1451" s="6" t="str">
        <f t="shared" si="83"/>
        <v/>
      </c>
      <c r="BN1451" s="6" t="str">
        <f t="shared" si="84"/>
        <v/>
      </c>
    </row>
    <row r="1452" spans="64:66" ht="11.25" customHeight="1" x14ac:dyDescent="0.25">
      <c r="BL1452" s="8" t="str">
        <f t="shared" si="82"/>
        <v/>
      </c>
      <c r="BM1452" s="6" t="str">
        <f t="shared" si="83"/>
        <v/>
      </c>
      <c r="BN1452" s="6" t="str">
        <f t="shared" si="84"/>
        <v/>
      </c>
    </row>
    <row r="1453" spans="64:66" ht="11.25" customHeight="1" x14ac:dyDescent="0.25">
      <c r="BL1453" s="8" t="str">
        <f t="shared" si="82"/>
        <v/>
      </c>
      <c r="BM1453" s="6" t="str">
        <f t="shared" si="83"/>
        <v/>
      </c>
      <c r="BN1453" s="6" t="str">
        <f t="shared" si="84"/>
        <v/>
      </c>
    </row>
    <row r="1454" spans="64:66" ht="11.25" customHeight="1" x14ac:dyDescent="0.25">
      <c r="BL1454" s="8" t="str">
        <f t="shared" si="82"/>
        <v/>
      </c>
      <c r="BM1454" s="6" t="str">
        <f t="shared" si="83"/>
        <v/>
      </c>
      <c r="BN1454" s="6" t="str">
        <f t="shared" si="84"/>
        <v/>
      </c>
    </row>
    <row r="1455" spans="64:66" ht="11.25" customHeight="1" x14ac:dyDescent="0.25">
      <c r="BL1455" s="8" t="str">
        <f t="shared" si="82"/>
        <v/>
      </c>
      <c r="BM1455" s="6" t="str">
        <f t="shared" si="83"/>
        <v/>
      </c>
      <c r="BN1455" s="6" t="str">
        <f t="shared" si="84"/>
        <v/>
      </c>
    </row>
    <row r="1456" spans="64:66" ht="11.25" customHeight="1" x14ac:dyDescent="0.25">
      <c r="BL1456" s="8" t="str">
        <f t="shared" si="82"/>
        <v/>
      </c>
      <c r="BM1456" s="6" t="str">
        <f t="shared" si="83"/>
        <v/>
      </c>
      <c r="BN1456" s="6" t="str">
        <f t="shared" si="84"/>
        <v/>
      </c>
    </row>
    <row r="1457" spans="64:66" ht="11.25" customHeight="1" x14ac:dyDescent="0.25">
      <c r="BL1457" s="8" t="str">
        <f t="shared" si="82"/>
        <v/>
      </c>
      <c r="BM1457" s="6" t="str">
        <f t="shared" si="83"/>
        <v/>
      </c>
      <c r="BN1457" s="6" t="str">
        <f t="shared" si="84"/>
        <v/>
      </c>
    </row>
    <row r="1458" spans="64:66" ht="11.25" customHeight="1" x14ac:dyDescent="0.25">
      <c r="BL1458" s="8" t="str">
        <f t="shared" si="82"/>
        <v/>
      </c>
      <c r="BM1458" s="6" t="str">
        <f t="shared" si="83"/>
        <v/>
      </c>
      <c r="BN1458" s="6" t="str">
        <f t="shared" si="84"/>
        <v/>
      </c>
    </row>
    <row r="1459" spans="64:66" ht="11.25" customHeight="1" x14ac:dyDescent="0.25">
      <c r="BL1459" s="8" t="str">
        <f t="shared" si="82"/>
        <v/>
      </c>
      <c r="BM1459" s="6" t="str">
        <f t="shared" si="83"/>
        <v/>
      </c>
      <c r="BN1459" s="6" t="str">
        <f t="shared" si="84"/>
        <v/>
      </c>
    </row>
    <row r="1460" spans="64:66" ht="11.25" customHeight="1" x14ac:dyDescent="0.25">
      <c r="BL1460" s="8" t="str">
        <f t="shared" si="82"/>
        <v/>
      </c>
      <c r="BM1460" s="6" t="str">
        <f t="shared" si="83"/>
        <v/>
      </c>
      <c r="BN1460" s="6" t="str">
        <f t="shared" si="84"/>
        <v/>
      </c>
    </row>
    <row r="1461" spans="64:66" ht="11.25" customHeight="1" x14ac:dyDescent="0.25">
      <c r="BL1461" s="8" t="str">
        <f t="shared" si="82"/>
        <v/>
      </c>
      <c r="BM1461" s="6" t="str">
        <f t="shared" si="83"/>
        <v/>
      </c>
      <c r="BN1461" s="6" t="str">
        <f t="shared" si="84"/>
        <v/>
      </c>
    </row>
    <row r="1462" spans="64:66" ht="11.25" customHeight="1" x14ac:dyDescent="0.25">
      <c r="BL1462" s="8" t="str">
        <f t="shared" si="82"/>
        <v/>
      </c>
      <c r="BM1462" s="6" t="str">
        <f t="shared" si="83"/>
        <v/>
      </c>
      <c r="BN1462" s="6" t="str">
        <f t="shared" si="84"/>
        <v/>
      </c>
    </row>
    <row r="1463" spans="64:66" ht="11.25" customHeight="1" x14ac:dyDescent="0.25">
      <c r="BL1463" s="8" t="str">
        <f t="shared" si="82"/>
        <v/>
      </c>
      <c r="BM1463" s="6" t="str">
        <f t="shared" si="83"/>
        <v/>
      </c>
      <c r="BN1463" s="6" t="str">
        <f t="shared" si="84"/>
        <v/>
      </c>
    </row>
    <row r="1464" spans="64:66" ht="11.25" customHeight="1" x14ac:dyDescent="0.25">
      <c r="BL1464" s="8" t="str">
        <f t="shared" si="82"/>
        <v/>
      </c>
      <c r="BM1464" s="6" t="str">
        <f t="shared" si="83"/>
        <v/>
      </c>
      <c r="BN1464" s="6" t="str">
        <f t="shared" si="84"/>
        <v/>
      </c>
    </row>
    <row r="1465" spans="64:66" ht="11.25" customHeight="1" x14ac:dyDescent="0.25">
      <c r="BL1465" s="8" t="str">
        <f t="shared" si="82"/>
        <v/>
      </c>
      <c r="BM1465" s="6" t="str">
        <f t="shared" si="83"/>
        <v/>
      </c>
      <c r="BN1465" s="6" t="str">
        <f t="shared" si="84"/>
        <v/>
      </c>
    </row>
    <row r="1466" spans="64:66" ht="11.25" customHeight="1" x14ac:dyDescent="0.25">
      <c r="BL1466" s="8" t="str">
        <f t="shared" si="82"/>
        <v/>
      </c>
      <c r="BM1466" s="6" t="str">
        <f t="shared" si="83"/>
        <v/>
      </c>
      <c r="BN1466" s="6" t="str">
        <f t="shared" si="84"/>
        <v/>
      </c>
    </row>
    <row r="1467" spans="64:66" ht="11.25" customHeight="1" x14ac:dyDescent="0.25">
      <c r="BL1467" s="8" t="str">
        <f t="shared" si="82"/>
        <v/>
      </c>
      <c r="BM1467" s="6" t="str">
        <f t="shared" si="83"/>
        <v/>
      </c>
      <c r="BN1467" s="6" t="str">
        <f t="shared" si="84"/>
        <v/>
      </c>
    </row>
    <row r="1468" spans="64:66" ht="11.25" customHeight="1" x14ac:dyDescent="0.25">
      <c r="BL1468" s="8" t="str">
        <f t="shared" si="82"/>
        <v/>
      </c>
      <c r="BM1468" s="6" t="str">
        <f t="shared" si="83"/>
        <v/>
      </c>
      <c r="BN1468" s="6" t="str">
        <f t="shared" si="84"/>
        <v/>
      </c>
    </row>
    <row r="1469" spans="64:66" ht="11.25" customHeight="1" x14ac:dyDescent="0.25">
      <c r="BL1469" s="8" t="str">
        <f t="shared" si="82"/>
        <v/>
      </c>
      <c r="BM1469" s="6" t="str">
        <f t="shared" si="83"/>
        <v/>
      </c>
      <c r="BN1469" s="6" t="str">
        <f t="shared" si="84"/>
        <v/>
      </c>
    </row>
    <row r="1470" spans="64:66" ht="11.25" customHeight="1" x14ac:dyDescent="0.25">
      <c r="BL1470" s="8" t="str">
        <f t="shared" si="82"/>
        <v/>
      </c>
      <c r="BM1470" s="6" t="str">
        <f t="shared" si="83"/>
        <v/>
      </c>
      <c r="BN1470" s="6" t="str">
        <f t="shared" si="84"/>
        <v/>
      </c>
    </row>
    <row r="1471" spans="64:66" ht="11.25" customHeight="1" x14ac:dyDescent="0.25">
      <c r="BL1471" s="8" t="str">
        <f t="shared" si="82"/>
        <v/>
      </c>
      <c r="BM1471" s="6" t="str">
        <f t="shared" si="83"/>
        <v/>
      </c>
      <c r="BN1471" s="6" t="str">
        <f t="shared" si="84"/>
        <v/>
      </c>
    </row>
    <row r="1472" spans="64:66" ht="11.25" customHeight="1" x14ac:dyDescent="0.25">
      <c r="BL1472" s="8" t="str">
        <f t="shared" si="82"/>
        <v/>
      </c>
      <c r="BM1472" s="6" t="str">
        <f t="shared" si="83"/>
        <v/>
      </c>
      <c r="BN1472" s="6" t="str">
        <f t="shared" si="84"/>
        <v/>
      </c>
    </row>
    <row r="1473" spans="64:66" ht="11.25" customHeight="1" x14ac:dyDescent="0.25">
      <c r="BL1473" s="8" t="str">
        <f t="shared" si="82"/>
        <v/>
      </c>
      <c r="BM1473" s="6" t="str">
        <f t="shared" si="83"/>
        <v/>
      </c>
      <c r="BN1473" s="6" t="str">
        <f t="shared" si="84"/>
        <v/>
      </c>
    </row>
    <row r="1474" spans="64:66" ht="11.25" customHeight="1" x14ac:dyDescent="0.25">
      <c r="BL1474" s="8" t="str">
        <f t="shared" si="82"/>
        <v/>
      </c>
      <c r="BM1474" s="6" t="str">
        <f t="shared" si="83"/>
        <v/>
      </c>
      <c r="BN1474" s="6" t="str">
        <f t="shared" si="84"/>
        <v/>
      </c>
    </row>
    <row r="1475" spans="64:66" ht="11.25" customHeight="1" x14ac:dyDescent="0.25">
      <c r="BL1475" s="8" t="str">
        <f t="shared" si="82"/>
        <v/>
      </c>
      <c r="BM1475" s="6" t="str">
        <f t="shared" si="83"/>
        <v/>
      </c>
      <c r="BN1475" s="6" t="str">
        <f t="shared" si="84"/>
        <v/>
      </c>
    </row>
    <row r="1476" spans="64:66" ht="11.25" customHeight="1" x14ac:dyDescent="0.25">
      <c r="BL1476" s="8" t="str">
        <f t="shared" si="82"/>
        <v/>
      </c>
      <c r="BM1476" s="6" t="str">
        <f t="shared" si="83"/>
        <v/>
      </c>
      <c r="BN1476" s="6" t="str">
        <f t="shared" si="84"/>
        <v/>
      </c>
    </row>
    <row r="1477" spans="64:66" ht="11.25" customHeight="1" x14ac:dyDescent="0.25">
      <c r="BL1477" s="8" t="str">
        <f t="shared" si="82"/>
        <v/>
      </c>
      <c r="BM1477" s="6" t="str">
        <f t="shared" si="83"/>
        <v/>
      </c>
      <c r="BN1477" s="6" t="str">
        <f t="shared" si="84"/>
        <v/>
      </c>
    </row>
    <row r="1478" spans="64:66" ht="11.25" customHeight="1" x14ac:dyDescent="0.25">
      <c r="BL1478" s="8" t="str">
        <f t="shared" ref="BL1478:BL1541" si="85">IF(ROW()&lt;=$BL$4,ROW()-ROW(BL$4),"")</f>
        <v/>
      </c>
      <c r="BM1478" s="6" t="str">
        <f t="shared" si="83"/>
        <v/>
      </c>
      <c r="BN1478" s="6" t="str">
        <f t="shared" si="84"/>
        <v/>
      </c>
    </row>
    <row r="1479" spans="64:66" ht="11.25" customHeight="1" x14ac:dyDescent="0.25">
      <c r="BL1479" s="8" t="str">
        <f t="shared" si="85"/>
        <v/>
      </c>
      <c r="BM1479" s="6" t="str">
        <f t="shared" si="83"/>
        <v/>
      </c>
      <c r="BN1479" s="6" t="str">
        <f t="shared" si="84"/>
        <v/>
      </c>
    </row>
    <row r="1480" spans="64:66" ht="11.25" customHeight="1" x14ac:dyDescent="0.25">
      <c r="BL1480" s="8" t="str">
        <f t="shared" si="85"/>
        <v/>
      </c>
      <c r="BM1480" s="6" t="str">
        <f t="shared" ref="BM1480:BM1543" si="86">IF(ISNUMBER(BL1480),INT(BL1479/$BN$4)+1,"")</f>
        <v/>
      </c>
      <c r="BN1480" s="6" t="str">
        <f t="shared" ref="BN1480:BN1543" si="87">IF(ISNUMBER(BL1480),IF(BM1479&lt;&gt;BM1480,1,BN1479+1),"")</f>
        <v/>
      </c>
    </row>
    <row r="1481" spans="64:66" ht="11.25" customHeight="1" x14ac:dyDescent="0.25">
      <c r="BL1481" s="8" t="str">
        <f t="shared" si="85"/>
        <v/>
      </c>
      <c r="BM1481" s="6" t="str">
        <f t="shared" si="86"/>
        <v/>
      </c>
      <c r="BN1481" s="6" t="str">
        <f t="shared" si="87"/>
        <v/>
      </c>
    </row>
    <row r="1482" spans="64:66" ht="11.25" customHeight="1" x14ac:dyDescent="0.25">
      <c r="BL1482" s="8" t="str">
        <f t="shared" si="85"/>
        <v/>
      </c>
      <c r="BM1482" s="6" t="str">
        <f t="shared" si="86"/>
        <v/>
      </c>
      <c r="BN1482" s="6" t="str">
        <f t="shared" si="87"/>
        <v/>
      </c>
    </row>
    <row r="1483" spans="64:66" ht="11.25" customHeight="1" x14ac:dyDescent="0.25">
      <c r="BL1483" s="8" t="str">
        <f t="shared" si="85"/>
        <v/>
      </c>
      <c r="BM1483" s="6" t="str">
        <f t="shared" si="86"/>
        <v/>
      </c>
      <c r="BN1483" s="6" t="str">
        <f t="shared" si="87"/>
        <v/>
      </c>
    </row>
    <row r="1484" spans="64:66" ht="11.25" customHeight="1" x14ac:dyDescent="0.25">
      <c r="BL1484" s="8" t="str">
        <f t="shared" si="85"/>
        <v/>
      </c>
      <c r="BM1484" s="6" t="str">
        <f t="shared" si="86"/>
        <v/>
      </c>
      <c r="BN1484" s="6" t="str">
        <f t="shared" si="87"/>
        <v/>
      </c>
    </row>
    <row r="1485" spans="64:66" ht="11.25" customHeight="1" x14ac:dyDescent="0.25">
      <c r="BL1485" s="8" t="str">
        <f t="shared" si="85"/>
        <v/>
      </c>
      <c r="BM1485" s="6" t="str">
        <f t="shared" si="86"/>
        <v/>
      </c>
      <c r="BN1485" s="6" t="str">
        <f t="shared" si="87"/>
        <v/>
      </c>
    </row>
    <row r="1486" spans="64:66" ht="11.25" customHeight="1" x14ac:dyDescent="0.25">
      <c r="BL1486" s="8" t="str">
        <f t="shared" si="85"/>
        <v/>
      </c>
      <c r="BM1486" s="6" t="str">
        <f t="shared" si="86"/>
        <v/>
      </c>
      <c r="BN1486" s="6" t="str">
        <f t="shared" si="87"/>
        <v/>
      </c>
    </row>
    <row r="1487" spans="64:66" ht="11.25" customHeight="1" x14ac:dyDescent="0.25">
      <c r="BL1487" s="8" t="str">
        <f t="shared" si="85"/>
        <v/>
      </c>
      <c r="BM1487" s="6" t="str">
        <f t="shared" si="86"/>
        <v/>
      </c>
      <c r="BN1487" s="6" t="str">
        <f t="shared" si="87"/>
        <v/>
      </c>
    </row>
    <row r="1488" spans="64:66" ht="11.25" customHeight="1" x14ac:dyDescent="0.25">
      <c r="BL1488" s="8" t="str">
        <f t="shared" si="85"/>
        <v/>
      </c>
      <c r="BM1488" s="6" t="str">
        <f t="shared" si="86"/>
        <v/>
      </c>
      <c r="BN1488" s="6" t="str">
        <f t="shared" si="87"/>
        <v/>
      </c>
    </row>
    <row r="1489" spans="64:66" ht="11.25" customHeight="1" x14ac:dyDescent="0.25">
      <c r="BL1489" s="8" t="str">
        <f t="shared" si="85"/>
        <v/>
      </c>
      <c r="BM1489" s="6" t="str">
        <f t="shared" si="86"/>
        <v/>
      </c>
      <c r="BN1489" s="6" t="str">
        <f t="shared" si="87"/>
        <v/>
      </c>
    </row>
    <row r="1490" spans="64:66" ht="11.25" customHeight="1" x14ac:dyDescent="0.25">
      <c r="BL1490" s="8" t="str">
        <f t="shared" si="85"/>
        <v/>
      </c>
      <c r="BM1490" s="6" t="str">
        <f t="shared" si="86"/>
        <v/>
      </c>
      <c r="BN1490" s="6" t="str">
        <f t="shared" si="87"/>
        <v/>
      </c>
    </row>
    <row r="1491" spans="64:66" ht="11.25" customHeight="1" x14ac:dyDescent="0.25">
      <c r="BL1491" s="8" t="str">
        <f t="shared" si="85"/>
        <v/>
      </c>
      <c r="BM1491" s="6" t="str">
        <f t="shared" si="86"/>
        <v/>
      </c>
      <c r="BN1491" s="6" t="str">
        <f t="shared" si="87"/>
        <v/>
      </c>
    </row>
    <row r="1492" spans="64:66" ht="11.25" customHeight="1" x14ac:dyDescent="0.25">
      <c r="BL1492" s="8" t="str">
        <f t="shared" si="85"/>
        <v/>
      </c>
      <c r="BM1492" s="6" t="str">
        <f t="shared" si="86"/>
        <v/>
      </c>
      <c r="BN1492" s="6" t="str">
        <f t="shared" si="87"/>
        <v/>
      </c>
    </row>
    <row r="1493" spans="64:66" ht="11.25" customHeight="1" x14ac:dyDescent="0.25">
      <c r="BL1493" s="8" t="str">
        <f t="shared" si="85"/>
        <v/>
      </c>
      <c r="BM1493" s="6" t="str">
        <f t="shared" si="86"/>
        <v/>
      </c>
      <c r="BN1493" s="6" t="str">
        <f t="shared" si="87"/>
        <v/>
      </c>
    </row>
    <row r="1494" spans="64:66" ht="11.25" customHeight="1" x14ac:dyDescent="0.25">
      <c r="BL1494" s="8" t="str">
        <f t="shared" si="85"/>
        <v/>
      </c>
      <c r="BM1494" s="6" t="str">
        <f t="shared" si="86"/>
        <v/>
      </c>
      <c r="BN1494" s="6" t="str">
        <f t="shared" si="87"/>
        <v/>
      </c>
    </row>
    <row r="1495" spans="64:66" ht="11.25" customHeight="1" x14ac:dyDescent="0.25">
      <c r="BL1495" s="8" t="str">
        <f t="shared" si="85"/>
        <v/>
      </c>
      <c r="BM1495" s="6" t="str">
        <f t="shared" si="86"/>
        <v/>
      </c>
      <c r="BN1495" s="6" t="str">
        <f t="shared" si="87"/>
        <v/>
      </c>
    </row>
    <row r="1496" spans="64:66" ht="11.25" customHeight="1" x14ac:dyDescent="0.25">
      <c r="BL1496" s="8" t="str">
        <f t="shared" si="85"/>
        <v/>
      </c>
      <c r="BM1496" s="6" t="str">
        <f t="shared" si="86"/>
        <v/>
      </c>
      <c r="BN1496" s="6" t="str">
        <f t="shared" si="87"/>
        <v/>
      </c>
    </row>
    <row r="1497" spans="64:66" ht="11.25" customHeight="1" x14ac:dyDescent="0.25">
      <c r="BL1497" s="8" t="str">
        <f t="shared" si="85"/>
        <v/>
      </c>
      <c r="BM1497" s="6" t="str">
        <f t="shared" si="86"/>
        <v/>
      </c>
      <c r="BN1497" s="6" t="str">
        <f t="shared" si="87"/>
        <v/>
      </c>
    </row>
    <row r="1498" spans="64:66" ht="11.25" customHeight="1" x14ac:dyDescent="0.25">
      <c r="BL1498" s="8" t="str">
        <f t="shared" si="85"/>
        <v/>
      </c>
      <c r="BM1498" s="6" t="str">
        <f t="shared" si="86"/>
        <v/>
      </c>
      <c r="BN1498" s="6" t="str">
        <f t="shared" si="87"/>
        <v/>
      </c>
    </row>
    <row r="1499" spans="64:66" ht="11.25" customHeight="1" x14ac:dyDescent="0.25">
      <c r="BL1499" s="8" t="str">
        <f t="shared" si="85"/>
        <v/>
      </c>
      <c r="BM1499" s="6" t="str">
        <f t="shared" si="86"/>
        <v/>
      </c>
      <c r="BN1499" s="6" t="str">
        <f t="shared" si="87"/>
        <v/>
      </c>
    </row>
    <row r="1500" spans="64:66" ht="11.25" customHeight="1" x14ac:dyDescent="0.25">
      <c r="BL1500" s="8" t="str">
        <f t="shared" si="85"/>
        <v/>
      </c>
      <c r="BM1500" s="6" t="str">
        <f t="shared" si="86"/>
        <v/>
      </c>
      <c r="BN1500" s="6" t="str">
        <f t="shared" si="87"/>
        <v/>
      </c>
    </row>
    <row r="1501" spans="64:66" ht="11.25" customHeight="1" x14ac:dyDescent="0.25">
      <c r="BL1501" s="8" t="str">
        <f t="shared" si="85"/>
        <v/>
      </c>
      <c r="BM1501" s="6" t="str">
        <f t="shared" si="86"/>
        <v/>
      </c>
      <c r="BN1501" s="6" t="str">
        <f t="shared" si="87"/>
        <v/>
      </c>
    </row>
    <row r="1502" spans="64:66" ht="11.25" customHeight="1" x14ac:dyDescent="0.25">
      <c r="BL1502" s="8" t="str">
        <f t="shared" si="85"/>
        <v/>
      </c>
      <c r="BM1502" s="6" t="str">
        <f t="shared" si="86"/>
        <v/>
      </c>
      <c r="BN1502" s="6" t="str">
        <f t="shared" si="87"/>
        <v/>
      </c>
    </row>
    <row r="1503" spans="64:66" ht="11.25" customHeight="1" x14ac:dyDescent="0.25">
      <c r="BL1503" s="8" t="str">
        <f t="shared" si="85"/>
        <v/>
      </c>
      <c r="BM1503" s="6" t="str">
        <f t="shared" si="86"/>
        <v/>
      </c>
      <c r="BN1503" s="6" t="str">
        <f t="shared" si="87"/>
        <v/>
      </c>
    </row>
    <row r="1504" spans="64:66" ht="11.25" customHeight="1" x14ac:dyDescent="0.25">
      <c r="BL1504" s="8" t="str">
        <f t="shared" si="85"/>
        <v/>
      </c>
      <c r="BM1504" s="6" t="str">
        <f t="shared" si="86"/>
        <v/>
      </c>
      <c r="BN1504" s="6" t="str">
        <f t="shared" si="87"/>
        <v/>
      </c>
    </row>
    <row r="1505" spans="64:66" ht="11.25" customHeight="1" x14ac:dyDescent="0.25">
      <c r="BL1505" s="8" t="str">
        <f t="shared" si="85"/>
        <v/>
      </c>
      <c r="BM1505" s="6" t="str">
        <f t="shared" si="86"/>
        <v/>
      </c>
      <c r="BN1505" s="6" t="str">
        <f t="shared" si="87"/>
        <v/>
      </c>
    </row>
    <row r="1506" spans="64:66" ht="11.25" customHeight="1" x14ac:dyDescent="0.25">
      <c r="BL1506" s="8" t="str">
        <f t="shared" si="85"/>
        <v/>
      </c>
      <c r="BM1506" s="6" t="str">
        <f t="shared" si="86"/>
        <v/>
      </c>
      <c r="BN1506" s="6" t="str">
        <f t="shared" si="87"/>
        <v/>
      </c>
    </row>
    <row r="1507" spans="64:66" ht="11.25" customHeight="1" x14ac:dyDescent="0.25">
      <c r="BL1507" s="8" t="str">
        <f t="shared" si="85"/>
        <v/>
      </c>
      <c r="BM1507" s="6" t="str">
        <f t="shared" si="86"/>
        <v/>
      </c>
      <c r="BN1507" s="6" t="str">
        <f t="shared" si="87"/>
        <v/>
      </c>
    </row>
    <row r="1508" spans="64:66" ht="11.25" customHeight="1" x14ac:dyDescent="0.25">
      <c r="BL1508" s="8" t="str">
        <f t="shared" si="85"/>
        <v/>
      </c>
      <c r="BM1508" s="6" t="str">
        <f t="shared" si="86"/>
        <v/>
      </c>
      <c r="BN1508" s="6" t="str">
        <f t="shared" si="87"/>
        <v/>
      </c>
    </row>
    <row r="1509" spans="64:66" ht="11.25" customHeight="1" x14ac:dyDescent="0.25">
      <c r="BL1509" s="8" t="str">
        <f t="shared" si="85"/>
        <v/>
      </c>
      <c r="BM1509" s="6" t="str">
        <f t="shared" si="86"/>
        <v/>
      </c>
      <c r="BN1509" s="6" t="str">
        <f t="shared" si="87"/>
        <v/>
      </c>
    </row>
    <row r="1510" spans="64:66" ht="11.25" customHeight="1" x14ac:dyDescent="0.25">
      <c r="BL1510" s="8" t="str">
        <f t="shared" si="85"/>
        <v/>
      </c>
      <c r="BM1510" s="6" t="str">
        <f t="shared" si="86"/>
        <v/>
      </c>
      <c r="BN1510" s="6" t="str">
        <f t="shared" si="87"/>
        <v/>
      </c>
    </row>
    <row r="1511" spans="64:66" ht="11.25" customHeight="1" x14ac:dyDescent="0.25">
      <c r="BL1511" s="8" t="str">
        <f t="shared" si="85"/>
        <v/>
      </c>
      <c r="BM1511" s="6" t="str">
        <f t="shared" si="86"/>
        <v/>
      </c>
      <c r="BN1511" s="6" t="str">
        <f t="shared" si="87"/>
        <v/>
      </c>
    </row>
    <row r="1512" spans="64:66" ht="11.25" customHeight="1" x14ac:dyDescent="0.25">
      <c r="BL1512" s="8" t="str">
        <f t="shared" si="85"/>
        <v/>
      </c>
      <c r="BM1512" s="6" t="str">
        <f t="shared" si="86"/>
        <v/>
      </c>
      <c r="BN1512" s="6" t="str">
        <f t="shared" si="87"/>
        <v/>
      </c>
    </row>
    <row r="1513" spans="64:66" ht="11.25" customHeight="1" x14ac:dyDescent="0.25">
      <c r="BL1513" s="8" t="str">
        <f t="shared" si="85"/>
        <v/>
      </c>
      <c r="BM1513" s="6" t="str">
        <f t="shared" si="86"/>
        <v/>
      </c>
      <c r="BN1513" s="6" t="str">
        <f t="shared" si="87"/>
        <v/>
      </c>
    </row>
    <row r="1514" spans="64:66" ht="11.25" customHeight="1" x14ac:dyDescent="0.25">
      <c r="BL1514" s="8" t="str">
        <f t="shared" si="85"/>
        <v/>
      </c>
      <c r="BM1514" s="6" t="str">
        <f t="shared" si="86"/>
        <v/>
      </c>
      <c r="BN1514" s="6" t="str">
        <f t="shared" si="87"/>
        <v/>
      </c>
    </row>
    <row r="1515" spans="64:66" ht="11.25" customHeight="1" x14ac:dyDescent="0.25">
      <c r="BL1515" s="8" t="str">
        <f t="shared" si="85"/>
        <v/>
      </c>
      <c r="BM1515" s="6" t="str">
        <f t="shared" si="86"/>
        <v/>
      </c>
      <c r="BN1515" s="6" t="str">
        <f t="shared" si="87"/>
        <v/>
      </c>
    </row>
    <row r="1516" spans="64:66" ht="11.25" customHeight="1" x14ac:dyDescent="0.25">
      <c r="BL1516" s="8" t="str">
        <f t="shared" si="85"/>
        <v/>
      </c>
      <c r="BM1516" s="6" t="str">
        <f t="shared" si="86"/>
        <v/>
      </c>
      <c r="BN1516" s="6" t="str">
        <f t="shared" si="87"/>
        <v/>
      </c>
    </row>
    <row r="1517" spans="64:66" ht="11.25" customHeight="1" x14ac:dyDescent="0.25">
      <c r="BL1517" s="8" t="str">
        <f t="shared" si="85"/>
        <v/>
      </c>
      <c r="BM1517" s="6" t="str">
        <f t="shared" si="86"/>
        <v/>
      </c>
      <c r="BN1517" s="6" t="str">
        <f t="shared" si="87"/>
        <v/>
      </c>
    </row>
    <row r="1518" spans="64:66" ht="11.25" customHeight="1" x14ac:dyDescent="0.25">
      <c r="BL1518" s="8" t="str">
        <f t="shared" si="85"/>
        <v/>
      </c>
      <c r="BM1518" s="6" t="str">
        <f t="shared" si="86"/>
        <v/>
      </c>
      <c r="BN1518" s="6" t="str">
        <f t="shared" si="87"/>
        <v/>
      </c>
    </row>
    <row r="1519" spans="64:66" ht="11.25" customHeight="1" x14ac:dyDescent="0.25">
      <c r="BL1519" s="8" t="str">
        <f t="shared" si="85"/>
        <v/>
      </c>
      <c r="BM1519" s="6" t="str">
        <f t="shared" si="86"/>
        <v/>
      </c>
      <c r="BN1519" s="6" t="str">
        <f t="shared" si="87"/>
        <v/>
      </c>
    </row>
    <row r="1520" spans="64:66" ht="11.25" customHeight="1" x14ac:dyDescent="0.25">
      <c r="BL1520" s="8" t="str">
        <f t="shared" si="85"/>
        <v/>
      </c>
      <c r="BM1520" s="6" t="str">
        <f t="shared" si="86"/>
        <v/>
      </c>
      <c r="BN1520" s="6" t="str">
        <f t="shared" si="87"/>
        <v/>
      </c>
    </row>
    <row r="1521" spans="64:66" ht="11.25" customHeight="1" x14ac:dyDescent="0.25">
      <c r="BL1521" s="8" t="str">
        <f t="shared" si="85"/>
        <v/>
      </c>
      <c r="BM1521" s="6" t="str">
        <f t="shared" si="86"/>
        <v/>
      </c>
      <c r="BN1521" s="6" t="str">
        <f t="shared" si="87"/>
        <v/>
      </c>
    </row>
    <row r="1522" spans="64:66" ht="11.25" customHeight="1" x14ac:dyDescent="0.25">
      <c r="BL1522" s="8" t="str">
        <f t="shared" si="85"/>
        <v/>
      </c>
      <c r="BM1522" s="6" t="str">
        <f t="shared" si="86"/>
        <v/>
      </c>
      <c r="BN1522" s="6" t="str">
        <f t="shared" si="87"/>
        <v/>
      </c>
    </row>
    <row r="1523" spans="64:66" ht="11.25" customHeight="1" x14ac:dyDescent="0.25">
      <c r="BL1523" s="8" t="str">
        <f t="shared" si="85"/>
        <v/>
      </c>
      <c r="BM1523" s="6" t="str">
        <f t="shared" si="86"/>
        <v/>
      </c>
      <c r="BN1523" s="6" t="str">
        <f t="shared" si="87"/>
        <v/>
      </c>
    </row>
    <row r="1524" spans="64:66" ht="11.25" customHeight="1" x14ac:dyDescent="0.25">
      <c r="BL1524" s="8" t="str">
        <f t="shared" si="85"/>
        <v/>
      </c>
      <c r="BM1524" s="6" t="str">
        <f t="shared" si="86"/>
        <v/>
      </c>
      <c r="BN1524" s="6" t="str">
        <f t="shared" si="87"/>
        <v/>
      </c>
    </row>
    <row r="1525" spans="64:66" ht="11.25" customHeight="1" x14ac:dyDescent="0.25">
      <c r="BL1525" s="8" t="str">
        <f t="shared" si="85"/>
        <v/>
      </c>
      <c r="BM1525" s="6" t="str">
        <f t="shared" si="86"/>
        <v/>
      </c>
      <c r="BN1525" s="6" t="str">
        <f t="shared" si="87"/>
        <v/>
      </c>
    </row>
    <row r="1526" spans="64:66" ht="11.25" customHeight="1" x14ac:dyDescent="0.25">
      <c r="BL1526" s="8" t="str">
        <f t="shared" si="85"/>
        <v/>
      </c>
      <c r="BM1526" s="6" t="str">
        <f t="shared" si="86"/>
        <v/>
      </c>
      <c r="BN1526" s="6" t="str">
        <f t="shared" si="87"/>
        <v/>
      </c>
    </row>
    <row r="1527" spans="64:66" ht="11.25" customHeight="1" x14ac:dyDescent="0.25">
      <c r="BL1527" s="8" t="str">
        <f t="shared" si="85"/>
        <v/>
      </c>
      <c r="BM1527" s="6" t="str">
        <f t="shared" si="86"/>
        <v/>
      </c>
      <c r="BN1527" s="6" t="str">
        <f t="shared" si="87"/>
        <v/>
      </c>
    </row>
    <row r="1528" spans="64:66" ht="11.25" customHeight="1" x14ac:dyDescent="0.25">
      <c r="BL1528" s="8" t="str">
        <f t="shared" si="85"/>
        <v/>
      </c>
      <c r="BM1528" s="6" t="str">
        <f t="shared" si="86"/>
        <v/>
      </c>
      <c r="BN1528" s="6" t="str">
        <f t="shared" si="87"/>
        <v/>
      </c>
    </row>
    <row r="1529" spans="64:66" ht="11.25" customHeight="1" x14ac:dyDescent="0.25">
      <c r="BL1529" s="8" t="str">
        <f t="shared" si="85"/>
        <v/>
      </c>
      <c r="BM1529" s="6" t="str">
        <f t="shared" si="86"/>
        <v/>
      </c>
      <c r="BN1529" s="6" t="str">
        <f t="shared" si="87"/>
        <v/>
      </c>
    </row>
    <row r="1530" spans="64:66" ht="11.25" customHeight="1" x14ac:dyDescent="0.25">
      <c r="BL1530" s="8" t="str">
        <f t="shared" si="85"/>
        <v/>
      </c>
      <c r="BM1530" s="6" t="str">
        <f t="shared" si="86"/>
        <v/>
      </c>
      <c r="BN1530" s="6" t="str">
        <f t="shared" si="87"/>
        <v/>
      </c>
    </row>
    <row r="1531" spans="64:66" ht="11.25" customHeight="1" x14ac:dyDescent="0.25">
      <c r="BL1531" s="8" t="str">
        <f t="shared" si="85"/>
        <v/>
      </c>
      <c r="BM1531" s="6" t="str">
        <f t="shared" si="86"/>
        <v/>
      </c>
      <c r="BN1531" s="6" t="str">
        <f t="shared" si="87"/>
        <v/>
      </c>
    </row>
    <row r="1532" spans="64:66" ht="11.25" customHeight="1" x14ac:dyDescent="0.25">
      <c r="BL1532" s="8" t="str">
        <f t="shared" si="85"/>
        <v/>
      </c>
      <c r="BM1532" s="6" t="str">
        <f t="shared" si="86"/>
        <v/>
      </c>
      <c r="BN1532" s="6" t="str">
        <f t="shared" si="87"/>
        <v/>
      </c>
    </row>
    <row r="1533" spans="64:66" ht="11.25" customHeight="1" x14ac:dyDescent="0.25">
      <c r="BL1533" s="8" t="str">
        <f t="shared" si="85"/>
        <v/>
      </c>
      <c r="BM1533" s="6" t="str">
        <f t="shared" si="86"/>
        <v/>
      </c>
      <c r="BN1533" s="6" t="str">
        <f t="shared" si="87"/>
        <v/>
      </c>
    </row>
    <row r="1534" spans="64:66" ht="11.25" customHeight="1" x14ac:dyDescent="0.25">
      <c r="BL1534" s="8" t="str">
        <f t="shared" si="85"/>
        <v/>
      </c>
      <c r="BM1534" s="6" t="str">
        <f t="shared" si="86"/>
        <v/>
      </c>
      <c r="BN1534" s="6" t="str">
        <f t="shared" si="87"/>
        <v/>
      </c>
    </row>
    <row r="1535" spans="64:66" ht="11.25" customHeight="1" x14ac:dyDescent="0.25">
      <c r="BL1535" s="8" t="str">
        <f t="shared" si="85"/>
        <v/>
      </c>
      <c r="BM1535" s="6" t="str">
        <f t="shared" si="86"/>
        <v/>
      </c>
      <c r="BN1535" s="6" t="str">
        <f t="shared" si="87"/>
        <v/>
      </c>
    </row>
    <row r="1536" spans="64:66" ht="11.25" customHeight="1" x14ac:dyDescent="0.25">
      <c r="BL1536" s="8" t="str">
        <f t="shared" si="85"/>
        <v/>
      </c>
      <c r="BM1536" s="6" t="str">
        <f t="shared" si="86"/>
        <v/>
      </c>
      <c r="BN1536" s="6" t="str">
        <f t="shared" si="87"/>
        <v/>
      </c>
    </row>
    <row r="1537" spans="64:66" ht="11.25" customHeight="1" x14ac:dyDescent="0.25">
      <c r="BL1537" s="8" t="str">
        <f t="shared" si="85"/>
        <v/>
      </c>
      <c r="BM1537" s="6" t="str">
        <f t="shared" si="86"/>
        <v/>
      </c>
      <c r="BN1537" s="6" t="str">
        <f t="shared" si="87"/>
        <v/>
      </c>
    </row>
    <row r="1538" spans="64:66" ht="11.25" customHeight="1" x14ac:dyDescent="0.25">
      <c r="BL1538" s="8" t="str">
        <f t="shared" si="85"/>
        <v/>
      </c>
      <c r="BM1538" s="6" t="str">
        <f t="shared" si="86"/>
        <v/>
      </c>
      <c r="BN1538" s="6" t="str">
        <f t="shared" si="87"/>
        <v/>
      </c>
    </row>
    <row r="1539" spans="64:66" ht="11.25" customHeight="1" x14ac:dyDescent="0.25">
      <c r="BL1539" s="8" t="str">
        <f t="shared" si="85"/>
        <v/>
      </c>
      <c r="BM1539" s="6" t="str">
        <f t="shared" si="86"/>
        <v/>
      </c>
      <c r="BN1539" s="6" t="str">
        <f t="shared" si="87"/>
        <v/>
      </c>
    </row>
    <row r="1540" spans="64:66" ht="11.25" customHeight="1" x14ac:dyDescent="0.25">
      <c r="BL1540" s="8" t="str">
        <f t="shared" si="85"/>
        <v/>
      </c>
      <c r="BM1540" s="6" t="str">
        <f t="shared" si="86"/>
        <v/>
      </c>
      <c r="BN1540" s="6" t="str">
        <f t="shared" si="87"/>
        <v/>
      </c>
    </row>
    <row r="1541" spans="64:66" ht="11.25" customHeight="1" x14ac:dyDescent="0.25">
      <c r="BL1541" s="8" t="str">
        <f t="shared" si="85"/>
        <v/>
      </c>
      <c r="BM1541" s="6" t="str">
        <f t="shared" si="86"/>
        <v/>
      </c>
      <c r="BN1541" s="6" t="str">
        <f t="shared" si="87"/>
        <v/>
      </c>
    </row>
    <row r="1542" spans="64:66" ht="11.25" customHeight="1" x14ac:dyDescent="0.25">
      <c r="BL1542" s="8" t="str">
        <f t="shared" ref="BL1542:BL1605" si="88">IF(ROW()&lt;=$BL$4,ROW()-ROW(BL$4),"")</f>
        <v/>
      </c>
      <c r="BM1542" s="6" t="str">
        <f t="shared" si="86"/>
        <v/>
      </c>
      <c r="BN1542" s="6" t="str">
        <f t="shared" si="87"/>
        <v/>
      </c>
    </row>
    <row r="1543" spans="64:66" ht="11.25" customHeight="1" x14ac:dyDescent="0.25">
      <c r="BL1543" s="8" t="str">
        <f t="shared" si="88"/>
        <v/>
      </c>
      <c r="BM1543" s="6" t="str">
        <f t="shared" si="86"/>
        <v/>
      </c>
      <c r="BN1543" s="6" t="str">
        <f t="shared" si="87"/>
        <v/>
      </c>
    </row>
    <row r="1544" spans="64:66" ht="11.25" customHeight="1" x14ac:dyDescent="0.25">
      <c r="BL1544" s="8" t="str">
        <f t="shared" si="88"/>
        <v/>
      </c>
      <c r="BM1544" s="6" t="str">
        <f t="shared" ref="BM1544:BM1607" si="89">IF(ISNUMBER(BL1544),INT(BL1543/$BN$4)+1,"")</f>
        <v/>
      </c>
      <c r="BN1544" s="6" t="str">
        <f t="shared" ref="BN1544:BN1607" si="90">IF(ISNUMBER(BL1544),IF(BM1543&lt;&gt;BM1544,1,BN1543+1),"")</f>
        <v/>
      </c>
    </row>
    <row r="1545" spans="64:66" ht="11.25" customHeight="1" x14ac:dyDescent="0.25">
      <c r="BL1545" s="8" t="str">
        <f t="shared" si="88"/>
        <v/>
      </c>
      <c r="BM1545" s="6" t="str">
        <f t="shared" si="89"/>
        <v/>
      </c>
      <c r="BN1545" s="6" t="str">
        <f t="shared" si="90"/>
        <v/>
      </c>
    </row>
    <row r="1546" spans="64:66" ht="11.25" customHeight="1" x14ac:dyDescent="0.25">
      <c r="BL1546" s="8" t="str">
        <f t="shared" si="88"/>
        <v/>
      </c>
      <c r="BM1546" s="6" t="str">
        <f t="shared" si="89"/>
        <v/>
      </c>
      <c r="BN1546" s="6" t="str">
        <f t="shared" si="90"/>
        <v/>
      </c>
    </row>
    <row r="1547" spans="64:66" ht="11.25" customHeight="1" x14ac:dyDescent="0.25">
      <c r="BL1547" s="8" t="str">
        <f t="shared" si="88"/>
        <v/>
      </c>
      <c r="BM1547" s="6" t="str">
        <f t="shared" si="89"/>
        <v/>
      </c>
      <c r="BN1547" s="6" t="str">
        <f t="shared" si="90"/>
        <v/>
      </c>
    </row>
    <row r="1548" spans="64:66" ht="11.25" customHeight="1" x14ac:dyDescent="0.25">
      <c r="BL1548" s="8" t="str">
        <f t="shared" si="88"/>
        <v/>
      </c>
      <c r="BM1548" s="6" t="str">
        <f t="shared" si="89"/>
        <v/>
      </c>
      <c r="BN1548" s="6" t="str">
        <f t="shared" si="90"/>
        <v/>
      </c>
    </row>
    <row r="1549" spans="64:66" ht="11.25" customHeight="1" x14ac:dyDescent="0.25">
      <c r="BL1549" s="8" t="str">
        <f t="shared" si="88"/>
        <v/>
      </c>
      <c r="BM1549" s="6" t="str">
        <f t="shared" si="89"/>
        <v/>
      </c>
      <c r="BN1549" s="6" t="str">
        <f t="shared" si="90"/>
        <v/>
      </c>
    </row>
    <row r="1550" spans="64:66" ht="11.25" customHeight="1" x14ac:dyDescent="0.25">
      <c r="BL1550" s="8" t="str">
        <f t="shared" si="88"/>
        <v/>
      </c>
      <c r="BM1550" s="6" t="str">
        <f t="shared" si="89"/>
        <v/>
      </c>
      <c r="BN1550" s="6" t="str">
        <f t="shared" si="90"/>
        <v/>
      </c>
    </row>
    <row r="1551" spans="64:66" ht="11.25" customHeight="1" x14ac:dyDescent="0.25">
      <c r="BL1551" s="8" t="str">
        <f t="shared" si="88"/>
        <v/>
      </c>
      <c r="BM1551" s="6" t="str">
        <f t="shared" si="89"/>
        <v/>
      </c>
      <c r="BN1551" s="6" t="str">
        <f t="shared" si="90"/>
        <v/>
      </c>
    </row>
    <row r="1552" spans="64:66" ht="11.25" customHeight="1" x14ac:dyDescent="0.25">
      <c r="BL1552" s="8" t="str">
        <f t="shared" si="88"/>
        <v/>
      </c>
      <c r="BM1552" s="6" t="str">
        <f t="shared" si="89"/>
        <v/>
      </c>
      <c r="BN1552" s="6" t="str">
        <f t="shared" si="90"/>
        <v/>
      </c>
    </row>
    <row r="1553" spans="64:66" ht="11.25" customHeight="1" x14ac:dyDescent="0.25">
      <c r="BL1553" s="8" t="str">
        <f t="shared" si="88"/>
        <v/>
      </c>
      <c r="BM1553" s="6" t="str">
        <f t="shared" si="89"/>
        <v/>
      </c>
      <c r="BN1553" s="6" t="str">
        <f t="shared" si="90"/>
        <v/>
      </c>
    </row>
    <row r="1554" spans="64:66" ht="11.25" customHeight="1" x14ac:dyDescent="0.25">
      <c r="BL1554" s="8" t="str">
        <f t="shared" si="88"/>
        <v/>
      </c>
      <c r="BM1554" s="6" t="str">
        <f t="shared" si="89"/>
        <v/>
      </c>
      <c r="BN1554" s="6" t="str">
        <f t="shared" si="90"/>
        <v/>
      </c>
    </row>
    <row r="1555" spans="64:66" ht="11.25" customHeight="1" x14ac:dyDescent="0.25">
      <c r="BL1555" s="8" t="str">
        <f t="shared" si="88"/>
        <v/>
      </c>
      <c r="BM1555" s="6" t="str">
        <f t="shared" si="89"/>
        <v/>
      </c>
      <c r="BN1555" s="6" t="str">
        <f t="shared" si="90"/>
        <v/>
      </c>
    </row>
    <row r="1556" spans="64:66" ht="11.25" customHeight="1" x14ac:dyDescent="0.25">
      <c r="BL1556" s="8" t="str">
        <f t="shared" si="88"/>
        <v/>
      </c>
      <c r="BM1556" s="6" t="str">
        <f t="shared" si="89"/>
        <v/>
      </c>
      <c r="BN1556" s="6" t="str">
        <f t="shared" si="90"/>
        <v/>
      </c>
    </row>
    <row r="1557" spans="64:66" ht="11.25" customHeight="1" x14ac:dyDescent="0.25">
      <c r="BL1557" s="8" t="str">
        <f t="shared" si="88"/>
        <v/>
      </c>
      <c r="BM1557" s="6" t="str">
        <f t="shared" si="89"/>
        <v/>
      </c>
      <c r="BN1557" s="6" t="str">
        <f t="shared" si="90"/>
        <v/>
      </c>
    </row>
    <row r="1558" spans="64:66" ht="11.25" customHeight="1" x14ac:dyDescent="0.25">
      <c r="BL1558" s="8" t="str">
        <f t="shared" si="88"/>
        <v/>
      </c>
      <c r="BM1558" s="6" t="str">
        <f t="shared" si="89"/>
        <v/>
      </c>
      <c r="BN1558" s="6" t="str">
        <f t="shared" si="90"/>
        <v/>
      </c>
    </row>
    <row r="1559" spans="64:66" ht="11.25" customHeight="1" x14ac:dyDescent="0.25">
      <c r="BL1559" s="8" t="str">
        <f t="shared" si="88"/>
        <v/>
      </c>
      <c r="BM1559" s="6" t="str">
        <f t="shared" si="89"/>
        <v/>
      </c>
      <c r="BN1559" s="6" t="str">
        <f t="shared" si="90"/>
        <v/>
      </c>
    </row>
    <row r="1560" spans="64:66" ht="11.25" customHeight="1" x14ac:dyDescent="0.25">
      <c r="BL1560" s="8" t="str">
        <f t="shared" si="88"/>
        <v/>
      </c>
      <c r="BM1560" s="6" t="str">
        <f t="shared" si="89"/>
        <v/>
      </c>
      <c r="BN1560" s="6" t="str">
        <f t="shared" si="90"/>
        <v/>
      </c>
    </row>
    <row r="1561" spans="64:66" ht="11.25" customHeight="1" x14ac:dyDescent="0.25">
      <c r="BL1561" s="8" t="str">
        <f t="shared" si="88"/>
        <v/>
      </c>
      <c r="BM1561" s="6" t="str">
        <f t="shared" si="89"/>
        <v/>
      </c>
      <c r="BN1561" s="6" t="str">
        <f t="shared" si="90"/>
        <v/>
      </c>
    </row>
    <row r="1562" spans="64:66" ht="11.25" customHeight="1" x14ac:dyDescent="0.25">
      <c r="BL1562" s="8" t="str">
        <f t="shared" si="88"/>
        <v/>
      </c>
      <c r="BM1562" s="6" t="str">
        <f t="shared" si="89"/>
        <v/>
      </c>
      <c r="BN1562" s="6" t="str">
        <f t="shared" si="90"/>
        <v/>
      </c>
    </row>
    <row r="1563" spans="64:66" ht="11.25" customHeight="1" x14ac:dyDescent="0.25">
      <c r="BL1563" s="8" t="str">
        <f t="shared" si="88"/>
        <v/>
      </c>
      <c r="BM1563" s="6" t="str">
        <f t="shared" si="89"/>
        <v/>
      </c>
      <c r="BN1563" s="6" t="str">
        <f t="shared" si="90"/>
        <v/>
      </c>
    </row>
    <row r="1564" spans="64:66" ht="11.25" customHeight="1" x14ac:dyDescent="0.25">
      <c r="BL1564" s="8" t="str">
        <f t="shared" si="88"/>
        <v/>
      </c>
      <c r="BM1564" s="6" t="str">
        <f t="shared" si="89"/>
        <v/>
      </c>
      <c r="BN1564" s="6" t="str">
        <f t="shared" si="90"/>
        <v/>
      </c>
    </row>
    <row r="1565" spans="64:66" ht="11.25" customHeight="1" x14ac:dyDescent="0.25">
      <c r="BL1565" s="8" t="str">
        <f t="shared" si="88"/>
        <v/>
      </c>
      <c r="BM1565" s="6" t="str">
        <f t="shared" si="89"/>
        <v/>
      </c>
      <c r="BN1565" s="6" t="str">
        <f t="shared" si="90"/>
        <v/>
      </c>
    </row>
    <row r="1566" spans="64:66" ht="11.25" customHeight="1" x14ac:dyDescent="0.25">
      <c r="BL1566" s="8" t="str">
        <f t="shared" si="88"/>
        <v/>
      </c>
      <c r="BM1566" s="6" t="str">
        <f t="shared" si="89"/>
        <v/>
      </c>
      <c r="BN1566" s="6" t="str">
        <f t="shared" si="90"/>
        <v/>
      </c>
    </row>
    <row r="1567" spans="64:66" ht="11.25" customHeight="1" x14ac:dyDescent="0.25">
      <c r="BL1567" s="8" t="str">
        <f t="shared" si="88"/>
        <v/>
      </c>
      <c r="BM1567" s="6" t="str">
        <f t="shared" si="89"/>
        <v/>
      </c>
      <c r="BN1567" s="6" t="str">
        <f t="shared" si="90"/>
        <v/>
      </c>
    </row>
    <row r="1568" spans="64:66" ht="11.25" customHeight="1" x14ac:dyDescent="0.25">
      <c r="BL1568" s="8" t="str">
        <f t="shared" si="88"/>
        <v/>
      </c>
      <c r="BM1568" s="6" t="str">
        <f t="shared" si="89"/>
        <v/>
      </c>
      <c r="BN1568" s="6" t="str">
        <f t="shared" si="90"/>
        <v/>
      </c>
    </row>
    <row r="1569" spans="64:66" ht="11.25" customHeight="1" x14ac:dyDescent="0.25">
      <c r="BL1569" s="8" t="str">
        <f t="shared" si="88"/>
        <v/>
      </c>
      <c r="BM1569" s="6" t="str">
        <f t="shared" si="89"/>
        <v/>
      </c>
      <c r="BN1569" s="6" t="str">
        <f t="shared" si="90"/>
        <v/>
      </c>
    </row>
    <row r="1570" spans="64:66" ht="11.25" customHeight="1" x14ac:dyDescent="0.25">
      <c r="BL1570" s="8" t="str">
        <f t="shared" si="88"/>
        <v/>
      </c>
      <c r="BM1570" s="6" t="str">
        <f t="shared" si="89"/>
        <v/>
      </c>
      <c r="BN1570" s="6" t="str">
        <f t="shared" si="90"/>
        <v/>
      </c>
    </row>
    <row r="1571" spans="64:66" ht="11.25" customHeight="1" x14ac:dyDescent="0.25">
      <c r="BL1571" s="8" t="str">
        <f t="shared" si="88"/>
        <v/>
      </c>
      <c r="BM1571" s="6" t="str">
        <f t="shared" si="89"/>
        <v/>
      </c>
      <c r="BN1571" s="6" t="str">
        <f t="shared" si="90"/>
        <v/>
      </c>
    </row>
    <row r="1572" spans="64:66" ht="11.25" customHeight="1" x14ac:dyDescent="0.25">
      <c r="BL1572" s="8" t="str">
        <f t="shared" si="88"/>
        <v/>
      </c>
      <c r="BM1572" s="6" t="str">
        <f t="shared" si="89"/>
        <v/>
      </c>
      <c r="BN1572" s="6" t="str">
        <f t="shared" si="90"/>
        <v/>
      </c>
    </row>
    <row r="1573" spans="64:66" ht="11.25" customHeight="1" x14ac:dyDescent="0.25">
      <c r="BL1573" s="8" t="str">
        <f t="shared" si="88"/>
        <v/>
      </c>
      <c r="BM1573" s="6" t="str">
        <f t="shared" si="89"/>
        <v/>
      </c>
      <c r="BN1573" s="6" t="str">
        <f t="shared" si="90"/>
        <v/>
      </c>
    </row>
    <row r="1574" spans="64:66" ht="11.25" customHeight="1" x14ac:dyDescent="0.25">
      <c r="BL1574" s="8" t="str">
        <f t="shared" si="88"/>
        <v/>
      </c>
      <c r="BM1574" s="6" t="str">
        <f t="shared" si="89"/>
        <v/>
      </c>
      <c r="BN1574" s="6" t="str">
        <f t="shared" si="90"/>
        <v/>
      </c>
    </row>
    <row r="1575" spans="64:66" ht="11.25" customHeight="1" x14ac:dyDescent="0.25">
      <c r="BL1575" s="8" t="str">
        <f t="shared" si="88"/>
        <v/>
      </c>
      <c r="BM1575" s="6" t="str">
        <f t="shared" si="89"/>
        <v/>
      </c>
      <c r="BN1575" s="6" t="str">
        <f t="shared" si="90"/>
        <v/>
      </c>
    </row>
    <row r="1576" spans="64:66" ht="11.25" customHeight="1" x14ac:dyDescent="0.25">
      <c r="BL1576" s="8" t="str">
        <f t="shared" si="88"/>
        <v/>
      </c>
      <c r="BM1576" s="6" t="str">
        <f t="shared" si="89"/>
        <v/>
      </c>
      <c r="BN1576" s="6" t="str">
        <f t="shared" si="90"/>
        <v/>
      </c>
    </row>
    <row r="1577" spans="64:66" ht="11.25" customHeight="1" x14ac:dyDescent="0.25">
      <c r="BL1577" s="8" t="str">
        <f t="shared" si="88"/>
        <v/>
      </c>
      <c r="BM1577" s="6" t="str">
        <f t="shared" si="89"/>
        <v/>
      </c>
      <c r="BN1577" s="6" t="str">
        <f t="shared" si="90"/>
        <v/>
      </c>
    </row>
    <row r="1578" spans="64:66" ht="11.25" customHeight="1" x14ac:dyDescent="0.25">
      <c r="BL1578" s="8" t="str">
        <f t="shared" si="88"/>
        <v/>
      </c>
      <c r="BM1578" s="6" t="str">
        <f t="shared" si="89"/>
        <v/>
      </c>
      <c r="BN1578" s="6" t="str">
        <f t="shared" si="90"/>
        <v/>
      </c>
    </row>
    <row r="1579" spans="64:66" ht="11.25" customHeight="1" x14ac:dyDescent="0.25">
      <c r="BL1579" s="8" t="str">
        <f t="shared" si="88"/>
        <v/>
      </c>
      <c r="BM1579" s="6" t="str">
        <f t="shared" si="89"/>
        <v/>
      </c>
      <c r="BN1579" s="6" t="str">
        <f t="shared" si="90"/>
        <v/>
      </c>
    </row>
    <row r="1580" spans="64:66" ht="11.25" customHeight="1" x14ac:dyDescent="0.25">
      <c r="BL1580" s="8" t="str">
        <f t="shared" si="88"/>
        <v/>
      </c>
      <c r="BM1580" s="6" t="str">
        <f t="shared" si="89"/>
        <v/>
      </c>
      <c r="BN1580" s="6" t="str">
        <f t="shared" si="90"/>
        <v/>
      </c>
    </row>
    <row r="1581" spans="64:66" ht="11.25" customHeight="1" x14ac:dyDescent="0.25">
      <c r="BL1581" s="8" t="str">
        <f t="shared" si="88"/>
        <v/>
      </c>
      <c r="BM1581" s="6" t="str">
        <f t="shared" si="89"/>
        <v/>
      </c>
      <c r="BN1581" s="6" t="str">
        <f t="shared" si="90"/>
        <v/>
      </c>
    </row>
    <row r="1582" spans="64:66" ht="11.25" customHeight="1" x14ac:dyDescent="0.25">
      <c r="BL1582" s="8" t="str">
        <f t="shared" si="88"/>
        <v/>
      </c>
      <c r="BM1582" s="6" t="str">
        <f t="shared" si="89"/>
        <v/>
      </c>
      <c r="BN1582" s="6" t="str">
        <f t="shared" si="90"/>
        <v/>
      </c>
    </row>
    <row r="1583" spans="64:66" ht="11.25" customHeight="1" x14ac:dyDescent="0.25">
      <c r="BL1583" s="8" t="str">
        <f t="shared" si="88"/>
        <v/>
      </c>
      <c r="BM1583" s="6" t="str">
        <f t="shared" si="89"/>
        <v/>
      </c>
      <c r="BN1583" s="6" t="str">
        <f t="shared" si="90"/>
        <v/>
      </c>
    </row>
    <row r="1584" spans="64:66" ht="11.25" customHeight="1" x14ac:dyDescent="0.25">
      <c r="BL1584" s="8" t="str">
        <f t="shared" si="88"/>
        <v/>
      </c>
      <c r="BM1584" s="6" t="str">
        <f t="shared" si="89"/>
        <v/>
      </c>
      <c r="BN1584" s="6" t="str">
        <f t="shared" si="90"/>
        <v/>
      </c>
    </row>
    <row r="1585" spans="64:66" ht="11.25" customHeight="1" x14ac:dyDescent="0.25">
      <c r="BL1585" s="8" t="str">
        <f t="shared" si="88"/>
        <v/>
      </c>
      <c r="BM1585" s="6" t="str">
        <f t="shared" si="89"/>
        <v/>
      </c>
      <c r="BN1585" s="6" t="str">
        <f t="shared" si="90"/>
        <v/>
      </c>
    </row>
    <row r="1586" spans="64:66" ht="11.25" customHeight="1" x14ac:dyDescent="0.25">
      <c r="BL1586" s="8" t="str">
        <f t="shared" si="88"/>
        <v/>
      </c>
      <c r="BM1586" s="6" t="str">
        <f t="shared" si="89"/>
        <v/>
      </c>
      <c r="BN1586" s="6" t="str">
        <f t="shared" si="90"/>
        <v/>
      </c>
    </row>
    <row r="1587" spans="64:66" ht="11.25" customHeight="1" x14ac:dyDescent="0.25">
      <c r="BL1587" s="8" t="str">
        <f t="shared" si="88"/>
        <v/>
      </c>
      <c r="BM1587" s="6" t="str">
        <f t="shared" si="89"/>
        <v/>
      </c>
      <c r="BN1587" s="6" t="str">
        <f t="shared" si="90"/>
        <v/>
      </c>
    </row>
    <row r="1588" spans="64:66" ht="11.25" customHeight="1" x14ac:dyDescent="0.25">
      <c r="BL1588" s="8" t="str">
        <f t="shared" si="88"/>
        <v/>
      </c>
      <c r="BM1588" s="6" t="str">
        <f t="shared" si="89"/>
        <v/>
      </c>
      <c r="BN1588" s="6" t="str">
        <f t="shared" si="90"/>
        <v/>
      </c>
    </row>
    <row r="1589" spans="64:66" ht="11.25" customHeight="1" x14ac:dyDescent="0.25">
      <c r="BL1589" s="8" t="str">
        <f t="shared" si="88"/>
        <v/>
      </c>
      <c r="BM1589" s="6" t="str">
        <f t="shared" si="89"/>
        <v/>
      </c>
      <c r="BN1589" s="6" t="str">
        <f t="shared" si="90"/>
        <v/>
      </c>
    </row>
    <row r="1590" spans="64:66" ht="11.25" customHeight="1" x14ac:dyDescent="0.25">
      <c r="BL1590" s="8" t="str">
        <f t="shared" si="88"/>
        <v/>
      </c>
      <c r="BM1590" s="6" t="str">
        <f t="shared" si="89"/>
        <v/>
      </c>
      <c r="BN1590" s="6" t="str">
        <f t="shared" si="90"/>
        <v/>
      </c>
    </row>
    <row r="1591" spans="64:66" ht="11.25" customHeight="1" x14ac:dyDescent="0.25">
      <c r="BL1591" s="8" t="str">
        <f t="shared" si="88"/>
        <v/>
      </c>
      <c r="BM1591" s="6" t="str">
        <f t="shared" si="89"/>
        <v/>
      </c>
      <c r="BN1591" s="6" t="str">
        <f t="shared" si="90"/>
        <v/>
      </c>
    </row>
    <row r="1592" spans="64:66" ht="11.25" customHeight="1" x14ac:dyDescent="0.25">
      <c r="BL1592" s="8" t="str">
        <f t="shared" si="88"/>
        <v/>
      </c>
      <c r="BM1592" s="6" t="str">
        <f t="shared" si="89"/>
        <v/>
      </c>
      <c r="BN1592" s="6" t="str">
        <f t="shared" si="90"/>
        <v/>
      </c>
    </row>
    <row r="1593" spans="64:66" ht="11.25" customHeight="1" x14ac:dyDescent="0.25">
      <c r="BL1593" s="8" t="str">
        <f t="shared" si="88"/>
        <v/>
      </c>
      <c r="BM1593" s="6" t="str">
        <f t="shared" si="89"/>
        <v/>
      </c>
      <c r="BN1593" s="6" t="str">
        <f t="shared" si="90"/>
        <v/>
      </c>
    </row>
    <row r="1594" spans="64:66" ht="11.25" customHeight="1" x14ac:dyDescent="0.25">
      <c r="BL1594" s="8" t="str">
        <f t="shared" si="88"/>
        <v/>
      </c>
      <c r="BM1594" s="6" t="str">
        <f t="shared" si="89"/>
        <v/>
      </c>
      <c r="BN1594" s="6" t="str">
        <f t="shared" si="90"/>
        <v/>
      </c>
    </row>
    <row r="1595" spans="64:66" ht="11.25" customHeight="1" x14ac:dyDescent="0.25">
      <c r="BL1595" s="8" t="str">
        <f t="shared" si="88"/>
        <v/>
      </c>
      <c r="BM1595" s="6" t="str">
        <f t="shared" si="89"/>
        <v/>
      </c>
      <c r="BN1595" s="6" t="str">
        <f t="shared" si="90"/>
        <v/>
      </c>
    </row>
    <row r="1596" spans="64:66" ht="11.25" customHeight="1" x14ac:dyDescent="0.25">
      <c r="BL1596" s="8" t="str">
        <f t="shared" si="88"/>
        <v/>
      </c>
      <c r="BM1596" s="6" t="str">
        <f t="shared" si="89"/>
        <v/>
      </c>
      <c r="BN1596" s="6" t="str">
        <f t="shared" si="90"/>
        <v/>
      </c>
    </row>
    <row r="1597" spans="64:66" ht="11.25" customHeight="1" x14ac:dyDescent="0.25">
      <c r="BL1597" s="8" t="str">
        <f t="shared" si="88"/>
        <v/>
      </c>
      <c r="BM1597" s="6" t="str">
        <f t="shared" si="89"/>
        <v/>
      </c>
      <c r="BN1597" s="6" t="str">
        <f t="shared" si="90"/>
        <v/>
      </c>
    </row>
    <row r="1598" spans="64:66" ht="11.25" customHeight="1" x14ac:dyDescent="0.25">
      <c r="BL1598" s="8" t="str">
        <f t="shared" si="88"/>
        <v/>
      </c>
      <c r="BM1598" s="6" t="str">
        <f t="shared" si="89"/>
        <v/>
      </c>
      <c r="BN1598" s="6" t="str">
        <f t="shared" si="90"/>
        <v/>
      </c>
    </row>
    <row r="1599" spans="64:66" ht="11.25" customHeight="1" x14ac:dyDescent="0.25">
      <c r="BL1599" s="8" t="str">
        <f t="shared" si="88"/>
        <v/>
      </c>
      <c r="BM1599" s="6" t="str">
        <f t="shared" si="89"/>
        <v/>
      </c>
      <c r="BN1599" s="6" t="str">
        <f t="shared" si="90"/>
        <v/>
      </c>
    </row>
    <row r="1600" spans="64:66" ht="11.25" customHeight="1" x14ac:dyDescent="0.25">
      <c r="BL1600" s="8" t="str">
        <f t="shared" si="88"/>
        <v/>
      </c>
      <c r="BM1600" s="6" t="str">
        <f t="shared" si="89"/>
        <v/>
      </c>
      <c r="BN1600" s="6" t="str">
        <f t="shared" si="90"/>
        <v/>
      </c>
    </row>
    <row r="1601" spans="64:66" ht="11.25" customHeight="1" x14ac:dyDescent="0.25">
      <c r="BL1601" s="8" t="str">
        <f t="shared" si="88"/>
        <v/>
      </c>
      <c r="BM1601" s="6" t="str">
        <f t="shared" si="89"/>
        <v/>
      </c>
      <c r="BN1601" s="6" t="str">
        <f t="shared" si="90"/>
        <v/>
      </c>
    </row>
    <row r="1602" spans="64:66" ht="11.25" customHeight="1" x14ac:dyDescent="0.25">
      <c r="BL1602" s="8" t="str">
        <f t="shared" si="88"/>
        <v/>
      </c>
      <c r="BM1602" s="6" t="str">
        <f t="shared" si="89"/>
        <v/>
      </c>
      <c r="BN1602" s="6" t="str">
        <f t="shared" si="90"/>
        <v/>
      </c>
    </row>
    <row r="1603" spans="64:66" ht="11.25" customHeight="1" x14ac:dyDescent="0.25">
      <c r="BL1603" s="8" t="str">
        <f t="shared" si="88"/>
        <v/>
      </c>
      <c r="BM1603" s="6" t="str">
        <f t="shared" si="89"/>
        <v/>
      </c>
      <c r="BN1603" s="6" t="str">
        <f t="shared" si="90"/>
        <v/>
      </c>
    </row>
    <row r="1604" spans="64:66" ht="11.25" customHeight="1" x14ac:dyDescent="0.25">
      <c r="BL1604" s="8" t="str">
        <f t="shared" si="88"/>
        <v/>
      </c>
      <c r="BM1604" s="6" t="str">
        <f t="shared" si="89"/>
        <v/>
      </c>
      <c r="BN1604" s="6" t="str">
        <f t="shared" si="90"/>
        <v/>
      </c>
    </row>
    <row r="1605" spans="64:66" ht="11.25" customHeight="1" x14ac:dyDescent="0.25">
      <c r="BL1605" s="8" t="str">
        <f t="shared" si="88"/>
        <v/>
      </c>
      <c r="BM1605" s="6" t="str">
        <f t="shared" si="89"/>
        <v/>
      </c>
      <c r="BN1605" s="6" t="str">
        <f t="shared" si="90"/>
        <v/>
      </c>
    </row>
    <row r="1606" spans="64:66" ht="11.25" customHeight="1" x14ac:dyDescent="0.25">
      <c r="BL1606" s="8" t="str">
        <f t="shared" ref="BL1606:BL1669" si="91">IF(ROW()&lt;=$BL$4,ROW()-ROW(BL$4),"")</f>
        <v/>
      </c>
      <c r="BM1606" s="6" t="str">
        <f t="shared" si="89"/>
        <v/>
      </c>
      <c r="BN1606" s="6" t="str">
        <f t="shared" si="90"/>
        <v/>
      </c>
    </row>
    <row r="1607" spans="64:66" ht="11.25" customHeight="1" x14ac:dyDescent="0.25">
      <c r="BL1607" s="8" t="str">
        <f t="shared" si="91"/>
        <v/>
      </c>
      <c r="BM1607" s="6" t="str">
        <f t="shared" si="89"/>
        <v/>
      </c>
      <c r="BN1607" s="6" t="str">
        <f t="shared" si="90"/>
        <v/>
      </c>
    </row>
    <row r="1608" spans="64:66" ht="11.25" customHeight="1" x14ac:dyDescent="0.25">
      <c r="BL1608" s="8" t="str">
        <f t="shared" si="91"/>
        <v/>
      </c>
      <c r="BM1608" s="6" t="str">
        <f t="shared" ref="BM1608:BM1671" si="92">IF(ISNUMBER(BL1608),INT(BL1607/$BN$4)+1,"")</f>
        <v/>
      </c>
      <c r="BN1608" s="6" t="str">
        <f t="shared" ref="BN1608:BN1671" si="93">IF(ISNUMBER(BL1608),IF(BM1607&lt;&gt;BM1608,1,BN1607+1),"")</f>
        <v/>
      </c>
    </row>
    <row r="1609" spans="64:66" ht="11.25" customHeight="1" x14ac:dyDescent="0.25">
      <c r="BL1609" s="8" t="str">
        <f t="shared" si="91"/>
        <v/>
      </c>
      <c r="BM1609" s="6" t="str">
        <f t="shared" si="92"/>
        <v/>
      </c>
      <c r="BN1609" s="6" t="str">
        <f t="shared" si="93"/>
        <v/>
      </c>
    </row>
    <row r="1610" spans="64:66" ht="11.25" customHeight="1" x14ac:dyDescent="0.25">
      <c r="BL1610" s="8" t="str">
        <f t="shared" si="91"/>
        <v/>
      </c>
      <c r="BM1610" s="6" t="str">
        <f t="shared" si="92"/>
        <v/>
      </c>
      <c r="BN1610" s="6" t="str">
        <f t="shared" si="93"/>
        <v/>
      </c>
    </row>
    <row r="1611" spans="64:66" ht="11.25" customHeight="1" x14ac:dyDescent="0.25">
      <c r="BL1611" s="8" t="str">
        <f t="shared" si="91"/>
        <v/>
      </c>
      <c r="BM1611" s="6" t="str">
        <f t="shared" si="92"/>
        <v/>
      </c>
      <c r="BN1611" s="6" t="str">
        <f t="shared" si="93"/>
        <v/>
      </c>
    </row>
    <row r="1612" spans="64:66" ht="11.25" customHeight="1" x14ac:dyDescent="0.25">
      <c r="BL1612" s="8" t="str">
        <f t="shared" si="91"/>
        <v/>
      </c>
      <c r="BM1612" s="6" t="str">
        <f t="shared" si="92"/>
        <v/>
      </c>
      <c r="BN1612" s="6" t="str">
        <f t="shared" si="93"/>
        <v/>
      </c>
    </row>
    <row r="1613" spans="64:66" ht="11.25" customHeight="1" x14ac:dyDescent="0.25">
      <c r="BL1613" s="8" t="str">
        <f t="shared" si="91"/>
        <v/>
      </c>
      <c r="BM1613" s="6" t="str">
        <f t="shared" si="92"/>
        <v/>
      </c>
      <c r="BN1613" s="6" t="str">
        <f t="shared" si="93"/>
        <v/>
      </c>
    </row>
    <row r="1614" spans="64:66" ht="11.25" customHeight="1" x14ac:dyDescent="0.25">
      <c r="BL1614" s="8" t="str">
        <f t="shared" si="91"/>
        <v/>
      </c>
      <c r="BM1614" s="6" t="str">
        <f t="shared" si="92"/>
        <v/>
      </c>
      <c r="BN1614" s="6" t="str">
        <f t="shared" si="93"/>
        <v/>
      </c>
    </row>
    <row r="1615" spans="64:66" ht="11.25" customHeight="1" x14ac:dyDescent="0.25">
      <c r="BL1615" s="8" t="str">
        <f t="shared" si="91"/>
        <v/>
      </c>
      <c r="BM1615" s="6" t="str">
        <f t="shared" si="92"/>
        <v/>
      </c>
      <c r="BN1615" s="6" t="str">
        <f t="shared" si="93"/>
        <v/>
      </c>
    </row>
    <row r="1616" spans="64:66" ht="11.25" customHeight="1" x14ac:dyDescent="0.25">
      <c r="BL1616" s="8" t="str">
        <f t="shared" si="91"/>
        <v/>
      </c>
      <c r="BM1616" s="6" t="str">
        <f t="shared" si="92"/>
        <v/>
      </c>
      <c r="BN1616" s="6" t="str">
        <f t="shared" si="93"/>
        <v/>
      </c>
    </row>
    <row r="1617" spans="64:66" ht="11.25" customHeight="1" x14ac:dyDescent="0.25">
      <c r="BL1617" s="8" t="str">
        <f t="shared" si="91"/>
        <v/>
      </c>
      <c r="BM1617" s="6" t="str">
        <f t="shared" si="92"/>
        <v/>
      </c>
      <c r="BN1617" s="6" t="str">
        <f t="shared" si="93"/>
        <v/>
      </c>
    </row>
    <row r="1618" spans="64:66" ht="11.25" customHeight="1" x14ac:dyDescent="0.25">
      <c r="BL1618" s="8" t="str">
        <f t="shared" si="91"/>
        <v/>
      </c>
      <c r="BM1618" s="6" t="str">
        <f t="shared" si="92"/>
        <v/>
      </c>
      <c r="BN1618" s="6" t="str">
        <f t="shared" si="93"/>
        <v/>
      </c>
    </row>
    <row r="1619" spans="64:66" ht="11.25" customHeight="1" x14ac:dyDescent="0.25">
      <c r="BL1619" s="8" t="str">
        <f t="shared" si="91"/>
        <v/>
      </c>
      <c r="BM1619" s="6" t="str">
        <f t="shared" si="92"/>
        <v/>
      </c>
      <c r="BN1619" s="6" t="str">
        <f t="shared" si="93"/>
        <v/>
      </c>
    </row>
    <row r="1620" spans="64:66" ht="11.25" customHeight="1" x14ac:dyDescent="0.25">
      <c r="BL1620" s="8" t="str">
        <f t="shared" si="91"/>
        <v/>
      </c>
      <c r="BM1620" s="6" t="str">
        <f t="shared" si="92"/>
        <v/>
      </c>
      <c r="BN1620" s="6" t="str">
        <f t="shared" si="93"/>
        <v/>
      </c>
    </row>
    <row r="1621" spans="64:66" ht="11.25" customHeight="1" x14ac:dyDescent="0.25">
      <c r="BL1621" s="8" t="str">
        <f t="shared" si="91"/>
        <v/>
      </c>
      <c r="BM1621" s="6" t="str">
        <f t="shared" si="92"/>
        <v/>
      </c>
      <c r="BN1621" s="6" t="str">
        <f t="shared" si="93"/>
        <v/>
      </c>
    </row>
    <row r="1622" spans="64:66" ht="11.25" customHeight="1" x14ac:dyDescent="0.25">
      <c r="BL1622" s="8" t="str">
        <f t="shared" si="91"/>
        <v/>
      </c>
      <c r="BM1622" s="6" t="str">
        <f t="shared" si="92"/>
        <v/>
      </c>
      <c r="BN1622" s="6" t="str">
        <f t="shared" si="93"/>
        <v/>
      </c>
    </row>
    <row r="1623" spans="64:66" ht="11.25" customHeight="1" x14ac:dyDescent="0.25">
      <c r="BL1623" s="8" t="str">
        <f t="shared" si="91"/>
        <v/>
      </c>
      <c r="BM1623" s="6" t="str">
        <f t="shared" si="92"/>
        <v/>
      </c>
      <c r="BN1623" s="6" t="str">
        <f t="shared" si="93"/>
        <v/>
      </c>
    </row>
    <row r="1624" spans="64:66" ht="11.25" customHeight="1" x14ac:dyDescent="0.25">
      <c r="BL1624" s="8" t="str">
        <f t="shared" si="91"/>
        <v/>
      </c>
      <c r="BM1624" s="6" t="str">
        <f t="shared" si="92"/>
        <v/>
      </c>
      <c r="BN1624" s="6" t="str">
        <f t="shared" si="93"/>
        <v/>
      </c>
    </row>
    <row r="1625" spans="64:66" ht="11.25" customHeight="1" x14ac:dyDescent="0.25">
      <c r="BL1625" s="8" t="str">
        <f t="shared" si="91"/>
        <v/>
      </c>
      <c r="BM1625" s="6" t="str">
        <f t="shared" si="92"/>
        <v/>
      </c>
      <c r="BN1625" s="6" t="str">
        <f t="shared" si="93"/>
        <v/>
      </c>
    </row>
    <row r="1626" spans="64:66" ht="11.25" customHeight="1" x14ac:dyDescent="0.25">
      <c r="BL1626" s="8" t="str">
        <f t="shared" si="91"/>
        <v/>
      </c>
      <c r="BM1626" s="6" t="str">
        <f t="shared" si="92"/>
        <v/>
      </c>
      <c r="BN1626" s="6" t="str">
        <f t="shared" si="93"/>
        <v/>
      </c>
    </row>
    <row r="1627" spans="64:66" ht="11.25" customHeight="1" x14ac:dyDescent="0.25">
      <c r="BL1627" s="8" t="str">
        <f t="shared" si="91"/>
        <v/>
      </c>
      <c r="BM1627" s="6" t="str">
        <f t="shared" si="92"/>
        <v/>
      </c>
      <c r="BN1627" s="6" t="str">
        <f t="shared" si="93"/>
        <v/>
      </c>
    </row>
    <row r="1628" spans="64:66" ht="11.25" customHeight="1" x14ac:dyDescent="0.25">
      <c r="BL1628" s="8" t="str">
        <f t="shared" si="91"/>
        <v/>
      </c>
      <c r="BM1628" s="6" t="str">
        <f t="shared" si="92"/>
        <v/>
      </c>
      <c r="BN1628" s="6" t="str">
        <f t="shared" si="93"/>
        <v/>
      </c>
    </row>
    <row r="1629" spans="64:66" ht="11.25" customHeight="1" x14ac:dyDescent="0.25">
      <c r="BL1629" s="8" t="str">
        <f t="shared" si="91"/>
        <v/>
      </c>
      <c r="BM1629" s="6" t="str">
        <f t="shared" si="92"/>
        <v/>
      </c>
      <c r="BN1629" s="6" t="str">
        <f t="shared" si="93"/>
        <v/>
      </c>
    </row>
    <row r="1630" spans="64:66" ht="11.25" customHeight="1" x14ac:dyDescent="0.25">
      <c r="BL1630" s="8" t="str">
        <f t="shared" si="91"/>
        <v/>
      </c>
      <c r="BM1630" s="6" t="str">
        <f t="shared" si="92"/>
        <v/>
      </c>
      <c r="BN1630" s="6" t="str">
        <f t="shared" si="93"/>
        <v/>
      </c>
    </row>
    <row r="1631" spans="64:66" ht="11.25" customHeight="1" x14ac:dyDescent="0.25">
      <c r="BL1631" s="8" t="str">
        <f t="shared" si="91"/>
        <v/>
      </c>
      <c r="BM1631" s="6" t="str">
        <f t="shared" si="92"/>
        <v/>
      </c>
      <c r="BN1631" s="6" t="str">
        <f t="shared" si="93"/>
        <v/>
      </c>
    </row>
    <row r="1632" spans="64:66" ht="11.25" customHeight="1" x14ac:dyDescent="0.25">
      <c r="BL1632" s="8" t="str">
        <f t="shared" si="91"/>
        <v/>
      </c>
      <c r="BM1632" s="6" t="str">
        <f t="shared" si="92"/>
        <v/>
      </c>
      <c r="BN1632" s="6" t="str">
        <f t="shared" si="93"/>
        <v/>
      </c>
    </row>
    <row r="1633" spans="64:66" ht="11.25" customHeight="1" x14ac:dyDescent="0.25">
      <c r="BL1633" s="8" t="str">
        <f t="shared" si="91"/>
        <v/>
      </c>
      <c r="BM1633" s="6" t="str">
        <f t="shared" si="92"/>
        <v/>
      </c>
      <c r="BN1633" s="6" t="str">
        <f t="shared" si="93"/>
        <v/>
      </c>
    </row>
    <row r="1634" spans="64:66" ht="11.25" customHeight="1" x14ac:dyDescent="0.25">
      <c r="BL1634" s="8" t="str">
        <f t="shared" si="91"/>
        <v/>
      </c>
      <c r="BM1634" s="6" t="str">
        <f t="shared" si="92"/>
        <v/>
      </c>
      <c r="BN1634" s="6" t="str">
        <f t="shared" si="93"/>
        <v/>
      </c>
    </row>
    <row r="1635" spans="64:66" ht="11.25" customHeight="1" x14ac:dyDescent="0.25">
      <c r="BL1635" s="8" t="str">
        <f t="shared" si="91"/>
        <v/>
      </c>
      <c r="BM1635" s="6" t="str">
        <f t="shared" si="92"/>
        <v/>
      </c>
      <c r="BN1635" s="6" t="str">
        <f t="shared" si="93"/>
        <v/>
      </c>
    </row>
    <row r="1636" spans="64:66" ht="11.25" customHeight="1" x14ac:dyDescent="0.25">
      <c r="BL1636" s="8" t="str">
        <f t="shared" si="91"/>
        <v/>
      </c>
      <c r="BM1636" s="6" t="str">
        <f t="shared" si="92"/>
        <v/>
      </c>
      <c r="BN1636" s="6" t="str">
        <f t="shared" si="93"/>
        <v/>
      </c>
    </row>
    <row r="1637" spans="64:66" ht="11.25" customHeight="1" x14ac:dyDescent="0.25">
      <c r="BL1637" s="8" t="str">
        <f t="shared" si="91"/>
        <v/>
      </c>
      <c r="BM1637" s="6" t="str">
        <f t="shared" si="92"/>
        <v/>
      </c>
      <c r="BN1637" s="6" t="str">
        <f t="shared" si="93"/>
        <v/>
      </c>
    </row>
    <row r="1638" spans="64:66" ht="11.25" customHeight="1" x14ac:dyDescent="0.25">
      <c r="BL1638" s="8" t="str">
        <f t="shared" si="91"/>
        <v/>
      </c>
      <c r="BM1638" s="6" t="str">
        <f t="shared" si="92"/>
        <v/>
      </c>
      <c r="BN1638" s="6" t="str">
        <f t="shared" si="93"/>
        <v/>
      </c>
    </row>
    <row r="1639" spans="64:66" ht="11.25" customHeight="1" x14ac:dyDescent="0.25">
      <c r="BL1639" s="8" t="str">
        <f t="shared" si="91"/>
        <v/>
      </c>
      <c r="BM1639" s="6" t="str">
        <f t="shared" si="92"/>
        <v/>
      </c>
      <c r="BN1639" s="6" t="str">
        <f t="shared" si="93"/>
        <v/>
      </c>
    </row>
    <row r="1640" spans="64:66" ht="11.25" customHeight="1" x14ac:dyDescent="0.25">
      <c r="BL1640" s="8" t="str">
        <f t="shared" si="91"/>
        <v/>
      </c>
      <c r="BM1640" s="6" t="str">
        <f t="shared" si="92"/>
        <v/>
      </c>
      <c r="BN1640" s="6" t="str">
        <f t="shared" si="93"/>
        <v/>
      </c>
    </row>
    <row r="1641" spans="64:66" ht="11.25" customHeight="1" x14ac:dyDescent="0.25">
      <c r="BL1641" s="8" t="str">
        <f t="shared" si="91"/>
        <v/>
      </c>
      <c r="BM1641" s="6" t="str">
        <f t="shared" si="92"/>
        <v/>
      </c>
      <c r="BN1641" s="6" t="str">
        <f t="shared" si="93"/>
        <v/>
      </c>
    </row>
    <row r="1642" spans="64:66" ht="11.25" customHeight="1" x14ac:dyDescent="0.25">
      <c r="BL1642" s="8" t="str">
        <f t="shared" si="91"/>
        <v/>
      </c>
      <c r="BM1642" s="6" t="str">
        <f t="shared" si="92"/>
        <v/>
      </c>
      <c r="BN1642" s="6" t="str">
        <f t="shared" si="93"/>
        <v/>
      </c>
    </row>
    <row r="1643" spans="64:66" ht="11.25" customHeight="1" x14ac:dyDescent="0.25">
      <c r="BL1643" s="8" t="str">
        <f t="shared" si="91"/>
        <v/>
      </c>
      <c r="BM1643" s="6" t="str">
        <f t="shared" si="92"/>
        <v/>
      </c>
      <c r="BN1643" s="6" t="str">
        <f t="shared" si="93"/>
        <v/>
      </c>
    </row>
    <row r="1644" spans="64:66" ht="11.25" customHeight="1" x14ac:dyDescent="0.25">
      <c r="BL1644" s="8" t="str">
        <f t="shared" si="91"/>
        <v/>
      </c>
      <c r="BM1644" s="6" t="str">
        <f t="shared" si="92"/>
        <v/>
      </c>
      <c r="BN1644" s="6" t="str">
        <f t="shared" si="93"/>
        <v/>
      </c>
    </row>
    <row r="1645" spans="64:66" ht="11.25" customHeight="1" x14ac:dyDescent="0.25">
      <c r="BL1645" s="8" t="str">
        <f t="shared" si="91"/>
        <v/>
      </c>
      <c r="BM1645" s="6" t="str">
        <f t="shared" si="92"/>
        <v/>
      </c>
      <c r="BN1645" s="6" t="str">
        <f t="shared" si="93"/>
        <v/>
      </c>
    </row>
    <row r="1646" spans="64:66" ht="11.25" customHeight="1" x14ac:dyDescent="0.25">
      <c r="BL1646" s="8" t="str">
        <f t="shared" si="91"/>
        <v/>
      </c>
      <c r="BM1646" s="6" t="str">
        <f t="shared" si="92"/>
        <v/>
      </c>
      <c r="BN1646" s="6" t="str">
        <f t="shared" si="93"/>
        <v/>
      </c>
    </row>
    <row r="1647" spans="64:66" ht="11.25" customHeight="1" x14ac:dyDescent="0.25">
      <c r="BL1647" s="8" t="str">
        <f t="shared" si="91"/>
        <v/>
      </c>
      <c r="BM1647" s="6" t="str">
        <f t="shared" si="92"/>
        <v/>
      </c>
      <c r="BN1647" s="6" t="str">
        <f t="shared" si="93"/>
        <v/>
      </c>
    </row>
    <row r="1648" spans="64:66" ht="11.25" customHeight="1" x14ac:dyDescent="0.25">
      <c r="BL1648" s="8" t="str">
        <f t="shared" si="91"/>
        <v/>
      </c>
      <c r="BM1648" s="6" t="str">
        <f t="shared" si="92"/>
        <v/>
      </c>
      <c r="BN1648" s="6" t="str">
        <f t="shared" si="93"/>
        <v/>
      </c>
    </row>
    <row r="1649" spans="64:66" ht="11.25" customHeight="1" x14ac:dyDescent="0.25">
      <c r="BL1649" s="8" t="str">
        <f t="shared" si="91"/>
        <v/>
      </c>
      <c r="BM1649" s="6" t="str">
        <f t="shared" si="92"/>
        <v/>
      </c>
      <c r="BN1649" s="6" t="str">
        <f t="shared" si="93"/>
        <v/>
      </c>
    </row>
    <row r="1650" spans="64:66" ht="11.25" customHeight="1" x14ac:dyDescent="0.25">
      <c r="BL1650" s="8" t="str">
        <f t="shared" si="91"/>
        <v/>
      </c>
      <c r="BM1650" s="6" t="str">
        <f t="shared" si="92"/>
        <v/>
      </c>
      <c r="BN1650" s="6" t="str">
        <f t="shared" si="93"/>
        <v/>
      </c>
    </row>
    <row r="1651" spans="64:66" ht="11.25" customHeight="1" x14ac:dyDescent="0.25">
      <c r="BL1651" s="8" t="str">
        <f t="shared" si="91"/>
        <v/>
      </c>
      <c r="BM1651" s="6" t="str">
        <f t="shared" si="92"/>
        <v/>
      </c>
      <c r="BN1651" s="6" t="str">
        <f t="shared" si="93"/>
        <v/>
      </c>
    </row>
    <row r="1652" spans="64:66" ht="11.25" customHeight="1" x14ac:dyDescent="0.25">
      <c r="BL1652" s="8" t="str">
        <f t="shared" si="91"/>
        <v/>
      </c>
      <c r="BM1652" s="6" t="str">
        <f t="shared" si="92"/>
        <v/>
      </c>
      <c r="BN1652" s="6" t="str">
        <f t="shared" si="93"/>
        <v/>
      </c>
    </row>
    <row r="1653" spans="64:66" ht="11.25" customHeight="1" x14ac:dyDescent="0.25">
      <c r="BL1653" s="8" t="str">
        <f t="shared" si="91"/>
        <v/>
      </c>
      <c r="BM1653" s="6" t="str">
        <f t="shared" si="92"/>
        <v/>
      </c>
      <c r="BN1653" s="6" t="str">
        <f t="shared" si="93"/>
        <v/>
      </c>
    </row>
    <row r="1654" spans="64:66" ht="11.25" customHeight="1" x14ac:dyDescent="0.25">
      <c r="BL1654" s="8" t="str">
        <f t="shared" si="91"/>
        <v/>
      </c>
      <c r="BM1654" s="6" t="str">
        <f t="shared" si="92"/>
        <v/>
      </c>
      <c r="BN1654" s="6" t="str">
        <f t="shared" si="93"/>
        <v/>
      </c>
    </row>
    <row r="1655" spans="64:66" ht="11.25" customHeight="1" x14ac:dyDescent="0.25">
      <c r="BL1655" s="8" t="str">
        <f t="shared" si="91"/>
        <v/>
      </c>
      <c r="BM1655" s="6" t="str">
        <f t="shared" si="92"/>
        <v/>
      </c>
      <c r="BN1655" s="6" t="str">
        <f t="shared" si="93"/>
        <v/>
      </c>
    </row>
    <row r="1656" spans="64:66" ht="11.25" customHeight="1" x14ac:dyDescent="0.25">
      <c r="BL1656" s="8" t="str">
        <f t="shared" si="91"/>
        <v/>
      </c>
      <c r="BM1656" s="6" t="str">
        <f t="shared" si="92"/>
        <v/>
      </c>
      <c r="BN1656" s="6" t="str">
        <f t="shared" si="93"/>
        <v/>
      </c>
    </row>
    <row r="1657" spans="64:66" ht="11.25" customHeight="1" x14ac:dyDescent="0.25">
      <c r="BL1657" s="8" t="str">
        <f t="shared" si="91"/>
        <v/>
      </c>
      <c r="BM1657" s="6" t="str">
        <f t="shared" si="92"/>
        <v/>
      </c>
      <c r="BN1657" s="6" t="str">
        <f t="shared" si="93"/>
        <v/>
      </c>
    </row>
    <row r="1658" spans="64:66" ht="11.25" customHeight="1" x14ac:dyDescent="0.25">
      <c r="BL1658" s="8" t="str">
        <f t="shared" si="91"/>
        <v/>
      </c>
      <c r="BM1658" s="6" t="str">
        <f t="shared" si="92"/>
        <v/>
      </c>
      <c r="BN1658" s="6" t="str">
        <f t="shared" si="93"/>
        <v/>
      </c>
    </row>
    <row r="1659" spans="64:66" ht="11.25" customHeight="1" x14ac:dyDescent="0.25">
      <c r="BL1659" s="8" t="str">
        <f t="shared" si="91"/>
        <v/>
      </c>
      <c r="BM1659" s="6" t="str">
        <f t="shared" si="92"/>
        <v/>
      </c>
      <c r="BN1659" s="6" t="str">
        <f t="shared" si="93"/>
        <v/>
      </c>
    </row>
    <row r="1660" spans="64:66" ht="11.25" customHeight="1" x14ac:dyDescent="0.25">
      <c r="BL1660" s="8" t="str">
        <f t="shared" si="91"/>
        <v/>
      </c>
      <c r="BM1660" s="6" t="str">
        <f t="shared" si="92"/>
        <v/>
      </c>
      <c r="BN1660" s="6" t="str">
        <f t="shared" si="93"/>
        <v/>
      </c>
    </row>
    <row r="1661" spans="64:66" ht="11.25" customHeight="1" x14ac:dyDescent="0.25">
      <c r="BL1661" s="8" t="str">
        <f t="shared" si="91"/>
        <v/>
      </c>
      <c r="BM1661" s="6" t="str">
        <f t="shared" si="92"/>
        <v/>
      </c>
      <c r="BN1661" s="6" t="str">
        <f t="shared" si="93"/>
        <v/>
      </c>
    </row>
    <row r="1662" spans="64:66" ht="11.25" customHeight="1" x14ac:dyDescent="0.25">
      <c r="BL1662" s="8" t="str">
        <f t="shared" si="91"/>
        <v/>
      </c>
      <c r="BM1662" s="6" t="str">
        <f t="shared" si="92"/>
        <v/>
      </c>
      <c r="BN1662" s="6" t="str">
        <f t="shared" si="93"/>
        <v/>
      </c>
    </row>
    <row r="1663" spans="64:66" ht="11.25" customHeight="1" x14ac:dyDescent="0.25">
      <c r="BL1663" s="8" t="str">
        <f t="shared" si="91"/>
        <v/>
      </c>
      <c r="BM1663" s="6" t="str">
        <f t="shared" si="92"/>
        <v/>
      </c>
      <c r="BN1663" s="6" t="str">
        <f t="shared" si="93"/>
        <v/>
      </c>
    </row>
    <row r="1664" spans="64:66" ht="11.25" customHeight="1" x14ac:dyDescent="0.25">
      <c r="BL1664" s="8" t="str">
        <f t="shared" si="91"/>
        <v/>
      </c>
      <c r="BM1664" s="6" t="str">
        <f t="shared" si="92"/>
        <v/>
      </c>
      <c r="BN1664" s="6" t="str">
        <f t="shared" si="93"/>
        <v/>
      </c>
    </row>
    <row r="1665" spans="64:66" ht="11.25" customHeight="1" x14ac:dyDescent="0.25">
      <c r="BL1665" s="8" t="str">
        <f t="shared" si="91"/>
        <v/>
      </c>
      <c r="BM1665" s="6" t="str">
        <f t="shared" si="92"/>
        <v/>
      </c>
      <c r="BN1665" s="6" t="str">
        <f t="shared" si="93"/>
        <v/>
      </c>
    </row>
    <row r="1666" spans="64:66" ht="11.25" customHeight="1" x14ac:dyDescent="0.25">
      <c r="BL1666" s="8" t="str">
        <f t="shared" si="91"/>
        <v/>
      </c>
      <c r="BM1666" s="6" t="str">
        <f t="shared" si="92"/>
        <v/>
      </c>
      <c r="BN1666" s="6" t="str">
        <f t="shared" si="93"/>
        <v/>
      </c>
    </row>
    <row r="1667" spans="64:66" ht="11.25" customHeight="1" x14ac:dyDescent="0.25">
      <c r="BL1667" s="8" t="str">
        <f t="shared" si="91"/>
        <v/>
      </c>
      <c r="BM1667" s="6" t="str">
        <f t="shared" si="92"/>
        <v/>
      </c>
      <c r="BN1667" s="6" t="str">
        <f t="shared" si="93"/>
        <v/>
      </c>
    </row>
    <row r="1668" spans="64:66" ht="11.25" customHeight="1" x14ac:dyDescent="0.25">
      <c r="BL1668" s="8" t="str">
        <f t="shared" si="91"/>
        <v/>
      </c>
      <c r="BM1668" s="6" t="str">
        <f t="shared" si="92"/>
        <v/>
      </c>
      <c r="BN1668" s="6" t="str">
        <f t="shared" si="93"/>
        <v/>
      </c>
    </row>
    <row r="1669" spans="64:66" ht="11.25" customHeight="1" x14ac:dyDescent="0.25">
      <c r="BL1669" s="8" t="str">
        <f t="shared" si="91"/>
        <v/>
      </c>
      <c r="BM1669" s="6" t="str">
        <f t="shared" si="92"/>
        <v/>
      </c>
      <c r="BN1669" s="6" t="str">
        <f t="shared" si="93"/>
        <v/>
      </c>
    </row>
    <row r="1670" spans="64:66" ht="11.25" customHeight="1" x14ac:dyDescent="0.25">
      <c r="BL1670" s="8" t="str">
        <f t="shared" ref="BL1670:BL1733" si="94">IF(ROW()&lt;=$BL$4,ROW()-ROW(BL$4),"")</f>
        <v/>
      </c>
      <c r="BM1670" s="6" t="str">
        <f t="shared" si="92"/>
        <v/>
      </c>
      <c r="BN1670" s="6" t="str">
        <f t="shared" si="93"/>
        <v/>
      </c>
    </row>
    <row r="1671" spans="64:66" ht="11.25" customHeight="1" x14ac:dyDescent="0.25">
      <c r="BL1671" s="8" t="str">
        <f t="shared" si="94"/>
        <v/>
      </c>
      <c r="BM1671" s="6" t="str">
        <f t="shared" si="92"/>
        <v/>
      </c>
      <c r="BN1671" s="6" t="str">
        <f t="shared" si="93"/>
        <v/>
      </c>
    </row>
    <row r="1672" spans="64:66" ht="11.25" customHeight="1" x14ac:dyDescent="0.25">
      <c r="BL1672" s="8" t="str">
        <f t="shared" si="94"/>
        <v/>
      </c>
      <c r="BM1672" s="6" t="str">
        <f t="shared" ref="BM1672:BM1735" si="95">IF(ISNUMBER(BL1672),INT(BL1671/$BN$4)+1,"")</f>
        <v/>
      </c>
      <c r="BN1672" s="6" t="str">
        <f t="shared" ref="BN1672:BN1735" si="96">IF(ISNUMBER(BL1672),IF(BM1671&lt;&gt;BM1672,1,BN1671+1),"")</f>
        <v/>
      </c>
    </row>
    <row r="1673" spans="64:66" ht="11.25" customHeight="1" x14ac:dyDescent="0.25">
      <c r="BL1673" s="8" t="str">
        <f t="shared" si="94"/>
        <v/>
      </c>
      <c r="BM1673" s="6" t="str">
        <f t="shared" si="95"/>
        <v/>
      </c>
      <c r="BN1673" s="6" t="str">
        <f t="shared" si="96"/>
        <v/>
      </c>
    </row>
    <row r="1674" spans="64:66" ht="11.25" customHeight="1" x14ac:dyDescent="0.25">
      <c r="BL1674" s="8" t="str">
        <f t="shared" si="94"/>
        <v/>
      </c>
      <c r="BM1674" s="6" t="str">
        <f t="shared" si="95"/>
        <v/>
      </c>
      <c r="BN1674" s="6" t="str">
        <f t="shared" si="96"/>
        <v/>
      </c>
    </row>
    <row r="1675" spans="64:66" ht="11.25" customHeight="1" x14ac:dyDescent="0.25">
      <c r="BL1675" s="8" t="str">
        <f t="shared" si="94"/>
        <v/>
      </c>
      <c r="BM1675" s="6" t="str">
        <f t="shared" si="95"/>
        <v/>
      </c>
      <c r="BN1675" s="6" t="str">
        <f t="shared" si="96"/>
        <v/>
      </c>
    </row>
    <row r="1676" spans="64:66" ht="11.25" customHeight="1" x14ac:dyDescent="0.25">
      <c r="BL1676" s="8" t="str">
        <f t="shared" si="94"/>
        <v/>
      </c>
      <c r="BM1676" s="6" t="str">
        <f t="shared" si="95"/>
        <v/>
      </c>
      <c r="BN1676" s="6" t="str">
        <f t="shared" si="96"/>
        <v/>
      </c>
    </row>
    <row r="1677" spans="64:66" ht="11.25" customHeight="1" x14ac:dyDescent="0.25">
      <c r="BL1677" s="8" t="str">
        <f t="shared" si="94"/>
        <v/>
      </c>
      <c r="BM1677" s="6" t="str">
        <f t="shared" si="95"/>
        <v/>
      </c>
      <c r="BN1677" s="6" t="str">
        <f t="shared" si="96"/>
        <v/>
      </c>
    </row>
    <row r="1678" spans="64:66" ht="11.25" customHeight="1" x14ac:dyDescent="0.25">
      <c r="BL1678" s="8" t="str">
        <f t="shared" si="94"/>
        <v/>
      </c>
      <c r="BM1678" s="6" t="str">
        <f t="shared" si="95"/>
        <v/>
      </c>
      <c r="BN1678" s="6" t="str">
        <f t="shared" si="96"/>
        <v/>
      </c>
    </row>
    <row r="1679" spans="64:66" ht="11.25" customHeight="1" x14ac:dyDescent="0.25">
      <c r="BL1679" s="8" t="str">
        <f t="shared" si="94"/>
        <v/>
      </c>
      <c r="BM1679" s="6" t="str">
        <f t="shared" si="95"/>
        <v/>
      </c>
      <c r="BN1679" s="6" t="str">
        <f t="shared" si="96"/>
        <v/>
      </c>
    </row>
    <row r="1680" spans="64:66" ht="11.25" customHeight="1" x14ac:dyDescent="0.25">
      <c r="BL1680" s="8" t="str">
        <f t="shared" si="94"/>
        <v/>
      </c>
      <c r="BM1680" s="6" t="str">
        <f t="shared" si="95"/>
        <v/>
      </c>
      <c r="BN1680" s="6" t="str">
        <f t="shared" si="96"/>
        <v/>
      </c>
    </row>
    <row r="1681" spans="64:66" ht="11.25" customHeight="1" x14ac:dyDescent="0.25">
      <c r="BL1681" s="8" t="str">
        <f t="shared" si="94"/>
        <v/>
      </c>
      <c r="BM1681" s="6" t="str">
        <f t="shared" si="95"/>
        <v/>
      </c>
      <c r="BN1681" s="6" t="str">
        <f t="shared" si="96"/>
        <v/>
      </c>
    </row>
    <row r="1682" spans="64:66" ht="11.25" customHeight="1" x14ac:dyDescent="0.25">
      <c r="BL1682" s="8" t="str">
        <f t="shared" si="94"/>
        <v/>
      </c>
      <c r="BM1682" s="6" t="str">
        <f t="shared" si="95"/>
        <v/>
      </c>
      <c r="BN1682" s="6" t="str">
        <f t="shared" si="96"/>
        <v/>
      </c>
    </row>
    <row r="1683" spans="64:66" ht="11.25" customHeight="1" x14ac:dyDescent="0.25">
      <c r="BL1683" s="8" t="str">
        <f t="shared" si="94"/>
        <v/>
      </c>
      <c r="BM1683" s="6" t="str">
        <f t="shared" si="95"/>
        <v/>
      </c>
      <c r="BN1683" s="6" t="str">
        <f t="shared" si="96"/>
        <v/>
      </c>
    </row>
    <row r="1684" spans="64:66" ht="11.25" customHeight="1" x14ac:dyDescent="0.25">
      <c r="BL1684" s="8" t="str">
        <f t="shared" si="94"/>
        <v/>
      </c>
      <c r="BM1684" s="6" t="str">
        <f t="shared" si="95"/>
        <v/>
      </c>
      <c r="BN1684" s="6" t="str">
        <f t="shared" si="96"/>
        <v/>
      </c>
    </row>
    <row r="1685" spans="64:66" ht="11.25" customHeight="1" x14ac:dyDescent="0.25">
      <c r="BL1685" s="8" t="str">
        <f t="shared" si="94"/>
        <v/>
      </c>
      <c r="BM1685" s="6" t="str">
        <f t="shared" si="95"/>
        <v/>
      </c>
      <c r="BN1685" s="6" t="str">
        <f t="shared" si="96"/>
        <v/>
      </c>
    </row>
    <row r="1686" spans="64:66" ht="11.25" customHeight="1" x14ac:dyDescent="0.25">
      <c r="BL1686" s="8" t="str">
        <f t="shared" si="94"/>
        <v/>
      </c>
      <c r="BM1686" s="6" t="str">
        <f t="shared" si="95"/>
        <v/>
      </c>
      <c r="BN1686" s="6" t="str">
        <f t="shared" si="96"/>
        <v/>
      </c>
    </row>
    <row r="1687" spans="64:66" ht="11.25" customHeight="1" x14ac:dyDescent="0.25">
      <c r="BL1687" s="8" t="str">
        <f t="shared" si="94"/>
        <v/>
      </c>
      <c r="BM1687" s="6" t="str">
        <f t="shared" si="95"/>
        <v/>
      </c>
      <c r="BN1687" s="6" t="str">
        <f t="shared" si="96"/>
        <v/>
      </c>
    </row>
    <row r="1688" spans="64:66" ht="11.25" customHeight="1" x14ac:dyDescent="0.25">
      <c r="BL1688" s="8" t="str">
        <f t="shared" si="94"/>
        <v/>
      </c>
      <c r="BM1688" s="6" t="str">
        <f t="shared" si="95"/>
        <v/>
      </c>
      <c r="BN1688" s="6" t="str">
        <f t="shared" si="96"/>
        <v/>
      </c>
    </row>
    <row r="1689" spans="64:66" ht="11.25" customHeight="1" x14ac:dyDescent="0.25">
      <c r="BL1689" s="8" t="str">
        <f t="shared" si="94"/>
        <v/>
      </c>
      <c r="BM1689" s="6" t="str">
        <f t="shared" si="95"/>
        <v/>
      </c>
      <c r="BN1689" s="6" t="str">
        <f t="shared" si="96"/>
        <v/>
      </c>
    </row>
    <row r="1690" spans="64:66" ht="11.25" customHeight="1" x14ac:dyDescent="0.25">
      <c r="BL1690" s="8" t="str">
        <f t="shared" si="94"/>
        <v/>
      </c>
      <c r="BM1690" s="6" t="str">
        <f t="shared" si="95"/>
        <v/>
      </c>
      <c r="BN1690" s="6" t="str">
        <f t="shared" si="96"/>
        <v/>
      </c>
    </row>
    <row r="1691" spans="64:66" ht="11.25" customHeight="1" x14ac:dyDescent="0.25">
      <c r="BL1691" s="8" t="str">
        <f t="shared" si="94"/>
        <v/>
      </c>
      <c r="BM1691" s="6" t="str">
        <f t="shared" si="95"/>
        <v/>
      </c>
      <c r="BN1691" s="6" t="str">
        <f t="shared" si="96"/>
        <v/>
      </c>
    </row>
    <row r="1692" spans="64:66" ht="11.25" customHeight="1" x14ac:dyDescent="0.25">
      <c r="BL1692" s="8" t="str">
        <f t="shared" si="94"/>
        <v/>
      </c>
      <c r="BM1692" s="6" t="str">
        <f t="shared" si="95"/>
        <v/>
      </c>
      <c r="BN1692" s="6" t="str">
        <f t="shared" si="96"/>
        <v/>
      </c>
    </row>
    <row r="1693" spans="64:66" ht="11.25" customHeight="1" x14ac:dyDescent="0.25">
      <c r="BL1693" s="8" t="str">
        <f t="shared" si="94"/>
        <v/>
      </c>
      <c r="BM1693" s="6" t="str">
        <f t="shared" si="95"/>
        <v/>
      </c>
      <c r="BN1693" s="6" t="str">
        <f t="shared" si="96"/>
        <v/>
      </c>
    </row>
    <row r="1694" spans="64:66" ht="11.25" customHeight="1" x14ac:dyDescent="0.25">
      <c r="BL1694" s="8" t="str">
        <f t="shared" si="94"/>
        <v/>
      </c>
      <c r="BM1694" s="6" t="str">
        <f t="shared" si="95"/>
        <v/>
      </c>
      <c r="BN1694" s="6" t="str">
        <f t="shared" si="96"/>
        <v/>
      </c>
    </row>
    <row r="1695" spans="64:66" ht="11.25" customHeight="1" x14ac:dyDescent="0.25">
      <c r="BL1695" s="8" t="str">
        <f t="shared" si="94"/>
        <v/>
      </c>
      <c r="BM1695" s="6" t="str">
        <f t="shared" si="95"/>
        <v/>
      </c>
      <c r="BN1695" s="6" t="str">
        <f t="shared" si="96"/>
        <v/>
      </c>
    </row>
    <row r="1696" spans="64:66" ht="11.25" customHeight="1" x14ac:dyDescent="0.25">
      <c r="BL1696" s="8" t="str">
        <f t="shared" si="94"/>
        <v/>
      </c>
      <c r="BM1696" s="6" t="str">
        <f t="shared" si="95"/>
        <v/>
      </c>
      <c r="BN1696" s="6" t="str">
        <f t="shared" si="96"/>
        <v/>
      </c>
    </row>
    <row r="1697" spans="64:66" ht="11.25" customHeight="1" x14ac:dyDescent="0.25">
      <c r="BL1697" s="8" t="str">
        <f t="shared" si="94"/>
        <v/>
      </c>
      <c r="BM1697" s="6" t="str">
        <f t="shared" si="95"/>
        <v/>
      </c>
      <c r="BN1697" s="6" t="str">
        <f t="shared" si="96"/>
        <v/>
      </c>
    </row>
    <row r="1698" spans="64:66" ht="11.25" customHeight="1" x14ac:dyDescent="0.25">
      <c r="BL1698" s="8" t="str">
        <f t="shared" si="94"/>
        <v/>
      </c>
      <c r="BM1698" s="6" t="str">
        <f t="shared" si="95"/>
        <v/>
      </c>
      <c r="BN1698" s="6" t="str">
        <f t="shared" si="96"/>
        <v/>
      </c>
    </row>
    <row r="1699" spans="64:66" ht="11.25" customHeight="1" x14ac:dyDescent="0.25">
      <c r="BL1699" s="8" t="str">
        <f t="shared" si="94"/>
        <v/>
      </c>
      <c r="BM1699" s="6" t="str">
        <f t="shared" si="95"/>
        <v/>
      </c>
      <c r="BN1699" s="6" t="str">
        <f t="shared" si="96"/>
        <v/>
      </c>
    </row>
    <row r="1700" spans="64:66" ht="11.25" customHeight="1" x14ac:dyDescent="0.25">
      <c r="BL1700" s="8" t="str">
        <f t="shared" si="94"/>
        <v/>
      </c>
      <c r="BM1700" s="6" t="str">
        <f t="shared" si="95"/>
        <v/>
      </c>
      <c r="BN1700" s="6" t="str">
        <f t="shared" si="96"/>
        <v/>
      </c>
    </row>
    <row r="1701" spans="64:66" ht="11.25" customHeight="1" x14ac:dyDescent="0.25">
      <c r="BL1701" s="8" t="str">
        <f t="shared" si="94"/>
        <v/>
      </c>
      <c r="BM1701" s="6" t="str">
        <f t="shared" si="95"/>
        <v/>
      </c>
      <c r="BN1701" s="6" t="str">
        <f t="shared" si="96"/>
        <v/>
      </c>
    </row>
    <row r="1702" spans="64:66" ht="11.25" customHeight="1" x14ac:dyDescent="0.25">
      <c r="BL1702" s="8" t="str">
        <f t="shared" si="94"/>
        <v/>
      </c>
      <c r="BM1702" s="6" t="str">
        <f t="shared" si="95"/>
        <v/>
      </c>
      <c r="BN1702" s="6" t="str">
        <f t="shared" si="96"/>
        <v/>
      </c>
    </row>
    <row r="1703" spans="64:66" ht="11.25" customHeight="1" x14ac:dyDescent="0.25">
      <c r="BL1703" s="8" t="str">
        <f t="shared" si="94"/>
        <v/>
      </c>
      <c r="BM1703" s="6" t="str">
        <f t="shared" si="95"/>
        <v/>
      </c>
      <c r="BN1703" s="6" t="str">
        <f t="shared" si="96"/>
        <v/>
      </c>
    </row>
    <row r="1704" spans="64:66" ht="11.25" customHeight="1" x14ac:dyDescent="0.25">
      <c r="BL1704" s="8" t="str">
        <f t="shared" si="94"/>
        <v/>
      </c>
      <c r="BM1704" s="6" t="str">
        <f t="shared" si="95"/>
        <v/>
      </c>
      <c r="BN1704" s="6" t="str">
        <f t="shared" si="96"/>
        <v/>
      </c>
    </row>
    <row r="1705" spans="64:66" ht="11.25" customHeight="1" x14ac:dyDescent="0.25">
      <c r="BL1705" s="8" t="str">
        <f t="shared" si="94"/>
        <v/>
      </c>
      <c r="BM1705" s="6" t="str">
        <f t="shared" si="95"/>
        <v/>
      </c>
      <c r="BN1705" s="6" t="str">
        <f t="shared" si="96"/>
        <v/>
      </c>
    </row>
    <row r="1706" spans="64:66" ht="11.25" customHeight="1" x14ac:dyDescent="0.25">
      <c r="BL1706" s="8" t="str">
        <f t="shared" si="94"/>
        <v/>
      </c>
      <c r="BM1706" s="6" t="str">
        <f t="shared" si="95"/>
        <v/>
      </c>
      <c r="BN1706" s="6" t="str">
        <f t="shared" si="96"/>
        <v/>
      </c>
    </row>
    <row r="1707" spans="64:66" ht="11.25" customHeight="1" x14ac:dyDescent="0.25">
      <c r="BL1707" s="8" t="str">
        <f t="shared" si="94"/>
        <v/>
      </c>
      <c r="BM1707" s="6" t="str">
        <f t="shared" si="95"/>
        <v/>
      </c>
      <c r="BN1707" s="6" t="str">
        <f t="shared" si="96"/>
        <v/>
      </c>
    </row>
    <row r="1708" spans="64:66" ht="11.25" customHeight="1" x14ac:dyDescent="0.25">
      <c r="BL1708" s="8" t="str">
        <f t="shared" si="94"/>
        <v/>
      </c>
      <c r="BM1708" s="6" t="str">
        <f t="shared" si="95"/>
        <v/>
      </c>
      <c r="BN1708" s="6" t="str">
        <f t="shared" si="96"/>
        <v/>
      </c>
    </row>
    <row r="1709" spans="64:66" ht="11.25" customHeight="1" x14ac:dyDescent="0.25">
      <c r="BL1709" s="8" t="str">
        <f t="shared" si="94"/>
        <v/>
      </c>
      <c r="BM1709" s="6" t="str">
        <f t="shared" si="95"/>
        <v/>
      </c>
      <c r="BN1709" s="6" t="str">
        <f t="shared" si="96"/>
        <v/>
      </c>
    </row>
    <row r="1710" spans="64:66" ht="11.25" customHeight="1" x14ac:dyDescent="0.25">
      <c r="BL1710" s="8" t="str">
        <f t="shared" si="94"/>
        <v/>
      </c>
      <c r="BM1710" s="6" t="str">
        <f t="shared" si="95"/>
        <v/>
      </c>
      <c r="BN1710" s="6" t="str">
        <f t="shared" si="96"/>
        <v/>
      </c>
    </row>
    <row r="1711" spans="64:66" ht="11.25" customHeight="1" x14ac:dyDescent="0.25">
      <c r="BL1711" s="8" t="str">
        <f t="shared" si="94"/>
        <v/>
      </c>
      <c r="BM1711" s="6" t="str">
        <f t="shared" si="95"/>
        <v/>
      </c>
      <c r="BN1711" s="6" t="str">
        <f t="shared" si="96"/>
        <v/>
      </c>
    </row>
    <row r="1712" spans="64:66" ht="11.25" customHeight="1" x14ac:dyDescent="0.25">
      <c r="BL1712" s="8" t="str">
        <f t="shared" si="94"/>
        <v/>
      </c>
      <c r="BM1712" s="6" t="str">
        <f t="shared" si="95"/>
        <v/>
      </c>
      <c r="BN1712" s="6" t="str">
        <f t="shared" si="96"/>
        <v/>
      </c>
    </row>
    <row r="1713" spans="64:66" ht="11.25" customHeight="1" x14ac:dyDescent="0.25">
      <c r="BL1713" s="8" t="str">
        <f t="shared" si="94"/>
        <v/>
      </c>
      <c r="BM1713" s="6" t="str">
        <f t="shared" si="95"/>
        <v/>
      </c>
      <c r="BN1713" s="6" t="str">
        <f t="shared" si="96"/>
        <v/>
      </c>
    </row>
    <row r="1714" spans="64:66" ht="11.25" customHeight="1" x14ac:dyDescent="0.25">
      <c r="BL1714" s="8" t="str">
        <f t="shared" si="94"/>
        <v/>
      </c>
      <c r="BM1714" s="6" t="str">
        <f t="shared" si="95"/>
        <v/>
      </c>
      <c r="BN1714" s="6" t="str">
        <f t="shared" si="96"/>
        <v/>
      </c>
    </row>
    <row r="1715" spans="64:66" ht="11.25" customHeight="1" x14ac:dyDescent="0.25">
      <c r="BL1715" s="8" t="str">
        <f t="shared" si="94"/>
        <v/>
      </c>
      <c r="BM1715" s="6" t="str">
        <f t="shared" si="95"/>
        <v/>
      </c>
      <c r="BN1715" s="6" t="str">
        <f t="shared" si="96"/>
        <v/>
      </c>
    </row>
    <row r="1716" spans="64:66" ht="11.25" customHeight="1" x14ac:dyDescent="0.25">
      <c r="BL1716" s="8" t="str">
        <f t="shared" si="94"/>
        <v/>
      </c>
      <c r="BM1716" s="6" t="str">
        <f t="shared" si="95"/>
        <v/>
      </c>
      <c r="BN1716" s="6" t="str">
        <f t="shared" si="96"/>
        <v/>
      </c>
    </row>
    <row r="1717" spans="64:66" ht="11.25" customHeight="1" x14ac:dyDescent="0.25">
      <c r="BL1717" s="8" t="str">
        <f t="shared" si="94"/>
        <v/>
      </c>
      <c r="BM1717" s="6" t="str">
        <f t="shared" si="95"/>
        <v/>
      </c>
      <c r="BN1717" s="6" t="str">
        <f t="shared" si="96"/>
        <v/>
      </c>
    </row>
    <row r="1718" spans="64:66" ht="11.25" customHeight="1" x14ac:dyDescent="0.25">
      <c r="BL1718" s="8" t="str">
        <f t="shared" si="94"/>
        <v/>
      </c>
      <c r="BM1718" s="6" t="str">
        <f t="shared" si="95"/>
        <v/>
      </c>
      <c r="BN1718" s="6" t="str">
        <f t="shared" si="96"/>
        <v/>
      </c>
    </row>
    <row r="1719" spans="64:66" ht="11.25" customHeight="1" x14ac:dyDescent="0.25">
      <c r="BL1719" s="8" t="str">
        <f t="shared" si="94"/>
        <v/>
      </c>
      <c r="BM1719" s="6" t="str">
        <f t="shared" si="95"/>
        <v/>
      </c>
      <c r="BN1719" s="6" t="str">
        <f t="shared" si="96"/>
        <v/>
      </c>
    </row>
    <row r="1720" spans="64:66" ht="11.25" customHeight="1" x14ac:dyDescent="0.25">
      <c r="BL1720" s="8" t="str">
        <f t="shared" si="94"/>
        <v/>
      </c>
      <c r="BM1720" s="6" t="str">
        <f t="shared" si="95"/>
        <v/>
      </c>
      <c r="BN1720" s="6" t="str">
        <f t="shared" si="96"/>
        <v/>
      </c>
    </row>
    <row r="1721" spans="64:66" ht="11.25" customHeight="1" x14ac:dyDescent="0.25">
      <c r="BL1721" s="8" t="str">
        <f t="shared" si="94"/>
        <v/>
      </c>
      <c r="BM1721" s="6" t="str">
        <f t="shared" si="95"/>
        <v/>
      </c>
      <c r="BN1721" s="6" t="str">
        <f t="shared" si="96"/>
        <v/>
      </c>
    </row>
    <row r="1722" spans="64:66" ht="11.25" customHeight="1" x14ac:dyDescent="0.25">
      <c r="BL1722" s="8" t="str">
        <f t="shared" si="94"/>
        <v/>
      </c>
      <c r="BM1722" s="6" t="str">
        <f t="shared" si="95"/>
        <v/>
      </c>
      <c r="BN1722" s="6" t="str">
        <f t="shared" si="96"/>
        <v/>
      </c>
    </row>
    <row r="1723" spans="64:66" ht="11.25" customHeight="1" x14ac:dyDescent="0.25">
      <c r="BL1723" s="8" t="str">
        <f t="shared" si="94"/>
        <v/>
      </c>
      <c r="BM1723" s="6" t="str">
        <f t="shared" si="95"/>
        <v/>
      </c>
      <c r="BN1723" s="6" t="str">
        <f t="shared" si="96"/>
        <v/>
      </c>
    </row>
    <row r="1724" spans="64:66" ht="11.25" customHeight="1" x14ac:dyDescent="0.25">
      <c r="BL1724" s="8" t="str">
        <f t="shared" si="94"/>
        <v/>
      </c>
      <c r="BM1724" s="6" t="str">
        <f t="shared" si="95"/>
        <v/>
      </c>
      <c r="BN1724" s="6" t="str">
        <f t="shared" si="96"/>
        <v/>
      </c>
    </row>
    <row r="1725" spans="64:66" ht="11.25" customHeight="1" x14ac:dyDescent="0.25">
      <c r="BL1725" s="8" t="str">
        <f t="shared" si="94"/>
        <v/>
      </c>
      <c r="BM1725" s="6" t="str">
        <f t="shared" si="95"/>
        <v/>
      </c>
      <c r="BN1725" s="6" t="str">
        <f t="shared" si="96"/>
        <v/>
      </c>
    </row>
    <row r="1726" spans="64:66" ht="11.25" customHeight="1" x14ac:dyDescent="0.25">
      <c r="BL1726" s="8" t="str">
        <f t="shared" si="94"/>
        <v/>
      </c>
      <c r="BM1726" s="6" t="str">
        <f t="shared" si="95"/>
        <v/>
      </c>
      <c r="BN1726" s="6" t="str">
        <f t="shared" si="96"/>
        <v/>
      </c>
    </row>
    <row r="1727" spans="64:66" ht="11.25" customHeight="1" x14ac:dyDescent="0.25">
      <c r="BL1727" s="8" t="str">
        <f t="shared" si="94"/>
        <v/>
      </c>
      <c r="BM1727" s="6" t="str">
        <f t="shared" si="95"/>
        <v/>
      </c>
      <c r="BN1727" s="6" t="str">
        <f t="shared" si="96"/>
        <v/>
      </c>
    </row>
    <row r="1728" spans="64:66" ht="11.25" customHeight="1" x14ac:dyDescent="0.25">
      <c r="BL1728" s="8" t="str">
        <f t="shared" si="94"/>
        <v/>
      </c>
      <c r="BM1728" s="6" t="str">
        <f t="shared" si="95"/>
        <v/>
      </c>
      <c r="BN1728" s="6" t="str">
        <f t="shared" si="96"/>
        <v/>
      </c>
    </row>
    <row r="1729" spans="64:66" ht="11.25" customHeight="1" x14ac:dyDescent="0.25">
      <c r="BL1729" s="8" t="str">
        <f t="shared" si="94"/>
        <v/>
      </c>
      <c r="BM1729" s="6" t="str">
        <f t="shared" si="95"/>
        <v/>
      </c>
      <c r="BN1729" s="6" t="str">
        <f t="shared" si="96"/>
        <v/>
      </c>
    </row>
    <row r="1730" spans="64:66" ht="11.25" customHeight="1" x14ac:dyDescent="0.25">
      <c r="BL1730" s="8" t="str">
        <f t="shared" si="94"/>
        <v/>
      </c>
      <c r="BM1730" s="6" t="str">
        <f t="shared" si="95"/>
        <v/>
      </c>
      <c r="BN1730" s="6" t="str">
        <f t="shared" si="96"/>
        <v/>
      </c>
    </row>
    <row r="1731" spans="64:66" ht="11.25" customHeight="1" x14ac:dyDescent="0.25">
      <c r="BL1731" s="8" t="str">
        <f t="shared" si="94"/>
        <v/>
      </c>
      <c r="BM1731" s="6" t="str">
        <f t="shared" si="95"/>
        <v/>
      </c>
      <c r="BN1731" s="6" t="str">
        <f t="shared" si="96"/>
        <v/>
      </c>
    </row>
    <row r="1732" spans="64:66" ht="11.25" customHeight="1" x14ac:dyDescent="0.25">
      <c r="BL1732" s="8" t="str">
        <f t="shared" si="94"/>
        <v/>
      </c>
      <c r="BM1732" s="6" t="str">
        <f t="shared" si="95"/>
        <v/>
      </c>
      <c r="BN1732" s="6" t="str">
        <f t="shared" si="96"/>
        <v/>
      </c>
    </row>
    <row r="1733" spans="64:66" ht="11.25" customHeight="1" x14ac:dyDescent="0.25">
      <c r="BL1733" s="8" t="str">
        <f t="shared" si="94"/>
        <v/>
      </c>
      <c r="BM1733" s="6" t="str">
        <f t="shared" si="95"/>
        <v/>
      </c>
      <c r="BN1733" s="6" t="str">
        <f t="shared" si="96"/>
        <v/>
      </c>
    </row>
    <row r="1734" spans="64:66" ht="11.25" customHeight="1" x14ac:dyDescent="0.25">
      <c r="BL1734" s="8" t="str">
        <f t="shared" ref="BL1734:BL1792" si="97">IF(ROW()&lt;=$BL$4,ROW()-ROW(BL$4),"")</f>
        <v/>
      </c>
      <c r="BM1734" s="6" t="str">
        <f t="shared" si="95"/>
        <v/>
      </c>
      <c r="BN1734" s="6" t="str">
        <f t="shared" si="96"/>
        <v/>
      </c>
    </row>
    <row r="1735" spans="64:66" ht="11.25" customHeight="1" x14ac:dyDescent="0.25">
      <c r="BL1735" s="8" t="str">
        <f t="shared" si="97"/>
        <v/>
      </c>
      <c r="BM1735" s="6" t="str">
        <f t="shared" si="95"/>
        <v/>
      </c>
      <c r="BN1735" s="6" t="str">
        <f t="shared" si="96"/>
        <v/>
      </c>
    </row>
    <row r="1736" spans="64:66" ht="11.25" customHeight="1" x14ac:dyDescent="0.25">
      <c r="BL1736" s="8" t="str">
        <f t="shared" si="97"/>
        <v/>
      </c>
      <c r="BM1736" s="6" t="str">
        <f t="shared" ref="BM1736:BM1792" si="98">IF(ISNUMBER(BL1736),INT(BL1735/$BN$4)+1,"")</f>
        <v/>
      </c>
      <c r="BN1736" s="6" t="str">
        <f t="shared" ref="BN1736:BN1792" si="99">IF(ISNUMBER(BL1736),IF(BM1735&lt;&gt;BM1736,1,BN1735+1),"")</f>
        <v/>
      </c>
    </row>
    <row r="1737" spans="64:66" ht="11.25" customHeight="1" x14ac:dyDescent="0.25">
      <c r="BL1737" s="8" t="str">
        <f t="shared" si="97"/>
        <v/>
      </c>
      <c r="BM1737" s="6" t="str">
        <f t="shared" si="98"/>
        <v/>
      </c>
      <c r="BN1737" s="6" t="str">
        <f t="shared" si="99"/>
        <v/>
      </c>
    </row>
    <row r="1738" spans="64:66" ht="11.25" customHeight="1" x14ac:dyDescent="0.25">
      <c r="BL1738" s="8" t="str">
        <f t="shared" si="97"/>
        <v/>
      </c>
      <c r="BM1738" s="6" t="str">
        <f t="shared" si="98"/>
        <v/>
      </c>
      <c r="BN1738" s="6" t="str">
        <f t="shared" si="99"/>
        <v/>
      </c>
    </row>
    <row r="1739" spans="64:66" ht="11.25" customHeight="1" x14ac:dyDescent="0.25">
      <c r="BL1739" s="8" t="str">
        <f t="shared" si="97"/>
        <v/>
      </c>
      <c r="BM1739" s="6" t="str">
        <f t="shared" si="98"/>
        <v/>
      </c>
      <c r="BN1739" s="6" t="str">
        <f t="shared" si="99"/>
        <v/>
      </c>
    </row>
    <row r="1740" spans="64:66" ht="11.25" customHeight="1" x14ac:dyDescent="0.25">
      <c r="BL1740" s="8" t="str">
        <f t="shared" si="97"/>
        <v/>
      </c>
      <c r="BM1740" s="6" t="str">
        <f t="shared" si="98"/>
        <v/>
      </c>
      <c r="BN1740" s="6" t="str">
        <f t="shared" si="99"/>
        <v/>
      </c>
    </row>
    <row r="1741" spans="64:66" ht="11.25" customHeight="1" x14ac:dyDescent="0.25">
      <c r="BL1741" s="8" t="str">
        <f t="shared" si="97"/>
        <v/>
      </c>
      <c r="BM1741" s="6" t="str">
        <f t="shared" si="98"/>
        <v/>
      </c>
      <c r="BN1741" s="6" t="str">
        <f t="shared" si="99"/>
        <v/>
      </c>
    </row>
    <row r="1742" spans="64:66" ht="11.25" customHeight="1" x14ac:dyDescent="0.25">
      <c r="BL1742" s="8" t="str">
        <f t="shared" si="97"/>
        <v/>
      </c>
      <c r="BM1742" s="6" t="str">
        <f t="shared" si="98"/>
        <v/>
      </c>
      <c r="BN1742" s="6" t="str">
        <f t="shared" si="99"/>
        <v/>
      </c>
    </row>
    <row r="1743" spans="64:66" ht="11.25" customHeight="1" x14ac:dyDescent="0.25">
      <c r="BL1743" s="8" t="str">
        <f t="shared" si="97"/>
        <v/>
      </c>
      <c r="BM1743" s="6" t="str">
        <f t="shared" si="98"/>
        <v/>
      </c>
      <c r="BN1743" s="6" t="str">
        <f t="shared" si="99"/>
        <v/>
      </c>
    </row>
    <row r="1744" spans="64:66" ht="11.25" customHeight="1" x14ac:dyDescent="0.25">
      <c r="BL1744" s="8" t="str">
        <f t="shared" si="97"/>
        <v/>
      </c>
      <c r="BM1744" s="6" t="str">
        <f t="shared" si="98"/>
        <v/>
      </c>
      <c r="BN1744" s="6" t="str">
        <f t="shared" si="99"/>
        <v/>
      </c>
    </row>
    <row r="1745" spans="64:66" ht="11.25" customHeight="1" x14ac:dyDescent="0.25">
      <c r="BL1745" s="8" t="str">
        <f t="shared" si="97"/>
        <v/>
      </c>
      <c r="BM1745" s="6" t="str">
        <f t="shared" si="98"/>
        <v/>
      </c>
      <c r="BN1745" s="6" t="str">
        <f t="shared" si="99"/>
        <v/>
      </c>
    </row>
    <row r="1746" spans="64:66" ht="11.25" customHeight="1" x14ac:dyDescent="0.25">
      <c r="BL1746" s="8" t="str">
        <f t="shared" si="97"/>
        <v/>
      </c>
      <c r="BM1746" s="6" t="str">
        <f t="shared" si="98"/>
        <v/>
      </c>
      <c r="BN1746" s="6" t="str">
        <f t="shared" si="99"/>
        <v/>
      </c>
    </row>
    <row r="1747" spans="64:66" ht="11.25" customHeight="1" x14ac:dyDescent="0.25">
      <c r="BL1747" s="8" t="str">
        <f t="shared" si="97"/>
        <v/>
      </c>
      <c r="BM1747" s="6" t="str">
        <f t="shared" si="98"/>
        <v/>
      </c>
      <c r="BN1747" s="6" t="str">
        <f t="shared" si="99"/>
        <v/>
      </c>
    </row>
    <row r="1748" spans="64:66" ht="11.25" customHeight="1" x14ac:dyDescent="0.25">
      <c r="BL1748" s="8" t="str">
        <f t="shared" si="97"/>
        <v/>
      </c>
      <c r="BM1748" s="6" t="str">
        <f t="shared" si="98"/>
        <v/>
      </c>
      <c r="BN1748" s="6" t="str">
        <f t="shared" si="99"/>
        <v/>
      </c>
    </row>
    <row r="1749" spans="64:66" ht="11.25" customHeight="1" x14ac:dyDescent="0.25">
      <c r="BL1749" s="8" t="str">
        <f t="shared" si="97"/>
        <v/>
      </c>
      <c r="BM1749" s="6" t="str">
        <f t="shared" si="98"/>
        <v/>
      </c>
      <c r="BN1749" s="6" t="str">
        <f t="shared" si="99"/>
        <v/>
      </c>
    </row>
    <row r="1750" spans="64:66" ht="11.25" customHeight="1" x14ac:dyDescent="0.25">
      <c r="BL1750" s="8" t="str">
        <f t="shared" si="97"/>
        <v/>
      </c>
      <c r="BM1750" s="6" t="str">
        <f t="shared" si="98"/>
        <v/>
      </c>
      <c r="BN1750" s="6" t="str">
        <f t="shared" si="99"/>
        <v/>
      </c>
    </row>
    <row r="1751" spans="64:66" ht="11.25" customHeight="1" x14ac:dyDescent="0.25">
      <c r="BL1751" s="8" t="str">
        <f t="shared" si="97"/>
        <v/>
      </c>
      <c r="BM1751" s="6" t="str">
        <f t="shared" si="98"/>
        <v/>
      </c>
      <c r="BN1751" s="6" t="str">
        <f t="shared" si="99"/>
        <v/>
      </c>
    </row>
    <row r="1752" spans="64:66" ht="11.25" customHeight="1" x14ac:dyDescent="0.25">
      <c r="BL1752" s="8" t="str">
        <f t="shared" si="97"/>
        <v/>
      </c>
      <c r="BM1752" s="6" t="str">
        <f t="shared" si="98"/>
        <v/>
      </c>
      <c r="BN1752" s="6" t="str">
        <f t="shared" si="99"/>
        <v/>
      </c>
    </row>
    <row r="1753" spans="64:66" ht="11.25" customHeight="1" x14ac:dyDescent="0.25">
      <c r="BL1753" s="8" t="str">
        <f t="shared" si="97"/>
        <v/>
      </c>
      <c r="BM1753" s="6" t="str">
        <f t="shared" si="98"/>
        <v/>
      </c>
      <c r="BN1753" s="6" t="str">
        <f t="shared" si="99"/>
        <v/>
      </c>
    </row>
    <row r="1754" spans="64:66" ht="11.25" customHeight="1" x14ac:dyDescent="0.25">
      <c r="BL1754" s="8" t="str">
        <f t="shared" si="97"/>
        <v/>
      </c>
      <c r="BM1754" s="6" t="str">
        <f t="shared" si="98"/>
        <v/>
      </c>
      <c r="BN1754" s="6" t="str">
        <f t="shared" si="99"/>
        <v/>
      </c>
    </row>
    <row r="1755" spans="64:66" ht="11.25" customHeight="1" x14ac:dyDescent="0.25">
      <c r="BL1755" s="8" t="str">
        <f t="shared" si="97"/>
        <v/>
      </c>
      <c r="BM1755" s="6" t="str">
        <f t="shared" si="98"/>
        <v/>
      </c>
      <c r="BN1755" s="6" t="str">
        <f t="shared" si="99"/>
        <v/>
      </c>
    </row>
    <row r="1756" spans="64:66" ht="11.25" customHeight="1" x14ac:dyDescent="0.25">
      <c r="BL1756" s="8" t="str">
        <f t="shared" si="97"/>
        <v/>
      </c>
      <c r="BM1756" s="6" t="str">
        <f t="shared" si="98"/>
        <v/>
      </c>
      <c r="BN1756" s="6" t="str">
        <f t="shared" si="99"/>
        <v/>
      </c>
    </row>
    <row r="1757" spans="64:66" ht="11.25" customHeight="1" x14ac:dyDescent="0.25">
      <c r="BL1757" s="8" t="str">
        <f t="shared" si="97"/>
        <v/>
      </c>
      <c r="BM1757" s="6" t="str">
        <f t="shared" si="98"/>
        <v/>
      </c>
      <c r="BN1757" s="6" t="str">
        <f t="shared" si="99"/>
        <v/>
      </c>
    </row>
    <row r="1758" spans="64:66" ht="11.25" customHeight="1" x14ac:dyDescent="0.25">
      <c r="BL1758" s="8" t="str">
        <f t="shared" si="97"/>
        <v/>
      </c>
      <c r="BM1758" s="6" t="str">
        <f t="shared" si="98"/>
        <v/>
      </c>
      <c r="BN1758" s="6" t="str">
        <f t="shared" si="99"/>
        <v/>
      </c>
    </row>
    <row r="1759" spans="64:66" ht="11.25" customHeight="1" x14ac:dyDescent="0.25">
      <c r="BL1759" s="8" t="str">
        <f t="shared" si="97"/>
        <v/>
      </c>
      <c r="BM1759" s="6" t="str">
        <f t="shared" si="98"/>
        <v/>
      </c>
      <c r="BN1759" s="6" t="str">
        <f t="shared" si="99"/>
        <v/>
      </c>
    </row>
    <row r="1760" spans="64:66" ht="11.25" customHeight="1" x14ac:dyDescent="0.25">
      <c r="BL1760" s="8" t="str">
        <f t="shared" si="97"/>
        <v/>
      </c>
      <c r="BM1760" s="6" t="str">
        <f t="shared" si="98"/>
        <v/>
      </c>
      <c r="BN1760" s="6" t="str">
        <f t="shared" si="99"/>
        <v/>
      </c>
    </row>
    <row r="1761" spans="64:66" ht="11.25" customHeight="1" x14ac:dyDescent="0.25">
      <c r="BL1761" s="8" t="str">
        <f t="shared" si="97"/>
        <v/>
      </c>
      <c r="BM1761" s="6" t="str">
        <f t="shared" si="98"/>
        <v/>
      </c>
      <c r="BN1761" s="6" t="str">
        <f t="shared" si="99"/>
        <v/>
      </c>
    </row>
    <row r="1762" spans="64:66" ht="11.25" customHeight="1" x14ac:dyDescent="0.25">
      <c r="BL1762" s="8" t="str">
        <f t="shared" si="97"/>
        <v/>
      </c>
      <c r="BM1762" s="6" t="str">
        <f t="shared" si="98"/>
        <v/>
      </c>
      <c r="BN1762" s="6" t="str">
        <f t="shared" si="99"/>
        <v/>
      </c>
    </row>
    <row r="1763" spans="64:66" ht="11.25" customHeight="1" x14ac:dyDescent="0.25">
      <c r="BL1763" s="8" t="str">
        <f t="shared" si="97"/>
        <v/>
      </c>
      <c r="BM1763" s="6" t="str">
        <f t="shared" si="98"/>
        <v/>
      </c>
      <c r="BN1763" s="6" t="str">
        <f t="shared" si="99"/>
        <v/>
      </c>
    </row>
    <row r="1764" spans="64:66" ht="11.25" customHeight="1" x14ac:dyDescent="0.25">
      <c r="BL1764" s="8" t="str">
        <f t="shared" si="97"/>
        <v/>
      </c>
      <c r="BM1764" s="6" t="str">
        <f t="shared" si="98"/>
        <v/>
      </c>
      <c r="BN1764" s="6" t="str">
        <f t="shared" si="99"/>
        <v/>
      </c>
    </row>
    <row r="1765" spans="64:66" ht="11.25" customHeight="1" x14ac:dyDescent="0.25">
      <c r="BL1765" s="8" t="str">
        <f t="shared" si="97"/>
        <v/>
      </c>
      <c r="BM1765" s="6" t="str">
        <f t="shared" si="98"/>
        <v/>
      </c>
      <c r="BN1765" s="6" t="str">
        <f t="shared" si="99"/>
        <v/>
      </c>
    </row>
    <row r="1766" spans="64:66" ht="11.25" customHeight="1" x14ac:dyDescent="0.25">
      <c r="BL1766" s="8" t="str">
        <f t="shared" si="97"/>
        <v/>
      </c>
      <c r="BM1766" s="6" t="str">
        <f t="shared" si="98"/>
        <v/>
      </c>
      <c r="BN1766" s="6" t="str">
        <f t="shared" si="99"/>
        <v/>
      </c>
    </row>
    <row r="1767" spans="64:66" ht="11.25" customHeight="1" x14ac:dyDescent="0.25">
      <c r="BL1767" s="8" t="str">
        <f t="shared" si="97"/>
        <v/>
      </c>
      <c r="BM1767" s="6" t="str">
        <f t="shared" si="98"/>
        <v/>
      </c>
      <c r="BN1767" s="6" t="str">
        <f t="shared" si="99"/>
        <v/>
      </c>
    </row>
    <row r="1768" spans="64:66" ht="11.25" customHeight="1" x14ac:dyDescent="0.25">
      <c r="BL1768" s="8" t="str">
        <f t="shared" si="97"/>
        <v/>
      </c>
      <c r="BM1768" s="6" t="str">
        <f t="shared" si="98"/>
        <v/>
      </c>
      <c r="BN1768" s="6" t="str">
        <f t="shared" si="99"/>
        <v/>
      </c>
    </row>
    <row r="1769" spans="64:66" ht="11.25" customHeight="1" x14ac:dyDescent="0.25">
      <c r="BL1769" s="8" t="str">
        <f t="shared" si="97"/>
        <v/>
      </c>
      <c r="BM1769" s="6" t="str">
        <f t="shared" si="98"/>
        <v/>
      </c>
      <c r="BN1769" s="6" t="str">
        <f t="shared" si="99"/>
        <v/>
      </c>
    </row>
    <row r="1770" spans="64:66" ht="11.25" customHeight="1" x14ac:dyDescent="0.25">
      <c r="BL1770" s="8" t="str">
        <f t="shared" si="97"/>
        <v/>
      </c>
      <c r="BM1770" s="6" t="str">
        <f t="shared" si="98"/>
        <v/>
      </c>
      <c r="BN1770" s="6" t="str">
        <f t="shared" si="99"/>
        <v/>
      </c>
    </row>
    <row r="1771" spans="64:66" ht="11.25" customHeight="1" x14ac:dyDescent="0.25">
      <c r="BL1771" s="8" t="str">
        <f t="shared" si="97"/>
        <v/>
      </c>
      <c r="BM1771" s="6" t="str">
        <f t="shared" si="98"/>
        <v/>
      </c>
      <c r="BN1771" s="6" t="str">
        <f t="shared" si="99"/>
        <v/>
      </c>
    </row>
    <row r="1772" spans="64:66" ht="11.25" customHeight="1" x14ac:dyDescent="0.25">
      <c r="BL1772" s="8" t="str">
        <f t="shared" si="97"/>
        <v/>
      </c>
      <c r="BM1772" s="6" t="str">
        <f t="shared" si="98"/>
        <v/>
      </c>
      <c r="BN1772" s="6" t="str">
        <f t="shared" si="99"/>
        <v/>
      </c>
    </row>
    <row r="1773" spans="64:66" ht="11.25" customHeight="1" x14ac:dyDescent="0.25">
      <c r="BL1773" s="8" t="str">
        <f t="shared" si="97"/>
        <v/>
      </c>
      <c r="BM1773" s="6" t="str">
        <f t="shared" si="98"/>
        <v/>
      </c>
      <c r="BN1773" s="6" t="str">
        <f t="shared" si="99"/>
        <v/>
      </c>
    </row>
    <row r="1774" spans="64:66" ht="11.25" customHeight="1" x14ac:dyDescent="0.25">
      <c r="BL1774" s="8" t="str">
        <f t="shared" si="97"/>
        <v/>
      </c>
      <c r="BM1774" s="6" t="str">
        <f t="shared" si="98"/>
        <v/>
      </c>
      <c r="BN1774" s="6" t="str">
        <f t="shared" si="99"/>
        <v/>
      </c>
    </row>
    <row r="1775" spans="64:66" ht="11.25" customHeight="1" x14ac:dyDescent="0.25">
      <c r="BL1775" s="8" t="str">
        <f t="shared" si="97"/>
        <v/>
      </c>
      <c r="BM1775" s="6" t="str">
        <f t="shared" si="98"/>
        <v/>
      </c>
      <c r="BN1775" s="6" t="str">
        <f t="shared" si="99"/>
        <v/>
      </c>
    </row>
    <row r="1776" spans="64:66" ht="11.25" customHeight="1" x14ac:dyDescent="0.25">
      <c r="BL1776" s="8" t="str">
        <f t="shared" si="97"/>
        <v/>
      </c>
      <c r="BM1776" s="6" t="str">
        <f t="shared" si="98"/>
        <v/>
      </c>
      <c r="BN1776" s="6" t="str">
        <f t="shared" si="99"/>
        <v/>
      </c>
    </row>
    <row r="1777" spans="64:66" ht="11.25" customHeight="1" x14ac:dyDescent="0.25">
      <c r="BL1777" s="8" t="str">
        <f t="shared" si="97"/>
        <v/>
      </c>
      <c r="BM1777" s="6" t="str">
        <f t="shared" si="98"/>
        <v/>
      </c>
      <c r="BN1777" s="6" t="str">
        <f t="shared" si="99"/>
        <v/>
      </c>
    </row>
    <row r="1778" spans="64:66" ht="11.25" customHeight="1" x14ac:dyDescent="0.25">
      <c r="BL1778" s="8" t="str">
        <f t="shared" si="97"/>
        <v/>
      </c>
      <c r="BM1778" s="6" t="str">
        <f t="shared" si="98"/>
        <v/>
      </c>
      <c r="BN1778" s="6" t="str">
        <f t="shared" si="99"/>
        <v/>
      </c>
    </row>
    <row r="1779" spans="64:66" ht="11.25" customHeight="1" x14ac:dyDescent="0.25">
      <c r="BL1779" s="8" t="str">
        <f t="shared" si="97"/>
        <v/>
      </c>
      <c r="BM1779" s="6" t="str">
        <f t="shared" si="98"/>
        <v/>
      </c>
      <c r="BN1779" s="6" t="str">
        <f t="shared" si="99"/>
        <v/>
      </c>
    </row>
    <row r="1780" spans="64:66" ht="11.25" customHeight="1" x14ac:dyDescent="0.25">
      <c r="BL1780" s="8" t="str">
        <f t="shared" si="97"/>
        <v/>
      </c>
      <c r="BM1780" s="6" t="str">
        <f t="shared" si="98"/>
        <v/>
      </c>
      <c r="BN1780" s="6" t="str">
        <f t="shared" si="99"/>
        <v/>
      </c>
    </row>
    <row r="1781" spans="64:66" ht="11.25" customHeight="1" x14ac:dyDescent="0.25">
      <c r="BL1781" s="8" t="str">
        <f t="shared" si="97"/>
        <v/>
      </c>
      <c r="BM1781" s="6" t="str">
        <f t="shared" si="98"/>
        <v/>
      </c>
      <c r="BN1781" s="6" t="str">
        <f t="shared" si="99"/>
        <v/>
      </c>
    </row>
    <row r="1782" spans="64:66" ht="11.25" customHeight="1" x14ac:dyDescent="0.25">
      <c r="BL1782" s="8" t="str">
        <f t="shared" si="97"/>
        <v/>
      </c>
      <c r="BM1782" s="6" t="str">
        <f t="shared" si="98"/>
        <v/>
      </c>
      <c r="BN1782" s="6" t="str">
        <f t="shared" si="99"/>
        <v/>
      </c>
    </row>
    <row r="1783" spans="64:66" ht="11.25" customHeight="1" x14ac:dyDescent="0.25">
      <c r="BL1783" s="8" t="str">
        <f t="shared" si="97"/>
        <v/>
      </c>
      <c r="BM1783" s="6" t="str">
        <f t="shared" si="98"/>
        <v/>
      </c>
      <c r="BN1783" s="6" t="str">
        <f t="shared" si="99"/>
        <v/>
      </c>
    </row>
    <row r="1784" spans="64:66" ht="11.25" customHeight="1" x14ac:dyDescent="0.25">
      <c r="BL1784" s="8" t="str">
        <f t="shared" si="97"/>
        <v/>
      </c>
      <c r="BM1784" s="6" t="str">
        <f t="shared" si="98"/>
        <v/>
      </c>
      <c r="BN1784" s="6" t="str">
        <f t="shared" si="99"/>
        <v/>
      </c>
    </row>
    <row r="1785" spans="64:66" ht="11.25" customHeight="1" x14ac:dyDescent="0.25">
      <c r="BL1785" s="8" t="str">
        <f t="shared" si="97"/>
        <v/>
      </c>
      <c r="BM1785" s="6" t="str">
        <f t="shared" si="98"/>
        <v/>
      </c>
      <c r="BN1785" s="6" t="str">
        <f t="shared" si="99"/>
        <v/>
      </c>
    </row>
    <row r="1786" spans="64:66" ht="11.25" customHeight="1" x14ac:dyDescent="0.25">
      <c r="BL1786" s="8" t="str">
        <f t="shared" si="97"/>
        <v/>
      </c>
      <c r="BM1786" s="6" t="str">
        <f t="shared" si="98"/>
        <v/>
      </c>
      <c r="BN1786" s="6" t="str">
        <f t="shared" si="99"/>
        <v/>
      </c>
    </row>
    <row r="1787" spans="64:66" ht="11.25" customHeight="1" x14ac:dyDescent="0.25">
      <c r="BL1787" s="8" t="str">
        <f t="shared" si="97"/>
        <v/>
      </c>
      <c r="BM1787" s="6" t="str">
        <f t="shared" si="98"/>
        <v/>
      </c>
      <c r="BN1787" s="6" t="str">
        <f t="shared" si="99"/>
        <v/>
      </c>
    </row>
    <row r="1788" spans="64:66" ht="11.25" customHeight="1" x14ac:dyDescent="0.25">
      <c r="BL1788" s="8" t="str">
        <f t="shared" si="97"/>
        <v/>
      </c>
      <c r="BM1788" s="6" t="str">
        <f t="shared" si="98"/>
        <v/>
      </c>
      <c r="BN1788" s="6" t="str">
        <f t="shared" si="99"/>
        <v/>
      </c>
    </row>
    <row r="1789" spans="64:66" ht="11.25" customHeight="1" x14ac:dyDescent="0.25">
      <c r="BL1789" s="8" t="str">
        <f t="shared" si="97"/>
        <v/>
      </c>
      <c r="BM1789" s="6" t="str">
        <f t="shared" si="98"/>
        <v/>
      </c>
      <c r="BN1789" s="6" t="str">
        <f t="shared" si="99"/>
        <v/>
      </c>
    </row>
    <row r="1790" spans="64:66" ht="11.25" customHeight="1" x14ac:dyDescent="0.25">
      <c r="BL1790" s="8" t="str">
        <f t="shared" si="97"/>
        <v/>
      </c>
      <c r="BM1790" s="6" t="str">
        <f t="shared" si="98"/>
        <v/>
      </c>
      <c r="BN1790" s="6" t="str">
        <f t="shared" si="99"/>
        <v/>
      </c>
    </row>
    <row r="1791" spans="64:66" ht="11.25" customHeight="1" x14ac:dyDescent="0.25">
      <c r="BL1791" s="8" t="str">
        <f t="shared" si="97"/>
        <v/>
      </c>
      <c r="BM1791" s="6" t="str">
        <f t="shared" si="98"/>
        <v/>
      </c>
      <c r="BN1791" s="6" t="str">
        <f t="shared" si="99"/>
        <v/>
      </c>
    </row>
    <row r="1792" spans="64:66" ht="11.25" customHeight="1" x14ac:dyDescent="0.25">
      <c r="BL1792" s="8" t="str">
        <f t="shared" si="97"/>
        <v/>
      </c>
      <c r="BM1792" s="6" t="str">
        <f t="shared" si="98"/>
        <v/>
      </c>
      <c r="BN1792" s="6" t="str">
        <f t="shared" si="99"/>
        <v/>
      </c>
    </row>
  </sheetData>
  <phoneticPr fontId="8" type="noConversion"/>
  <conditionalFormatting sqref="C89:C9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Y40">
    <cfRule type="cellIs" dxfId="4" priority="5" operator="equal">
      <formula>$BJ$2</formula>
    </cfRule>
    <cfRule type="cellIs" dxfId="3" priority="11" operator="greaterThan">
      <formula>69</formula>
    </cfRule>
    <cfRule type="cellIs" dxfId="2" priority="17" operator="equal">
      <formula>0</formula>
    </cfRule>
    <cfRule type="colorScale" priority="18">
      <colorScale>
        <cfvo type="min"/>
        <cfvo type="percentile" val="50"/>
        <cfvo type="max"/>
        <color theme="0"/>
        <color theme="0"/>
        <color rgb="FFFF99FF"/>
      </colorScale>
    </cfRule>
  </conditionalFormatting>
  <conditionalFormatting sqref="C41:Y43">
    <cfRule type="colorScale" priority="41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C47:Y81">
    <cfRule type="cellIs" dxfId="1" priority="9" operator="equal">
      <formula>-1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5:Y12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4:G45">
    <cfRule type="colorScale" priority="14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N85:Y99 C100:Y12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4:X45">
    <cfRule type="colorScale" priority="13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AD5:AD4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42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5:AF4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:AS4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4:AS68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W4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X42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W6:AX4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:BD42">
    <cfRule type="cellIs" dxfId="0" priority="24" operator="lessThan">
      <formula>0</formula>
    </cfRule>
  </conditionalFormatting>
  <conditionalFormatting sqref="BB44:BB46 CA5:CW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:BD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:BE4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E6:BE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5:BR1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5:CW4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43:CW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5">
    <cfRule type="colorScale" priority="1">
      <colorScale>
        <cfvo type="min"/>
        <cfvo type="percentile" val="50"/>
        <cfvo type="max"/>
        <color rgb="FF00B0F0"/>
        <color rgb="FFFFEB84"/>
        <color theme="0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2015-06-05T18:17:20Z</dcterms:created>
  <dcterms:modified xsi:type="dcterms:W3CDTF">2025-11-12T12:51:25Z</dcterms:modified>
</cp:coreProperties>
</file>
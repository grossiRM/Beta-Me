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05A7BF29-ABDF-4E4F-84C9-7A2153ED653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a1" sheetId="1" r:id="rId1"/>
    <sheet name="11" sheetId="2" r:id="rId2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6" i="1" l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306" i="1"/>
  <c r="BH307" i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BH321" i="1"/>
  <c r="BH322" i="1"/>
  <c r="BH323" i="1"/>
  <c r="BH324" i="1"/>
  <c r="BH325" i="1"/>
  <c r="BH326" i="1"/>
  <c r="M47" i="1"/>
  <c r="N47" i="1"/>
  <c r="O47" i="1"/>
  <c r="P47" i="1"/>
  <c r="P80" i="1" s="1"/>
  <c r="P37" i="1" s="1"/>
  <c r="Q47" i="1"/>
  <c r="R47" i="1"/>
  <c r="R55" i="1" s="1"/>
  <c r="R12" i="1" s="1"/>
  <c r="S47" i="1"/>
  <c r="T47" i="1"/>
  <c r="U47" i="1"/>
  <c r="U64" i="1" s="1"/>
  <c r="V47" i="1"/>
  <c r="V80" i="1" s="1"/>
  <c r="W47" i="1"/>
  <c r="W62" i="1" s="1"/>
  <c r="X47" i="1"/>
  <c r="X73" i="1" s="1"/>
  <c r="X30" i="1" s="1"/>
  <c r="Y47" i="1"/>
  <c r="Y73" i="1"/>
  <c r="Q68" i="1"/>
  <c r="Q61" i="1"/>
  <c r="Q56" i="1"/>
  <c r="Y55" i="1"/>
  <c r="Y12" i="1" s="1"/>
  <c r="T53" i="1"/>
  <c r="M53" i="1"/>
  <c r="Y51" i="1"/>
  <c r="Y8" i="1" s="1"/>
  <c r="Q50" i="1"/>
  <c r="M49" i="1"/>
  <c r="Y48" i="1"/>
  <c r="Y5" i="1" s="1"/>
  <c r="B83" i="1"/>
  <c r="B82" i="1"/>
  <c r="B81" i="1"/>
  <c r="J81" i="1" s="1"/>
  <c r="B80" i="1"/>
  <c r="B79" i="1"/>
  <c r="H79" i="1" s="1"/>
  <c r="B78" i="1"/>
  <c r="R78" i="1" s="1"/>
  <c r="R35" i="1" s="1"/>
  <c r="B77" i="1"/>
  <c r="Y77" i="1" s="1"/>
  <c r="Y34" i="1" s="1"/>
  <c r="B76" i="1"/>
  <c r="T76" i="1" s="1"/>
  <c r="T33" i="1" s="1"/>
  <c r="B75" i="1"/>
  <c r="B74" i="1"/>
  <c r="L74" i="1" s="1"/>
  <c r="L31" i="1" s="1"/>
  <c r="K73" i="1"/>
  <c r="B73" i="1"/>
  <c r="B72" i="1"/>
  <c r="B71" i="1"/>
  <c r="B70" i="1"/>
  <c r="B69" i="1"/>
  <c r="B68" i="1"/>
  <c r="K67" i="1"/>
  <c r="J67" i="1"/>
  <c r="B67" i="1"/>
  <c r="B66" i="1"/>
  <c r="E66" i="1" s="1"/>
  <c r="B65" i="1"/>
  <c r="J64" i="1"/>
  <c r="B64" i="1"/>
  <c r="B63" i="1"/>
  <c r="X63" i="1" s="1"/>
  <c r="X20" i="1" s="1"/>
  <c r="B62" i="1"/>
  <c r="B61" i="1"/>
  <c r="Y61" i="1" s="1"/>
  <c r="B60" i="1"/>
  <c r="Y60" i="1" s="1"/>
  <c r="B59" i="1"/>
  <c r="N59" i="1" s="1"/>
  <c r="B58" i="1"/>
  <c r="B57" i="1"/>
  <c r="B56" i="1"/>
  <c r="Y56" i="1" s="1"/>
  <c r="B55" i="1"/>
  <c r="M55" i="1" s="1"/>
  <c r="B54" i="1"/>
  <c r="M54" i="1" s="1"/>
  <c r="B53" i="1"/>
  <c r="Y53" i="1" s="1"/>
  <c r="D52" i="1"/>
  <c r="C52" i="1"/>
  <c r="C9" i="1" s="1"/>
  <c r="B52" i="1"/>
  <c r="B51" i="1"/>
  <c r="B50" i="1"/>
  <c r="B49" i="1"/>
  <c r="B48" i="1"/>
  <c r="L47" i="1"/>
  <c r="L67" i="1" s="1"/>
  <c r="L24" i="1" s="1"/>
  <c r="K47" i="1"/>
  <c r="J47" i="1"/>
  <c r="I47" i="1"/>
  <c r="I56" i="1" s="1"/>
  <c r="H47" i="1"/>
  <c r="G47" i="1"/>
  <c r="G60" i="1" s="1"/>
  <c r="F47" i="1"/>
  <c r="F64" i="1" s="1"/>
  <c r="F21" i="1" s="1"/>
  <c r="E47" i="1"/>
  <c r="D47" i="1"/>
  <c r="D73" i="1" s="1"/>
  <c r="C47" i="1"/>
  <c r="B47" i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BS4" i="2"/>
  <c r="BS25" i="2" s="1"/>
  <c r="P57" i="1" l="1"/>
  <c r="P14" i="1" s="1"/>
  <c r="J57" i="1"/>
  <c r="J14" i="1" s="1"/>
  <c r="U57" i="1"/>
  <c r="U14" i="1" s="1"/>
  <c r="Q25" i="1"/>
  <c r="T10" i="1"/>
  <c r="X50" i="1"/>
  <c r="X7" i="1" s="1"/>
  <c r="D30" i="1"/>
  <c r="X51" i="1"/>
  <c r="X8" i="1" s="1"/>
  <c r="O51" i="1"/>
  <c r="O8" i="1" s="1"/>
  <c r="Y18" i="1"/>
  <c r="U55" i="1"/>
  <c r="U12" i="1" s="1"/>
  <c r="X52" i="1"/>
  <c r="X9" i="1" s="1"/>
  <c r="L62" i="1"/>
  <c r="L19" i="1" s="1"/>
  <c r="K69" i="1"/>
  <c r="K26" i="1" s="1"/>
  <c r="D75" i="1"/>
  <c r="D32" i="1" s="1"/>
  <c r="X55" i="1"/>
  <c r="X12" i="1" s="1"/>
  <c r="W19" i="1"/>
  <c r="Q13" i="1"/>
  <c r="V37" i="1"/>
  <c r="D9" i="1"/>
  <c r="L70" i="1"/>
  <c r="L27" i="1" s="1"/>
  <c r="M77" i="1"/>
  <c r="M34" i="1" s="1"/>
  <c r="D77" i="1"/>
  <c r="D34" i="1" s="1"/>
  <c r="C77" i="1"/>
  <c r="C34" i="1" s="1"/>
  <c r="Y10" i="1"/>
  <c r="L71" i="1"/>
  <c r="L28" i="1" s="1"/>
  <c r="X78" i="1"/>
  <c r="X35" i="1" s="1"/>
  <c r="V57" i="1"/>
  <c r="V14" i="1" s="1"/>
  <c r="Q18" i="1"/>
  <c r="M6" i="1"/>
  <c r="Q7" i="1"/>
  <c r="M11" i="1"/>
  <c r="L78" i="1"/>
  <c r="L35" i="1" s="1"/>
  <c r="Y50" i="1"/>
  <c r="Y7" i="1" s="1"/>
  <c r="J77" i="1"/>
  <c r="J34" i="1" s="1"/>
  <c r="E23" i="1"/>
  <c r="M73" i="1"/>
  <c r="M30" i="1" s="1"/>
  <c r="G73" i="1"/>
  <c r="G30" i="1" s="1"/>
  <c r="C73" i="1"/>
  <c r="C30" i="1" s="1"/>
  <c r="H36" i="1"/>
  <c r="M51" i="1"/>
  <c r="M8" i="1" s="1"/>
  <c r="R61" i="1"/>
  <c r="R18" i="1" s="1"/>
  <c r="G17" i="1"/>
  <c r="J21" i="1"/>
  <c r="I13" i="1"/>
  <c r="U21" i="1"/>
  <c r="M12" i="1"/>
  <c r="K74" i="1"/>
  <c r="K31" i="1" s="1"/>
  <c r="Y13" i="1"/>
  <c r="D66" i="1"/>
  <c r="D23" i="1" s="1"/>
  <c r="H73" i="1"/>
  <c r="H30" i="1" s="1"/>
  <c r="Q80" i="1"/>
  <c r="Q37" i="1" s="1"/>
  <c r="R51" i="1"/>
  <c r="R8" i="1" s="1"/>
  <c r="Y63" i="1"/>
  <c r="Y20" i="1" s="1"/>
  <c r="K30" i="1"/>
  <c r="J24" i="1"/>
  <c r="L73" i="1"/>
  <c r="L30" i="1" s="1"/>
  <c r="M10" i="1"/>
  <c r="N16" i="1"/>
  <c r="Y30" i="1"/>
  <c r="J38" i="1"/>
  <c r="K24" i="1"/>
  <c r="Y74" i="1"/>
  <c r="Y31" i="1" s="1"/>
  <c r="J74" i="1"/>
  <c r="J31" i="1" s="1"/>
  <c r="L82" i="1"/>
  <c r="L39" i="1" s="1"/>
  <c r="Y17" i="1"/>
  <c r="I74" i="1"/>
  <c r="I31" i="1" s="1"/>
  <c r="T77" i="1"/>
  <c r="T34" i="1" s="1"/>
  <c r="H78" i="1"/>
  <c r="H35" i="1" s="1"/>
  <c r="T70" i="1"/>
  <c r="T27" i="1" s="1"/>
  <c r="R48" i="1"/>
  <c r="R5" i="1" s="1"/>
  <c r="M48" i="1"/>
  <c r="M5" i="1" s="1"/>
  <c r="Y49" i="1"/>
  <c r="Y6" i="1" s="1"/>
  <c r="U58" i="1"/>
  <c r="U15" i="1" s="1"/>
  <c r="R67" i="1"/>
  <c r="R24" i="1" s="1"/>
  <c r="U48" i="1"/>
  <c r="U5" i="1" s="1"/>
  <c r="X67" i="1"/>
  <c r="X24" i="1" s="1"/>
  <c r="C71" i="1"/>
  <c r="C28" i="1" s="1"/>
  <c r="E58" i="1"/>
  <c r="E15" i="1" s="1"/>
  <c r="E64" i="1"/>
  <c r="E21" i="1" s="1"/>
  <c r="G66" i="1"/>
  <c r="G23" i="1" s="1"/>
  <c r="F73" i="1"/>
  <c r="F30" i="1" s="1"/>
  <c r="H74" i="1"/>
  <c r="H31" i="1" s="1"/>
  <c r="K78" i="1"/>
  <c r="K35" i="1" s="1"/>
  <c r="J80" i="1"/>
  <c r="J37" i="1" s="1"/>
  <c r="O81" i="1"/>
  <c r="O38" i="1" s="1"/>
  <c r="Y52" i="1"/>
  <c r="Y9" i="1" s="1"/>
  <c r="R57" i="1"/>
  <c r="R14" i="1" s="1"/>
  <c r="M61" i="1"/>
  <c r="M18" i="1" s="1"/>
  <c r="C81" i="1"/>
  <c r="C38" i="1" s="1"/>
  <c r="F65" i="1"/>
  <c r="F22" i="1" s="1"/>
  <c r="H66" i="1"/>
  <c r="H23" i="1" s="1"/>
  <c r="I68" i="1"/>
  <c r="I25" i="1" s="1"/>
  <c r="D71" i="1"/>
  <c r="D28" i="1" s="1"/>
  <c r="I73" i="1"/>
  <c r="I30" i="1" s="1"/>
  <c r="H77" i="1"/>
  <c r="H34" i="1" s="1"/>
  <c r="C79" i="1"/>
  <c r="C36" i="1" s="1"/>
  <c r="G81" i="1"/>
  <c r="G38" i="1" s="1"/>
  <c r="Q49" i="1"/>
  <c r="Q6" i="1" s="1"/>
  <c r="U53" i="1"/>
  <c r="U10" i="1" s="1"/>
  <c r="X57" i="1"/>
  <c r="X14" i="1" s="1"/>
  <c r="X61" i="1"/>
  <c r="X18" i="1" s="1"/>
  <c r="X64" i="1"/>
  <c r="X21" i="1" s="1"/>
  <c r="W68" i="1"/>
  <c r="W25" i="1" s="1"/>
  <c r="M74" i="1"/>
  <c r="M31" i="1" s="1"/>
  <c r="M78" i="1"/>
  <c r="M35" i="1" s="1"/>
  <c r="U76" i="1"/>
  <c r="U33" i="1" s="1"/>
  <c r="E52" i="1"/>
  <c r="E9" i="1" s="1"/>
  <c r="C65" i="1"/>
  <c r="C22" i="1" s="1"/>
  <c r="J66" i="1"/>
  <c r="J23" i="1" s="1"/>
  <c r="J68" i="1"/>
  <c r="J25" i="1" s="1"/>
  <c r="E71" i="1"/>
  <c r="E28" i="1" s="1"/>
  <c r="J73" i="1"/>
  <c r="J30" i="1" s="1"/>
  <c r="I77" i="1"/>
  <c r="I34" i="1" s="1"/>
  <c r="E79" i="1"/>
  <c r="E36" i="1" s="1"/>
  <c r="K81" i="1"/>
  <c r="K38" i="1" s="1"/>
  <c r="R49" i="1"/>
  <c r="R6" i="1" s="1"/>
  <c r="V51" i="1"/>
  <c r="V8" i="1" s="1"/>
  <c r="V53" i="1"/>
  <c r="V10" i="1" s="1"/>
  <c r="O58" i="1"/>
  <c r="O15" i="1" s="1"/>
  <c r="M65" i="1"/>
  <c r="M22" i="1" s="1"/>
  <c r="P69" i="1"/>
  <c r="P26" i="1" s="1"/>
  <c r="P74" i="1"/>
  <c r="P31" i="1" s="1"/>
  <c r="S78" i="1"/>
  <c r="S35" i="1" s="1"/>
  <c r="D65" i="1"/>
  <c r="D22" i="1" s="1"/>
  <c r="F79" i="1"/>
  <c r="F36" i="1" s="1"/>
  <c r="K82" i="1"/>
  <c r="K39" i="1" s="1"/>
  <c r="U75" i="1"/>
  <c r="U32" i="1" s="1"/>
  <c r="X49" i="1"/>
  <c r="X6" i="1" s="1"/>
  <c r="M56" i="1"/>
  <c r="M13" i="1" s="1"/>
  <c r="R58" i="1"/>
  <c r="R15" i="1" s="1"/>
  <c r="M62" i="1"/>
  <c r="M19" i="1" s="1"/>
  <c r="T65" i="1"/>
  <c r="T22" i="1" s="1"/>
  <c r="R69" i="1"/>
  <c r="R26" i="1" s="1"/>
  <c r="J58" i="1"/>
  <c r="J15" i="1" s="1"/>
  <c r="K66" i="1"/>
  <c r="K23" i="1" s="1"/>
  <c r="L66" i="1"/>
  <c r="L23" i="1" s="1"/>
  <c r="V65" i="1"/>
  <c r="V22" i="1" s="1"/>
  <c r="U69" i="1"/>
  <c r="U26" i="1" s="1"/>
  <c r="M75" i="1"/>
  <c r="M32" i="1" s="1"/>
  <c r="R79" i="1"/>
  <c r="R36" i="1" s="1"/>
  <c r="Q79" i="1"/>
  <c r="Q36" i="1" s="1"/>
  <c r="K59" i="1"/>
  <c r="K16" i="1" s="1"/>
  <c r="K77" i="1"/>
  <c r="K34" i="1" s="1"/>
  <c r="V74" i="1"/>
  <c r="V31" i="1" s="1"/>
  <c r="T58" i="1"/>
  <c r="T15" i="1" s="1"/>
  <c r="D54" i="1"/>
  <c r="D11" i="1" s="1"/>
  <c r="H65" i="1"/>
  <c r="H22" i="1" s="1"/>
  <c r="H67" i="1"/>
  <c r="H24" i="1" s="1"/>
  <c r="G69" i="1"/>
  <c r="G26" i="1" s="1"/>
  <c r="L72" i="1"/>
  <c r="L29" i="1" s="1"/>
  <c r="C74" i="1"/>
  <c r="C31" i="1" s="1"/>
  <c r="G75" i="1"/>
  <c r="G32" i="1" s="1"/>
  <c r="G78" i="1"/>
  <c r="G35" i="1" s="1"/>
  <c r="J79" i="1"/>
  <c r="J36" i="1" s="1"/>
  <c r="L83" i="1"/>
  <c r="L40" i="1" s="1"/>
  <c r="X72" i="1"/>
  <c r="X29" i="1" s="1"/>
  <c r="M50" i="1"/>
  <c r="M7" i="1" s="1"/>
  <c r="M52" i="1"/>
  <c r="M9" i="1" s="1"/>
  <c r="S54" i="1"/>
  <c r="S11" i="1" s="1"/>
  <c r="R56" i="1"/>
  <c r="R13" i="1" s="1"/>
  <c r="X62" i="1"/>
  <c r="X19" i="1" s="1"/>
  <c r="Y65" i="1"/>
  <c r="Y22" i="1" s="1"/>
  <c r="O70" i="1"/>
  <c r="O27" i="1" s="1"/>
  <c r="O75" i="1"/>
  <c r="O32" i="1" s="1"/>
  <c r="Q73" i="1"/>
  <c r="Q30" i="1" s="1"/>
  <c r="F52" i="1"/>
  <c r="F9" i="1" s="1"/>
  <c r="C69" i="1"/>
  <c r="C26" i="1" s="1"/>
  <c r="J71" i="1"/>
  <c r="J28" i="1" s="1"/>
  <c r="E75" i="1"/>
  <c r="E32" i="1" s="1"/>
  <c r="I79" i="1"/>
  <c r="I36" i="1" s="1"/>
  <c r="P62" i="1"/>
  <c r="P19" i="1" s="1"/>
  <c r="L53" i="1"/>
  <c r="L10" i="1" s="1"/>
  <c r="D63" i="1"/>
  <c r="D20" i="1" s="1"/>
  <c r="D46" i="1"/>
  <c r="E63" i="1"/>
  <c r="E20" i="1" s="1"/>
  <c r="I65" i="1"/>
  <c r="I22" i="1" s="1"/>
  <c r="C67" i="1"/>
  <c r="C24" i="1" s="1"/>
  <c r="D74" i="1"/>
  <c r="D31" i="1" s="1"/>
  <c r="I75" i="1"/>
  <c r="I32" i="1" s="1"/>
  <c r="D78" i="1"/>
  <c r="D35" i="1" s="1"/>
  <c r="K79" i="1"/>
  <c r="K36" i="1" s="1"/>
  <c r="C83" i="1"/>
  <c r="C40" i="1" s="1"/>
  <c r="Y83" i="1"/>
  <c r="Y40" i="1" s="1"/>
  <c r="P50" i="1"/>
  <c r="P7" i="1" s="1"/>
  <c r="N52" i="1"/>
  <c r="N9" i="1" s="1"/>
  <c r="U54" i="1"/>
  <c r="U11" i="1" s="1"/>
  <c r="V56" i="1"/>
  <c r="V13" i="1" s="1"/>
  <c r="Y62" i="1"/>
  <c r="Y19" i="1" s="1"/>
  <c r="M66" i="1"/>
  <c r="M23" i="1" s="1"/>
  <c r="V75" i="1"/>
  <c r="V32" i="1" s="1"/>
  <c r="P81" i="1"/>
  <c r="P38" i="1" s="1"/>
  <c r="J69" i="1"/>
  <c r="J26" i="1" s="1"/>
  <c r="F55" i="1"/>
  <c r="F12" i="1" s="1"/>
  <c r="J65" i="1"/>
  <c r="J22" i="1" s="1"/>
  <c r="E74" i="1"/>
  <c r="E31" i="1" s="1"/>
  <c r="V54" i="1"/>
  <c r="V11" i="1" s="1"/>
  <c r="X56" i="1"/>
  <c r="X13" i="1" s="1"/>
  <c r="M60" i="1"/>
  <c r="M17" i="1" s="1"/>
  <c r="M63" i="1"/>
  <c r="M20" i="1" s="1"/>
  <c r="U66" i="1"/>
  <c r="U23" i="1" s="1"/>
  <c r="N71" i="1"/>
  <c r="N28" i="1" s="1"/>
  <c r="X75" i="1"/>
  <c r="X32" i="1" s="1"/>
  <c r="O82" i="1"/>
  <c r="O39" i="1" s="1"/>
  <c r="G65" i="1"/>
  <c r="G22" i="1" s="1"/>
  <c r="G63" i="1"/>
  <c r="G20" i="1" s="1"/>
  <c r="E67" i="1"/>
  <c r="E24" i="1" s="1"/>
  <c r="K70" i="1"/>
  <c r="K27" i="1" s="1"/>
  <c r="E76" i="1"/>
  <c r="E33" i="1" s="1"/>
  <c r="E78" i="1"/>
  <c r="E35" i="1" s="1"/>
  <c r="L79" i="1"/>
  <c r="L36" i="1" s="1"/>
  <c r="E83" i="1"/>
  <c r="E40" i="1" s="1"/>
  <c r="U52" i="1"/>
  <c r="U9" i="1" s="1"/>
  <c r="H55" i="1"/>
  <c r="H12" i="1" s="1"/>
  <c r="H63" i="1"/>
  <c r="H20" i="1" s="1"/>
  <c r="K65" i="1"/>
  <c r="K22" i="1" s="1"/>
  <c r="F67" i="1"/>
  <c r="F24" i="1" s="1"/>
  <c r="D70" i="1"/>
  <c r="D27" i="1" s="1"/>
  <c r="F74" i="1"/>
  <c r="F31" i="1" s="1"/>
  <c r="F76" i="1"/>
  <c r="F33" i="1" s="1"/>
  <c r="I80" i="1"/>
  <c r="I37" i="1" s="1"/>
  <c r="I83" i="1"/>
  <c r="I40" i="1" s="1"/>
  <c r="O48" i="1"/>
  <c r="O5" i="1" s="1"/>
  <c r="R50" i="1"/>
  <c r="R7" i="1" s="1"/>
  <c r="V52" i="1"/>
  <c r="V9" i="1" s="1"/>
  <c r="X54" i="1"/>
  <c r="X11" i="1" s="1"/>
  <c r="R60" i="1"/>
  <c r="R17" i="1" s="1"/>
  <c r="O63" i="1"/>
  <c r="O20" i="1" s="1"/>
  <c r="X66" i="1"/>
  <c r="X23" i="1" s="1"/>
  <c r="M72" i="1"/>
  <c r="M29" i="1" s="1"/>
  <c r="Y75" i="1"/>
  <c r="Y32" i="1" s="1"/>
  <c r="T82" i="1"/>
  <c r="T39" i="1" s="1"/>
  <c r="G77" i="1"/>
  <c r="G34" i="1" s="1"/>
  <c r="H57" i="1"/>
  <c r="H14" i="1" s="1"/>
  <c r="J52" i="1"/>
  <c r="J9" i="1" s="1"/>
  <c r="I71" i="1"/>
  <c r="I28" i="1" s="1"/>
  <c r="D57" i="1"/>
  <c r="D14" i="1" s="1"/>
  <c r="F56" i="1"/>
  <c r="F13" i="1" s="1"/>
  <c r="I63" i="1"/>
  <c r="I20" i="1" s="1"/>
  <c r="L65" i="1"/>
  <c r="L22" i="1" s="1"/>
  <c r="I67" i="1"/>
  <c r="I24" i="1" s="1"/>
  <c r="H70" i="1"/>
  <c r="H27" i="1" s="1"/>
  <c r="E73" i="1"/>
  <c r="E30" i="1" s="1"/>
  <c r="G74" i="1"/>
  <c r="G31" i="1" s="1"/>
  <c r="F77" i="1"/>
  <c r="F34" i="1" s="1"/>
  <c r="J78" i="1"/>
  <c r="J35" i="1" s="1"/>
  <c r="F80" i="1"/>
  <c r="F37" i="1" s="1"/>
  <c r="M83" i="1"/>
  <c r="M40" i="1" s="1"/>
  <c r="Y54" i="1"/>
  <c r="Y11" i="1" s="1"/>
  <c r="V63" i="1"/>
  <c r="V20" i="1" s="1"/>
  <c r="Y66" i="1"/>
  <c r="Y23" i="1" s="1"/>
  <c r="R72" i="1"/>
  <c r="R29" i="1" s="1"/>
  <c r="W76" i="1"/>
  <c r="W33" i="1" s="1"/>
  <c r="W73" i="1"/>
  <c r="W30" i="1" s="1"/>
  <c r="W51" i="1"/>
  <c r="W8" i="1" s="1"/>
  <c r="W65" i="1"/>
  <c r="W22" i="1" s="1"/>
  <c r="U81" i="1"/>
  <c r="U38" i="1" s="1"/>
  <c r="W53" i="1"/>
  <c r="W10" i="1" s="1"/>
  <c r="W57" i="1"/>
  <c r="W14" i="1" s="1"/>
  <c r="W63" i="1"/>
  <c r="W20" i="1" s="1"/>
  <c r="W74" i="1"/>
  <c r="W31" i="1" s="1"/>
  <c r="W50" i="1"/>
  <c r="W7" i="1" s="1"/>
  <c r="Y78" i="1"/>
  <c r="Y35" i="1" s="1"/>
  <c r="W55" i="1"/>
  <c r="W12" i="1" s="1"/>
  <c r="W52" i="1"/>
  <c r="W9" i="1" s="1"/>
  <c r="W64" i="1"/>
  <c r="W21" i="1" s="1"/>
  <c r="W67" i="1"/>
  <c r="W24" i="1" s="1"/>
  <c r="W56" i="1"/>
  <c r="W13" i="1" s="1"/>
  <c r="Y72" i="1"/>
  <c r="Y29" i="1" s="1"/>
  <c r="W79" i="1"/>
  <c r="W36" i="1" s="1"/>
  <c r="W58" i="1"/>
  <c r="W15" i="1" s="1"/>
  <c r="V68" i="1"/>
  <c r="V25" i="1" s="1"/>
  <c r="S77" i="1"/>
  <c r="S34" i="1" s="1"/>
  <c r="S65" i="1"/>
  <c r="S22" i="1" s="1"/>
  <c r="S53" i="1"/>
  <c r="S10" i="1" s="1"/>
  <c r="S76" i="1"/>
  <c r="S33" i="1" s="1"/>
  <c r="S64" i="1"/>
  <c r="S21" i="1" s="1"/>
  <c r="S52" i="1"/>
  <c r="S9" i="1" s="1"/>
  <c r="S75" i="1"/>
  <c r="S32" i="1" s="1"/>
  <c r="S63" i="1"/>
  <c r="S20" i="1" s="1"/>
  <c r="S51" i="1"/>
  <c r="S8" i="1" s="1"/>
  <c r="S74" i="1"/>
  <c r="S31" i="1" s="1"/>
  <c r="S62" i="1"/>
  <c r="S19" i="1" s="1"/>
  <c r="S50" i="1"/>
  <c r="S7" i="1" s="1"/>
  <c r="S73" i="1"/>
  <c r="S30" i="1" s="1"/>
  <c r="S61" i="1"/>
  <c r="S18" i="1" s="1"/>
  <c r="S49" i="1"/>
  <c r="S6" i="1" s="1"/>
  <c r="S72" i="1"/>
  <c r="S29" i="1" s="1"/>
  <c r="S60" i="1"/>
  <c r="S17" i="1" s="1"/>
  <c r="S48" i="1"/>
  <c r="S5" i="1" s="1"/>
  <c r="S83" i="1"/>
  <c r="S40" i="1" s="1"/>
  <c r="S71" i="1"/>
  <c r="S28" i="1" s="1"/>
  <c r="S59" i="1"/>
  <c r="S16" i="1" s="1"/>
  <c r="S82" i="1"/>
  <c r="S39" i="1" s="1"/>
  <c r="S70" i="1"/>
  <c r="S27" i="1" s="1"/>
  <c r="S58" i="1"/>
  <c r="S15" i="1" s="1"/>
  <c r="S81" i="1"/>
  <c r="S38" i="1" s="1"/>
  <c r="S69" i="1"/>
  <c r="S26" i="1" s="1"/>
  <c r="S57" i="1"/>
  <c r="S14" i="1" s="1"/>
  <c r="S80" i="1"/>
  <c r="S37" i="1" s="1"/>
  <c r="S68" i="1"/>
  <c r="S25" i="1" s="1"/>
  <c r="S56" i="1"/>
  <c r="S13" i="1" s="1"/>
  <c r="S79" i="1"/>
  <c r="S36" i="1" s="1"/>
  <c r="S67" i="1"/>
  <c r="S24" i="1" s="1"/>
  <c r="S55" i="1"/>
  <c r="S12" i="1" s="1"/>
  <c r="N82" i="1"/>
  <c r="N39" i="1" s="1"/>
  <c r="N70" i="1"/>
  <c r="N27" i="1" s="1"/>
  <c r="N58" i="1"/>
  <c r="N15" i="1" s="1"/>
  <c r="N81" i="1"/>
  <c r="N38" i="1" s="1"/>
  <c r="N69" i="1"/>
  <c r="N26" i="1" s="1"/>
  <c r="N57" i="1"/>
  <c r="N14" i="1" s="1"/>
  <c r="N80" i="1"/>
  <c r="N37" i="1" s="1"/>
  <c r="N68" i="1"/>
  <c r="N25" i="1" s="1"/>
  <c r="N56" i="1"/>
  <c r="N13" i="1" s="1"/>
  <c r="N79" i="1"/>
  <c r="N36" i="1" s="1"/>
  <c r="N67" i="1"/>
  <c r="N24" i="1" s="1"/>
  <c r="N55" i="1"/>
  <c r="N12" i="1" s="1"/>
  <c r="N78" i="1"/>
  <c r="N35" i="1" s="1"/>
  <c r="N66" i="1"/>
  <c r="N23" i="1" s="1"/>
  <c r="N54" i="1"/>
  <c r="N11" i="1" s="1"/>
  <c r="N77" i="1"/>
  <c r="N34" i="1" s="1"/>
  <c r="N65" i="1"/>
  <c r="N22" i="1" s="1"/>
  <c r="N53" i="1"/>
  <c r="N10" i="1" s="1"/>
  <c r="N76" i="1"/>
  <c r="N33" i="1" s="1"/>
  <c r="N64" i="1"/>
  <c r="N21" i="1" s="1"/>
  <c r="N75" i="1"/>
  <c r="N32" i="1" s="1"/>
  <c r="N63" i="1"/>
  <c r="N20" i="1" s="1"/>
  <c r="N51" i="1"/>
  <c r="N8" i="1" s="1"/>
  <c r="N74" i="1"/>
  <c r="N31" i="1" s="1"/>
  <c r="N62" i="1"/>
  <c r="N19" i="1" s="1"/>
  <c r="N50" i="1"/>
  <c r="N7" i="1" s="1"/>
  <c r="N73" i="1"/>
  <c r="N30" i="1" s="1"/>
  <c r="N61" i="1"/>
  <c r="N18" i="1" s="1"/>
  <c r="N49" i="1"/>
  <c r="N6" i="1" s="1"/>
  <c r="N72" i="1"/>
  <c r="N29" i="1" s="1"/>
  <c r="N60" i="1"/>
  <c r="N17" i="1" s="1"/>
  <c r="N48" i="1"/>
  <c r="N5" i="1" s="1"/>
  <c r="S66" i="1"/>
  <c r="S23" i="1" s="1"/>
  <c r="N83" i="1"/>
  <c r="N40" i="1" s="1"/>
  <c r="T54" i="1"/>
  <c r="T11" i="1" s="1"/>
  <c r="Q57" i="1"/>
  <c r="Q14" i="1" s="1"/>
  <c r="P58" i="1"/>
  <c r="P15" i="1" s="1"/>
  <c r="O59" i="1"/>
  <c r="O16" i="1" s="1"/>
  <c r="V64" i="1"/>
  <c r="V21" i="1" s="1"/>
  <c r="U65" i="1"/>
  <c r="U22" i="1" s="1"/>
  <c r="T66" i="1"/>
  <c r="T23" i="1" s="1"/>
  <c r="R68" i="1"/>
  <c r="R25" i="1" s="1"/>
  <c r="Q69" i="1"/>
  <c r="Q26" i="1" s="1"/>
  <c r="P70" i="1"/>
  <c r="P27" i="1" s="1"/>
  <c r="O71" i="1"/>
  <c r="O28" i="1" s="1"/>
  <c r="X74" i="1"/>
  <c r="X31" i="1" s="1"/>
  <c r="W75" i="1"/>
  <c r="W32" i="1" s="1"/>
  <c r="V76" i="1"/>
  <c r="V33" i="1" s="1"/>
  <c r="U77" i="1"/>
  <c r="U34" i="1" s="1"/>
  <c r="T78" i="1"/>
  <c r="T35" i="1" s="1"/>
  <c r="R80" i="1"/>
  <c r="R37" i="1" s="1"/>
  <c r="Q81" i="1"/>
  <c r="Q38" i="1" s="1"/>
  <c r="P82" i="1"/>
  <c r="P39" i="1" s="1"/>
  <c r="O83" i="1"/>
  <c r="O40" i="1" s="1"/>
  <c r="T55" i="1"/>
  <c r="T12" i="1" s="1"/>
  <c r="Q58" i="1"/>
  <c r="Q15" i="1" s="1"/>
  <c r="P59" i="1"/>
  <c r="P16" i="1" s="1"/>
  <c r="O60" i="1"/>
  <c r="O17" i="1" s="1"/>
  <c r="T67" i="1"/>
  <c r="T24" i="1" s="1"/>
  <c r="Q70" i="1"/>
  <c r="Q27" i="1" s="1"/>
  <c r="P71" i="1"/>
  <c r="P28" i="1" s="1"/>
  <c r="O72" i="1"/>
  <c r="O29" i="1" s="1"/>
  <c r="V77" i="1"/>
  <c r="V34" i="1" s="1"/>
  <c r="U78" i="1"/>
  <c r="U35" i="1" s="1"/>
  <c r="T79" i="1"/>
  <c r="T36" i="1" s="1"/>
  <c r="R81" i="1"/>
  <c r="R38" i="1" s="1"/>
  <c r="Q82" i="1"/>
  <c r="Q39" i="1" s="1"/>
  <c r="P83" i="1"/>
  <c r="P40" i="1" s="1"/>
  <c r="P48" i="1"/>
  <c r="P5" i="1" s="1"/>
  <c r="O49" i="1"/>
  <c r="O6" i="1" s="1"/>
  <c r="T56" i="1"/>
  <c r="T13" i="1" s="1"/>
  <c r="Q59" i="1"/>
  <c r="Q16" i="1" s="1"/>
  <c r="P60" i="1"/>
  <c r="P17" i="1" s="1"/>
  <c r="O61" i="1"/>
  <c r="O18" i="1" s="1"/>
  <c r="V66" i="1"/>
  <c r="V23" i="1" s="1"/>
  <c r="U67" i="1"/>
  <c r="U24" i="1" s="1"/>
  <c r="T68" i="1"/>
  <c r="T25" i="1" s="1"/>
  <c r="R70" i="1"/>
  <c r="R27" i="1" s="1"/>
  <c r="Q71" i="1"/>
  <c r="Q28" i="1" s="1"/>
  <c r="P72" i="1"/>
  <c r="P29" i="1" s="1"/>
  <c r="O73" i="1"/>
  <c r="O30" i="1" s="1"/>
  <c r="X76" i="1"/>
  <c r="X33" i="1" s="1"/>
  <c r="W77" i="1"/>
  <c r="W34" i="1" s="1"/>
  <c r="V78" i="1"/>
  <c r="V35" i="1" s="1"/>
  <c r="U79" i="1"/>
  <c r="U36" i="1" s="1"/>
  <c r="T80" i="1"/>
  <c r="T37" i="1" s="1"/>
  <c r="R82" i="1"/>
  <c r="R39" i="1" s="1"/>
  <c r="Q83" i="1"/>
  <c r="Q40" i="1" s="1"/>
  <c r="Q48" i="1"/>
  <c r="Q5" i="1" s="1"/>
  <c r="P49" i="1"/>
  <c r="P6" i="1" s="1"/>
  <c r="O50" i="1"/>
  <c r="O7" i="1" s="1"/>
  <c r="X53" i="1"/>
  <c r="X10" i="1" s="1"/>
  <c r="W54" i="1"/>
  <c r="W11" i="1" s="1"/>
  <c r="V55" i="1"/>
  <c r="V12" i="1" s="1"/>
  <c r="U56" i="1"/>
  <c r="U13" i="1" s="1"/>
  <c r="T57" i="1"/>
  <c r="T14" i="1" s="1"/>
  <c r="R59" i="1"/>
  <c r="R16" i="1" s="1"/>
  <c r="Q60" i="1"/>
  <c r="Q17" i="1" s="1"/>
  <c r="P61" i="1"/>
  <c r="P18" i="1" s="1"/>
  <c r="O62" i="1"/>
  <c r="O19" i="1" s="1"/>
  <c r="M64" i="1"/>
  <c r="M21" i="1" s="1"/>
  <c r="Y64" i="1"/>
  <c r="Y21" i="1" s="1"/>
  <c r="X65" i="1"/>
  <c r="X22" i="1" s="1"/>
  <c r="W66" i="1"/>
  <c r="W23" i="1" s="1"/>
  <c r="V67" i="1"/>
  <c r="V24" i="1" s="1"/>
  <c r="U68" i="1"/>
  <c r="U25" i="1" s="1"/>
  <c r="T69" i="1"/>
  <c r="T26" i="1" s="1"/>
  <c r="R71" i="1"/>
  <c r="R28" i="1" s="1"/>
  <c r="Q72" i="1"/>
  <c r="Q29" i="1" s="1"/>
  <c r="P73" i="1"/>
  <c r="P30" i="1" s="1"/>
  <c r="O74" i="1"/>
  <c r="O31" i="1" s="1"/>
  <c r="M76" i="1"/>
  <c r="M33" i="1" s="1"/>
  <c r="Y76" i="1"/>
  <c r="Y33" i="1" s="1"/>
  <c r="X77" i="1"/>
  <c r="X34" i="1" s="1"/>
  <c r="W78" i="1"/>
  <c r="W35" i="1" s="1"/>
  <c r="V79" i="1"/>
  <c r="V36" i="1" s="1"/>
  <c r="U80" i="1"/>
  <c r="U37" i="1" s="1"/>
  <c r="T81" i="1"/>
  <c r="T38" i="1" s="1"/>
  <c r="R83" i="1"/>
  <c r="R40" i="1" s="1"/>
  <c r="P51" i="1"/>
  <c r="P8" i="1" s="1"/>
  <c r="O52" i="1"/>
  <c r="O9" i="1" s="1"/>
  <c r="T59" i="1"/>
  <c r="T16" i="1" s="1"/>
  <c r="Q62" i="1"/>
  <c r="Q19" i="1" s="1"/>
  <c r="P63" i="1"/>
  <c r="P20" i="1" s="1"/>
  <c r="O64" i="1"/>
  <c r="O21" i="1" s="1"/>
  <c r="V69" i="1"/>
  <c r="V26" i="1" s="1"/>
  <c r="U70" i="1"/>
  <c r="U27" i="1" s="1"/>
  <c r="T71" i="1"/>
  <c r="T28" i="1" s="1"/>
  <c r="R73" i="1"/>
  <c r="R30" i="1" s="1"/>
  <c r="Q74" i="1"/>
  <c r="Q31" i="1" s="1"/>
  <c r="P75" i="1"/>
  <c r="P32" i="1" s="1"/>
  <c r="O76" i="1"/>
  <c r="O33" i="1" s="1"/>
  <c r="X79" i="1"/>
  <c r="X36" i="1" s="1"/>
  <c r="W80" i="1"/>
  <c r="W37" i="1" s="1"/>
  <c r="V81" i="1"/>
  <c r="V38" i="1" s="1"/>
  <c r="U82" i="1"/>
  <c r="U39" i="1" s="1"/>
  <c r="T83" i="1"/>
  <c r="T40" i="1" s="1"/>
  <c r="T48" i="1"/>
  <c r="T5" i="1" s="1"/>
  <c r="Q51" i="1"/>
  <c r="Q8" i="1" s="1"/>
  <c r="P52" i="1"/>
  <c r="P9" i="1" s="1"/>
  <c r="O53" i="1"/>
  <c r="O10" i="1" s="1"/>
  <c r="V58" i="1"/>
  <c r="V15" i="1" s="1"/>
  <c r="U59" i="1"/>
  <c r="U16" i="1" s="1"/>
  <c r="T60" i="1"/>
  <c r="T17" i="1" s="1"/>
  <c r="R62" i="1"/>
  <c r="R19" i="1" s="1"/>
  <c r="Q63" i="1"/>
  <c r="Q20" i="1" s="1"/>
  <c r="P64" i="1"/>
  <c r="P21" i="1" s="1"/>
  <c r="O65" i="1"/>
  <c r="O22" i="1" s="1"/>
  <c r="M67" i="1"/>
  <c r="M24" i="1" s="1"/>
  <c r="Y67" i="1"/>
  <c r="Y24" i="1" s="1"/>
  <c r="X68" i="1"/>
  <c r="X25" i="1" s="1"/>
  <c r="W69" i="1"/>
  <c r="W26" i="1" s="1"/>
  <c r="V70" i="1"/>
  <c r="V27" i="1" s="1"/>
  <c r="U71" i="1"/>
  <c r="U28" i="1" s="1"/>
  <c r="T72" i="1"/>
  <c r="T29" i="1" s="1"/>
  <c r="R74" i="1"/>
  <c r="R31" i="1" s="1"/>
  <c r="Q75" i="1"/>
  <c r="Q32" i="1" s="1"/>
  <c r="P76" i="1"/>
  <c r="P33" i="1" s="1"/>
  <c r="O77" i="1"/>
  <c r="O34" i="1" s="1"/>
  <c r="M79" i="1"/>
  <c r="M36" i="1" s="1"/>
  <c r="Y79" i="1"/>
  <c r="Y36" i="1" s="1"/>
  <c r="X80" i="1"/>
  <c r="X37" i="1" s="1"/>
  <c r="W81" i="1"/>
  <c r="W38" i="1" s="1"/>
  <c r="V82" i="1"/>
  <c r="V39" i="1" s="1"/>
  <c r="U83" i="1"/>
  <c r="U40" i="1" s="1"/>
  <c r="T49" i="1"/>
  <c r="T6" i="1" s="1"/>
  <c r="Q52" i="1"/>
  <c r="Q9" i="1" s="1"/>
  <c r="P53" i="1"/>
  <c r="P10" i="1" s="1"/>
  <c r="O54" i="1"/>
  <c r="O11" i="1" s="1"/>
  <c r="V59" i="1"/>
  <c r="V16" i="1" s="1"/>
  <c r="U60" i="1"/>
  <c r="U17" i="1" s="1"/>
  <c r="T61" i="1"/>
  <c r="T18" i="1" s="1"/>
  <c r="R63" i="1"/>
  <c r="R20" i="1" s="1"/>
  <c r="Q64" i="1"/>
  <c r="Q21" i="1" s="1"/>
  <c r="P65" i="1"/>
  <c r="P22" i="1" s="1"/>
  <c r="O66" i="1"/>
  <c r="O23" i="1" s="1"/>
  <c r="M68" i="1"/>
  <c r="M25" i="1" s="1"/>
  <c r="Y68" i="1"/>
  <c r="Y25" i="1" s="1"/>
  <c r="X69" i="1"/>
  <c r="X26" i="1" s="1"/>
  <c r="W70" i="1"/>
  <c r="W27" i="1" s="1"/>
  <c r="V71" i="1"/>
  <c r="V28" i="1" s="1"/>
  <c r="U72" i="1"/>
  <c r="U29" i="1" s="1"/>
  <c r="T73" i="1"/>
  <c r="T30" i="1" s="1"/>
  <c r="R75" i="1"/>
  <c r="R32" i="1" s="1"/>
  <c r="Q76" i="1"/>
  <c r="Q33" i="1" s="1"/>
  <c r="P77" i="1"/>
  <c r="P34" i="1" s="1"/>
  <c r="O78" i="1"/>
  <c r="O35" i="1" s="1"/>
  <c r="M80" i="1"/>
  <c r="M37" i="1" s="1"/>
  <c r="Y80" i="1"/>
  <c r="Y37" i="1" s="1"/>
  <c r="X81" i="1"/>
  <c r="X38" i="1" s="1"/>
  <c r="W82" i="1"/>
  <c r="W39" i="1" s="1"/>
  <c r="V83" i="1"/>
  <c r="V40" i="1" s="1"/>
  <c r="V48" i="1"/>
  <c r="V5" i="1" s="1"/>
  <c r="U49" i="1"/>
  <c r="U6" i="1" s="1"/>
  <c r="T50" i="1"/>
  <c r="T7" i="1" s="1"/>
  <c r="R52" i="1"/>
  <c r="R9" i="1" s="1"/>
  <c r="Q53" i="1"/>
  <c r="Q10" i="1" s="1"/>
  <c r="P54" i="1"/>
  <c r="P11" i="1" s="1"/>
  <c r="O55" i="1"/>
  <c r="O12" i="1" s="1"/>
  <c r="M57" i="1"/>
  <c r="M14" i="1" s="1"/>
  <c r="Y57" i="1"/>
  <c r="Y14" i="1" s="1"/>
  <c r="X58" i="1"/>
  <c r="X15" i="1" s="1"/>
  <c r="W59" i="1"/>
  <c r="W16" i="1" s="1"/>
  <c r="V60" i="1"/>
  <c r="V17" i="1" s="1"/>
  <c r="U61" i="1"/>
  <c r="U18" i="1" s="1"/>
  <c r="T62" i="1"/>
  <c r="T19" i="1" s="1"/>
  <c r="R64" i="1"/>
  <c r="R21" i="1" s="1"/>
  <c r="Q65" i="1"/>
  <c r="Q22" i="1" s="1"/>
  <c r="P66" i="1"/>
  <c r="P23" i="1" s="1"/>
  <c r="O67" i="1"/>
  <c r="O24" i="1" s="1"/>
  <c r="M69" i="1"/>
  <c r="M26" i="1" s="1"/>
  <c r="Y69" i="1"/>
  <c r="Y26" i="1" s="1"/>
  <c r="X70" i="1"/>
  <c r="X27" i="1" s="1"/>
  <c r="W71" i="1"/>
  <c r="W28" i="1" s="1"/>
  <c r="V72" i="1"/>
  <c r="V29" i="1" s="1"/>
  <c r="U73" i="1"/>
  <c r="U30" i="1" s="1"/>
  <c r="T74" i="1"/>
  <c r="T31" i="1" s="1"/>
  <c r="R76" i="1"/>
  <c r="R33" i="1" s="1"/>
  <c r="Q77" i="1"/>
  <c r="Q34" i="1" s="1"/>
  <c r="P78" i="1"/>
  <c r="P35" i="1" s="1"/>
  <c r="O79" i="1"/>
  <c r="O36" i="1" s="1"/>
  <c r="M81" i="1"/>
  <c r="M38" i="1" s="1"/>
  <c r="Y81" i="1"/>
  <c r="Y38" i="1" s="1"/>
  <c r="X82" i="1"/>
  <c r="X39" i="1" s="1"/>
  <c r="W83" i="1"/>
  <c r="W40" i="1" s="1"/>
  <c r="W48" i="1"/>
  <c r="W5" i="1" s="1"/>
  <c r="V49" i="1"/>
  <c r="V6" i="1" s="1"/>
  <c r="U50" i="1"/>
  <c r="U7" i="1" s="1"/>
  <c r="T51" i="1"/>
  <c r="T8" i="1" s="1"/>
  <c r="R53" i="1"/>
  <c r="R10" i="1" s="1"/>
  <c r="Q54" i="1"/>
  <c r="Q11" i="1" s="1"/>
  <c r="P55" i="1"/>
  <c r="P12" i="1" s="1"/>
  <c r="O56" i="1"/>
  <c r="O13" i="1" s="1"/>
  <c r="M58" i="1"/>
  <c r="M15" i="1" s="1"/>
  <c r="Y58" i="1"/>
  <c r="Y15" i="1" s="1"/>
  <c r="X59" i="1"/>
  <c r="X16" i="1" s="1"/>
  <c r="W60" i="1"/>
  <c r="W17" i="1" s="1"/>
  <c r="V61" i="1"/>
  <c r="V18" i="1" s="1"/>
  <c r="U62" i="1"/>
  <c r="U19" i="1" s="1"/>
  <c r="T63" i="1"/>
  <c r="T20" i="1" s="1"/>
  <c r="R65" i="1"/>
  <c r="R22" i="1" s="1"/>
  <c r="Q66" i="1"/>
  <c r="Q23" i="1" s="1"/>
  <c r="P67" i="1"/>
  <c r="P24" i="1" s="1"/>
  <c r="O68" i="1"/>
  <c r="O25" i="1" s="1"/>
  <c r="M70" i="1"/>
  <c r="M27" i="1" s="1"/>
  <c r="Y70" i="1"/>
  <c r="Y27" i="1" s="1"/>
  <c r="X71" i="1"/>
  <c r="X28" i="1" s="1"/>
  <c r="W72" i="1"/>
  <c r="W29" i="1" s="1"/>
  <c r="V73" i="1"/>
  <c r="V30" i="1" s="1"/>
  <c r="U74" i="1"/>
  <c r="U31" i="1" s="1"/>
  <c r="T75" i="1"/>
  <c r="T32" i="1" s="1"/>
  <c r="R77" i="1"/>
  <c r="R34" i="1" s="1"/>
  <c r="Q78" i="1"/>
  <c r="Q35" i="1" s="1"/>
  <c r="P79" i="1"/>
  <c r="P36" i="1" s="1"/>
  <c r="O80" i="1"/>
  <c r="O37" i="1" s="1"/>
  <c r="M82" i="1"/>
  <c r="M39" i="1" s="1"/>
  <c r="Y82" i="1"/>
  <c r="Y39" i="1" s="1"/>
  <c r="X83" i="1"/>
  <c r="X40" i="1" s="1"/>
  <c r="X48" i="1"/>
  <c r="X5" i="1" s="1"/>
  <c r="W49" i="1"/>
  <c r="W6" i="1" s="1"/>
  <c r="V50" i="1"/>
  <c r="V7" i="1" s="1"/>
  <c r="U51" i="1"/>
  <c r="U8" i="1" s="1"/>
  <c r="T52" i="1"/>
  <c r="T9" i="1" s="1"/>
  <c r="R54" i="1"/>
  <c r="R11" i="1" s="1"/>
  <c r="Q55" i="1"/>
  <c r="Q12" i="1" s="1"/>
  <c r="P56" i="1"/>
  <c r="P13" i="1" s="1"/>
  <c r="O57" i="1"/>
  <c r="O14" i="1" s="1"/>
  <c r="M59" i="1"/>
  <c r="M16" i="1" s="1"/>
  <c r="Y59" i="1"/>
  <c r="Y16" i="1" s="1"/>
  <c r="X60" i="1"/>
  <c r="X17" i="1" s="1"/>
  <c r="W61" i="1"/>
  <c r="W18" i="1" s="1"/>
  <c r="V62" i="1"/>
  <c r="V19" i="1" s="1"/>
  <c r="U63" i="1"/>
  <c r="U20" i="1" s="1"/>
  <c r="T64" i="1"/>
  <c r="T21" i="1" s="1"/>
  <c r="R66" i="1"/>
  <c r="R23" i="1" s="1"/>
  <c r="Q67" i="1"/>
  <c r="Q24" i="1" s="1"/>
  <c r="P68" i="1"/>
  <c r="P25" i="1" s="1"/>
  <c r="O69" i="1"/>
  <c r="O26" i="1" s="1"/>
  <c r="M71" i="1"/>
  <c r="M28" i="1" s="1"/>
  <c r="Y71" i="1"/>
  <c r="Y28" i="1" s="1"/>
  <c r="F63" i="1"/>
  <c r="F20" i="1" s="1"/>
  <c r="G64" i="1"/>
  <c r="G21" i="1" s="1"/>
  <c r="I66" i="1"/>
  <c r="I23" i="1" s="1"/>
  <c r="K68" i="1"/>
  <c r="K25" i="1" s="1"/>
  <c r="L69" i="1"/>
  <c r="L26" i="1" s="1"/>
  <c r="C72" i="1"/>
  <c r="C29" i="1" s="1"/>
  <c r="F75" i="1"/>
  <c r="F32" i="1" s="1"/>
  <c r="G76" i="1"/>
  <c r="G33" i="1" s="1"/>
  <c r="I78" i="1"/>
  <c r="I35" i="1" s="1"/>
  <c r="K80" i="1"/>
  <c r="K37" i="1" s="1"/>
  <c r="L81" i="1"/>
  <c r="L38" i="1" s="1"/>
  <c r="H64" i="1"/>
  <c r="H21" i="1" s="1"/>
  <c r="L68" i="1"/>
  <c r="L25" i="1" s="1"/>
  <c r="D72" i="1"/>
  <c r="D29" i="1" s="1"/>
  <c r="H76" i="1"/>
  <c r="H33" i="1" s="1"/>
  <c r="L80" i="1"/>
  <c r="L37" i="1" s="1"/>
  <c r="I64" i="1"/>
  <c r="I21" i="1" s="1"/>
  <c r="C70" i="1"/>
  <c r="C27" i="1" s="1"/>
  <c r="E72" i="1"/>
  <c r="E29" i="1" s="1"/>
  <c r="H75" i="1"/>
  <c r="H32" i="1" s="1"/>
  <c r="I76" i="1"/>
  <c r="I33" i="1" s="1"/>
  <c r="C82" i="1"/>
  <c r="C39" i="1" s="1"/>
  <c r="D83" i="1"/>
  <c r="D40" i="1" s="1"/>
  <c r="F72" i="1"/>
  <c r="F29" i="1" s="1"/>
  <c r="J76" i="1"/>
  <c r="J33" i="1" s="1"/>
  <c r="D82" i="1"/>
  <c r="D39" i="1" s="1"/>
  <c r="J63" i="1"/>
  <c r="J20" i="1" s="1"/>
  <c r="K64" i="1"/>
  <c r="K21" i="1" s="1"/>
  <c r="C68" i="1"/>
  <c r="C25" i="1" s="1"/>
  <c r="D69" i="1"/>
  <c r="D26" i="1" s="1"/>
  <c r="E70" i="1"/>
  <c r="E27" i="1" s="1"/>
  <c r="F71" i="1"/>
  <c r="F28" i="1" s="1"/>
  <c r="G72" i="1"/>
  <c r="G29" i="1" s="1"/>
  <c r="J75" i="1"/>
  <c r="J32" i="1" s="1"/>
  <c r="K76" i="1"/>
  <c r="K33" i="1" s="1"/>
  <c r="L77" i="1"/>
  <c r="L34" i="1" s="1"/>
  <c r="C80" i="1"/>
  <c r="C37" i="1" s="1"/>
  <c r="D81" i="1"/>
  <c r="D38" i="1" s="1"/>
  <c r="E82" i="1"/>
  <c r="E39" i="1" s="1"/>
  <c r="F83" i="1"/>
  <c r="F40" i="1" s="1"/>
  <c r="K63" i="1"/>
  <c r="K20" i="1" s="1"/>
  <c r="L64" i="1"/>
  <c r="L21" i="1" s="1"/>
  <c r="D68" i="1"/>
  <c r="D25" i="1" s="1"/>
  <c r="E69" i="1"/>
  <c r="E26" i="1" s="1"/>
  <c r="F70" i="1"/>
  <c r="F27" i="1" s="1"/>
  <c r="G71" i="1"/>
  <c r="G28" i="1" s="1"/>
  <c r="H72" i="1"/>
  <c r="H29" i="1" s="1"/>
  <c r="K75" i="1"/>
  <c r="K32" i="1" s="1"/>
  <c r="L76" i="1"/>
  <c r="L33" i="1" s="1"/>
  <c r="D80" i="1"/>
  <c r="D37" i="1" s="1"/>
  <c r="E81" i="1"/>
  <c r="E38" i="1" s="1"/>
  <c r="F82" i="1"/>
  <c r="F39" i="1" s="1"/>
  <c r="G83" i="1"/>
  <c r="G40" i="1" s="1"/>
  <c r="L63" i="1"/>
  <c r="L20" i="1" s="1"/>
  <c r="C66" i="1"/>
  <c r="C23" i="1" s="1"/>
  <c r="D67" i="1"/>
  <c r="D24" i="1" s="1"/>
  <c r="E68" i="1"/>
  <c r="E25" i="1" s="1"/>
  <c r="F69" i="1"/>
  <c r="F26" i="1" s="1"/>
  <c r="G70" i="1"/>
  <c r="G27" i="1" s="1"/>
  <c r="H71" i="1"/>
  <c r="H28" i="1" s="1"/>
  <c r="I72" i="1"/>
  <c r="I29" i="1" s="1"/>
  <c r="L75" i="1"/>
  <c r="L32" i="1" s="1"/>
  <c r="C78" i="1"/>
  <c r="C35" i="1" s="1"/>
  <c r="D79" i="1"/>
  <c r="D36" i="1" s="1"/>
  <c r="E80" i="1"/>
  <c r="E37" i="1" s="1"/>
  <c r="F81" i="1"/>
  <c r="F38" i="1" s="1"/>
  <c r="G82" i="1"/>
  <c r="G39" i="1" s="1"/>
  <c r="H83" i="1"/>
  <c r="H40" i="1" s="1"/>
  <c r="F68" i="1"/>
  <c r="F25" i="1" s="1"/>
  <c r="J72" i="1"/>
  <c r="J29" i="1" s="1"/>
  <c r="H82" i="1"/>
  <c r="H39" i="1" s="1"/>
  <c r="G68" i="1"/>
  <c r="G25" i="1" s="1"/>
  <c r="H69" i="1"/>
  <c r="H26" i="1" s="1"/>
  <c r="I70" i="1"/>
  <c r="I27" i="1" s="1"/>
  <c r="K72" i="1"/>
  <c r="K29" i="1" s="1"/>
  <c r="C76" i="1"/>
  <c r="C33" i="1" s="1"/>
  <c r="G80" i="1"/>
  <c r="G37" i="1" s="1"/>
  <c r="H81" i="1"/>
  <c r="H38" i="1" s="1"/>
  <c r="I82" i="1"/>
  <c r="I39" i="1" s="1"/>
  <c r="J83" i="1"/>
  <c r="J40" i="1" s="1"/>
  <c r="C63" i="1"/>
  <c r="C20" i="1" s="1"/>
  <c r="D64" i="1"/>
  <c r="D21" i="1" s="1"/>
  <c r="E65" i="1"/>
  <c r="E22" i="1" s="1"/>
  <c r="F66" i="1"/>
  <c r="F23" i="1" s="1"/>
  <c r="G67" i="1"/>
  <c r="G24" i="1" s="1"/>
  <c r="H68" i="1"/>
  <c r="H25" i="1" s="1"/>
  <c r="I69" i="1"/>
  <c r="I26" i="1" s="1"/>
  <c r="J70" i="1"/>
  <c r="J27" i="1" s="1"/>
  <c r="K71" i="1"/>
  <c r="K28" i="1" s="1"/>
  <c r="C75" i="1"/>
  <c r="C32" i="1" s="1"/>
  <c r="D76" i="1"/>
  <c r="D33" i="1" s="1"/>
  <c r="E77" i="1"/>
  <c r="E34" i="1" s="1"/>
  <c r="F78" i="1"/>
  <c r="F35" i="1" s="1"/>
  <c r="G79" i="1"/>
  <c r="G36" i="1" s="1"/>
  <c r="H80" i="1"/>
  <c r="H37" i="1" s="1"/>
  <c r="I81" i="1"/>
  <c r="I38" i="1" s="1"/>
  <c r="J82" i="1"/>
  <c r="J39" i="1" s="1"/>
  <c r="K83" i="1"/>
  <c r="K40" i="1" s="1"/>
  <c r="C64" i="1"/>
  <c r="C21" i="1" s="1"/>
  <c r="H53" i="1"/>
  <c r="H10" i="1" s="1"/>
  <c r="G55" i="1"/>
  <c r="G12" i="1" s="1"/>
  <c r="H58" i="1"/>
  <c r="H15" i="1" s="1"/>
  <c r="I58" i="1"/>
  <c r="I15" i="1" s="1"/>
  <c r="I53" i="1"/>
  <c r="I10" i="1" s="1"/>
  <c r="J53" i="1"/>
  <c r="J10" i="1" s="1"/>
  <c r="I55" i="1"/>
  <c r="I12" i="1" s="1"/>
  <c r="I59" i="1"/>
  <c r="I16" i="1" s="1"/>
  <c r="H52" i="1"/>
  <c r="H9" i="1" s="1"/>
  <c r="E54" i="1"/>
  <c r="E11" i="1" s="1"/>
  <c r="G56" i="1"/>
  <c r="G13" i="1" s="1"/>
  <c r="J59" i="1"/>
  <c r="J16" i="1" s="1"/>
  <c r="E46" i="1"/>
  <c r="J48" i="1"/>
  <c r="J5" i="1" s="1"/>
  <c r="I52" i="1"/>
  <c r="I9" i="1" s="1"/>
  <c r="F54" i="1"/>
  <c r="F11" i="1" s="1"/>
  <c r="H56" i="1"/>
  <c r="H13" i="1" s="1"/>
  <c r="J60" i="1"/>
  <c r="J17" i="1" s="1"/>
  <c r="K49" i="1"/>
  <c r="K6" i="1" s="1"/>
  <c r="G54" i="1"/>
  <c r="G11" i="1" s="1"/>
  <c r="K61" i="1"/>
  <c r="K18" i="1" s="1"/>
  <c r="G53" i="1"/>
  <c r="G10" i="1" s="1"/>
  <c r="G52" i="1"/>
  <c r="G9" i="1" s="1"/>
  <c r="C56" i="1"/>
  <c r="C13" i="1" s="1"/>
  <c r="L49" i="1"/>
  <c r="L6" i="1" s="1"/>
  <c r="C53" i="1"/>
  <c r="C10" i="1" s="1"/>
  <c r="H54" i="1"/>
  <c r="H11" i="1" s="1"/>
  <c r="J56" i="1"/>
  <c r="J13" i="1" s="1"/>
  <c r="H61" i="1"/>
  <c r="H18" i="1" s="1"/>
  <c r="L50" i="1"/>
  <c r="L7" i="1" s="1"/>
  <c r="D53" i="1"/>
  <c r="D10" i="1" s="1"/>
  <c r="I54" i="1"/>
  <c r="I11" i="1" s="1"/>
  <c r="G57" i="1"/>
  <c r="G14" i="1" s="1"/>
  <c r="L61" i="1"/>
  <c r="L18" i="1" s="1"/>
  <c r="J51" i="1"/>
  <c r="J8" i="1" s="1"/>
  <c r="E53" i="1"/>
  <c r="E10" i="1" s="1"/>
  <c r="J54" i="1"/>
  <c r="J11" i="1" s="1"/>
  <c r="F59" i="1"/>
  <c r="F16" i="1" s="1"/>
  <c r="F53" i="1"/>
  <c r="F10" i="1" s="1"/>
  <c r="E55" i="1"/>
  <c r="E12" i="1" s="1"/>
  <c r="I57" i="1"/>
  <c r="I14" i="1" s="1"/>
  <c r="D51" i="1"/>
  <c r="D8" i="1" s="1"/>
  <c r="K58" i="1"/>
  <c r="K15" i="1" s="1"/>
  <c r="L59" i="1"/>
  <c r="L16" i="1" s="1"/>
  <c r="C62" i="1"/>
  <c r="C19" i="1" s="1"/>
  <c r="C49" i="1"/>
  <c r="C6" i="1" s="1"/>
  <c r="E51" i="1"/>
  <c r="E8" i="1" s="1"/>
  <c r="K57" i="1"/>
  <c r="K14" i="1" s="1"/>
  <c r="L58" i="1"/>
  <c r="L15" i="1" s="1"/>
  <c r="C61" i="1"/>
  <c r="C18" i="1" s="1"/>
  <c r="D62" i="1"/>
  <c r="D19" i="1" s="1"/>
  <c r="D49" i="1"/>
  <c r="D6" i="1" s="1"/>
  <c r="F51" i="1"/>
  <c r="F8" i="1" s="1"/>
  <c r="J55" i="1"/>
  <c r="J12" i="1" s="1"/>
  <c r="K56" i="1"/>
  <c r="K13" i="1" s="1"/>
  <c r="L57" i="1"/>
  <c r="L14" i="1" s="1"/>
  <c r="C60" i="1"/>
  <c r="C17" i="1" s="1"/>
  <c r="D61" i="1"/>
  <c r="D18" i="1" s="1"/>
  <c r="E62" i="1"/>
  <c r="E19" i="1" s="1"/>
  <c r="L60" i="1"/>
  <c r="L17" i="1" s="1"/>
  <c r="C50" i="1"/>
  <c r="C7" i="1" s="1"/>
  <c r="E50" i="1"/>
  <c r="E7" i="1" s="1"/>
  <c r="D48" i="1"/>
  <c r="D5" i="1" s="1"/>
  <c r="E49" i="1"/>
  <c r="E6" i="1" s="1"/>
  <c r="F50" i="1"/>
  <c r="F7" i="1" s="1"/>
  <c r="G51" i="1"/>
  <c r="G8" i="1" s="1"/>
  <c r="K55" i="1"/>
  <c r="K12" i="1" s="1"/>
  <c r="L56" i="1"/>
  <c r="L13" i="1" s="1"/>
  <c r="C59" i="1"/>
  <c r="C16" i="1" s="1"/>
  <c r="D60" i="1"/>
  <c r="D17" i="1" s="1"/>
  <c r="E61" i="1"/>
  <c r="E18" i="1" s="1"/>
  <c r="F62" i="1"/>
  <c r="F19" i="1" s="1"/>
  <c r="E48" i="1"/>
  <c r="E5" i="1" s="1"/>
  <c r="F49" i="1"/>
  <c r="F6" i="1" s="1"/>
  <c r="G50" i="1"/>
  <c r="G7" i="1" s="1"/>
  <c r="H51" i="1"/>
  <c r="H8" i="1" s="1"/>
  <c r="K54" i="1"/>
  <c r="K11" i="1" s="1"/>
  <c r="L55" i="1"/>
  <c r="L12" i="1" s="1"/>
  <c r="C58" i="1"/>
  <c r="C15" i="1" s="1"/>
  <c r="D59" i="1"/>
  <c r="D16" i="1" s="1"/>
  <c r="E60" i="1"/>
  <c r="E17" i="1" s="1"/>
  <c r="F61" i="1"/>
  <c r="F18" i="1" s="1"/>
  <c r="G62" i="1"/>
  <c r="G19" i="1" s="1"/>
  <c r="F48" i="1"/>
  <c r="F5" i="1" s="1"/>
  <c r="G49" i="1"/>
  <c r="G6" i="1" s="1"/>
  <c r="H50" i="1"/>
  <c r="H7" i="1" s="1"/>
  <c r="I51" i="1"/>
  <c r="I8" i="1" s="1"/>
  <c r="K53" i="1"/>
  <c r="K10" i="1" s="1"/>
  <c r="L54" i="1"/>
  <c r="L11" i="1" s="1"/>
  <c r="C57" i="1"/>
  <c r="C14" i="1" s="1"/>
  <c r="D58" i="1"/>
  <c r="D15" i="1" s="1"/>
  <c r="E59" i="1"/>
  <c r="E16" i="1" s="1"/>
  <c r="F60" i="1"/>
  <c r="F17" i="1" s="1"/>
  <c r="G61" i="1"/>
  <c r="G18" i="1" s="1"/>
  <c r="H62" i="1"/>
  <c r="H19" i="1" s="1"/>
  <c r="G48" i="1"/>
  <c r="G5" i="1" s="1"/>
  <c r="I50" i="1"/>
  <c r="I7" i="1" s="1"/>
  <c r="K52" i="1"/>
  <c r="K9" i="1" s="1"/>
  <c r="I62" i="1"/>
  <c r="I19" i="1" s="1"/>
  <c r="H48" i="1"/>
  <c r="H5" i="1" s="1"/>
  <c r="I49" i="1"/>
  <c r="I6" i="1" s="1"/>
  <c r="J50" i="1"/>
  <c r="J7" i="1" s="1"/>
  <c r="K51" i="1"/>
  <c r="K8" i="1" s="1"/>
  <c r="L52" i="1"/>
  <c r="L9" i="1" s="1"/>
  <c r="C55" i="1"/>
  <c r="C12" i="1" s="1"/>
  <c r="D56" i="1"/>
  <c r="D13" i="1" s="1"/>
  <c r="E57" i="1"/>
  <c r="E14" i="1" s="1"/>
  <c r="F58" i="1"/>
  <c r="F15" i="1" s="1"/>
  <c r="G59" i="1"/>
  <c r="G16" i="1" s="1"/>
  <c r="H60" i="1"/>
  <c r="H17" i="1" s="1"/>
  <c r="I61" i="1"/>
  <c r="I18" i="1" s="1"/>
  <c r="J62" i="1"/>
  <c r="J19" i="1" s="1"/>
  <c r="K48" i="1"/>
  <c r="K5" i="1" s="1"/>
  <c r="D50" i="1"/>
  <c r="D7" i="1" s="1"/>
  <c r="I48" i="1"/>
  <c r="I5" i="1" s="1"/>
  <c r="J49" i="1"/>
  <c r="J6" i="1" s="1"/>
  <c r="K50" i="1"/>
  <c r="K7" i="1" s="1"/>
  <c r="L51" i="1"/>
  <c r="L8" i="1" s="1"/>
  <c r="C54" i="1"/>
  <c r="C11" i="1" s="1"/>
  <c r="D55" i="1"/>
  <c r="D12" i="1" s="1"/>
  <c r="E56" i="1"/>
  <c r="E13" i="1" s="1"/>
  <c r="F57" i="1"/>
  <c r="F14" i="1" s="1"/>
  <c r="G58" i="1"/>
  <c r="G15" i="1" s="1"/>
  <c r="H59" i="1"/>
  <c r="H16" i="1" s="1"/>
  <c r="I60" i="1"/>
  <c r="I17" i="1" s="1"/>
  <c r="J61" i="1"/>
  <c r="J18" i="1" s="1"/>
  <c r="K62" i="1"/>
  <c r="K19" i="1" s="1"/>
  <c r="K60" i="1"/>
  <c r="K17" i="1" s="1"/>
  <c r="L48" i="1"/>
  <c r="L5" i="1" s="1"/>
  <c r="C51" i="1"/>
  <c r="C8" i="1" s="1"/>
  <c r="C48" i="1"/>
  <c r="C5" i="1" s="1"/>
  <c r="H49" i="1"/>
  <c r="H6" i="1" s="1"/>
  <c r="BS5" i="2"/>
  <c r="BS20" i="2"/>
  <c r="BS6" i="2"/>
  <c r="BS14" i="2"/>
  <c r="BS13" i="2"/>
  <c r="BS19" i="2"/>
  <c r="BS31" i="2"/>
  <c r="BS12" i="2"/>
  <c r="BS26" i="2"/>
  <c r="BS56" i="2"/>
  <c r="BS11" i="2"/>
  <c r="BS32" i="2"/>
  <c r="BS34" i="2"/>
  <c r="BS10" i="2"/>
  <c r="BS9" i="2"/>
  <c r="BS36" i="2"/>
  <c r="BS67" i="2"/>
  <c r="BS8" i="2"/>
  <c r="BS24" i="2"/>
  <c r="BS7" i="2"/>
  <c r="BS23" i="2"/>
  <c r="BS16" i="2"/>
  <c r="BS17" i="2"/>
  <c r="BS18" i="2"/>
  <c r="BS21" i="2"/>
  <c r="BS105" i="2"/>
  <c r="BS99" i="2"/>
  <c r="BS93" i="2"/>
  <c r="BS87" i="2"/>
  <c r="BS81" i="2"/>
  <c r="BS75" i="2"/>
  <c r="BS66" i="2"/>
  <c r="BS55" i="2"/>
  <c r="BS44" i="2"/>
  <c r="BS22" i="2"/>
  <c r="BS65" i="2"/>
  <c r="BS40" i="2"/>
  <c r="BS104" i="2"/>
  <c r="BS98" i="2"/>
  <c r="BS92" i="2"/>
  <c r="BS86" i="2"/>
  <c r="BS80" i="2"/>
  <c r="BS74" i="2"/>
  <c r="BS64" i="2"/>
  <c r="BS54" i="2"/>
  <c r="BS48" i="2"/>
  <c r="BS43" i="2"/>
  <c r="BS63" i="2"/>
  <c r="BS42" i="2"/>
  <c r="BS103" i="2"/>
  <c r="BS97" i="2"/>
  <c r="BS91" i="2"/>
  <c r="BS85" i="2"/>
  <c r="BS79" i="2"/>
  <c r="BS73" i="2"/>
  <c r="BS62" i="2"/>
  <c r="BS53" i="2"/>
  <c r="BS41" i="2"/>
  <c r="BS38" i="2"/>
  <c r="BS37" i="2"/>
  <c r="BS61" i="2"/>
  <c r="BS27" i="2"/>
  <c r="BS102" i="2"/>
  <c r="BS96" i="2"/>
  <c r="BS90" i="2"/>
  <c r="BS84" i="2"/>
  <c r="BS78" i="2"/>
  <c r="BS72" i="2"/>
  <c r="BS60" i="2"/>
  <c r="BS52" i="2"/>
  <c r="BS49" i="2"/>
  <c r="BS47" i="2"/>
  <c r="BS35" i="2"/>
  <c r="BS29" i="2"/>
  <c r="BS28" i="2"/>
  <c r="BS71" i="2"/>
  <c r="BS59" i="2"/>
  <c r="BS101" i="2"/>
  <c r="BS95" i="2"/>
  <c r="BS89" i="2"/>
  <c r="BS83" i="2"/>
  <c r="BS77" i="2"/>
  <c r="BS70" i="2"/>
  <c r="BS58" i="2"/>
  <c r="BS51" i="2"/>
  <c r="BS46" i="2"/>
  <c r="BS33" i="2"/>
  <c r="BS69" i="2"/>
  <c r="BS57" i="2"/>
  <c r="BS39" i="2"/>
  <c r="BS100" i="2"/>
  <c r="BS94" i="2"/>
  <c r="BS88" i="2"/>
  <c r="BS82" i="2"/>
  <c r="BS76" i="2"/>
  <c r="BS68" i="2"/>
  <c r="BS50" i="2"/>
  <c r="BS45" i="2"/>
  <c r="BS15" i="2"/>
  <c r="BS30" i="2"/>
  <c r="F46" i="1" l="1"/>
  <c r="J43" i="2"/>
  <c r="N43" i="2"/>
  <c r="M43" i="2"/>
  <c r="L43" i="2"/>
  <c r="O43" i="2"/>
  <c r="H43" i="2"/>
  <c r="K43" i="2"/>
  <c r="I43" i="2"/>
  <c r="G46" i="1" l="1"/>
  <c r="H44" i="2"/>
  <c r="L44" i="2"/>
  <c r="N44" i="2"/>
  <c r="O44" i="2"/>
  <c r="I44" i="2"/>
  <c r="M44" i="2"/>
  <c r="K44" i="2"/>
  <c r="J44" i="2"/>
  <c r="H46" i="1" l="1"/>
  <c r="M45" i="2"/>
  <c r="I45" i="2"/>
  <c r="O45" i="2"/>
  <c r="L45" i="2"/>
  <c r="N45" i="2"/>
  <c r="K45" i="2"/>
  <c r="J45" i="2"/>
  <c r="H45" i="2"/>
  <c r="I46" i="1" l="1"/>
  <c r="K47" i="2"/>
  <c r="K46" i="2"/>
  <c r="N47" i="2"/>
  <c r="N46" i="2"/>
  <c r="L47" i="2"/>
  <c r="L46" i="2"/>
  <c r="O47" i="2"/>
  <c r="O46" i="2"/>
  <c r="H46" i="2"/>
  <c r="H47" i="2"/>
  <c r="I46" i="2"/>
  <c r="I47" i="2"/>
  <c r="J47" i="2"/>
  <c r="J46" i="2"/>
  <c r="M47" i="2"/>
  <c r="M46" i="2"/>
  <c r="J46" i="1" l="1"/>
  <c r="BG3" i="1"/>
  <c r="BL5" i="1"/>
  <c r="BJ4" i="1"/>
  <c r="BJ634" i="1" s="1"/>
  <c r="K46" i="1" l="1"/>
  <c r="BJ1676" i="1"/>
  <c r="BL1676" i="1" s="1"/>
  <c r="BJ1785" i="1"/>
  <c r="BL1785" i="1" s="1"/>
  <c r="BJ1783" i="1"/>
  <c r="BL1783" i="1" s="1"/>
  <c r="BJ1748" i="1"/>
  <c r="BL1748" i="1" s="1"/>
  <c r="BJ1723" i="1"/>
  <c r="BK1723" i="1" s="1"/>
  <c r="BJ1674" i="1"/>
  <c r="BL1674" i="1" s="1"/>
  <c r="BJ1746" i="1"/>
  <c r="BL1746" i="1" s="1"/>
  <c r="BJ1763" i="1"/>
  <c r="BK1748" i="1"/>
  <c r="BJ1711" i="1"/>
  <c r="BJ1659" i="1"/>
  <c r="BJ1703" i="1"/>
  <c r="BK1703" i="1" s="1"/>
  <c r="BJ1629" i="1"/>
  <c r="BK1629" i="1" s="1"/>
  <c r="BJ1722" i="1"/>
  <c r="BL1722" i="1" s="1"/>
  <c r="BJ1713" i="1"/>
  <c r="BL1713" i="1" s="1"/>
  <c r="BJ1642" i="1"/>
  <c r="BK1642" i="1" s="1"/>
  <c r="BJ1756" i="1"/>
  <c r="BJ1700" i="1"/>
  <c r="BL1700" i="1" s="1"/>
  <c r="BJ1613" i="1"/>
  <c r="BL1613" i="1" s="1"/>
  <c r="BJ1673" i="1"/>
  <c r="BL1673" i="1" s="1"/>
  <c r="BJ1745" i="1"/>
  <c r="BL1745" i="1" s="1"/>
  <c r="BJ1782" i="1"/>
  <c r="BJ1712" i="1"/>
  <c r="BL1712" i="1" s="1"/>
  <c r="BJ1781" i="1"/>
  <c r="BL1781" i="1" s="1"/>
  <c r="BJ1792" i="1"/>
  <c r="BJ1735" i="1"/>
  <c r="BK1735" i="1" s="1"/>
  <c r="BJ1791" i="1"/>
  <c r="BJ1775" i="1"/>
  <c r="BJ1755" i="1"/>
  <c r="BK1755" i="1" s="1"/>
  <c r="BJ1731" i="1"/>
  <c r="BJ1584" i="1"/>
  <c r="BJ1766" i="1"/>
  <c r="BL1766" i="1" s="1"/>
  <c r="BJ1744" i="1"/>
  <c r="BL1744" i="1" s="1"/>
  <c r="BJ1647" i="1"/>
  <c r="BL1647" i="1" s="1"/>
  <c r="BJ1757" i="1"/>
  <c r="BL1757" i="1" s="1"/>
  <c r="BJ1732" i="1"/>
  <c r="BL1732" i="1" s="1"/>
  <c r="BJ1788" i="1"/>
  <c r="BK1788" i="1" s="1"/>
  <c r="BJ1773" i="1"/>
  <c r="BL1773" i="1" s="1"/>
  <c r="BJ1730" i="1"/>
  <c r="BL1730" i="1" s="1"/>
  <c r="BJ1692" i="1"/>
  <c r="BJ1415" i="1"/>
  <c r="BJ1767" i="1"/>
  <c r="BJ1743" i="1"/>
  <c r="BK1743" i="1" s="1"/>
  <c r="BJ1776" i="1"/>
  <c r="BJ1789" i="1"/>
  <c r="BL1789" i="1" s="1"/>
  <c r="BJ1768" i="1"/>
  <c r="BL1768" i="1" s="1"/>
  <c r="BJ1754" i="1"/>
  <c r="BJ1724" i="1"/>
  <c r="BL1724" i="1" s="1"/>
  <c r="BJ1691" i="1"/>
  <c r="BK1691" i="1" s="1"/>
  <c r="BJ1266" i="1"/>
  <c r="BK1266" i="1" s="1"/>
  <c r="BJ1645" i="1"/>
  <c r="BL1645" i="1" s="1"/>
  <c r="BJ1627" i="1"/>
  <c r="BL1627" i="1" s="1"/>
  <c r="BJ1612" i="1"/>
  <c r="BK1612" i="1" s="1"/>
  <c r="BJ1578" i="1"/>
  <c r="BK1578" i="1" s="1"/>
  <c r="BJ1527" i="1"/>
  <c r="BJ1466" i="1"/>
  <c r="BJ1410" i="1"/>
  <c r="BL1410" i="1" s="1"/>
  <c r="BJ1240" i="1"/>
  <c r="BK1240" i="1" s="1"/>
  <c r="BJ1625" i="1"/>
  <c r="BK1625" i="1" s="1"/>
  <c r="BJ1611" i="1"/>
  <c r="BL1611" i="1" s="1"/>
  <c r="BJ1577" i="1"/>
  <c r="BK1577" i="1" s="1"/>
  <c r="BJ1517" i="1"/>
  <c r="BL1517" i="1" s="1"/>
  <c r="BJ1465" i="1"/>
  <c r="BK1465" i="1" s="1"/>
  <c r="BJ1238" i="1"/>
  <c r="BJ1671" i="1"/>
  <c r="BK1671" i="1" s="1"/>
  <c r="BJ1609" i="1"/>
  <c r="BL1609" i="1" s="1"/>
  <c r="BJ1570" i="1"/>
  <c r="BK1570" i="1" s="1"/>
  <c r="BJ1393" i="1"/>
  <c r="BJ1212" i="1"/>
  <c r="BK1212" i="1" s="1"/>
  <c r="BJ1699" i="1"/>
  <c r="BJ1656" i="1"/>
  <c r="BJ1641" i="1"/>
  <c r="BJ1569" i="1"/>
  <c r="BL1569" i="1" s="1"/>
  <c r="BJ1516" i="1"/>
  <c r="BJ1452" i="1"/>
  <c r="BJ1369" i="1"/>
  <c r="BJ1211" i="1"/>
  <c r="BJ1719" i="1"/>
  <c r="BK1719" i="1" s="1"/>
  <c r="BJ1687" i="1"/>
  <c r="BJ1670" i="1"/>
  <c r="BJ1653" i="1"/>
  <c r="BK1653" i="1" s="1"/>
  <c r="BJ1640" i="1"/>
  <c r="BL1640" i="1" s="1"/>
  <c r="BJ1624" i="1"/>
  <c r="BJ1606" i="1"/>
  <c r="BJ1563" i="1"/>
  <c r="BL1563" i="1" s="1"/>
  <c r="BJ1506" i="1"/>
  <c r="BK1506" i="1" s="1"/>
  <c r="BJ1451" i="1"/>
  <c r="BJ1185" i="1"/>
  <c r="BJ1710" i="1"/>
  <c r="BJ1698" i="1"/>
  <c r="BJ1685" i="1"/>
  <c r="BL1685" i="1" s="1"/>
  <c r="BJ1668" i="1"/>
  <c r="BL1668" i="1" s="1"/>
  <c r="BJ1622" i="1"/>
  <c r="BL1622" i="1" s="1"/>
  <c r="BJ1605" i="1"/>
  <c r="BK1605" i="1" s="1"/>
  <c r="BJ1495" i="1"/>
  <c r="BK1495" i="1" s="1"/>
  <c r="BJ1342" i="1"/>
  <c r="BJ1147" i="1"/>
  <c r="BJ1751" i="1"/>
  <c r="BJ1739" i="1"/>
  <c r="BK1739" i="1" s="1"/>
  <c r="BJ1718" i="1"/>
  <c r="BJ1652" i="1"/>
  <c r="BJ1618" i="1"/>
  <c r="BJ1562" i="1"/>
  <c r="BJ1440" i="1"/>
  <c r="BJ1341" i="1"/>
  <c r="BL1341" i="1" s="1"/>
  <c r="BJ1140" i="1"/>
  <c r="BK1140" i="1" s="1"/>
  <c r="BJ1780" i="1"/>
  <c r="BJ1772" i="1"/>
  <c r="BJ1762" i="1"/>
  <c r="BJ1738" i="1"/>
  <c r="BL1738" i="1" s="1"/>
  <c r="BJ1729" i="1"/>
  <c r="BJ1706" i="1"/>
  <c r="BJ1697" i="1"/>
  <c r="BJ1682" i="1"/>
  <c r="BJ1665" i="1"/>
  <c r="BJ1636" i="1"/>
  <c r="BJ1600" i="1"/>
  <c r="BJ1553" i="1"/>
  <c r="BL1553" i="1" s="1"/>
  <c r="BJ1485" i="1"/>
  <c r="BJ1439" i="1"/>
  <c r="BK1439" i="1" s="1"/>
  <c r="BJ1099" i="1"/>
  <c r="BJ1787" i="1"/>
  <c r="BJ1778" i="1"/>
  <c r="BL1778" i="1" s="1"/>
  <c r="BJ1761" i="1"/>
  <c r="BL1761" i="1" s="1"/>
  <c r="BJ1750" i="1"/>
  <c r="BJ1737" i="1"/>
  <c r="BL1737" i="1" s="1"/>
  <c r="BJ1717" i="1"/>
  <c r="BJ1705" i="1"/>
  <c r="BL1705" i="1" s="1"/>
  <c r="BJ1650" i="1"/>
  <c r="BJ1633" i="1"/>
  <c r="BK1633" i="1" s="1"/>
  <c r="BJ1617" i="1"/>
  <c r="BJ1593" i="1"/>
  <c r="BK1593" i="1" s="1"/>
  <c r="BJ1545" i="1"/>
  <c r="BK1545" i="1" s="1"/>
  <c r="BJ1475" i="1"/>
  <c r="BJ1426" i="1"/>
  <c r="BL1426" i="1" s="1"/>
  <c r="BJ1317" i="1"/>
  <c r="BJ1094" i="1"/>
  <c r="BK1094" i="1" s="1"/>
  <c r="BJ5" i="1"/>
  <c r="BJ1771" i="1"/>
  <c r="BJ1760" i="1"/>
  <c r="BL1760" i="1" s="1"/>
  <c r="BJ1726" i="1"/>
  <c r="BJ1716" i="1"/>
  <c r="BL1716" i="1" s="1"/>
  <c r="BJ1694" i="1"/>
  <c r="BJ1681" i="1"/>
  <c r="BJ1664" i="1"/>
  <c r="BL1629" i="1"/>
  <c r="BJ1615" i="1"/>
  <c r="BL1615" i="1" s="1"/>
  <c r="BJ1592" i="1"/>
  <c r="BJ1544" i="1"/>
  <c r="BJ1293" i="1"/>
  <c r="BL1293" i="1" s="1"/>
  <c r="BJ892" i="1"/>
  <c r="BK892" i="1" s="1"/>
  <c r="BJ6" i="1"/>
  <c r="BJ1786" i="1"/>
  <c r="BJ1777" i="1"/>
  <c r="BJ1749" i="1"/>
  <c r="BJ1736" i="1"/>
  <c r="BJ1725" i="1"/>
  <c r="BL1725" i="1" s="1"/>
  <c r="BK1713" i="1"/>
  <c r="BJ1704" i="1"/>
  <c r="BJ1693" i="1"/>
  <c r="BL1693" i="1" s="1"/>
  <c r="BK1676" i="1"/>
  <c r="BJ1663" i="1"/>
  <c r="BK1663" i="1" s="1"/>
  <c r="BJ1648" i="1"/>
  <c r="BK1613" i="1"/>
  <c r="BJ1585" i="1"/>
  <c r="BK1585" i="1" s="1"/>
  <c r="BJ1534" i="1"/>
  <c r="BK1534" i="1" s="1"/>
  <c r="BJ1474" i="1"/>
  <c r="BJ1425" i="1"/>
  <c r="BL1266" i="1"/>
  <c r="BJ885" i="1"/>
  <c r="BK1238" i="1"/>
  <c r="BL1238" i="1"/>
  <c r="BJ1599" i="1"/>
  <c r="BJ1583" i="1"/>
  <c r="BL1583" i="1" s="1"/>
  <c r="BJ1552" i="1"/>
  <c r="BJ1533" i="1"/>
  <c r="BJ1523" i="1"/>
  <c r="BL1523" i="1" s="1"/>
  <c r="BJ1515" i="1"/>
  <c r="BK1515" i="1" s="1"/>
  <c r="BJ1503" i="1"/>
  <c r="BK1503" i="1" s="1"/>
  <c r="BJ1494" i="1"/>
  <c r="BJ1460" i="1"/>
  <c r="BJ1409" i="1"/>
  <c r="BJ1390" i="1"/>
  <c r="BJ1362" i="1"/>
  <c r="BJ1312" i="1"/>
  <c r="BJ1232" i="1"/>
  <c r="BJ1177" i="1"/>
  <c r="BL1584" i="1"/>
  <c r="BK1584" i="1"/>
  <c r="BK1781" i="1"/>
  <c r="BL1755" i="1"/>
  <c r="BL1743" i="1"/>
  <c r="BJ1686" i="1"/>
  <c r="BJ1675" i="1"/>
  <c r="BJ1669" i="1"/>
  <c r="BJ1658" i="1"/>
  <c r="BJ1651" i="1"/>
  <c r="BJ1646" i="1"/>
  <c r="BJ1635" i="1"/>
  <c r="BJ1628" i="1"/>
  <c r="BJ1604" i="1"/>
  <c r="BJ1598" i="1"/>
  <c r="BK1598" i="1" s="1"/>
  <c r="BJ1582" i="1"/>
  <c r="BK1582" i="1" s="1"/>
  <c r="BJ1568" i="1"/>
  <c r="BJ1559" i="1"/>
  <c r="BJ1541" i="1"/>
  <c r="BJ1522" i="1"/>
  <c r="BL1522" i="1" s="1"/>
  <c r="BJ1502" i="1"/>
  <c r="BK1502" i="1" s="1"/>
  <c r="BJ1473" i="1"/>
  <c r="BJ1459" i="1"/>
  <c r="BK1459" i="1" s="1"/>
  <c r="BJ1450" i="1"/>
  <c r="BJ1436" i="1"/>
  <c r="BJ1424" i="1"/>
  <c r="BJ1336" i="1"/>
  <c r="BJ1311" i="1"/>
  <c r="BK1311" i="1" s="1"/>
  <c r="BJ1286" i="1"/>
  <c r="BJ1260" i="1"/>
  <c r="BJ1231" i="1"/>
  <c r="BK1231" i="1" s="1"/>
  <c r="BJ1056" i="1"/>
  <c r="BJ798" i="1"/>
  <c r="BL1735" i="1"/>
  <c r="BL1703" i="1"/>
  <c r="BL1691" i="1"/>
  <c r="BJ1680" i="1"/>
  <c r="BK1674" i="1"/>
  <c r="BJ1657" i="1"/>
  <c r="BL1657" i="1" s="1"/>
  <c r="BK1645" i="1"/>
  <c r="BJ1639" i="1"/>
  <c r="BJ1634" i="1"/>
  <c r="BL1634" i="1" s="1"/>
  <c r="BK1627" i="1"/>
  <c r="BJ1623" i="1"/>
  <c r="BJ1616" i="1"/>
  <c r="BJ1610" i="1"/>
  <c r="BJ1603" i="1"/>
  <c r="BL1603" i="1" s="1"/>
  <c r="BJ1576" i="1"/>
  <c r="BJ1551" i="1"/>
  <c r="BJ1532" i="1"/>
  <c r="BJ1521" i="1"/>
  <c r="BK1521" i="1" s="1"/>
  <c r="BJ1514" i="1"/>
  <c r="BJ1481" i="1"/>
  <c r="BJ1472" i="1"/>
  <c r="BK1472" i="1" s="1"/>
  <c r="BJ1449" i="1"/>
  <c r="BJ1435" i="1"/>
  <c r="BK1435" i="1" s="1"/>
  <c r="BJ1423" i="1"/>
  <c r="BK1423" i="1" s="1"/>
  <c r="BJ1408" i="1"/>
  <c r="BJ1386" i="1"/>
  <c r="BJ1361" i="1"/>
  <c r="BJ1335" i="1"/>
  <c r="BJ1259" i="1"/>
  <c r="BJ1204" i="1"/>
  <c r="BJ1131" i="1"/>
  <c r="BL1131" i="1" s="1"/>
  <c r="BJ1052" i="1"/>
  <c r="BJ789" i="1"/>
  <c r="BL1185" i="1"/>
  <c r="BK1185" i="1"/>
  <c r="BK1615" i="1"/>
  <c r="BK1609" i="1"/>
  <c r="BJ1596" i="1"/>
  <c r="BL1596" i="1" s="1"/>
  <c r="BJ1589" i="1"/>
  <c r="BJ1558" i="1"/>
  <c r="BJ1550" i="1"/>
  <c r="BK1550" i="1" s="1"/>
  <c r="BJ1513" i="1"/>
  <c r="BK1513" i="1" s="1"/>
  <c r="BJ1493" i="1"/>
  <c r="BJ1471" i="1"/>
  <c r="BJ1458" i="1"/>
  <c r="BJ1448" i="1"/>
  <c r="BK1448" i="1" s="1"/>
  <c r="BJ1385" i="1"/>
  <c r="BJ1356" i="1"/>
  <c r="BJ1330" i="1"/>
  <c r="BJ1305" i="1"/>
  <c r="BK1305" i="1" s="1"/>
  <c r="BJ1253" i="1"/>
  <c r="BJ1124" i="1"/>
  <c r="BJ1020" i="1"/>
  <c r="BJ1602" i="1"/>
  <c r="BJ1595" i="1"/>
  <c r="BL1595" i="1" s="1"/>
  <c r="BJ1581" i="1"/>
  <c r="BJ1575" i="1"/>
  <c r="BJ1557" i="1"/>
  <c r="BK1557" i="1" s="1"/>
  <c r="BJ1547" i="1"/>
  <c r="BL1547" i="1" s="1"/>
  <c r="BJ1540" i="1"/>
  <c r="BJ1509" i="1"/>
  <c r="BJ1501" i="1"/>
  <c r="BJ1490" i="1"/>
  <c r="BJ1443" i="1"/>
  <c r="BK1443" i="1" s="1"/>
  <c r="BJ1434" i="1"/>
  <c r="BJ1420" i="1"/>
  <c r="BJ1403" i="1"/>
  <c r="BK1403" i="1" s="1"/>
  <c r="BJ1381" i="1"/>
  <c r="BL1381" i="1" s="1"/>
  <c r="BJ1355" i="1"/>
  <c r="BK1355" i="1" s="1"/>
  <c r="BJ1198" i="1"/>
  <c r="BJ1012" i="1"/>
  <c r="BK1012" i="1" s="1"/>
  <c r="BL1099" i="1"/>
  <c r="BK1099" i="1"/>
  <c r="BJ1770" i="1"/>
  <c r="BJ1753" i="1"/>
  <c r="BL1753" i="1" s="1"/>
  <c r="BJ1742" i="1"/>
  <c r="BJ1734" i="1"/>
  <c r="BJ1728" i="1"/>
  <c r="BL1728" i="1" s="1"/>
  <c r="BJ1721" i="1"/>
  <c r="BL1721" i="1" s="1"/>
  <c r="BJ1709" i="1"/>
  <c r="BL1709" i="1" s="1"/>
  <c r="BJ1702" i="1"/>
  <c r="BJ1696" i="1"/>
  <c r="BL1696" i="1" s="1"/>
  <c r="BJ1690" i="1"/>
  <c r="BJ1684" i="1"/>
  <c r="BJ1679" i="1"/>
  <c r="BJ1662" i="1"/>
  <c r="BJ1644" i="1"/>
  <c r="BJ1638" i="1"/>
  <c r="BJ1556" i="1"/>
  <c r="BK1556" i="1" s="1"/>
  <c r="BJ1529" i="1"/>
  <c r="BJ1520" i="1"/>
  <c r="BJ1489" i="1"/>
  <c r="BJ1480" i="1"/>
  <c r="BJ1469" i="1"/>
  <c r="BJ1457" i="1"/>
  <c r="BJ1433" i="1"/>
  <c r="BL1433" i="1" s="1"/>
  <c r="BJ1419" i="1"/>
  <c r="BL1419" i="1" s="1"/>
  <c r="BJ1377" i="1"/>
  <c r="BJ1354" i="1"/>
  <c r="BK1354" i="1" s="1"/>
  <c r="BJ1329" i="1"/>
  <c r="BJ1280" i="1"/>
  <c r="BJ1224" i="1"/>
  <c r="BJ1164" i="1"/>
  <c r="BJ1765" i="1"/>
  <c r="BJ1759" i="1"/>
  <c r="BJ1741" i="1"/>
  <c r="BL1741" i="1" s="1"/>
  <c r="BJ1715" i="1"/>
  <c r="BJ1708" i="1"/>
  <c r="BL1708" i="1" s="1"/>
  <c r="BJ1689" i="1"/>
  <c r="BL1689" i="1" s="1"/>
  <c r="BJ1672" i="1"/>
  <c r="BJ1667" i="1"/>
  <c r="BJ1661" i="1"/>
  <c r="BL1661" i="1" s="1"/>
  <c r="BJ1655" i="1"/>
  <c r="BJ1643" i="1"/>
  <c r="BL1643" i="1" s="1"/>
  <c r="BJ1632" i="1"/>
  <c r="BJ1626" i="1"/>
  <c r="BJ1621" i="1"/>
  <c r="BJ1608" i="1"/>
  <c r="BJ1588" i="1"/>
  <c r="BJ1580" i="1"/>
  <c r="BJ1565" i="1"/>
  <c r="BJ1539" i="1"/>
  <c r="BJ1508" i="1"/>
  <c r="BJ1500" i="1"/>
  <c r="BJ1488" i="1"/>
  <c r="BK1488" i="1" s="1"/>
  <c r="BJ1479" i="1"/>
  <c r="BK1479" i="1" s="1"/>
  <c r="BJ1442" i="1"/>
  <c r="BJ1432" i="1"/>
  <c r="BK1432" i="1" s="1"/>
  <c r="BJ1402" i="1"/>
  <c r="BJ1324" i="1"/>
  <c r="BJ1299" i="1"/>
  <c r="BK1299" i="1" s="1"/>
  <c r="BJ1218" i="1"/>
  <c r="BJ1192" i="1"/>
  <c r="BJ1115" i="1"/>
  <c r="BK1115" i="1" s="1"/>
  <c r="BJ967" i="1"/>
  <c r="BK967" i="1" s="1"/>
  <c r="BL1577" i="1"/>
  <c r="BJ7" i="1"/>
  <c r="BJ19" i="1"/>
  <c r="BJ31" i="1"/>
  <c r="BJ43" i="1"/>
  <c r="BJ55" i="1"/>
  <c r="BJ67" i="1"/>
  <c r="BJ79" i="1"/>
  <c r="BJ91" i="1"/>
  <c r="BJ101" i="1"/>
  <c r="BJ111" i="1"/>
  <c r="BJ132" i="1"/>
  <c r="BJ143" i="1"/>
  <c r="BJ153" i="1"/>
  <c r="BJ163" i="1"/>
  <c r="BJ174" i="1"/>
  <c r="BJ184" i="1"/>
  <c r="BJ205" i="1"/>
  <c r="BJ213" i="1"/>
  <c r="BJ240" i="1"/>
  <c r="BJ249" i="1"/>
  <c r="BJ258" i="1"/>
  <c r="BJ267" i="1"/>
  <c r="BJ276" i="1"/>
  <c r="BJ294" i="1"/>
  <c r="BJ304" i="1"/>
  <c r="BJ311" i="1"/>
  <c r="BJ338" i="1"/>
  <c r="BJ347" i="1"/>
  <c r="BJ358" i="1"/>
  <c r="BJ370" i="1"/>
  <c r="BJ390" i="1"/>
  <c r="BJ401" i="1"/>
  <c r="BJ424" i="1"/>
  <c r="BJ433" i="1"/>
  <c r="BJ444" i="1"/>
  <c r="BJ454" i="1"/>
  <c r="BJ463" i="1"/>
  <c r="BJ472" i="1"/>
  <c r="BJ482" i="1"/>
  <c r="BJ517" i="1"/>
  <c r="BJ526" i="1"/>
  <c r="BJ551" i="1"/>
  <c r="BJ560" i="1"/>
  <c r="BJ568" i="1"/>
  <c r="BJ576" i="1"/>
  <c r="BJ584" i="1"/>
  <c r="BJ593" i="1"/>
  <c r="BJ620" i="1"/>
  <c r="BJ636" i="1"/>
  <c r="BJ661" i="1"/>
  <c r="BJ684" i="1"/>
  <c r="BJ700" i="1"/>
  <c r="BJ717" i="1"/>
  <c r="BJ726" i="1"/>
  <c r="BJ8" i="1"/>
  <c r="BJ20" i="1"/>
  <c r="BJ32" i="1"/>
  <c r="BJ44" i="1"/>
  <c r="BJ56" i="1"/>
  <c r="BJ68" i="1"/>
  <c r="BJ80" i="1"/>
  <c r="BJ92" i="1"/>
  <c r="BJ112" i="1"/>
  <c r="BK112" i="1" s="1"/>
  <c r="BJ122" i="1"/>
  <c r="BJ133" i="1"/>
  <c r="BJ144" i="1"/>
  <c r="BJ154" i="1"/>
  <c r="BJ164" i="1"/>
  <c r="BJ185" i="1"/>
  <c r="BJ195" i="1"/>
  <c r="BJ206" i="1"/>
  <c r="BJ214" i="1"/>
  <c r="BJ223" i="1"/>
  <c r="BJ233" i="1"/>
  <c r="BJ241" i="1"/>
  <c r="BJ250" i="1"/>
  <c r="BJ268" i="1"/>
  <c r="BJ277" i="1"/>
  <c r="BJ285" i="1"/>
  <c r="BJ312" i="1"/>
  <c r="BJ321" i="1"/>
  <c r="BJ330" i="1"/>
  <c r="BJ339" i="1"/>
  <c r="BJ348" i="1"/>
  <c r="BJ359" i="1"/>
  <c r="BJ371" i="1"/>
  <c r="BJ381" i="1"/>
  <c r="BJ391" i="1"/>
  <c r="BJ402" i="1"/>
  <c r="BJ413" i="1"/>
  <c r="BJ9" i="1"/>
  <c r="BK9" i="1" s="1"/>
  <c r="BJ21" i="1"/>
  <c r="BK21" i="1" s="1"/>
  <c r="BJ33" i="1"/>
  <c r="BK33" i="1" s="1"/>
  <c r="BJ45" i="1"/>
  <c r="BK45" i="1" s="1"/>
  <c r="BJ57" i="1"/>
  <c r="BJ69" i="1"/>
  <c r="BK69" i="1" s="1"/>
  <c r="BJ81" i="1"/>
  <c r="BK81" i="1" s="1"/>
  <c r="BJ93" i="1"/>
  <c r="BK93" i="1" s="1"/>
  <c r="BJ102" i="1"/>
  <c r="BJ113" i="1"/>
  <c r="BJ123" i="1"/>
  <c r="BJ134" i="1"/>
  <c r="BJ145" i="1"/>
  <c r="BJ155" i="1"/>
  <c r="BJ165" i="1"/>
  <c r="BJ175" i="1"/>
  <c r="BJ186" i="1"/>
  <c r="BJ196" i="1"/>
  <c r="BK196" i="1" s="1"/>
  <c r="BJ207" i="1"/>
  <c r="BJ224" i="1"/>
  <c r="BK225" i="1" s="1"/>
  <c r="BJ242" i="1"/>
  <c r="BK242" i="1" s="1"/>
  <c r="BJ251" i="1"/>
  <c r="BJ259" i="1"/>
  <c r="BJ278" i="1"/>
  <c r="BK278" i="1" s="1"/>
  <c r="BJ286" i="1"/>
  <c r="BK286" i="1" s="1"/>
  <c r="BJ295" i="1"/>
  <c r="BJ305" i="1"/>
  <c r="BJ313" i="1"/>
  <c r="BJ322" i="1"/>
  <c r="BJ340" i="1"/>
  <c r="BJ360" i="1"/>
  <c r="BJ372" i="1"/>
  <c r="BK372" i="1" s="1"/>
  <c r="BJ382" i="1"/>
  <c r="BK382" i="1" s="1"/>
  <c r="BJ392" i="1"/>
  <c r="BJ403" i="1"/>
  <c r="BJ414" i="1"/>
  <c r="BK414" i="1" s="1"/>
  <c r="BJ425" i="1"/>
  <c r="BJ435" i="1"/>
  <c r="BJ445" i="1"/>
  <c r="BJ455" i="1"/>
  <c r="BJ465" i="1"/>
  <c r="BJ474" i="1"/>
  <c r="BJ501" i="1"/>
  <c r="BJ510" i="1"/>
  <c r="BJ527" i="1"/>
  <c r="BJ544" i="1"/>
  <c r="BJ553" i="1"/>
  <c r="BJ561" i="1"/>
  <c r="BJ578" i="1"/>
  <c r="BJ586" i="1"/>
  <c r="BJ595" i="1"/>
  <c r="BJ604" i="1"/>
  <c r="BJ612" i="1"/>
  <c r="BJ630" i="1"/>
  <c r="BJ637" i="1"/>
  <c r="BK637" i="1" s="1"/>
  <c r="BJ654" i="1"/>
  <c r="BJ662" i="1"/>
  <c r="BJ678" i="1"/>
  <c r="BJ686" i="1"/>
  <c r="BJ693" i="1"/>
  <c r="BJ701" i="1"/>
  <c r="BJ710" i="1"/>
  <c r="BJ727" i="1"/>
  <c r="BJ760" i="1"/>
  <c r="BJ768" i="1"/>
  <c r="BJ777" i="1"/>
  <c r="BJ10" i="1"/>
  <c r="BJ22" i="1"/>
  <c r="BJ34" i="1"/>
  <c r="BJ46" i="1"/>
  <c r="BJ58" i="1"/>
  <c r="BJ70" i="1"/>
  <c r="BJ82" i="1"/>
  <c r="BJ103" i="1"/>
  <c r="BJ114" i="1"/>
  <c r="BJ124" i="1"/>
  <c r="BJ135" i="1"/>
  <c r="BJ146" i="1"/>
  <c r="BJ156" i="1"/>
  <c r="BJ166" i="1"/>
  <c r="BJ176" i="1"/>
  <c r="BK176" i="1" s="1"/>
  <c r="BJ197" i="1"/>
  <c r="BJ208" i="1"/>
  <c r="BJ215" i="1"/>
  <c r="BJ234" i="1"/>
  <c r="BJ243" i="1"/>
  <c r="BK243" i="1" s="1"/>
  <c r="BJ252" i="1"/>
  <c r="BJ260" i="1"/>
  <c r="BJ269" i="1"/>
  <c r="BJ279" i="1"/>
  <c r="BJ296" i="1"/>
  <c r="BJ314" i="1"/>
  <c r="BJ323" i="1"/>
  <c r="BJ331" i="1"/>
  <c r="BJ349" i="1"/>
  <c r="BJ361" i="1"/>
  <c r="BJ373" i="1"/>
  <c r="BJ383" i="1"/>
  <c r="BJ393" i="1"/>
  <c r="BJ404" i="1"/>
  <c r="BJ415" i="1"/>
  <c r="BJ426" i="1"/>
  <c r="BJ436" i="1"/>
  <c r="BJ446" i="1"/>
  <c r="BJ466" i="1"/>
  <c r="BJ475" i="1"/>
  <c r="BJ484" i="1"/>
  <c r="BJ493" i="1"/>
  <c r="BJ502" i="1"/>
  <c r="BJ519" i="1"/>
  <c r="BJ528" i="1"/>
  <c r="BJ535" i="1"/>
  <c r="BJ545" i="1"/>
  <c r="BJ570" i="1"/>
  <c r="BJ613" i="1"/>
  <c r="BJ622" i="1"/>
  <c r="BJ638" i="1"/>
  <c r="BJ646" i="1"/>
  <c r="BJ655" i="1"/>
  <c r="BJ670" i="1"/>
  <c r="BJ694" i="1"/>
  <c r="BJ702" i="1"/>
  <c r="BJ719" i="1"/>
  <c r="BJ728" i="1"/>
  <c r="BJ736" i="1"/>
  <c r="BJ744" i="1"/>
  <c r="BJ752" i="1"/>
  <c r="BJ769" i="1"/>
  <c r="BJ778" i="1"/>
  <c r="BJ785" i="1"/>
  <c r="BJ793" i="1"/>
  <c r="BJ11" i="1"/>
  <c r="BJ23" i="1"/>
  <c r="BJ35" i="1"/>
  <c r="BJ47" i="1"/>
  <c r="BJ59" i="1"/>
  <c r="BJ71" i="1"/>
  <c r="BJ83" i="1"/>
  <c r="BJ94" i="1"/>
  <c r="BJ104" i="1"/>
  <c r="BJ115" i="1"/>
  <c r="BK115" i="1" s="1"/>
  <c r="BJ125" i="1"/>
  <c r="BJ136" i="1"/>
  <c r="BJ157" i="1"/>
  <c r="BJ167" i="1"/>
  <c r="BJ177" i="1"/>
  <c r="BJ187" i="1"/>
  <c r="BJ216" i="1"/>
  <c r="BJ225" i="1"/>
  <c r="BJ244" i="1"/>
  <c r="BJ253" i="1"/>
  <c r="BJ270" i="1"/>
  <c r="BJ280" i="1"/>
  <c r="BJ287" i="1"/>
  <c r="BJ306" i="1"/>
  <c r="BJ315" i="1"/>
  <c r="BJ324" i="1"/>
  <c r="BJ332" i="1"/>
  <c r="BJ341" i="1"/>
  <c r="BJ350" i="1"/>
  <c r="BJ362" i="1"/>
  <c r="BJ374" i="1"/>
  <c r="BJ384" i="1"/>
  <c r="BJ394" i="1"/>
  <c r="BJ405" i="1"/>
  <c r="BK405" i="1" s="1"/>
  <c r="BJ416" i="1"/>
  <c r="BJ427" i="1"/>
  <c r="BJ437" i="1"/>
  <c r="BJ456" i="1"/>
  <c r="BK456" i="1" s="1"/>
  <c r="BJ476" i="1"/>
  <c r="BJ485" i="1"/>
  <c r="BJ494" i="1"/>
  <c r="BJ511" i="1"/>
  <c r="BJ520" i="1"/>
  <c r="BJ536" i="1"/>
  <c r="BK536" i="1" s="1"/>
  <c r="BJ554" i="1"/>
  <c r="BJ562" i="1"/>
  <c r="BJ579" i="1"/>
  <c r="BJ587" i="1"/>
  <c r="BJ596" i="1"/>
  <c r="BJ605" i="1"/>
  <c r="BJ614" i="1"/>
  <c r="BJ623" i="1"/>
  <c r="BJ631" i="1"/>
  <c r="BJ639" i="1"/>
  <c r="BJ647" i="1"/>
  <c r="BK647" i="1" s="1"/>
  <c r="BJ656" i="1"/>
  <c r="BJ663" i="1"/>
  <c r="BJ679" i="1"/>
  <c r="BK679" i="1" s="1"/>
  <c r="BJ687" i="1"/>
  <c r="BJ695" i="1"/>
  <c r="BJ703" i="1"/>
  <c r="BJ711" i="1"/>
  <c r="BJ720" i="1"/>
  <c r="BJ729" i="1"/>
  <c r="BK729" i="1" s="1"/>
  <c r="BJ12" i="1"/>
  <c r="BJ24" i="1"/>
  <c r="BJ36" i="1"/>
  <c r="BJ48" i="1"/>
  <c r="BJ60" i="1"/>
  <c r="BJ72" i="1"/>
  <c r="BJ84" i="1"/>
  <c r="BJ95" i="1"/>
  <c r="BJ105" i="1"/>
  <c r="BJ116" i="1"/>
  <c r="BJ137" i="1"/>
  <c r="BJ147" i="1"/>
  <c r="BJ158" i="1"/>
  <c r="BJ168" i="1"/>
  <c r="BJ178" i="1"/>
  <c r="BJ188" i="1"/>
  <c r="BJ198" i="1"/>
  <c r="BK198" i="1" s="1"/>
  <c r="BJ209" i="1"/>
  <c r="BJ217" i="1"/>
  <c r="BJ226" i="1"/>
  <c r="BJ235" i="1"/>
  <c r="BK235" i="1" s="1"/>
  <c r="BJ254" i="1"/>
  <c r="BJ261" i="1"/>
  <c r="BJ288" i="1"/>
  <c r="BJ297" i="1"/>
  <c r="BJ316" i="1"/>
  <c r="BJ325" i="1"/>
  <c r="BJ342" i="1"/>
  <c r="BJ351" i="1"/>
  <c r="BJ363" i="1"/>
  <c r="BJ375" i="1"/>
  <c r="BJ395" i="1"/>
  <c r="BJ406" i="1"/>
  <c r="BJ417" i="1"/>
  <c r="BK417" i="1" s="1"/>
  <c r="BJ428" i="1"/>
  <c r="BJ438" i="1"/>
  <c r="BJ447" i="1"/>
  <c r="BJ467" i="1"/>
  <c r="BJ477" i="1"/>
  <c r="BJ486" i="1"/>
  <c r="BJ503" i="1"/>
  <c r="BJ512" i="1"/>
  <c r="BJ521" i="1"/>
  <c r="BJ529" i="1"/>
  <c r="BJ537" i="1"/>
  <c r="BJ546" i="1"/>
  <c r="BK546" i="1" s="1"/>
  <c r="BJ571" i="1"/>
  <c r="BJ580" i="1"/>
  <c r="BJ588" i="1"/>
  <c r="BJ606" i="1"/>
  <c r="BJ615" i="1"/>
  <c r="BJ648" i="1"/>
  <c r="BJ671" i="1"/>
  <c r="BJ680" i="1"/>
  <c r="BJ712" i="1"/>
  <c r="BJ721" i="1"/>
  <c r="BJ730" i="1"/>
  <c r="BJ13" i="1"/>
  <c r="BK13" i="1" s="1"/>
  <c r="BJ25" i="1"/>
  <c r="BJ37" i="1"/>
  <c r="BJ49" i="1"/>
  <c r="BJ61" i="1"/>
  <c r="BJ73" i="1"/>
  <c r="BJ85" i="1"/>
  <c r="BK85" i="1" s="1"/>
  <c r="BJ96" i="1"/>
  <c r="BJ117" i="1"/>
  <c r="BJ126" i="1"/>
  <c r="BK126" i="1" s="1"/>
  <c r="BJ138" i="1"/>
  <c r="BJ148" i="1"/>
  <c r="BJ169" i="1"/>
  <c r="BJ179" i="1"/>
  <c r="BJ189" i="1"/>
  <c r="BJ199" i="1"/>
  <c r="BJ218" i="1"/>
  <c r="BJ227" i="1"/>
  <c r="BJ236" i="1"/>
  <c r="BJ245" i="1"/>
  <c r="BJ255" i="1"/>
  <c r="BJ262" i="1"/>
  <c r="BJ271" i="1"/>
  <c r="BJ281" i="1"/>
  <c r="BJ289" i="1"/>
  <c r="BJ298" i="1"/>
  <c r="BK298" i="1" s="1"/>
  <c r="BJ307" i="1"/>
  <c r="BJ326" i="1"/>
  <c r="BJ333" i="1"/>
  <c r="BJ352" i="1"/>
  <c r="BJ364" i="1"/>
  <c r="BJ376" i="1"/>
  <c r="BJ385" i="1"/>
  <c r="BJ396" i="1"/>
  <c r="BJ407" i="1"/>
  <c r="BJ418" i="1"/>
  <c r="BK418" i="1" s="1"/>
  <c r="BJ448" i="1"/>
  <c r="BJ457" i="1"/>
  <c r="BJ478" i="1"/>
  <c r="BJ495" i="1"/>
  <c r="BK495" i="1" s="1"/>
  <c r="BJ504" i="1"/>
  <c r="BJ522" i="1"/>
  <c r="BK522" i="1" s="1"/>
  <c r="BJ538" i="1"/>
  <c r="BJ14" i="1"/>
  <c r="BJ26" i="1"/>
  <c r="BJ38" i="1"/>
  <c r="BJ50" i="1"/>
  <c r="BJ62" i="1"/>
  <c r="BJ74" i="1"/>
  <c r="BJ86" i="1"/>
  <c r="BJ97" i="1"/>
  <c r="BJ106" i="1"/>
  <c r="BJ127" i="1"/>
  <c r="BJ149" i="1"/>
  <c r="BJ159" i="1"/>
  <c r="BK159" i="1" s="1"/>
  <c r="BJ170" i="1"/>
  <c r="BJ180" i="1"/>
  <c r="BJ190" i="1"/>
  <c r="BJ200" i="1"/>
  <c r="BJ210" i="1"/>
  <c r="BJ219" i="1"/>
  <c r="BK219" i="1" s="1"/>
  <c r="BJ228" i="1"/>
  <c r="BJ246" i="1"/>
  <c r="BJ256" i="1"/>
  <c r="BJ272" i="1"/>
  <c r="BJ290" i="1"/>
  <c r="BJ299" i="1"/>
  <c r="BJ308" i="1"/>
  <c r="BJ317" i="1"/>
  <c r="BJ327" i="1"/>
  <c r="BJ334" i="1"/>
  <c r="BJ343" i="1"/>
  <c r="BJ353" i="1"/>
  <c r="BJ365" i="1"/>
  <c r="BJ386" i="1"/>
  <c r="BJ397" i="1"/>
  <c r="BJ408" i="1"/>
  <c r="BJ15" i="1"/>
  <c r="BJ27" i="1"/>
  <c r="BJ39" i="1"/>
  <c r="BJ51" i="1"/>
  <c r="BJ63" i="1"/>
  <c r="BJ75" i="1"/>
  <c r="BJ87" i="1"/>
  <c r="BJ107" i="1"/>
  <c r="BJ118" i="1"/>
  <c r="BJ128" i="1"/>
  <c r="BJ139" i="1"/>
  <c r="BJ150" i="1"/>
  <c r="BJ160" i="1"/>
  <c r="BJ181" i="1"/>
  <c r="BJ191" i="1"/>
  <c r="BJ201" i="1"/>
  <c r="BJ220" i="1"/>
  <c r="BJ229" i="1"/>
  <c r="BJ237" i="1"/>
  <c r="BJ263" i="1"/>
  <c r="BK263" i="1" s="1"/>
  <c r="BJ282" i="1"/>
  <c r="BJ291" i="1"/>
  <c r="BJ300" i="1"/>
  <c r="BJ318" i="1"/>
  <c r="BJ328" i="1"/>
  <c r="BK328" i="1" s="1"/>
  <c r="BJ344" i="1"/>
  <c r="BJ354" i="1"/>
  <c r="BJ366" i="1"/>
  <c r="BJ377" i="1"/>
  <c r="BJ387" i="1"/>
  <c r="BJ398" i="1"/>
  <c r="BJ409" i="1"/>
  <c r="BJ420" i="1"/>
  <c r="BJ430" i="1"/>
  <c r="BJ440" i="1"/>
  <c r="BJ450" i="1"/>
  <c r="BJ459" i="1"/>
  <c r="BJ479" i="1"/>
  <c r="BJ488" i="1"/>
  <c r="BJ506" i="1"/>
  <c r="BJ514" i="1"/>
  <c r="BJ539" i="1"/>
  <c r="BJ548" i="1"/>
  <c r="BJ565" i="1"/>
  <c r="BJ582" i="1"/>
  <c r="BJ590" i="1"/>
  <c r="BJ599" i="1"/>
  <c r="BJ16" i="1"/>
  <c r="BJ28" i="1"/>
  <c r="BJ40" i="1"/>
  <c r="BJ52" i="1"/>
  <c r="BJ64" i="1"/>
  <c r="BJ76" i="1"/>
  <c r="BJ88" i="1"/>
  <c r="BJ98" i="1"/>
  <c r="BJ108" i="1"/>
  <c r="BJ119" i="1"/>
  <c r="BK119" i="1" s="1"/>
  <c r="BJ129" i="1"/>
  <c r="BK129" i="1" s="1"/>
  <c r="BJ140" i="1"/>
  <c r="BK140" i="1" s="1"/>
  <c r="BJ161" i="1"/>
  <c r="BJ171" i="1"/>
  <c r="BJ182" i="1"/>
  <c r="BK182" i="1" s="1"/>
  <c r="BJ192" i="1"/>
  <c r="BK192" i="1" s="1"/>
  <c r="BJ202" i="1"/>
  <c r="BK202" i="1" s="1"/>
  <c r="BJ211" i="1"/>
  <c r="BJ230" i="1"/>
  <c r="BK230" i="1" s="1"/>
  <c r="BJ238" i="1"/>
  <c r="BK238" i="1" s="1"/>
  <c r="BJ247" i="1"/>
  <c r="BJ257" i="1"/>
  <c r="BJ264" i="1"/>
  <c r="BJ273" i="1"/>
  <c r="BJ292" i="1"/>
  <c r="BJ301" i="1"/>
  <c r="BK301" i="1" s="1"/>
  <c r="BJ309" i="1"/>
  <c r="BJ335" i="1"/>
  <c r="BJ355" i="1"/>
  <c r="BJ367" i="1"/>
  <c r="BJ378" i="1"/>
  <c r="BJ388" i="1"/>
  <c r="BJ399" i="1"/>
  <c r="BJ410" i="1"/>
  <c r="BJ421" i="1"/>
  <c r="BJ431" i="1"/>
  <c r="BJ441" i="1"/>
  <c r="BJ451" i="1"/>
  <c r="BJ460" i="1"/>
  <c r="BJ469" i="1"/>
  <c r="BK469" i="1" s="1"/>
  <c r="BJ480" i="1"/>
  <c r="BJ489" i="1"/>
  <c r="BJ497" i="1"/>
  <c r="BJ507" i="1"/>
  <c r="BJ515" i="1"/>
  <c r="BJ524" i="1"/>
  <c r="BJ531" i="1"/>
  <c r="BJ540" i="1"/>
  <c r="BJ557" i="1"/>
  <c r="BJ566" i="1"/>
  <c r="BJ574" i="1"/>
  <c r="BJ591" i="1"/>
  <c r="BJ17" i="1"/>
  <c r="BJ29" i="1"/>
  <c r="BJ41" i="1"/>
  <c r="BJ53" i="1"/>
  <c r="BJ65" i="1"/>
  <c r="BJ77" i="1"/>
  <c r="BJ89" i="1"/>
  <c r="BJ99" i="1"/>
  <c r="BJ109" i="1"/>
  <c r="BJ120" i="1"/>
  <c r="BJ130" i="1"/>
  <c r="BJ141" i="1"/>
  <c r="BJ151" i="1"/>
  <c r="BJ162" i="1"/>
  <c r="BJ172" i="1"/>
  <c r="BJ193" i="1"/>
  <c r="BJ203" i="1"/>
  <c r="BJ212" i="1"/>
  <c r="BJ221" i="1"/>
  <c r="BJ231" i="1"/>
  <c r="BJ248" i="1"/>
  <c r="BJ265" i="1"/>
  <c r="BJ274" i="1"/>
  <c r="BJ283" i="1"/>
  <c r="BJ302" i="1"/>
  <c r="BJ310" i="1"/>
  <c r="BJ319" i="1"/>
  <c r="BJ329" i="1"/>
  <c r="BJ336" i="1"/>
  <c r="BJ345" i="1"/>
  <c r="BJ356" i="1"/>
  <c r="BJ368" i="1"/>
  <c r="BJ379" i="1"/>
  <c r="BJ400" i="1"/>
  <c r="BJ411" i="1"/>
  <c r="BJ422" i="1"/>
  <c r="BK422" i="1" s="1"/>
  <c r="BJ432" i="1"/>
  <c r="BJ442" i="1"/>
  <c r="BJ452" i="1"/>
  <c r="BJ461" i="1"/>
  <c r="BJ470" i="1"/>
  <c r="BJ490" i="1"/>
  <c r="BJ498" i="1"/>
  <c r="BJ532" i="1"/>
  <c r="BJ541" i="1"/>
  <c r="BJ549" i="1"/>
  <c r="BJ558" i="1"/>
  <c r="BJ567" i="1"/>
  <c r="BJ575" i="1"/>
  <c r="BJ583" i="1"/>
  <c r="BJ601" i="1"/>
  <c r="BJ627" i="1"/>
  <c r="BJ651" i="1"/>
  <c r="BJ659" i="1"/>
  <c r="BJ675" i="1"/>
  <c r="BJ683" i="1"/>
  <c r="BJ699" i="1"/>
  <c r="BJ18" i="1"/>
  <c r="BJ152" i="1"/>
  <c r="BJ266" i="1"/>
  <c r="BK267" i="1" s="1"/>
  <c r="BJ380" i="1"/>
  <c r="BJ483" i="1"/>
  <c r="BJ518" i="1"/>
  <c r="BK518" i="1" s="1"/>
  <c r="BJ550" i="1"/>
  <c r="BJ600" i="1"/>
  <c r="BK600" i="1" s="1"/>
  <c r="BJ619" i="1"/>
  <c r="BJ635" i="1"/>
  <c r="BK635" i="1" s="1"/>
  <c r="BJ652" i="1"/>
  <c r="BJ668" i="1"/>
  <c r="BJ715" i="1"/>
  <c r="BJ731" i="1"/>
  <c r="BJ740" i="1"/>
  <c r="BJ750" i="1"/>
  <c r="BJ761" i="1"/>
  <c r="BJ771" i="1"/>
  <c r="BJ781" i="1"/>
  <c r="BJ790" i="1"/>
  <c r="BJ799" i="1"/>
  <c r="BJ807" i="1"/>
  <c r="BJ816" i="1"/>
  <c r="BJ825" i="1"/>
  <c r="BJ832" i="1"/>
  <c r="BJ838" i="1"/>
  <c r="BJ845" i="1"/>
  <c r="BK845" i="1" s="1"/>
  <c r="BJ853" i="1"/>
  <c r="BK853" i="1" s="1"/>
  <c r="BJ861" i="1"/>
  <c r="BJ869" i="1"/>
  <c r="BK869" i="1" s="1"/>
  <c r="BJ886" i="1"/>
  <c r="BJ899" i="1"/>
  <c r="BK899" i="1" s="1"/>
  <c r="BJ906" i="1"/>
  <c r="BJ917" i="1"/>
  <c r="BK917" i="1" s="1"/>
  <c r="BJ931" i="1"/>
  <c r="BJ938" i="1"/>
  <c r="BK938" i="1" s="1"/>
  <c r="BJ945" i="1"/>
  <c r="BK945" i="1" s="1"/>
  <c r="BJ968" i="1"/>
  <c r="BJ975" i="1"/>
  <c r="BK975" i="1" s="1"/>
  <c r="BJ983" i="1"/>
  <c r="BK983" i="1" s="1"/>
  <c r="BJ998" i="1"/>
  <c r="BK998" i="1" s="1"/>
  <c r="BJ1006" i="1"/>
  <c r="BJ1013" i="1"/>
  <c r="BK1013" i="1" s="1"/>
  <c r="BJ1026" i="1"/>
  <c r="BJ1047" i="1"/>
  <c r="BJ1077" i="1"/>
  <c r="BJ1083" i="1"/>
  <c r="BK1083" i="1" s="1"/>
  <c r="BJ1095" i="1"/>
  <c r="BJ30" i="1"/>
  <c r="BK30" i="1" s="1"/>
  <c r="BJ275" i="1"/>
  <c r="BK275" i="1" s="1"/>
  <c r="BJ389" i="1"/>
  <c r="BJ449" i="1"/>
  <c r="BJ487" i="1"/>
  <c r="BJ523" i="1"/>
  <c r="BJ552" i="1"/>
  <c r="BK552" i="1" s="1"/>
  <c r="BJ577" i="1"/>
  <c r="BJ602" i="1"/>
  <c r="BJ621" i="1"/>
  <c r="BJ653" i="1"/>
  <c r="BK653" i="1" s="1"/>
  <c r="BJ669" i="1"/>
  <c r="BK669" i="1" s="1"/>
  <c r="BJ685" i="1"/>
  <c r="BJ716" i="1"/>
  <c r="BJ741" i="1"/>
  <c r="BK741" i="1" s="1"/>
  <c r="BJ751" i="1"/>
  <c r="BK751" i="1" s="1"/>
  <c r="BJ782" i="1"/>
  <c r="BJ791" i="1"/>
  <c r="BJ808" i="1"/>
  <c r="BJ817" i="1"/>
  <c r="BJ826" i="1"/>
  <c r="BJ846" i="1"/>
  <c r="BJ854" i="1"/>
  <c r="BJ862" i="1"/>
  <c r="BJ870" i="1"/>
  <c r="BJ877" i="1"/>
  <c r="BK877" i="1" s="1"/>
  <c r="BJ900" i="1"/>
  <c r="BJ912" i="1"/>
  <c r="BJ918" i="1"/>
  <c r="BJ924" i="1"/>
  <c r="BK924" i="1" s="1"/>
  <c r="BJ939" i="1"/>
  <c r="BJ946" i="1"/>
  <c r="BJ953" i="1"/>
  <c r="BK953" i="1" s="1"/>
  <c r="BJ976" i="1"/>
  <c r="BJ984" i="1"/>
  <c r="BJ991" i="1"/>
  <c r="BK991" i="1" s="1"/>
  <c r="BJ999" i="1"/>
  <c r="BK999" i="1" s="1"/>
  <c r="BJ1014" i="1"/>
  <c r="BK1014" i="1" s="1"/>
  <c r="BJ1021" i="1"/>
  <c r="BJ1033" i="1"/>
  <c r="BK1033" i="1" s="1"/>
  <c r="BJ1053" i="1"/>
  <c r="BJ1059" i="1"/>
  <c r="BK1059" i="1" s="1"/>
  <c r="BJ1065" i="1"/>
  <c r="BJ1084" i="1"/>
  <c r="BJ1108" i="1"/>
  <c r="BJ42" i="1"/>
  <c r="BJ173" i="1"/>
  <c r="BJ284" i="1"/>
  <c r="BJ453" i="1"/>
  <c r="BJ491" i="1"/>
  <c r="BJ525" i="1"/>
  <c r="BJ555" i="1"/>
  <c r="BJ603" i="1"/>
  <c r="BJ624" i="1"/>
  <c r="BJ640" i="1"/>
  <c r="BK640" i="1" s="1"/>
  <c r="BJ657" i="1"/>
  <c r="BJ688" i="1"/>
  <c r="BK688" i="1" s="1"/>
  <c r="BJ704" i="1"/>
  <c r="BJ732" i="1"/>
  <c r="BJ742" i="1"/>
  <c r="BJ762" i="1"/>
  <c r="BJ772" i="1"/>
  <c r="BJ800" i="1"/>
  <c r="BJ818" i="1"/>
  <c r="BJ827" i="1"/>
  <c r="BJ833" i="1"/>
  <c r="BK833" i="1" s="1"/>
  <c r="BJ839" i="1"/>
  <c r="BJ878" i="1"/>
  <c r="BJ887" i="1"/>
  <c r="BK887" i="1" s="1"/>
  <c r="BJ893" i="1"/>
  <c r="BK893" i="1" s="1"/>
  <c r="BJ907" i="1"/>
  <c r="BJ925" i="1"/>
  <c r="BJ954" i="1"/>
  <c r="BK954" i="1" s="1"/>
  <c r="BJ961" i="1"/>
  <c r="BK961" i="1" s="1"/>
  <c r="BJ992" i="1"/>
  <c r="BJ1000" i="1"/>
  <c r="BJ1007" i="1"/>
  <c r="BK1007" i="1" s="1"/>
  <c r="BJ1015" i="1"/>
  <c r="BK1015" i="1" s="1"/>
  <c r="BJ1027" i="1"/>
  <c r="BK1027" i="1" s="1"/>
  <c r="BJ1034" i="1"/>
  <c r="BK1034" i="1" s="1"/>
  <c r="BJ1041" i="1"/>
  <c r="BK1041" i="1" s="1"/>
  <c r="BJ1060" i="1"/>
  <c r="BJ1072" i="1"/>
  <c r="BK1072" i="1" s="1"/>
  <c r="BJ1078" i="1"/>
  <c r="BJ1089" i="1"/>
  <c r="BK1089" i="1" s="1"/>
  <c r="BJ1102" i="1"/>
  <c r="BJ1114" i="1"/>
  <c r="BJ1119" i="1"/>
  <c r="BL1119" i="1" s="1"/>
  <c r="BJ1130" i="1"/>
  <c r="BJ1135" i="1"/>
  <c r="BK1135" i="1" s="1"/>
  <c r="BJ1146" i="1"/>
  <c r="BJ1151" i="1"/>
  <c r="BK1151" i="1" s="1"/>
  <c r="BJ1162" i="1"/>
  <c r="BJ1167" i="1"/>
  <c r="BK1167" i="1" s="1"/>
  <c r="BJ1178" i="1"/>
  <c r="BJ1183" i="1"/>
  <c r="BJ1194" i="1"/>
  <c r="BJ1199" i="1"/>
  <c r="BK1199" i="1" s="1"/>
  <c r="BJ1210" i="1"/>
  <c r="BJ1215" i="1"/>
  <c r="BK1215" i="1" s="1"/>
  <c r="BJ1263" i="1"/>
  <c r="BJ1269" i="1"/>
  <c r="BJ1276" i="1"/>
  <c r="BJ1282" i="1"/>
  <c r="BJ1288" i="1"/>
  <c r="BJ54" i="1"/>
  <c r="BJ183" i="1"/>
  <c r="BJ293" i="1"/>
  <c r="BK293" i="1" s="1"/>
  <c r="BJ412" i="1"/>
  <c r="BJ492" i="1"/>
  <c r="BK492" i="1" s="1"/>
  <c r="BJ556" i="1"/>
  <c r="BJ581" i="1"/>
  <c r="BJ607" i="1"/>
  <c r="BJ625" i="1"/>
  <c r="BJ641" i="1"/>
  <c r="BK641" i="1" s="1"/>
  <c r="BJ672" i="1"/>
  <c r="BJ718" i="1"/>
  <c r="BK719" i="1" s="1"/>
  <c r="BJ733" i="1"/>
  <c r="BK733" i="1" s="1"/>
  <c r="BJ743" i="1"/>
  <c r="BJ753" i="1"/>
  <c r="BJ763" i="1"/>
  <c r="BJ773" i="1"/>
  <c r="BK773" i="1" s="1"/>
  <c r="BJ783" i="1"/>
  <c r="BJ792" i="1"/>
  <c r="BJ809" i="1"/>
  <c r="BJ834" i="1"/>
  <c r="BJ847" i="1"/>
  <c r="BK847" i="1" s="1"/>
  <c r="BJ855" i="1"/>
  <c r="BK855" i="1" s="1"/>
  <c r="BJ863" i="1"/>
  <c r="BK863" i="1" s="1"/>
  <c r="BJ871" i="1"/>
  <c r="BK871" i="1" s="1"/>
  <c r="BJ888" i="1"/>
  <c r="BJ894" i="1"/>
  <c r="BJ901" i="1"/>
  <c r="BK901" i="1" s="1"/>
  <c r="BJ919" i="1"/>
  <c r="BK919" i="1" s="1"/>
  <c r="BJ926" i="1"/>
  <c r="BJ932" i="1"/>
  <c r="BK932" i="1" s="1"/>
  <c r="BJ947" i="1"/>
  <c r="BJ955" i="1"/>
  <c r="BJ962" i="1"/>
  <c r="BJ969" i="1"/>
  <c r="BK969" i="1" s="1"/>
  <c r="BJ1008" i="1"/>
  <c r="BJ1016" i="1"/>
  <c r="BJ1022" i="1"/>
  <c r="BK1022" i="1" s="1"/>
  <c r="BJ1028" i="1"/>
  <c r="BJ1035" i="1"/>
  <c r="BJ1042" i="1"/>
  <c r="BJ1048" i="1"/>
  <c r="BK1048" i="1" s="1"/>
  <c r="BJ1054" i="1"/>
  <c r="BJ1066" i="1"/>
  <c r="BJ1073" i="1"/>
  <c r="BJ1090" i="1"/>
  <c r="BJ1096" i="1"/>
  <c r="BK1096" i="1" s="1"/>
  <c r="BJ1120" i="1"/>
  <c r="BJ1125" i="1"/>
  <c r="BJ1136" i="1"/>
  <c r="BJ1141" i="1"/>
  <c r="BJ1152" i="1"/>
  <c r="BJ1157" i="1"/>
  <c r="BJ1168" i="1"/>
  <c r="BJ1173" i="1"/>
  <c r="BJ1184" i="1"/>
  <c r="BJ1189" i="1"/>
  <c r="BJ1200" i="1"/>
  <c r="BJ1205" i="1"/>
  <c r="BJ1216" i="1"/>
  <c r="BJ1221" i="1"/>
  <c r="BJ1227" i="1"/>
  <c r="BL1227" i="1" s="1"/>
  <c r="BJ1233" i="1"/>
  <c r="BJ1239" i="1"/>
  <c r="BK1239" i="1" s="1"/>
  <c r="BJ1245" i="1"/>
  <c r="BJ66" i="1"/>
  <c r="BJ194" i="1"/>
  <c r="BJ303" i="1"/>
  <c r="BJ419" i="1"/>
  <c r="BJ458" i="1"/>
  <c r="BJ496" i="1"/>
  <c r="BK496" i="1" s="1"/>
  <c r="BJ530" i="1"/>
  <c r="BK531" i="1" s="1"/>
  <c r="BJ559" i="1"/>
  <c r="BJ608" i="1"/>
  <c r="BJ626" i="1"/>
  <c r="BJ642" i="1"/>
  <c r="BJ658" i="1"/>
  <c r="BJ673" i="1"/>
  <c r="BJ689" i="1"/>
  <c r="BJ705" i="1"/>
  <c r="BJ722" i="1"/>
  <c r="BK722" i="1" s="1"/>
  <c r="BJ734" i="1"/>
  <c r="BJ754" i="1"/>
  <c r="BJ764" i="1"/>
  <c r="BJ774" i="1"/>
  <c r="BJ794" i="1"/>
  <c r="BJ801" i="1"/>
  <c r="BJ810" i="1"/>
  <c r="BJ819" i="1"/>
  <c r="BJ828" i="1"/>
  <c r="BJ840" i="1"/>
  <c r="BJ848" i="1"/>
  <c r="BJ856" i="1"/>
  <c r="BJ864" i="1"/>
  <c r="BJ872" i="1"/>
  <c r="BJ879" i="1"/>
  <c r="BK879" i="1" s="1"/>
  <c r="BJ902" i="1"/>
  <c r="BJ913" i="1"/>
  <c r="BL913" i="1" s="1"/>
  <c r="BJ920" i="1"/>
  <c r="BJ933" i="1"/>
  <c r="BK933" i="1" s="1"/>
  <c r="BJ940" i="1"/>
  <c r="BK940" i="1" s="1"/>
  <c r="BJ970" i="1"/>
  <c r="BK970" i="1" s="1"/>
  <c r="BJ977" i="1"/>
  <c r="BK977" i="1" s="1"/>
  <c r="BJ985" i="1"/>
  <c r="BJ1023" i="1"/>
  <c r="BJ1049" i="1"/>
  <c r="BJ1079" i="1"/>
  <c r="BJ1085" i="1"/>
  <c r="BK1085" i="1" s="1"/>
  <c r="BJ78" i="1"/>
  <c r="BJ204" i="1"/>
  <c r="BJ423" i="1"/>
  <c r="BJ462" i="1"/>
  <c r="BJ499" i="1"/>
  <c r="BJ533" i="1"/>
  <c r="BK533" i="1" s="1"/>
  <c r="BJ585" i="1"/>
  <c r="BK585" i="1" s="1"/>
  <c r="BJ609" i="1"/>
  <c r="BJ643" i="1"/>
  <c r="BJ674" i="1"/>
  <c r="BJ690" i="1"/>
  <c r="BJ706" i="1"/>
  <c r="BJ735" i="1"/>
  <c r="BJ745" i="1"/>
  <c r="BJ755" i="1"/>
  <c r="BJ784" i="1"/>
  <c r="BJ795" i="1"/>
  <c r="BK795" i="1" s="1"/>
  <c r="BJ802" i="1"/>
  <c r="BJ811" i="1"/>
  <c r="BJ829" i="1"/>
  <c r="BK829" i="1" s="1"/>
  <c r="BJ880" i="1"/>
  <c r="BL880" i="1" s="1"/>
  <c r="BJ895" i="1"/>
  <c r="BJ908" i="1"/>
  <c r="BJ914" i="1"/>
  <c r="BJ927" i="1"/>
  <c r="BK927" i="1" s="1"/>
  <c r="BJ934" i="1"/>
  <c r="BJ941" i="1"/>
  <c r="BJ963" i="1"/>
  <c r="BJ971" i="1"/>
  <c r="BJ978" i="1"/>
  <c r="BK978" i="1" s="1"/>
  <c r="BJ986" i="1"/>
  <c r="BK986" i="1" s="1"/>
  <c r="BJ993" i="1"/>
  <c r="BJ1001" i="1"/>
  <c r="BK1001" i="1" s="1"/>
  <c r="BJ1043" i="1"/>
  <c r="BJ1055" i="1"/>
  <c r="BJ1061" i="1"/>
  <c r="BK1061" i="1" s="1"/>
  <c r="BJ1067" i="1"/>
  <c r="BJ1074" i="1"/>
  <c r="BJ1086" i="1"/>
  <c r="BJ1091" i="1"/>
  <c r="BJ90" i="1"/>
  <c r="BJ320" i="1"/>
  <c r="BJ464" i="1"/>
  <c r="BK465" i="1" s="1"/>
  <c r="BJ500" i="1"/>
  <c r="BJ534" i="1"/>
  <c r="BJ563" i="1"/>
  <c r="BJ610" i="1"/>
  <c r="BJ628" i="1"/>
  <c r="BJ644" i="1"/>
  <c r="BJ660" i="1"/>
  <c r="BJ676" i="1"/>
  <c r="BJ691" i="1"/>
  <c r="BJ707" i="1"/>
  <c r="BJ723" i="1"/>
  <c r="BJ746" i="1"/>
  <c r="BJ756" i="1"/>
  <c r="BJ765" i="1"/>
  <c r="BJ775" i="1"/>
  <c r="BJ786" i="1"/>
  <c r="BK786" i="1" s="1"/>
  <c r="BJ803" i="1"/>
  <c r="BJ812" i="1"/>
  <c r="BJ820" i="1"/>
  <c r="BJ830" i="1"/>
  <c r="BJ835" i="1"/>
  <c r="BJ841" i="1"/>
  <c r="BL841" i="1" s="1"/>
  <c r="BJ849" i="1"/>
  <c r="BK849" i="1" s="1"/>
  <c r="BJ857" i="1"/>
  <c r="BK857" i="1" s="1"/>
  <c r="BJ865" i="1"/>
  <c r="BJ873" i="1"/>
  <c r="BK873" i="1" s="1"/>
  <c r="BJ881" i="1"/>
  <c r="BK881" i="1" s="1"/>
  <c r="BJ889" i="1"/>
  <c r="BK889" i="1" s="1"/>
  <c r="BJ903" i="1"/>
  <c r="BJ928" i="1"/>
  <c r="BJ942" i="1"/>
  <c r="BJ948" i="1"/>
  <c r="BK948" i="1" s="1"/>
  <c r="BJ956" i="1"/>
  <c r="BK956" i="1" s="1"/>
  <c r="BJ979" i="1"/>
  <c r="BJ987" i="1"/>
  <c r="BJ994" i="1"/>
  <c r="BK994" i="1" s="1"/>
  <c r="BJ1002" i="1"/>
  <c r="BK1002" i="1" s="1"/>
  <c r="BJ1009" i="1"/>
  <c r="BL1009" i="1" s="1"/>
  <c r="BJ1017" i="1"/>
  <c r="BK1017" i="1" s="1"/>
  <c r="BJ1029" i="1"/>
  <c r="BK1029" i="1" s="1"/>
  <c r="BJ1036" i="1"/>
  <c r="BK1036" i="1" s="1"/>
  <c r="BJ1050" i="1"/>
  <c r="BK1050" i="1" s="1"/>
  <c r="BJ1062" i="1"/>
  <c r="BJ1080" i="1"/>
  <c r="BJ1098" i="1"/>
  <c r="BK1098" i="1" s="1"/>
  <c r="BJ100" i="1"/>
  <c r="BK100" i="1" s="1"/>
  <c r="BJ222" i="1"/>
  <c r="BJ429" i="1"/>
  <c r="BJ468" i="1"/>
  <c r="BK468" i="1" s="1"/>
  <c r="BJ505" i="1"/>
  <c r="BK505" i="1" s="1"/>
  <c r="BJ564" i="1"/>
  <c r="BK564" i="1" s="1"/>
  <c r="BJ589" i="1"/>
  <c r="BJ611" i="1"/>
  <c r="BJ629" i="1"/>
  <c r="BJ645" i="1"/>
  <c r="BJ677" i="1"/>
  <c r="BJ692" i="1"/>
  <c r="BK692" i="1" s="1"/>
  <c r="BJ708" i="1"/>
  <c r="BK708" i="1" s="1"/>
  <c r="BJ737" i="1"/>
  <c r="BK737" i="1" s="1"/>
  <c r="BJ747" i="1"/>
  <c r="BK747" i="1" s="1"/>
  <c r="BJ766" i="1"/>
  <c r="BJ776" i="1"/>
  <c r="BJ796" i="1"/>
  <c r="BJ804" i="1"/>
  <c r="BJ821" i="1"/>
  <c r="BJ842" i="1"/>
  <c r="BJ850" i="1"/>
  <c r="BJ858" i="1"/>
  <c r="BJ866" i="1"/>
  <c r="BJ874" i="1"/>
  <c r="BJ882" i="1"/>
  <c r="BJ890" i="1"/>
  <c r="BJ896" i="1"/>
  <c r="BJ909" i="1"/>
  <c r="BL909" i="1" s="1"/>
  <c r="BJ915" i="1"/>
  <c r="BJ921" i="1"/>
  <c r="BK921" i="1" s="1"/>
  <c r="BJ935" i="1"/>
  <c r="BK935" i="1" s="1"/>
  <c r="BJ949" i="1"/>
  <c r="BK949" i="1" s="1"/>
  <c r="BJ957" i="1"/>
  <c r="BK957" i="1" s="1"/>
  <c r="BJ995" i="1"/>
  <c r="BJ1003" i="1"/>
  <c r="BJ1010" i="1"/>
  <c r="BK1010" i="1" s="1"/>
  <c r="BJ1018" i="1"/>
  <c r="BJ1024" i="1"/>
  <c r="BJ1030" i="1"/>
  <c r="BJ1037" i="1"/>
  <c r="BJ1044" i="1"/>
  <c r="BJ110" i="1"/>
  <c r="BK110" i="1" s="1"/>
  <c r="BJ232" i="1"/>
  <c r="BK232" i="1" s="1"/>
  <c r="BJ337" i="1"/>
  <c r="BJ471" i="1"/>
  <c r="BJ508" i="1"/>
  <c r="BJ542" i="1"/>
  <c r="BK542" i="1" s="1"/>
  <c r="BJ592" i="1"/>
  <c r="BJ616" i="1"/>
  <c r="BJ632" i="1"/>
  <c r="BJ649" i="1"/>
  <c r="BJ664" i="1"/>
  <c r="BJ681" i="1"/>
  <c r="BJ696" i="1"/>
  <c r="BJ709" i="1"/>
  <c r="BJ724" i="1"/>
  <c r="BJ738" i="1"/>
  <c r="BJ757" i="1"/>
  <c r="BK757" i="1" s="1"/>
  <c r="BJ787" i="1"/>
  <c r="BJ813" i="1"/>
  <c r="BJ822" i="1"/>
  <c r="BJ904" i="1"/>
  <c r="BJ910" i="1"/>
  <c r="BJ922" i="1"/>
  <c r="BJ936" i="1"/>
  <c r="BJ943" i="1"/>
  <c r="BK943" i="1" s="1"/>
  <c r="BJ950" i="1"/>
  <c r="BK950" i="1" s="1"/>
  <c r="BJ958" i="1"/>
  <c r="BJ964" i="1"/>
  <c r="BK964" i="1" s="1"/>
  <c r="BJ972" i="1"/>
  <c r="BK972" i="1" s="1"/>
  <c r="BJ1011" i="1"/>
  <c r="BJ1075" i="1"/>
  <c r="BJ1081" i="1"/>
  <c r="BK1081" i="1" s="1"/>
  <c r="BJ121" i="1"/>
  <c r="BJ239" i="1"/>
  <c r="BJ346" i="1"/>
  <c r="BJ434" i="1"/>
  <c r="BK434" i="1" s="1"/>
  <c r="BJ473" i="1"/>
  <c r="BJ509" i="1"/>
  <c r="BJ543" i="1"/>
  <c r="BJ569" i="1"/>
  <c r="BJ594" i="1"/>
  <c r="BJ617" i="1"/>
  <c r="BJ665" i="1"/>
  <c r="BJ725" i="1"/>
  <c r="BJ748" i="1"/>
  <c r="BK748" i="1" s="1"/>
  <c r="BJ758" i="1"/>
  <c r="BJ767" i="1"/>
  <c r="BJ779" i="1"/>
  <c r="BJ797" i="1"/>
  <c r="BJ805" i="1"/>
  <c r="BJ814" i="1"/>
  <c r="BJ831" i="1"/>
  <c r="BJ836" i="1"/>
  <c r="BK836" i="1" s="1"/>
  <c r="BJ843" i="1"/>
  <c r="BK843" i="1" s="1"/>
  <c r="BJ851" i="1"/>
  <c r="BK851" i="1" s="1"/>
  <c r="BJ859" i="1"/>
  <c r="BK859" i="1" s="1"/>
  <c r="BJ867" i="1"/>
  <c r="BL867" i="1" s="1"/>
  <c r="BJ875" i="1"/>
  <c r="BJ883" i="1"/>
  <c r="BK883" i="1" s="1"/>
  <c r="BJ891" i="1"/>
  <c r="BJ897" i="1"/>
  <c r="BK897" i="1" s="1"/>
  <c r="BJ929" i="1"/>
  <c r="BK929" i="1" s="1"/>
  <c r="BJ944" i="1"/>
  <c r="BJ951" i="1"/>
  <c r="BK951" i="1" s="1"/>
  <c r="BJ965" i="1"/>
  <c r="BJ973" i="1"/>
  <c r="BK973" i="1" s="1"/>
  <c r="BJ980" i="1"/>
  <c r="BK980" i="1" s="1"/>
  <c r="BJ988" i="1"/>
  <c r="BK988" i="1" s="1"/>
  <c r="BJ1019" i="1"/>
  <c r="BJ1031" i="1"/>
  <c r="BJ1038" i="1"/>
  <c r="BK1038" i="1" s="1"/>
  <c r="BJ1045" i="1"/>
  <c r="BJ1057" i="1"/>
  <c r="BK1057" i="1" s="1"/>
  <c r="BJ1063" i="1"/>
  <c r="BK1063" i="1" s="1"/>
  <c r="BJ1069" i="1"/>
  <c r="BK1069" i="1" s="1"/>
  <c r="BJ1082" i="1"/>
  <c r="BJ1093" i="1"/>
  <c r="BJ1106" i="1"/>
  <c r="BJ1112" i="1"/>
  <c r="BJ1117" i="1"/>
  <c r="BJ1128" i="1"/>
  <c r="BJ1133" i="1"/>
  <c r="BJ1144" i="1"/>
  <c r="BJ1149" i="1"/>
  <c r="BJ131" i="1"/>
  <c r="BK132" i="1" s="1"/>
  <c r="BJ547" i="1"/>
  <c r="BJ666" i="1"/>
  <c r="BJ806" i="1"/>
  <c r="BJ852" i="1"/>
  <c r="BJ898" i="1"/>
  <c r="BJ981" i="1"/>
  <c r="BK981" i="1" s="1"/>
  <c r="BJ1025" i="1"/>
  <c r="BJ1058" i="1"/>
  <c r="BJ1109" i="1"/>
  <c r="BK1109" i="1" s="1"/>
  <c r="BJ1206" i="1"/>
  <c r="BJ1225" i="1"/>
  <c r="BJ1247" i="1"/>
  <c r="BL1247" i="1" s="1"/>
  <c r="BJ1267" i="1"/>
  <c r="BL1267" i="1" s="1"/>
  <c r="BJ1274" i="1"/>
  <c r="BJ1281" i="1"/>
  <c r="BJ1287" i="1"/>
  <c r="BJ1294" i="1"/>
  <c r="BJ1300" i="1"/>
  <c r="BJ1306" i="1"/>
  <c r="BJ1318" i="1"/>
  <c r="BJ1343" i="1"/>
  <c r="BJ1349" i="1"/>
  <c r="BJ1370" i="1"/>
  <c r="BK1370" i="1" s="1"/>
  <c r="BJ1387" i="1"/>
  <c r="BL1387" i="1" s="1"/>
  <c r="BJ1394" i="1"/>
  <c r="BJ1404" i="1"/>
  <c r="BJ1427" i="1"/>
  <c r="BK1427" i="1" s="1"/>
  <c r="BJ1444" i="1"/>
  <c r="BJ1453" i="1"/>
  <c r="BL1453" i="1" s="1"/>
  <c r="BJ1461" i="1"/>
  <c r="BL1461" i="1" s="1"/>
  <c r="BJ1482" i="1"/>
  <c r="BJ1497" i="1"/>
  <c r="BJ1504" i="1"/>
  <c r="BJ1524" i="1"/>
  <c r="BK1524" i="1" s="1"/>
  <c r="BJ1530" i="1"/>
  <c r="BJ1536" i="1"/>
  <c r="BJ1548" i="1"/>
  <c r="BJ1560" i="1"/>
  <c r="BJ1566" i="1"/>
  <c r="BJ1573" i="1"/>
  <c r="BJ1590" i="1"/>
  <c r="BJ1597" i="1"/>
  <c r="BJ142" i="1"/>
  <c r="BK142" i="1" s="1"/>
  <c r="BJ667" i="1"/>
  <c r="BJ749" i="1"/>
  <c r="BJ937" i="1"/>
  <c r="BK937" i="1" s="1"/>
  <c r="BJ982" i="1"/>
  <c r="BK982" i="1" s="1"/>
  <c r="BJ1100" i="1"/>
  <c r="BJ1110" i="1"/>
  <c r="BJ1126" i="1"/>
  <c r="BJ1142" i="1"/>
  <c r="BJ1158" i="1"/>
  <c r="BJ1171" i="1"/>
  <c r="BK1171" i="1" s="1"/>
  <c r="BJ1179" i="1"/>
  <c r="BK1179" i="1" s="1"/>
  <c r="BJ1186" i="1"/>
  <c r="BJ1248" i="1"/>
  <c r="BJ1254" i="1"/>
  <c r="BJ1261" i="1"/>
  <c r="BJ1268" i="1"/>
  <c r="BJ1331" i="1"/>
  <c r="BK1331" i="1" s="1"/>
  <c r="BJ1337" i="1"/>
  <c r="BL1337" i="1" s="1"/>
  <c r="BJ1344" i="1"/>
  <c r="BJ1363" i="1"/>
  <c r="BL1363" i="1" s="1"/>
  <c r="BJ1371" i="1"/>
  <c r="BJ1378" i="1"/>
  <c r="BJ1388" i="1"/>
  <c r="BJ1411" i="1"/>
  <c r="BL1411" i="1" s="1"/>
  <c r="BJ1428" i="1"/>
  <c r="BL1428" i="1" s="1"/>
  <c r="BJ1437" i="1"/>
  <c r="BL1437" i="1" s="1"/>
  <c r="BJ1445" i="1"/>
  <c r="BL1445" i="1" s="1"/>
  <c r="BJ1454" i="1"/>
  <c r="BJ1462" i="1"/>
  <c r="BK1462" i="1" s="1"/>
  <c r="BJ1470" i="1"/>
  <c r="BJ1477" i="1"/>
  <c r="BJ1491" i="1"/>
  <c r="BK1491" i="1" s="1"/>
  <c r="BJ1510" i="1"/>
  <c r="BK1510" i="1" s="1"/>
  <c r="BJ1518" i="1"/>
  <c r="BJ1525" i="1"/>
  <c r="BJ1542" i="1"/>
  <c r="BJ1554" i="1"/>
  <c r="BJ572" i="1"/>
  <c r="BJ682" i="1"/>
  <c r="BJ860" i="1"/>
  <c r="BJ989" i="1"/>
  <c r="BL989" i="1" s="1"/>
  <c r="BJ1118" i="1"/>
  <c r="BJ1134" i="1"/>
  <c r="BJ1150" i="1"/>
  <c r="BJ1165" i="1"/>
  <c r="BJ1172" i="1"/>
  <c r="BJ1180" i="1"/>
  <c r="BJ1193" i="1"/>
  <c r="BJ1213" i="1"/>
  <c r="BJ1219" i="1"/>
  <c r="BJ1226" i="1"/>
  <c r="BJ1234" i="1"/>
  <c r="BJ1241" i="1"/>
  <c r="BJ1275" i="1"/>
  <c r="BK1275" i="1" s="1"/>
  <c r="BJ1295" i="1"/>
  <c r="BK1295" i="1" s="1"/>
  <c r="BJ1313" i="1"/>
  <c r="BJ1319" i="1"/>
  <c r="BJ1325" i="1"/>
  <c r="BL1325" i="1" s="1"/>
  <c r="BJ1332" i="1"/>
  <c r="BJ1338" i="1"/>
  <c r="BJ1350" i="1"/>
  <c r="BJ1357" i="1"/>
  <c r="BL1357" i="1" s="1"/>
  <c r="BJ1364" i="1"/>
  <c r="BJ1372" i="1"/>
  <c r="BJ1395" i="1"/>
  <c r="BL1395" i="1" s="1"/>
  <c r="BJ1412" i="1"/>
  <c r="BK1412" i="1" s="1"/>
  <c r="BJ1421" i="1"/>
  <c r="BL1421" i="1" s="1"/>
  <c r="BJ1429" i="1"/>
  <c r="BL1429" i="1" s="1"/>
  <c r="BJ1438" i="1"/>
  <c r="BJ1446" i="1"/>
  <c r="BK1446" i="1" s="1"/>
  <c r="BJ1463" i="1"/>
  <c r="BK1463" i="1" s="1"/>
  <c r="BJ1483" i="1"/>
  <c r="BK1483" i="1" s="1"/>
  <c r="BJ1492" i="1"/>
  <c r="BJ1498" i="1"/>
  <c r="BJ1511" i="1"/>
  <c r="BK1511" i="1" s="1"/>
  <c r="BJ1537" i="1"/>
  <c r="BK1537" i="1" s="1"/>
  <c r="BJ1549" i="1"/>
  <c r="BJ1561" i="1"/>
  <c r="BJ1574" i="1"/>
  <c r="BJ1579" i="1"/>
  <c r="BJ1586" i="1"/>
  <c r="BJ1591" i="1"/>
  <c r="BJ573" i="1"/>
  <c r="BK573" i="1" s="1"/>
  <c r="BJ759" i="1"/>
  <c r="BJ815" i="1"/>
  <c r="BJ905" i="1"/>
  <c r="BJ990" i="1"/>
  <c r="BJ1032" i="1"/>
  <c r="BJ1064" i="1"/>
  <c r="BJ1087" i="1"/>
  <c r="BJ1101" i="1"/>
  <c r="BJ1201" i="1"/>
  <c r="BJ1207" i="1"/>
  <c r="BJ1220" i="1"/>
  <c r="BJ1228" i="1"/>
  <c r="BJ1255" i="1"/>
  <c r="BL1255" i="1" s="1"/>
  <c r="BJ1262" i="1"/>
  <c r="BJ1289" i="1"/>
  <c r="BJ1296" i="1"/>
  <c r="BJ1301" i="1"/>
  <c r="BJ1307" i="1"/>
  <c r="BK1307" i="1" s="1"/>
  <c r="BJ1320" i="1"/>
  <c r="BJ1326" i="1"/>
  <c r="BJ1358" i="1"/>
  <c r="BJ1379" i="1"/>
  <c r="BJ1396" i="1"/>
  <c r="BK1396" i="1" s="1"/>
  <c r="BJ1405" i="1"/>
  <c r="BL1405" i="1" s="1"/>
  <c r="BJ1413" i="1"/>
  <c r="BL1413" i="1" s="1"/>
  <c r="BJ1422" i="1"/>
  <c r="BJ1430" i="1"/>
  <c r="BK1430" i="1" s="1"/>
  <c r="BJ1447" i="1"/>
  <c r="BL1447" i="1" s="1"/>
  <c r="BJ1455" i="1"/>
  <c r="BK1455" i="1" s="1"/>
  <c r="BJ1464" i="1"/>
  <c r="BK1464" i="1" s="1"/>
  <c r="BJ1484" i="1"/>
  <c r="BJ1505" i="1"/>
  <c r="BJ1512" i="1"/>
  <c r="BK1512" i="1" s="1"/>
  <c r="BJ1526" i="1"/>
  <c r="BJ1531" i="1"/>
  <c r="BJ1538" i="1"/>
  <c r="BJ1543" i="1"/>
  <c r="BJ1567" i="1"/>
  <c r="BJ357" i="1"/>
  <c r="BJ597" i="1"/>
  <c r="BJ697" i="1"/>
  <c r="BK697" i="1" s="1"/>
  <c r="BJ770" i="1"/>
  <c r="BJ823" i="1"/>
  <c r="BJ868" i="1"/>
  <c r="BJ911" i="1"/>
  <c r="BJ952" i="1"/>
  <c r="BJ996" i="1"/>
  <c r="BK996" i="1" s="1"/>
  <c r="BJ1039" i="1"/>
  <c r="BK1039" i="1" s="1"/>
  <c r="BJ1103" i="1"/>
  <c r="BJ1111" i="1"/>
  <c r="BK1111" i="1" s="1"/>
  <c r="BJ1127" i="1"/>
  <c r="BJ1143" i="1"/>
  <c r="BL1143" i="1" s="1"/>
  <c r="BJ1159" i="1"/>
  <c r="BL1159" i="1" s="1"/>
  <c r="BJ1166" i="1"/>
  <c r="BJ1174" i="1"/>
  <c r="BJ1187" i="1"/>
  <c r="BK1187" i="1" s="1"/>
  <c r="BJ1195" i="1"/>
  <c r="BK1195" i="1" s="1"/>
  <c r="BJ1208" i="1"/>
  <c r="BJ1214" i="1"/>
  <c r="BJ1235" i="1"/>
  <c r="BK1235" i="1" s="1"/>
  <c r="BJ1242" i="1"/>
  <c r="BJ1249" i="1"/>
  <c r="BJ1256" i="1"/>
  <c r="BJ1283" i="1"/>
  <c r="BK1283" i="1" s="1"/>
  <c r="BJ1290" i="1"/>
  <c r="BJ1308" i="1"/>
  <c r="BJ1314" i="1"/>
  <c r="BJ1345" i="1"/>
  <c r="BJ1351" i="1"/>
  <c r="BK1351" i="1" s="1"/>
  <c r="BJ1380" i="1"/>
  <c r="BK1380" i="1" s="1"/>
  <c r="BJ1389" i="1"/>
  <c r="BL1389" i="1" s="1"/>
  <c r="BJ1397" i="1"/>
  <c r="BL1397" i="1" s="1"/>
  <c r="BJ1406" i="1"/>
  <c r="BJ1414" i="1"/>
  <c r="BK1414" i="1" s="1"/>
  <c r="BJ369" i="1"/>
  <c r="BJ598" i="1"/>
  <c r="BK598" i="1" s="1"/>
  <c r="BJ698" i="1"/>
  <c r="BK698" i="1" s="1"/>
  <c r="BJ824" i="1"/>
  <c r="BJ997" i="1"/>
  <c r="BK997" i="1" s="1"/>
  <c r="BJ1040" i="1"/>
  <c r="BJ1068" i="1"/>
  <c r="BJ1088" i="1"/>
  <c r="BJ1160" i="1"/>
  <c r="BJ1181" i="1"/>
  <c r="BJ1188" i="1"/>
  <c r="BJ1196" i="1"/>
  <c r="BJ1202" i="1"/>
  <c r="BJ1236" i="1"/>
  <c r="BJ1264" i="1"/>
  <c r="BJ1270" i="1"/>
  <c r="BK1270" i="1" s="1"/>
  <c r="BJ1277" i="1"/>
  <c r="BL1277" i="1" s="1"/>
  <c r="BJ1284" i="1"/>
  <c r="BJ1302" i="1"/>
  <c r="BJ1327" i="1"/>
  <c r="BL1327" i="1" s="1"/>
  <c r="BJ1333" i="1"/>
  <c r="BJ1339" i="1"/>
  <c r="BK1339" i="1" s="1"/>
  <c r="BJ1352" i="1"/>
  <c r="BJ1359" i="1"/>
  <c r="BK1359" i="1" s="1"/>
  <c r="BJ1365" i="1"/>
  <c r="BL1365" i="1" s="1"/>
  <c r="BJ439" i="1"/>
  <c r="BJ713" i="1"/>
  <c r="BK713" i="1" s="1"/>
  <c r="BJ876" i="1"/>
  <c r="BJ916" i="1"/>
  <c r="BJ959" i="1"/>
  <c r="BK959" i="1" s="1"/>
  <c r="BJ1004" i="1"/>
  <c r="BK1004" i="1" s="1"/>
  <c r="BJ1070" i="1"/>
  <c r="BK1070" i="1" s="1"/>
  <c r="BJ1092" i="1"/>
  <c r="BJ1104" i="1"/>
  <c r="BJ1121" i="1"/>
  <c r="BJ1137" i="1"/>
  <c r="BJ1153" i="1"/>
  <c r="BJ1222" i="1"/>
  <c r="BJ1229" i="1"/>
  <c r="BJ1243" i="1"/>
  <c r="BK1243" i="1" s="1"/>
  <c r="BJ1250" i="1"/>
  <c r="BJ1257" i="1"/>
  <c r="BJ1271" i="1"/>
  <c r="BK1271" i="1" s="1"/>
  <c r="BJ1278" i="1"/>
  <c r="BJ1297" i="1"/>
  <c r="BJ1315" i="1"/>
  <c r="BK1315" i="1" s="1"/>
  <c r="BJ1321" i="1"/>
  <c r="BK1321" i="1" s="1"/>
  <c r="BJ1328" i="1"/>
  <c r="BJ1340" i="1"/>
  <c r="BJ1346" i="1"/>
  <c r="BJ1360" i="1"/>
  <c r="BJ1366" i="1"/>
  <c r="BK1366" i="1" s="1"/>
  <c r="BJ1374" i="1"/>
  <c r="BJ1382" i="1"/>
  <c r="BK1382" i="1" s="1"/>
  <c r="BJ1399" i="1"/>
  <c r="BK1399" i="1" s="1"/>
  <c r="BJ1407" i="1"/>
  <c r="BL1407" i="1" s="1"/>
  <c r="BJ1416" i="1"/>
  <c r="BK1416" i="1" s="1"/>
  <c r="BJ443" i="1"/>
  <c r="BK443" i="1" s="1"/>
  <c r="BJ618" i="1"/>
  <c r="BJ714" i="1"/>
  <c r="BJ780" i="1"/>
  <c r="BJ960" i="1"/>
  <c r="BJ1005" i="1"/>
  <c r="BK1005" i="1" s="1"/>
  <c r="BJ1046" i="1"/>
  <c r="BK1046" i="1" s="1"/>
  <c r="BJ1071" i="1"/>
  <c r="BJ1113" i="1"/>
  <c r="BJ1129" i="1"/>
  <c r="BJ1145" i="1"/>
  <c r="BJ1175" i="1"/>
  <c r="BK1175" i="1" s="1"/>
  <c r="BJ1182" i="1"/>
  <c r="BJ1190" i="1"/>
  <c r="BJ1209" i="1"/>
  <c r="BJ1244" i="1"/>
  <c r="BJ1251" i="1"/>
  <c r="BK1251" i="1" s="1"/>
  <c r="BJ1272" i="1"/>
  <c r="BJ1291" i="1"/>
  <c r="BK1291" i="1" s="1"/>
  <c r="BJ1303" i="1"/>
  <c r="BK1303" i="1" s="1"/>
  <c r="BJ1309" i="1"/>
  <c r="BL1309" i="1" s="1"/>
  <c r="BJ1316" i="1"/>
  <c r="BJ1322" i="1"/>
  <c r="BJ1334" i="1"/>
  <c r="BJ1367" i="1"/>
  <c r="BK1367" i="1" s="1"/>
  <c r="BJ1383" i="1"/>
  <c r="BK1383" i="1" s="1"/>
  <c r="BJ1391" i="1"/>
  <c r="BL1391" i="1" s="1"/>
  <c r="BJ633" i="1"/>
  <c r="BK634" i="1" s="1"/>
  <c r="BJ788" i="1"/>
  <c r="BJ837" i="1"/>
  <c r="BJ884" i="1"/>
  <c r="BK884" i="1" s="1"/>
  <c r="BJ923" i="1"/>
  <c r="BJ966" i="1"/>
  <c r="BK966" i="1" s="1"/>
  <c r="BJ1051" i="1"/>
  <c r="BJ1105" i="1"/>
  <c r="BK1105" i="1" s="1"/>
  <c r="BJ1122" i="1"/>
  <c r="BJ1138" i="1"/>
  <c r="BJ1154" i="1"/>
  <c r="BJ1161" i="1"/>
  <c r="BJ1169" i="1"/>
  <c r="BJ1176" i="1"/>
  <c r="BJ1197" i="1"/>
  <c r="BJ1203" i="1"/>
  <c r="BL1203" i="1" s="1"/>
  <c r="BJ1223" i="1"/>
  <c r="BK1223" i="1" s="1"/>
  <c r="BJ1230" i="1"/>
  <c r="BJ1237" i="1"/>
  <c r="BJ1252" i="1"/>
  <c r="BJ1258" i="1"/>
  <c r="BK1258" i="1" s="1"/>
  <c r="BJ1265" i="1"/>
  <c r="BJ1279" i="1"/>
  <c r="BK1279" i="1" s="1"/>
  <c r="BJ1285" i="1"/>
  <c r="BJ1292" i="1"/>
  <c r="BJ1298" i="1"/>
  <c r="BJ1304" i="1"/>
  <c r="BJ1310" i="1"/>
  <c r="BJ1347" i="1"/>
  <c r="BK1347" i="1" s="1"/>
  <c r="BJ1353" i="1"/>
  <c r="BL1353" i="1" s="1"/>
  <c r="BJ1368" i="1"/>
  <c r="BJ1375" i="1"/>
  <c r="BL1375" i="1" s="1"/>
  <c r="BJ1384" i="1"/>
  <c r="BK1384" i="1" s="1"/>
  <c r="BJ1392" i="1"/>
  <c r="BJ1401" i="1"/>
  <c r="BL1401" i="1" s="1"/>
  <c r="BJ513" i="1"/>
  <c r="BK513" i="1" s="1"/>
  <c r="BJ650" i="1"/>
  <c r="BK650" i="1" s="1"/>
  <c r="BJ739" i="1"/>
  <c r="BK739" i="1" s="1"/>
  <c r="BJ844" i="1"/>
  <c r="BJ930" i="1"/>
  <c r="BJ974" i="1"/>
  <c r="BJ1076" i="1"/>
  <c r="BK1076" i="1" s="1"/>
  <c r="BJ1097" i="1"/>
  <c r="BJ1116" i="1"/>
  <c r="BJ1123" i="1"/>
  <c r="BK1123" i="1" s="1"/>
  <c r="BJ1132" i="1"/>
  <c r="BJ1139" i="1"/>
  <c r="BK1139" i="1" s="1"/>
  <c r="BJ1148" i="1"/>
  <c r="BJ1155" i="1"/>
  <c r="BK1155" i="1" s="1"/>
  <c r="BJ1163" i="1"/>
  <c r="BK1163" i="1" s="1"/>
  <c r="BJ1170" i="1"/>
  <c r="BJ1790" i="1"/>
  <c r="BJ1779" i="1"/>
  <c r="BJ1774" i="1"/>
  <c r="BJ1769" i="1"/>
  <c r="BJ1764" i="1"/>
  <c r="BJ1752" i="1"/>
  <c r="BJ1747" i="1"/>
  <c r="BJ1740" i="1"/>
  <c r="BL1740" i="1" s="1"/>
  <c r="BJ1733" i="1"/>
  <c r="BJ1720" i="1"/>
  <c r="BJ1701" i="1"/>
  <c r="BJ1678" i="1"/>
  <c r="BL1671" i="1"/>
  <c r="BJ1649" i="1"/>
  <c r="BJ1631" i="1"/>
  <c r="BL1631" i="1" s="1"/>
  <c r="BJ1620" i="1"/>
  <c r="BK1620" i="1" s="1"/>
  <c r="BJ1614" i="1"/>
  <c r="BJ1601" i="1"/>
  <c r="BJ1594" i="1"/>
  <c r="BJ1572" i="1"/>
  <c r="BK1572" i="1" s="1"/>
  <c r="BJ1555" i="1"/>
  <c r="BJ1546" i="1"/>
  <c r="BJ1519" i="1"/>
  <c r="BJ1507" i="1"/>
  <c r="BK1507" i="1" s="1"/>
  <c r="BJ1499" i="1"/>
  <c r="BK1499" i="1" s="1"/>
  <c r="BJ1487" i="1"/>
  <c r="BK1487" i="1" s="1"/>
  <c r="BJ1478" i="1"/>
  <c r="BK1478" i="1" s="1"/>
  <c r="BJ1468" i="1"/>
  <c r="BJ1456" i="1"/>
  <c r="BJ1431" i="1"/>
  <c r="BL1431" i="1" s="1"/>
  <c r="BJ1418" i="1"/>
  <c r="BJ1400" i="1"/>
  <c r="BK1400" i="1" s="1"/>
  <c r="BJ1376" i="1"/>
  <c r="BJ1323" i="1"/>
  <c r="BL1323" i="1" s="1"/>
  <c r="BJ1273" i="1"/>
  <c r="BJ1246" i="1"/>
  <c r="BJ1191" i="1"/>
  <c r="BK1191" i="1" s="1"/>
  <c r="BJ1156" i="1"/>
  <c r="BJ1107" i="1"/>
  <c r="BK1107" i="1" s="1"/>
  <c r="BJ516" i="1"/>
  <c r="BJ1784" i="1"/>
  <c r="BK1778" i="1"/>
  <c r="BK1773" i="1"/>
  <c r="BJ1758" i="1"/>
  <c r="BK1746" i="1"/>
  <c r="BL1739" i="1"/>
  <c r="BK1732" i="1"/>
  <c r="BJ1727" i="1"/>
  <c r="BL1719" i="1"/>
  <c r="BJ1714" i="1"/>
  <c r="BJ1707" i="1"/>
  <c r="BK1700" i="1"/>
  <c r="BJ1695" i="1"/>
  <c r="BJ1688" i="1"/>
  <c r="BJ1683" i="1"/>
  <c r="BJ1677" i="1"/>
  <c r="BL1677" i="1" s="1"/>
  <c r="BJ1666" i="1"/>
  <c r="BJ1660" i="1"/>
  <c r="BJ1654" i="1"/>
  <c r="BJ1637" i="1"/>
  <c r="BJ1630" i="1"/>
  <c r="BK1630" i="1" s="1"/>
  <c r="BJ1619" i="1"/>
  <c r="BL1619" i="1" s="1"/>
  <c r="BJ1607" i="1"/>
  <c r="BJ1587" i="1"/>
  <c r="BL1578" i="1"/>
  <c r="BJ1571" i="1"/>
  <c r="BL1571" i="1" s="1"/>
  <c r="BJ1564" i="1"/>
  <c r="BL1545" i="1"/>
  <c r="BJ1535" i="1"/>
  <c r="BK1535" i="1" s="1"/>
  <c r="BJ1528" i="1"/>
  <c r="BL1506" i="1"/>
  <c r="BJ1496" i="1"/>
  <c r="BK1496" i="1" s="1"/>
  <c r="BJ1486" i="1"/>
  <c r="BK1486" i="1" s="1"/>
  <c r="BJ1476" i="1"/>
  <c r="BJ1467" i="1"/>
  <c r="BK1467" i="1" s="1"/>
  <c r="BJ1441" i="1"/>
  <c r="BK1426" i="1"/>
  <c r="BJ1417" i="1"/>
  <c r="BL1417" i="1" s="1"/>
  <c r="BJ1398" i="1"/>
  <c r="BK1398" i="1" s="1"/>
  <c r="BJ1373" i="1"/>
  <c r="BL1373" i="1" s="1"/>
  <c r="BJ1348" i="1"/>
  <c r="BJ1217" i="1"/>
  <c r="BJ481" i="1"/>
  <c r="BK1569" i="1"/>
  <c r="BK1725" i="1"/>
  <c r="BK1709" i="1"/>
  <c r="BK1693" i="1"/>
  <c r="BL1612" i="1"/>
  <c r="BL1557" i="1"/>
  <c r="BK1724" i="1"/>
  <c r="BK1544" i="1"/>
  <c r="BL1544" i="1"/>
  <c r="BL1449" i="1"/>
  <c r="BK1449" i="1"/>
  <c r="BL1385" i="1"/>
  <c r="BK1385" i="1"/>
  <c r="BK1592" i="1"/>
  <c r="BL1592" i="1"/>
  <c r="BL1380" i="1"/>
  <c r="BK1618" i="1"/>
  <c r="BL1618" i="1"/>
  <c r="BK1643" i="1"/>
  <c r="BL1289" i="1"/>
  <c r="BK1289" i="1"/>
  <c r="BK1696" i="1"/>
  <c r="BK1738" i="1"/>
  <c r="BK1444" i="1"/>
  <c r="BL1444" i="1"/>
  <c r="BL1788" i="1"/>
  <c r="BK1460" i="1"/>
  <c r="BL1460" i="1"/>
  <c r="BL1369" i="1"/>
  <c r="BK1369" i="1"/>
  <c r="BK1753" i="1"/>
  <c r="BK1737" i="1"/>
  <c r="BK1489" i="1"/>
  <c r="BL1489" i="1"/>
  <c r="BL1432" i="1"/>
  <c r="BK1379" i="1"/>
  <c r="BL1379" i="1"/>
  <c r="BK1437" i="1"/>
  <c r="BK1357" i="1"/>
  <c r="BK1293" i="1"/>
  <c r="BK1207" i="1"/>
  <c r="BL1207" i="1"/>
  <c r="BK1127" i="1"/>
  <c r="BL1127" i="1"/>
  <c r="BL1271" i="1"/>
  <c r="BK1259" i="1"/>
  <c r="BL1259" i="1"/>
  <c r="BK1603" i="1"/>
  <c r="BK1415" i="1"/>
  <c r="BL1415" i="1"/>
  <c r="BK1335" i="1"/>
  <c r="BL1335" i="1"/>
  <c r="BK1319" i="1"/>
  <c r="BL1319" i="1"/>
  <c r="BK1287" i="1"/>
  <c r="BL1287" i="1"/>
  <c r="BL1524" i="1"/>
  <c r="BL1510" i="1"/>
  <c r="BL1430" i="1"/>
  <c r="BK1211" i="1"/>
  <c r="BL1211" i="1"/>
  <c r="BK1147" i="1"/>
  <c r="BL1147" i="1"/>
  <c r="BL1115" i="1"/>
  <c r="BK880" i="1"/>
  <c r="BK1611" i="1"/>
  <c r="BK1563" i="1"/>
  <c r="BK1451" i="1"/>
  <c r="BL1451" i="1"/>
  <c r="BK1419" i="1"/>
  <c r="BK1371" i="1"/>
  <c r="BL1371" i="1"/>
  <c r="BK1263" i="1"/>
  <c r="BL1263" i="1"/>
  <c r="BK1523" i="1"/>
  <c r="BK1471" i="1"/>
  <c r="BL1471" i="1"/>
  <c r="BK1445" i="1"/>
  <c r="BK1381" i="1"/>
  <c r="BK1365" i="1"/>
  <c r="BL1354" i="1"/>
  <c r="BK1183" i="1"/>
  <c r="BL1183" i="1"/>
  <c r="BL1135" i="1"/>
  <c r="BK1475" i="1"/>
  <c r="BL1475" i="1"/>
  <c r="BL1439" i="1"/>
  <c r="BK1407" i="1"/>
  <c r="BK1343" i="1"/>
  <c r="BL1343" i="1"/>
  <c r="BK1327" i="1"/>
  <c r="BL1295" i="1"/>
  <c r="BL899" i="1"/>
  <c r="BK1219" i="1"/>
  <c r="BL1219" i="1"/>
  <c r="BL1155" i="1"/>
  <c r="BK941" i="1"/>
  <c r="BL941" i="1"/>
  <c r="BK925" i="1"/>
  <c r="BL925" i="1"/>
  <c r="BK885" i="1"/>
  <c r="BL885" i="1"/>
  <c r="BL972" i="1"/>
  <c r="BL967" i="1"/>
  <c r="BL1109" i="1"/>
  <c r="BK993" i="1"/>
  <c r="BL993" i="1"/>
  <c r="BK913" i="1"/>
  <c r="BK861" i="1"/>
  <c r="BL861" i="1"/>
  <c r="BL998" i="1"/>
  <c r="BL1013" i="1"/>
  <c r="BK965" i="1"/>
  <c r="BL965" i="1"/>
  <c r="BK875" i="1"/>
  <c r="BL875" i="1"/>
  <c r="BL836" i="1"/>
  <c r="BL1094" i="1"/>
  <c r="BL1007" i="1"/>
  <c r="BL1002" i="1"/>
  <c r="BL991" i="1"/>
  <c r="BL948" i="1"/>
  <c r="BL938" i="1"/>
  <c r="BK768" i="1"/>
  <c r="BL1017" i="1"/>
  <c r="BK985" i="1"/>
  <c r="BL985" i="1"/>
  <c r="BK905" i="1"/>
  <c r="BL905" i="1"/>
  <c r="BL873" i="1"/>
  <c r="BK865" i="1"/>
  <c r="BL865" i="1"/>
  <c r="BL857" i="1"/>
  <c r="BK646" i="1"/>
  <c r="BK441" i="1"/>
  <c r="BK442" i="1"/>
  <c r="BK607" i="1"/>
  <c r="BK448" i="1"/>
  <c r="BK589" i="1"/>
  <c r="BK677" i="1"/>
  <c r="BK625" i="1"/>
  <c r="BK416" i="1"/>
  <c r="BL829" i="1"/>
  <c r="BK108" i="1"/>
  <c r="BK109" i="1"/>
  <c r="BK403" i="1"/>
  <c r="BK419" i="1"/>
  <c r="BK409" i="1"/>
  <c r="BK369" i="1"/>
  <c r="BK594" i="1"/>
  <c r="BK398" i="1"/>
  <c r="BK387" i="1"/>
  <c r="BK378" i="1"/>
  <c r="BK251" i="1"/>
  <c r="BK327" i="1"/>
  <c r="BK331" i="1"/>
  <c r="BK56" i="1"/>
  <c r="BK57" i="1"/>
  <c r="BK184" i="1"/>
  <c r="BL1321" i="1" l="1"/>
  <c r="BL1081" i="1"/>
  <c r="BL1625" i="1"/>
  <c r="BK273" i="1"/>
  <c r="BK187" i="1"/>
  <c r="BL1515" i="1"/>
  <c r="BK1712" i="1"/>
  <c r="BK1757" i="1"/>
  <c r="BL1598" i="1"/>
  <c r="BK555" i="1"/>
  <c r="BK662" i="1"/>
  <c r="BK759" i="1"/>
  <c r="BK828" i="1"/>
  <c r="BK783" i="1"/>
  <c r="BK191" i="1"/>
  <c r="BK376" i="1"/>
  <c r="BL1462" i="1"/>
  <c r="BK1395" i="1"/>
  <c r="BK608" i="1"/>
  <c r="BK368" i="1"/>
  <c r="BK599" i="1"/>
  <c r="BK397" i="1"/>
  <c r="BK195" i="1"/>
  <c r="BK584" i="1"/>
  <c r="BK1375" i="1"/>
  <c r="BK221" i="1"/>
  <c r="BK580" i="1"/>
  <c r="BK288" i="1"/>
  <c r="BK47" i="1"/>
  <c r="BK445" i="1"/>
  <c r="BK509" i="1"/>
  <c r="BK706" i="1"/>
  <c r="BK77" i="1"/>
  <c r="BK25" i="1"/>
  <c r="BK476" i="1"/>
  <c r="BK332" i="1"/>
  <c r="BK362" i="1"/>
  <c r="BK135" i="1"/>
  <c r="BK1571" i="1"/>
  <c r="BK767" i="1"/>
  <c r="BK123" i="1"/>
  <c r="BK151" i="1"/>
  <c r="BK64" i="1"/>
  <c r="BK363" i="1"/>
  <c r="BK72" i="1"/>
  <c r="BK323" i="1"/>
  <c r="BL1427" i="1"/>
  <c r="BL1022" i="1"/>
  <c r="BL957" i="1"/>
  <c r="BL1605" i="1"/>
  <c r="BK755" i="1"/>
  <c r="BK606" i="1"/>
  <c r="BK168" i="1"/>
  <c r="BL1633" i="1"/>
  <c r="BK99" i="1"/>
  <c r="BK211" i="1"/>
  <c r="BK371" i="1"/>
  <c r="BK1783" i="1"/>
  <c r="BK1553" i="1"/>
  <c r="BK540" i="1"/>
  <c r="BK76" i="1"/>
  <c r="BK139" i="1"/>
  <c r="BK350" i="1"/>
  <c r="BL951" i="1"/>
  <c r="BK1640" i="1"/>
  <c r="BK816" i="1"/>
  <c r="BK433" i="1"/>
  <c r="BL1195" i="1"/>
  <c r="BK1429" i="1"/>
  <c r="BL1399" i="1"/>
  <c r="BK1227" i="1"/>
  <c r="BK1363" i="1"/>
  <c r="BL1305" i="1"/>
  <c r="BL1240" i="1"/>
  <c r="BK1761" i="1"/>
  <c r="BK1596" i="1"/>
  <c r="BL1004" i="1"/>
  <c r="BL1072" i="1"/>
  <c r="BL1491" i="1"/>
  <c r="BL964" i="1"/>
  <c r="BL1083" i="1"/>
  <c r="BK1768" i="1"/>
  <c r="BK399" i="1"/>
  <c r="BK391" i="1"/>
  <c r="BK240" i="1"/>
  <c r="BK780" i="1"/>
  <c r="BK781" i="1"/>
  <c r="BK551" i="1"/>
  <c r="BK396" i="1"/>
  <c r="BL1723" i="1"/>
  <c r="BK1785" i="1"/>
  <c r="BK1766" i="1"/>
  <c r="BL1012" i="1"/>
  <c r="BK597" i="1"/>
  <c r="BK601" i="1"/>
  <c r="BK88" i="1"/>
  <c r="BK407" i="1"/>
  <c r="BK989" i="1"/>
  <c r="BL855" i="1"/>
  <c r="BL1027" i="1"/>
  <c r="BL1029" i="1"/>
  <c r="BL1151" i="1"/>
  <c r="BK1387" i="1"/>
  <c r="BK1247" i="1"/>
  <c r="BL1299" i="1"/>
  <c r="BL847" i="1"/>
  <c r="BL1057" i="1"/>
  <c r="BK1547" i="1"/>
  <c r="BL1570" i="1"/>
  <c r="BK605" i="1"/>
  <c r="BL1046" i="1"/>
  <c r="BL889" i="1"/>
  <c r="BL1034" i="1"/>
  <c r="BL1096" i="1"/>
  <c r="BL1448" i="1"/>
  <c r="BK194" i="1"/>
  <c r="BK449" i="1"/>
  <c r="BK17" i="1"/>
  <c r="BK255" i="1"/>
  <c r="BK370" i="1"/>
  <c r="BL881" i="1"/>
  <c r="BL1435" i="1"/>
  <c r="BL1331" i="1"/>
  <c r="BL1464" i="1"/>
  <c r="BK1789" i="1"/>
  <c r="BK66" i="1"/>
  <c r="BK354" i="1"/>
  <c r="BK754" i="1"/>
  <c r="BK658" i="1"/>
  <c r="BK731" i="1"/>
  <c r="BL921" i="1"/>
  <c r="BL884" i="1"/>
  <c r="BK1203" i="1"/>
  <c r="BK1741" i="1"/>
  <c r="BK787" i="1"/>
  <c r="BK642" i="1"/>
  <c r="BK549" i="1"/>
  <c r="BK400" i="1"/>
  <c r="BK566" i="1"/>
  <c r="BK290" i="1"/>
  <c r="BK325" i="1"/>
  <c r="BK374" i="1"/>
  <c r="BK83" i="1"/>
  <c r="BK426" i="1"/>
  <c r="BK146" i="1"/>
  <c r="BL943" i="1"/>
  <c r="BL897" i="1"/>
  <c r="BL1291" i="1"/>
  <c r="BK516" i="1"/>
  <c r="BK508" i="1"/>
  <c r="BL509" i="1" s="1"/>
  <c r="BK248" i="1"/>
  <c r="BK415" i="1"/>
  <c r="BK1583" i="1"/>
  <c r="BL969" i="1"/>
  <c r="BL1423" i="1"/>
  <c r="BK471" i="1"/>
  <c r="BK204" i="1"/>
  <c r="BK287" i="1"/>
  <c r="BK239" i="1"/>
  <c r="BL1243" i="1"/>
  <c r="BL1307" i="1"/>
  <c r="BL1366" i="1"/>
  <c r="BK1673" i="1"/>
  <c r="BK337" i="1"/>
  <c r="BK54" i="1"/>
  <c r="BK704" i="1"/>
  <c r="BK264" i="1"/>
  <c r="BK824" i="1"/>
  <c r="BK547" i="1"/>
  <c r="BK611" i="1"/>
  <c r="BK628" i="1"/>
  <c r="BK619" i="1"/>
  <c r="BK660" i="1"/>
  <c r="BK410" i="1"/>
  <c r="BK282" i="1"/>
  <c r="BK457" i="1"/>
  <c r="BK572" i="1"/>
  <c r="BK702" i="1"/>
  <c r="BK435" i="1"/>
  <c r="BK155" i="1"/>
  <c r="BK249" i="1"/>
  <c r="L46" i="1"/>
  <c r="M46" i="1" s="1"/>
  <c r="N46" i="1" s="1"/>
  <c r="O46" i="1" s="1"/>
  <c r="P46" i="1" s="1"/>
  <c r="Q46" i="1" s="1"/>
  <c r="R46" i="1" s="1"/>
  <c r="S46" i="1" s="1"/>
  <c r="T46" i="1" s="1"/>
  <c r="U46" i="1" s="1"/>
  <c r="V46" i="1" s="1"/>
  <c r="W46" i="1" s="1"/>
  <c r="X46" i="1" s="1"/>
  <c r="Y46" i="1" s="1"/>
  <c r="BK39" i="1"/>
  <c r="BK127" i="1"/>
  <c r="BK218" i="1"/>
  <c r="BK545" i="1"/>
  <c r="BK319" i="1"/>
  <c r="BK379" i="1"/>
  <c r="BK335" i="1"/>
  <c r="BK226" i="1"/>
  <c r="BK307" i="1"/>
  <c r="BK136" i="1"/>
  <c r="BK802" i="1"/>
  <c r="BK613" i="1"/>
  <c r="BL953" i="1"/>
  <c r="BK691" i="1"/>
  <c r="BK451" i="1"/>
  <c r="BK612" i="1"/>
  <c r="BK652" i="1"/>
  <c r="BL653" i="1" s="1"/>
  <c r="BK1428" i="1"/>
  <c r="BK128" i="1"/>
  <c r="BL929" i="1"/>
  <c r="BL935" i="1"/>
  <c r="BL1063" i="1"/>
  <c r="BK711" i="1"/>
  <c r="BK694" i="1"/>
  <c r="BK703" i="1"/>
  <c r="BK798" i="1"/>
  <c r="BK346" i="1"/>
  <c r="BK497" i="1"/>
  <c r="BK587" i="1"/>
  <c r="BK794" i="1"/>
  <c r="BK484" i="1"/>
  <c r="BK402" i="1"/>
  <c r="BK358" i="1"/>
  <c r="BK1337" i="1"/>
  <c r="BL1036" i="1"/>
  <c r="BK1708" i="1"/>
  <c r="BK429" i="1"/>
  <c r="BK689" i="1"/>
  <c r="BK366" i="1"/>
  <c r="BK180" i="1"/>
  <c r="BK562" i="1"/>
  <c r="BL887" i="1"/>
  <c r="BL950" i="1"/>
  <c r="BK822" i="1"/>
  <c r="BK674" i="1"/>
  <c r="BK800" i="1"/>
  <c r="BK525" i="1"/>
  <c r="BK389" i="1"/>
  <c r="BK283" i="1"/>
  <c r="BK336" i="1"/>
  <c r="BK53" i="1"/>
  <c r="BK489" i="1"/>
  <c r="BK671" i="1"/>
  <c r="BK61" i="1"/>
  <c r="BK104" i="1"/>
  <c r="BK315" i="1"/>
  <c r="BK167" i="1"/>
  <c r="BK92" i="1"/>
  <c r="BK250" i="1"/>
  <c r="BL1061" i="1"/>
  <c r="BK1277" i="1"/>
  <c r="BL1347" i="1"/>
  <c r="BL1459" i="1"/>
  <c r="BL1412" i="1"/>
  <c r="BK707" i="1"/>
  <c r="BK491" i="1"/>
  <c r="BK411" i="1"/>
  <c r="BK344" i="1"/>
  <c r="BK299" i="1"/>
  <c r="BK538" i="1"/>
  <c r="BK236" i="1"/>
  <c r="BK384" i="1"/>
  <c r="BK436" i="1"/>
  <c r="BK296" i="1"/>
  <c r="BK156" i="1"/>
  <c r="BL1275" i="1"/>
  <c r="BL1223" i="1"/>
  <c r="BK1433" i="1"/>
  <c r="BK120" i="1"/>
  <c r="BK149" i="1"/>
  <c r="BK615" i="1"/>
  <c r="BK477" i="1"/>
  <c r="BK178" i="1"/>
  <c r="BK36" i="1"/>
  <c r="BK520" i="1"/>
  <c r="BK244" i="1"/>
  <c r="BK279" i="1"/>
  <c r="BK68" i="1"/>
  <c r="BL1085" i="1"/>
  <c r="BL997" i="1"/>
  <c r="BL863" i="1"/>
  <c r="BK1267" i="1"/>
  <c r="BL1303" i="1"/>
  <c r="BK1341" i="1"/>
  <c r="BK333" i="1"/>
  <c r="BK316" i="1"/>
  <c r="BK71" i="1"/>
  <c r="BL879" i="1"/>
  <c r="BK806" i="1"/>
  <c r="BK569" i="1"/>
  <c r="BK106" i="1"/>
  <c r="BK158" i="1"/>
  <c r="BL1041" i="1"/>
  <c r="BK629" i="1"/>
  <c r="BK735" i="1"/>
  <c r="BK78" i="1"/>
  <c r="BL78" i="1" s="1"/>
  <c r="BK421" i="1"/>
  <c r="BK438" i="1"/>
  <c r="BK727" i="1"/>
  <c r="BK165" i="1"/>
  <c r="BL924" i="1"/>
  <c r="BL1005" i="1"/>
  <c r="BK687" i="1"/>
  <c r="BK6" i="1"/>
  <c r="BL1059" i="1"/>
  <c r="BL1038" i="1"/>
  <c r="BK714" i="1"/>
  <c r="BK793" i="1"/>
  <c r="BK750" i="1"/>
  <c r="BK303" i="1"/>
  <c r="BK201" i="1"/>
  <c r="BK51" i="1"/>
  <c r="BK209" i="1"/>
  <c r="BK381" i="1"/>
  <c r="BK684" i="1"/>
  <c r="BK339" i="1"/>
  <c r="BK175" i="1"/>
  <c r="BK789" i="1"/>
  <c r="BL1653" i="1"/>
  <c r="BK320" i="1"/>
  <c r="BK96" i="1"/>
  <c r="BK664" i="1"/>
  <c r="BK395" i="1"/>
  <c r="BK271" i="1"/>
  <c r="BK654" i="1"/>
  <c r="BL654" i="1" s="1"/>
  <c r="BK472" i="1"/>
  <c r="BK311" i="1"/>
  <c r="BK163" i="1"/>
  <c r="BL1212" i="1"/>
  <c r="BL1001" i="1"/>
  <c r="BK1009" i="1"/>
  <c r="BK909" i="1"/>
  <c r="BK1323" i="1"/>
  <c r="BK1447" i="1"/>
  <c r="BK665" i="1"/>
  <c r="BK772" i="1"/>
  <c r="BK656" i="1"/>
  <c r="BK124" i="1"/>
  <c r="BL1511" i="1"/>
  <c r="BK453" i="1"/>
  <c r="BK227" i="1"/>
  <c r="BK349" i="1"/>
  <c r="BK295" i="1"/>
  <c r="BL1355" i="1"/>
  <c r="BL833" i="1"/>
  <c r="BL1251" i="1"/>
  <c r="BK1143" i="1"/>
  <c r="BL1283" i="1"/>
  <c r="BK231" i="1"/>
  <c r="BL869" i="1"/>
  <c r="BL1015" i="1"/>
  <c r="BL1139" i="1"/>
  <c r="BL1455" i="1"/>
  <c r="BK1159" i="1"/>
  <c r="BK173" i="1"/>
  <c r="BL937" i="1"/>
  <c r="BL1370" i="1"/>
  <c r="BK644" i="1"/>
  <c r="BK775" i="1"/>
  <c r="BK42" i="1"/>
  <c r="BK498" i="1"/>
  <c r="BK148" i="1"/>
  <c r="BK485" i="1"/>
  <c r="BK393" i="1"/>
  <c r="BK252" i="1"/>
  <c r="BK114" i="1"/>
  <c r="BK185" i="1"/>
  <c r="BL982" i="1"/>
  <c r="BL1537" i="1"/>
  <c r="BL1502" i="1"/>
  <c r="BL883" i="1"/>
  <c r="BK530" i="1"/>
  <c r="BK718" i="1"/>
  <c r="BK799" i="1"/>
  <c r="BK428" i="1"/>
  <c r="BK1417" i="1"/>
  <c r="BK696" i="1"/>
  <c r="BK701" i="1"/>
  <c r="BK1622" i="1"/>
  <c r="BL970" i="1"/>
  <c r="BK1391" i="1"/>
  <c r="BK1119" i="1"/>
  <c r="BK1411" i="1"/>
  <c r="BK592" i="1"/>
  <c r="BK819" i="1"/>
  <c r="BK152" i="1"/>
  <c r="BK309" i="1"/>
  <c r="BK40" i="1"/>
  <c r="BK181" i="1"/>
  <c r="BK27" i="1"/>
  <c r="BK364" i="1"/>
  <c r="BK406" i="1"/>
  <c r="BL1279" i="1"/>
  <c r="BK617" i="1"/>
  <c r="BK784" i="1"/>
  <c r="BK811" i="1"/>
  <c r="BK685" i="1"/>
  <c r="BK18" i="1"/>
  <c r="BK15" i="1"/>
  <c r="BK352" i="1"/>
  <c r="BK73" i="1"/>
  <c r="BK620" i="1"/>
  <c r="BK143" i="1"/>
  <c r="BK556" i="1"/>
  <c r="BK1595" i="1"/>
  <c r="BL859" i="1"/>
  <c r="BL986" i="1"/>
  <c r="BL1033" i="1"/>
  <c r="BL978" i="1"/>
  <c r="BL1414" i="1"/>
  <c r="BK1431" i="1"/>
  <c r="BK801" i="1"/>
  <c r="BK318" i="1"/>
  <c r="BK467" i="1"/>
  <c r="BK639" i="1"/>
  <c r="BK511" i="1"/>
  <c r="BK1745" i="1"/>
  <c r="BK367" i="1"/>
  <c r="BK116" i="1"/>
  <c r="BK60" i="1"/>
  <c r="BK423" i="1"/>
  <c r="BK823" i="1"/>
  <c r="BL983" i="1"/>
  <c r="BL1403" i="1"/>
  <c r="BL1111" i="1"/>
  <c r="BL1479" i="1"/>
  <c r="BK481" i="1"/>
  <c r="BK256" i="1"/>
  <c r="BK447" i="1"/>
  <c r="BK563" i="1"/>
  <c r="BL988" i="1"/>
  <c r="BK1705" i="1"/>
  <c r="BK815" i="1"/>
  <c r="BK812" i="1"/>
  <c r="BK356" i="1"/>
  <c r="BK532" i="1"/>
  <c r="BK386" i="1"/>
  <c r="BK246" i="1"/>
  <c r="BK623" i="1"/>
  <c r="BK720" i="1"/>
  <c r="BK528" i="1"/>
  <c r="BK32" i="1"/>
  <c r="BK1685" i="1"/>
  <c r="BL975" i="1"/>
  <c r="BK673" i="1"/>
  <c r="BK867" i="1"/>
  <c r="BL994" i="1"/>
  <c r="BL1231" i="1"/>
  <c r="BL1472" i="1"/>
  <c r="BL1483" i="1"/>
  <c r="BK1721" i="1"/>
  <c r="BK1728" i="1"/>
  <c r="BL1513" i="1"/>
  <c r="BK118" i="1"/>
  <c r="BK177" i="1"/>
  <c r="BK35" i="1"/>
  <c r="BK103" i="1"/>
  <c r="BK203" i="1"/>
  <c r="BK65" i="1"/>
  <c r="BK164" i="1"/>
  <c r="BK383" i="1"/>
  <c r="BK672" i="1"/>
  <c r="BL845" i="1"/>
  <c r="BL977" i="1"/>
  <c r="BK1744" i="1"/>
  <c r="BK770" i="1"/>
  <c r="BK610" i="1"/>
  <c r="BK690" i="1"/>
  <c r="BK790" i="1"/>
  <c r="BK515" i="1"/>
  <c r="BK324" i="1"/>
  <c r="BK23" i="1"/>
  <c r="BK234" i="1"/>
  <c r="BK473" i="1"/>
  <c r="BL932" i="1"/>
  <c r="BL1359" i="1"/>
  <c r="BL1215" i="1"/>
  <c r="BK779" i="1"/>
  <c r="BK681" i="1"/>
  <c r="BK507" i="1"/>
  <c r="BK210" i="1"/>
  <c r="BK281" i="1"/>
  <c r="BL1400" i="1"/>
  <c r="BK52" i="1"/>
  <c r="BK663" i="1"/>
  <c r="BK1413" i="1"/>
  <c r="BK390" i="1"/>
  <c r="BK377" i="1"/>
  <c r="BK373" i="1"/>
  <c r="BK199" i="1"/>
  <c r="BL849" i="1"/>
  <c r="BL853" i="1"/>
  <c r="BL1048" i="1"/>
  <c r="BK1255" i="1"/>
  <c r="BL1383" i="1"/>
  <c r="BL1572" i="1"/>
  <c r="BK1740" i="1"/>
  <c r="BK1634" i="1"/>
  <c r="BK749" i="1"/>
  <c r="BK483" i="1"/>
  <c r="BK1668" i="1"/>
  <c r="BK1647" i="1"/>
  <c r="BK291" i="1"/>
  <c r="BK37" i="1"/>
  <c r="BL945" i="1"/>
  <c r="BL1521" i="1"/>
  <c r="BK1760" i="1"/>
  <c r="BK261" i="1"/>
  <c r="BK144" i="1"/>
  <c r="BK561" i="1"/>
  <c r="BK1410" i="1"/>
  <c r="BL1163" i="1"/>
  <c r="BL1351" i="1"/>
  <c r="BL1507" i="1"/>
  <c r="BL1443" i="1"/>
  <c r="BK1661" i="1"/>
  <c r="BK809" i="1"/>
  <c r="BK579" i="1"/>
  <c r="BL1107" i="1"/>
  <c r="BK450" i="1"/>
  <c r="BK375" i="1"/>
  <c r="BK1657" i="1"/>
  <c r="BK503" i="1"/>
  <c r="BK716" i="1"/>
  <c r="BK274" i="1"/>
  <c r="BK460" i="1"/>
  <c r="BK648" i="1"/>
  <c r="BK10" i="1"/>
  <c r="BK7" i="1"/>
  <c r="BK340" i="1"/>
  <c r="BL1487" i="1"/>
  <c r="BK743" i="1"/>
  <c r="BK425" i="1"/>
  <c r="BK259" i="1"/>
  <c r="BK1631" i="1"/>
  <c r="BK1677" i="1"/>
  <c r="BK170" i="1"/>
  <c r="BK14" i="1"/>
  <c r="BK131" i="1"/>
  <c r="BK207" i="1"/>
  <c r="BK80" i="1"/>
  <c r="BL1010" i="1"/>
  <c r="BK160" i="1"/>
  <c r="BK1791" i="1"/>
  <c r="BL1791" i="1"/>
  <c r="BL1692" i="1"/>
  <c r="BK1692" i="1"/>
  <c r="BK1792" i="1"/>
  <c r="BL1792" i="1"/>
  <c r="BK1131" i="1"/>
  <c r="BL1642" i="1"/>
  <c r="BK430" i="1"/>
  <c r="BK321" i="1"/>
  <c r="BK576" i="1"/>
  <c r="BL1754" i="1"/>
  <c r="BK1754" i="1"/>
  <c r="BK1775" i="1"/>
  <c r="BL1775" i="1"/>
  <c r="BL1486" i="1"/>
  <c r="BK1659" i="1"/>
  <c r="BL1659" i="1"/>
  <c r="BL877" i="1"/>
  <c r="BK169" i="1"/>
  <c r="BL1782" i="1"/>
  <c r="BK1782" i="1"/>
  <c r="BK1711" i="1"/>
  <c r="BL1711" i="1"/>
  <c r="BL1534" i="1"/>
  <c r="BL1556" i="1"/>
  <c r="BK62" i="1"/>
  <c r="BK277" i="1"/>
  <c r="BL1140" i="1"/>
  <c r="BK1730" i="1"/>
  <c r="BK765" i="1"/>
  <c r="BK229" i="1"/>
  <c r="BK334" i="1"/>
  <c r="BK138" i="1"/>
  <c r="BK721" i="1"/>
  <c r="BK58" i="1"/>
  <c r="BK133" i="1"/>
  <c r="BK1716" i="1"/>
  <c r="BK1776" i="1"/>
  <c r="BL1776" i="1"/>
  <c r="BL1763" i="1"/>
  <c r="BK1763" i="1"/>
  <c r="BL1550" i="1"/>
  <c r="BL1465" i="1"/>
  <c r="BK782" i="1"/>
  <c r="BK162" i="1"/>
  <c r="BK220" i="1"/>
  <c r="BL221" i="1" s="1"/>
  <c r="BK63" i="1"/>
  <c r="BK1722" i="1"/>
  <c r="BL1593" i="1"/>
  <c r="BK317" i="1"/>
  <c r="BK512" i="1"/>
  <c r="BK466" i="1"/>
  <c r="BK1767" i="1"/>
  <c r="BL1767" i="1"/>
  <c r="BK1731" i="1"/>
  <c r="BL1731" i="1"/>
  <c r="BK141" i="1"/>
  <c r="BK351" i="1"/>
  <c r="BK270" i="1"/>
  <c r="BK769" i="1"/>
  <c r="BK314" i="1"/>
  <c r="BL1756" i="1"/>
  <c r="BK1756" i="1"/>
  <c r="BK1780" i="1"/>
  <c r="BL1780" i="1"/>
  <c r="BK602" i="1"/>
  <c r="BL1777" i="1"/>
  <c r="BK1777" i="1"/>
  <c r="BL1656" i="1"/>
  <c r="BK1656" i="1"/>
  <c r="BL1694" i="1"/>
  <c r="BK1694" i="1"/>
  <c r="BK431" i="1"/>
  <c r="BL917" i="1"/>
  <c r="BL1311" i="1"/>
  <c r="BL1382" i="1"/>
  <c r="BL1585" i="1"/>
  <c r="BK804" i="1"/>
  <c r="BK289" i="1"/>
  <c r="BK145" i="1"/>
  <c r="BL1648" i="1"/>
  <c r="BK1648" i="1"/>
  <c r="BL1786" i="1"/>
  <c r="BK1786" i="1"/>
  <c r="BL1726" i="1"/>
  <c r="BK1726" i="1"/>
  <c r="BL1650" i="1"/>
  <c r="BK1650" i="1"/>
  <c r="BL1600" i="1"/>
  <c r="BK1600" i="1"/>
  <c r="BL1699" i="1"/>
  <c r="BK1699" i="1"/>
  <c r="BK247" i="1"/>
  <c r="BL959" i="1"/>
  <c r="BL1069" i="1"/>
  <c r="BL1076" i="1"/>
  <c r="BL1398" i="1"/>
  <c r="BK1309" i="1"/>
  <c r="BL1384" i="1"/>
  <c r="BL1535" i="1"/>
  <c r="BK776" i="1"/>
  <c r="BK675" i="1"/>
  <c r="BK734" i="1"/>
  <c r="BK388" i="1"/>
  <c r="BK98" i="1"/>
  <c r="BK87" i="1"/>
  <c r="BK596" i="1"/>
  <c r="BK134" i="1"/>
  <c r="BK1636" i="1"/>
  <c r="BL1636" i="1"/>
  <c r="BK1440" i="1"/>
  <c r="BL1440" i="1"/>
  <c r="BL1670" i="1"/>
  <c r="BK1670" i="1"/>
  <c r="BL1485" i="1"/>
  <c r="BK1485" i="1"/>
  <c r="BL949" i="1"/>
  <c r="BK1689" i="1"/>
  <c r="BL1582" i="1"/>
  <c r="BK1353" i="1"/>
  <c r="BK439" i="1"/>
  <c r="BK529" i="1"/>
  <c r="BK306" i="1"/>
  <c r="BL1771" i="1"/>
  <c r="BK1771" i="1"/>
  <c r="BL1717" i="1"/>
  <c r="BK1717" i="1"/>
  <c r="BL1665" i="1"/>
  <c r="BK1665" i="1"/>
  <c r="BL1562" i="1"/>
  <c r="BK1562" i="1"/>
  <c r="BK1687" i="1"/>
  <c r="BL1687" i="1"/>
  <c r="BL1393" i="1"/>
  <c r="BK1393" i="1"/>
  <c r="BK1624" i="1"/>
  <c r="BL1624" i="1"/>
  <c r="BL77" i="1"/>
  <c r="BK394" i="1"/>
  <c r="BL1467" i="1"/>
  <c r="BL1050" i="1"/>
  <c r="BK766" i="1"/>
  <c r="BK705" i="1"/>
  <c r="BK827" i="1"/>
  <c r="BK603" i="1"/>
  <c r="BK583" i="1"/>
  <c r="BK262" i="1"/>
  <c r="BL1682" i="1"/>
  <c r="BK1682" i="1"/>
  <c r="BL1698" i="1"/>
  <c r="BK1698" i="1"/>
  <c r="BK1641" i="1"/>
  <c r="BL1641" i="1"/>
  <c r="BL185" i="1"/>
  <c r="BK624" i="1"/>
  <c r="BL893" i="1"/>
  <c r="BK1405" i="1"/>
  <c r="BK792" i="1"/>
  <c r="BK581" i="1"/>
  <c r="BL581" i="1" s="1"/>
  <c r="BK26" i="1"/>
  <c r="BK527" i="1"/>
  <c r="BL1704" i="1"/>
  <c r="BK1704" i="1"/>
  <c r="BL1750" i="1"/>
  <c r="BK1750" i="1"/>
  <c r="BL1697" i="1"/>
  <c r="BK1697" i="1"/>
  <c r="BK1652" i="1"/>
  <c r="BL1652" i="1"/>
  <c r="BL1710" i="1"/>
  <c r="BK1710" i="1"/>
  <c r="BK1466" i="1"/>
  <c r="BL1466" i="1"/>
  <c r="BK1617" i="1"/>
  <c r="BL1617" i="1"/>
  <c r="BK55" i="1"/>
  <c r="BL871" i="1"/>
  <c r="BL1167" i="1"/>
  <c r="BK1421" i="1"/>
  <c r="BK725" i="1"/>
  <c r="BK222" i="1"/>
  <c r="BK723" i="1"/>
  <c r="BK591" i="1"/>
  <c r="BK470" i="1"/>
  <c r="BK308" i="1"/>
  <c r="BK554" i="1"/>
  <c r="BK446" i="1"/>
  <c r="BK166" i="1"/>
  <c r="BK22" i="1"/>
  <c r="BK655" i="1"/>
  <c r="BL1317" i="1"/>
  <c r="BK1317" i="1"/>
  <c r="BL1706" i="1"/>
  <c r="BK1706" i="1"/>
  <c r="BL1718" i="1"/>
  <c r="BK1718" i="1"/>
  <c r="BL1527" i="1"/>
  <c r="BK1527" i="1"/>
  <c r="BL1187" i="1"/>
  <c r="BK813" i="1"/>
  <c r="BK90" i="1"/>
  <c r="BK499" i="1"/>
  <c r="BK559" i="1"/>
  <c r="BK130" i="1"/>
  <c r="BK479" i="1"/>
  <c r="BK486" i="1"/>
  <c r="BK342" i="1"/>
  <c r="BK188" i="1"/>
  <c r="BK48" i="1"/>
  <c r="BK253" i="1"/>
  <c r="BK95" i="1"/>
  <c r="BK752" i="1"/>
  <c r="BK501" i="1"/>
  <c r="BK361" i="1"/>
  <c r="BK359" i="1"/>
  <c r="BK223" i="1"/>
  <c r="BK636" i="1"/>
  <c r="BK463" i="1"/>
  <c r="BK304" i="1"/>
  <c r="BL1663" i="1"/>
  <c r="BL1729" i="1"/>
  <c r="BK1729" i="1"/>
  <c r="BL1191" i="1"/>
  <c r="BK1517" i="1"/>
  <c r="BK265" i="1"/>
  <c r="BK172" i="1"/>
  <c r="BK459" i="1"/>
  <c r="BK744" i="1"/>
  <c r="BK570" i="1"/>
  <c r="BK427" i="1"/>
  <c r="BK777" i="1"/>
  <c r="BK630" i="1"/>
  <c r="BK348" i="1"/>
  <c r="BK214" i="1"/>
  <c r="BK294" i="1"/>
  <c r="BL1425" i="1"/>
  <c r="BK1425" i="1"/>
  <c r="BL1736" i="1"/>
  <c r="BK1736" i="1"/>
  <c r="BK1787" i="1"/>
  <c r="BL1787" i="1"/>
  <c r="BL1751" i="1"/>
  <c r="BK1751" i="1"/>
  <c r="BL1452" i="1"/>
  <c r="BK1452" i="1"/>
  <c r="BK322" i="1"/>
  <c r="BK357" i="1"/>
  <c r="BK577" i="1"/>
  <c r="BL927" i="1"/>
  <c r="BL966" i="1"/>
  <c r="BL1495" i="1"/>
  <c r="BK676" i="1"/>
  <c r="BK626" i="1"/>
  <c r="BK292" i="1"/>
  <c r="BL293" i="1" s="1"/>
  <c r="BK408" i="1"/>
  <c r="BK272" i="1"/>
  <c r="BK269" i="1"/>
  <c r="BK206" i="1"/>
  <c r="BL892" i="1"/>
  <c r="BL1474" i="1"/>
  <c r="BK1474" i="1"/>
  <c r="BL1749" i="1"/>
  <c r="BK1749" i="1"/>
  <c r="BL1664" i="1"/>
  <c r="BK1664" i="1"/>
  <c r="BL1762" i="1"/>
  <c r="BK1762" i="1"/>
  <c r="BK1516" i="1"/>
  <c r="BL1516" i="1"/>
  <c r="BL1499" i="1"/>
  <c r="BK645" i="1"/>
  <c r="BK541" i="1"/>
  <c r="BK588" i="1"/>
  <c r="BK12" i="1"/>
  <c r="BK494" i="1"/>
  <c r="BK216" i="1"/>
  <c r="BK59" i="1"/>
  <c r="BK404" i="1"/>
  <c r="BK260" i="1"/>
  <c r="BK313" i="1"/>
  <c r="BK44" i="1"/>
  <c r="BL1681" i="1"/>
  <c r="BK1681" i="1"/>
  <c r="BK1772" i="1"/>
  <c r="BL1772" i="1"/>
  <c r="BL1342" i="1"/>
  <c r="BK1342" i="1"/>
  <c r="BK1606" i="1"/>
  <c r="BL1606" i="1"/>
  <c r="BK1332" i="1"/>
  <c r="BL1332" i="1"/>
  <c r="BK979" i="1"/>
  <c r="BL979" i="1"/>
  <c r="BK1042" i="1"/>
  <c r="BL1042" i="1"/>
  <c r="BL1734" i="1"/>
  <c r="BK1734" i="1"/>
  <c r="BK437" i="1"/>
  <c r="BL437" i="1" s="1"/>
  <c r="BK1334" i="1"/>
  <c r="BL1334" i="1"/>
  <c r="BK1172" i="1"/>
  <c r="BL1172" i="1"/>
  <c r="BK28" i="1"/>
  <c r="BK454" i="1"/>
  <c r="BK1500" i="1"/>
  <c r="BL1500" i="1"/>
  <c r="BL1329" i="1"/>
  <c r="BK1329" i="1"/>
  <c r="BK1638" i="1"/>
  <c r="BL1638" i="1"/>
  <c r="BL1742" i="1"/>
  <c r="BK1742" i="1"/>
  <c r="BK1124" i="1"/>
  <c r="BL1124" i="1"/>
  <c r="BK1558" i="1"/>
  <c r="BL1558" i="1"/>
  <c r="BL1204" i="1"/>
  <c r="BK1204" i="1"/>
  <c r="BL1541" i="1"/>
  <c r="BK1541" i="1"/>
  <c r="BL1669" i="1"/>
  <c r="BK1669" i="1"/>
  <c r="BL1265" i="1"/>
  <c r="BK1265" i="1"/>
  <c r="BK1112" i="1"/>
  <c r="BL1112" i="1"/>
  <c r="BL1157" i="1"/>
  <c r="BK1157" i="1"/>
  <c r="BL1434" i="1"/>
  <c r="BK1434" i="1"/>
  <c r="BK41" i="1"/>
  <c r="BL41" i="1" s="1"/>
  <c r="BL42" i="1" s="1"/>
  <c r="BK558" i="1"/>
  <c r="BK1160" i="1"/>
  <c r="BL1160" i="1"/>
  <c r="BK963" i="1"/>
  <c r="BL963" i="1"/>
  <c r="BK763" i="1"/>
  <c r="BL843" i="1"/>
  <c r="BL1039" i="1"/>
  <c r="BL973" i="1"/>
  <c r="BL1123" i="1"/>
  <c r="BK1619" i="1"/>
  <c r="BK1522" i="1"/>
  <c r="BK1348" i="1"/>
  <c r="BL1348" i="1"/>
  <c r="BK1528" i="1"/>
  <c r="BL1528" i="1"/>
  <c r="BK1637" i="1"/>
  <c r="BL1637" i="1"/>
  <c r="BK1727" i="1"/>
  <c r="BL1727" i="1"/>
  <c r="BL1764" i="1"/>
  <c r="BK1764" i="1"/>
  <c r="BL1116" i="1"/>
  <c r="BK1116" i="1"/>
  <c r="BK1252" i="1"/>
  <c r="BL1252" i="1"/>
  <c r="BK1322" i="1"/>
  <c r="BL1322" i="1"/>
  <c r="BL1145" i="1"/>
  <c r="BK1145" i="1"/>
  <c r="BL1278" i="1"/>
  <c r="BK1278" i="1"/>
  <c r="BK1088" i="1"/>
  <c r="BL1088" i="1"/>
  <c r="BK1208" i="1"/>
  <c r="BL1208" i="1"/>
  <c r="BL952" i="1"/>
  <c r="BK952" i="1"/>
  <c r="BL1526" i="1"/>
  <c r="BK1526" i="1"/>
  <c r="BL1586" i="1"/>
  <c r="BK1586" i="1"/>
  <c r="BL1438" i="1"/>
  <c r="BK1438" i="1"/>
  <c r="BL1165" i="1"/>
  <c r="BK1165" i="1"/>
  <c r="BK1158" i="1"/>
  <c r="BL1158" i="1"/>
  <c r="BL1573" i="1"/>
  <c r="BK1573" i="1"/>
  <c r="BL852" i="1"/>
  <c r="BK852" i="1"/>
  <c r="BK1093" i="1"/>
  <c r="BL1093" i="1"/>
  <c r="BK995" i="1"/>
  <c r="BL995" i="1"/>
  <c r="BK858" i="1"/>
  <c r="BL858" i="1"/>
  <c r="BL1080" i="1"/>
  <c r="BK1080" i="1"/>
  <c r="BK830" i="1"/>
  <c r="BL830" i="1"/>
  <c r="BK1086" i="1"/>
  <c r="BL1086" i="1"/>
  <c r="BK920" i="1"/>
  <c r="BL920" i="1"/>
  <c r="BL1233" i="1"/>
  <c r="BK1233" i="1"/>
  <c r="BL1141" i="1"/>
  <c r="BK1141" i="1"/>
  <c r="BK1028" i="1"/>
  <c r="BL1028" i="1"/>
  <c r="BK894" i="1"/>
  <c r="BL894" i="1"/>
  <c r="BK753" i="1"/>
  <c r="BK1078" i="1"/>
  <c r="BL1078" i="1"/>
  <c r="BK742" i="1"/>
  <c r="BK284" i="1"/>
  <c r="BK862" i="1"/>
  <c r="BL862" i="1"/>
  <c r="BK1095" i="1"/>
  <c r="BL1095" i="1"/>
  <c r="BK825" i="1"/>
  <c r="BK668" i="1"/>
  <c r="BK699" i="1"/>
  <c r="BK557" i="1"/>
  <c r="BK161" i="1"/>
  <c r="BK16" i="1"/>
  <c r="BK150" i="1"/>
  <c r="BK504" i="1"/>
  <c r="BK24" i="1"/>
  <c r="BK736" i="1"/>
  <c r="BK186" i="1"/>
  <c r="BL186" i="1" s="1"/>
  <c r="BL187" i="1" s="1"/>
  <c r="BK444" i="1"/>
  <c r="BK276" i="1"/>
  <c r="BL1508" i="1"/>
  <c r="BK1508" i="1"/>
  <c r="BL1667" i="1"/>
  <c r="BK1667" i="1"/>
  <c r="BL1644" i="1"/>
  <c r="BK1644" i="1"/>
  <c r="BK1490" i="1"/>
  <c r="BL1490" i="1"/>
  <c r="BL1253" i="1"/>
  <c r="BK1253" i="1"/>
  <c r="BK1589" i="1"/>
  <c r="BL1589" i="1"/>
  <c r="BK1532" i="1"/>
  <c r="BL1532" i="1"/>
  <c r="BL1260" i="1"/>
  <c r="BK1260" i="1"/>
  <c r="BL1559" i="1"/>
  <c r="BK1559" i="1"/>
  <c r="BL1675" i="1"/>
  <c r="BK1675" i="1"/>
  <c r="BK1392" i="1"/>
  <c r="BL1392" i="1"/>
  <c r="BK1180" i="1"/>
  <c r="BL1180" i="1"/>
  <c r="BK874" i="1"/>
  <c r="BL874" i="1"/>
  <c r="BK1514" i="1"/>
  <c r="BL1514" i="1"/>
  <c r="BL1591" i="1"/>
  <c r="BK1591" i="1"/>
  <c r="BK1590" i="1"/>
  <c r="BL1590" i="1"/>
  <c r="BK1003" i="1"/>
  <c r="BL1003" i="1"/>
  <c r="BK835" i="1"/>
  <c r="BL835" i="1"/>
  <c r="BK1152" i="1"/>
  <c r="BL1152" i="1"/>
  <c r="BL980" i="1"/>
  <c r="BL933" i="1"/>
  <c r="BL961" i="1"/>
  <c r="BL956" i="1"/>
  <c r="BK1397" i="1"/>
  <c r="BK1453" i="1"/>
  <c r="BL1315" i="1"/>
  <c r="BL1396" i="1"/>
  <c r="BK1654" i="1"/>
  <c r="BL1654" i="1"/>
  <c r="BK1156" i="1"/>
  <c r="BL1156" i="1"/>
  <c r="BL1769" i="1"/>
  <c r="BK1769" i="1"/>
  <c r="BK1097" i="1"/>
  <c r="BL1097" i="1"/>
  <c r="BL1368" i="1"/>
  <c r="BK1368" i="1"/>
  <c r="BL1237" i="1"/>
  <c r="BK1237" i="1"/>
  <c r="BK1051" i="1"/>
  <c r="BL1051" i="1"/>
  <c r="BK1316" i="1"/>
  <c r="BL1316" i="1"/>
  <c r="BL1129" i="1"/>
  <c r="BK1129" i="1"/>
  <c r="BK1302" i="1"/>
  <c r="BL1302" i="1"/>
  <c r="BK1068" i="1"/>
  <c r="BL1068" i="1"/>
  <c r="BL911" i="1"/>
  <c r="BK911" i="1"/>
  <c r="BL1358" i="1"/>
  <c r="BK1358" i="1"/>
  <c r="BL1201" i="1"/>
  <c r="BK1201" i="1"/>
  <c r="BL1579" i="1"/>
  <c r="BK1579" i="1"/>
  <c r="BL1313" i="1"/>
  <c r="BK1313" i="1"/>
  <c r="BL1150" i="1"/>
  <c r="BK1150" i="1"/>
  <c r="BK1142" i="1"/>
  <c r="BL1142" i="1"/>
  <c r="BL1566" i="1"/>
  <c r="BK1566" i="1"/>
  <c r="BL1281" i="1"/>
  <c r="BK1281" i="1"/>
  <c r="BK1082" i="1"/>
  <c r="BL1082" i="1"/>
  <c r="BK831" i="1"/>
  <c r="BL831" i="1"/>
  <c r="BK738" i="1"/>
  <c r="BK850" i="1"/>
  <c r="BL850" i="1"/>
  <c r="BL1062" i="1"/>
  <c r="BK1062" i="1"/>
  <c r="BK942" i="1"/>
  <c r="BL942" i="1"/>
  <c r="BK820" i="1"/>
  <c r="BK1074" i="1"/>
  <c r="BL1074" i="1"/>
  <c r="BK934" i="1"/>
  <c r="BL934" i="1"/>
  <c r="BK1136" i="1"/>
  <c r="BL1136" i="1"/>
  <c r="BK888" i="1"/>
  <c r="BL888" i="1"/>
  <c r="BK1178" i="1"/>
  <c r="BL1178" i="1"/>
  <c r="BK907" i="1"/>
  <c r="BL907" i="1"/>
  <c r="BK984" i="1"/>
  <c r="BL984" i="1"/>
  <c r="BK854" i="1"/>
  <c r="BL854" i="1"/>
  <c r="BK931" i="1"/>
  <c r="BL931" i="1"/>
  <c r="BK683" i="1"/>
  <c r="BK440" i="1"/>
  <c r="BK300" i="1"/>
  <c r="BK326" i="1"/>
  <c r="BK631" i="1"/>
  <c r="BK535" i="1"/>
  <c r="BK760" i="1"/>
  <c r="BK604" i="1"/>
  <c r="BK455" i="1"/>
  <c r="BK330" i="1"/>
  <c r="BK111" i="1"/>
  <c r="BL1539" i="1"/>
  <c r="BK1539" i="1"/>
  <c r="BL1672" i="1"/>
  <c r="BK1672" i="1"/>
  <c r="BL1377" i="1"/>
  <c r="BK1377" i="1"/>
  <c r="BL1662" i="1"/>
  <c r="BK1662" i="1"/>
  <c r="BL1770" i="1"/>
  <c r="BK1770" i="1"/>
  <c r="BK1501" i="1"/>
  <c r="BL1501" i="1"/>
  <c r="BL1551" i="1"/>
  <c r="BK1551" i="1"/>
  <c r="BK1286" i="1"/>
  <c r="BL1286" i="1"/>
  <c r="BL1568" i="1"/>
  <c r="BK1568" i="1"/>
  <c r="BL1686" i="1"/>
  <c r="BK1686" i="1"/>
  <c r="BK1533" i="1"/>
  <c r="BL1533" i="1"/>
  <c r="BL1182" i="1"/>
  <c r="BK1182" i="1"/>
  <c r="BK1228" i="1"/>
  <c r="BL1228" i="1"/>
  <c r="BK574" i="1"/>
  <c r="BL1655" i="1"/>
  <c r="BK1655" i="1"/>
  <c r="BK1056" i="1"/>
  <c r="BL1056" i="1"/>
  <c r="BK1092" i="1"/>
  <c r="BL1092" i="1"/>
  <c r="BK841" i="1"/>
  <c r="BK517" i="1"/>
  <c r="BK461" i="1"/>
  <c r="BL851" i="1"/>
  <c r="BL1446" i="1"/>
  <c r="BL1620" i="1"/>
  <c r="BL1660" i="1"/>
  <c r="BK1660" i="1"/>
  <c r="BL1774" i="1"/>
  <c r="BK1774" i="1"/>
  <c r="BK1230" i="1"/>
  <c r="BL1230" i="1"/>
  <c r="BL1113" i="1"/>
  <c r="BK1113" i="1"/>
  <c r="BL1257" i="1"/>
  <c r="BK1257" i="1"/>
  <c r="BK1284" i="1"/>
  <c r="BL1284" i="1"/>
  <c r="BK1040" i="1"/>
  <c r="BL1040" i="1"/>
  <c r="BL1345" i="1"/>
  <c r="BK1345" i="1"/>
  <c r="BL868" i="1"/>
  <c r="BK868" i="1"/>
  <c r="BL1505" i="1"/>
  <c r="BK1505" i="1"/>
  <c r="BL1326" i="1"/>
  <c r="BK1326" i="1"/>
  <c r="BK1101" i="1"/>
  <c r="BL1101" i="1"/>
  <c r="BL1574" i="1"/>
  <c r="BK1574" i="1"/>
  <c r="BL1134" i="1"/>
  <c r="BK1134" i="1"/>
  <c r="BK1477" i="1"/>
  <c r="BL1477" i="1"/>
  <c r="BK1344" i="1"/>
  <c r="BL1344" i="1"/>
  <c r="BK1126" i="1"/>
  <c r="BL1126" i="1"/>
  <c r="BL1560" i="1"/>
  <c r="BK1560" i="1"/>
  <c r="BK1404" i="1"/>
  <c r="BL1404" i="1"/>
  <c r="BK1274" i="1"/>
  <c r="BL1274" i="1"/>
  <c r="BK666" i="1"/>
  <c r="BK944" i="1"/>
  <c r="BL944" i="1"/>
  <c r="BK814" i="1"/>
  <c r="BK543" i="1"/>
  <c r="BK958" i="1"/>
  <c r="BL958" i="1"/>
  <c r="BK724" i="1"/>
  <c r="BK842" i="1"/>
  <c r="BL842" i="1"/>
  <c r="BK928" i="1"/>
  <c r="BL928" i="1"/>
  <c r="BL1067" i="1"/>
  <c r="BK1067" i="1"/>
  <c r="BK902" i="1"/>
  <c r="BL902" i="1"/>
  <c r="BK774" i="1"/>
  <c r="BL1221" i="1"/>
  <c r="BK1221" i="1"/>
  <c r="BL1125" i="1"/>
  <c r="BK1125" i="1"/>
  <c r="BK1016" i="1"/>
  <c r="BL1016" i="1"/>
  <c r="BK1060" i="1"/>
  <c r="BL1060" i="1"/>
  <c r="BK976" i="1"/>
  <c r="BL976" i="1"/>
  <c r="BK846" i="1"/>
  <c r="BL846" i="1"/>
  <c r="BK621" i="1"/>
  <c r="BK1077" i="1"/>
  <c r="BL1077" i="1"/>
  <c r="BK807" i="1"/>
  <c r="BK590" i="1"/>
  <c r="BK97" i="1"/>
  <c r="BK478" i="1"/>
  <c r="BK189" i="1"/>
  <c r="BK341" i="1"/>
  <c r="BK728" i="1"/>
  <c r="BK595" i="1"/>
  <c r="BK305" i="1"/>
  <c r="BK424" i="1"/>
  <c r="BK258" i="1"/>
  <c r="BK101" i="1"/>
  <c r="BK1192" i="1"/>
  <c r="BL1192" i="1"/>
  <c r="BK1565" i="1"/>
  <c r="BL1565" i="1"/>
  <c r="BK1679" i="1"/>
  <c r="BL1679" i="1"/>
  <c r="BL1509" i="1"/>
  <c r="BK1509" i="1"/>
  <c r="BL1330" i="1"/>
  <c r="BK1330" i="1"/>
  <c r="BL1361" i="1"/>
  <c r="BK1361" i="1"/>
  <c r="BK1576" i="1"/>
  <c r="BL1576" i="1"/>
  <c r="BL1680" i="1"/>
  <c r="BK1680" i="1"/>
  <c r="BL1177" i="1"/>
  <c r="BK1177" i="1"/>
  <c r="BL1552" i="1"/>
  <c r="BK1552" i="1"/>
  <c r="BK1614" i="1"/>
  <c r="BL1614" i="1"/>
  <c r="BK1104" i="1"/>
  <c r="BL1104" i="1"/>
  <c r="BL1597" i="1"/>
  <c r="BK1597" i="1"/>
  <c r="BL1245" i="1"/>
  <c r="BK1245" i="1"/>
  <c r="BL1102" i="1"/>
  <c r="BK1102" i="1"/>
  <c r="BK968" i="1"/>
  <c r="BL968" i="1"/>
  <c r="BK593" i="1"/>
  <c r="BL1217" i="1"/>
  <c r="BK1217" i="1"/>
  <c r="BK1468" i="1"/>
  <c r="BL1468" i="1"/>
  <c r="BK1122" i="1"/>
  <c r="BL1122" i="1"/>
  <c r="BK1214" i="1"/>
  <c r="BL1214" i="1"/>
  <c r="BL1220" i="1"/>
  <c r="BK1220" i="1"/>
  <c r="BL1378" i="1"/>
  <c r="BK1378" i="1"/>
  <c r="BL1106" i="1"/>
  <c r="BK1106" i="1"/>
  <c r="BK1091" i="1"/>
  <c r="BL1091" i="1"/>
  <c r="BK412" i="1"/>
  <c r="BK413" i="1"/>
  <c r="BK571" i="1"/>
  <c r="BK215" i="1"/>
  <c r="BK521" i="1"/>
  <c r="BK297" i="1"/>
  <c r="BK659" i="1"/>
  <c r="BL1070" i="1"/>
  <c r="BL1239" i="1"/>
  <c r="BL1179" i="1"/>
  <c r="BL1478" i="1"/>
  <c r="BL1630" i="1"/>
  <c r="BL1666" i="1"/>
  <c r="BK1666" i="1"/>
  <c r="BK1246" i="1"/>
  <c r="BL1246" i="1"/>
  <c r="BK1649" i="1"/>
  <c r="BL1649" i="1"/>
  <c r="BK1779" i="1"/>
  <c r="BL1779" i="1"/>
  <c r="BK974" i="1"/>
  <c r="BL974" i="1"/>
  <c r="BL923" i="1"/>
  <c r="BK923" i="1"/>
  <c r="BK1071" i="1"/>
  <c r="BL1071" i="1"/>
  <c r="BL1374" i="1"/>
  <c r="BK1374" i="1"/>
  <c r="BK1250" i="1"/>
  <c r="BL1250" i="1"/>
  <c r="BL916" i="1"/>
  <c r="BK916" i="1"/>
  <c r="BL1314" i="1"/>
  <c r="BK1314" i="1"/>
  <c r="BK1174" i="1"/>
  <c r="BL1174" i="1"/>
  <c r="BL1484" i="1"/>
  <c r="BK1484" i="1"/>
  <c r="BK1320" i="1"/>
  <c r="BL1320" i="1"/>
  <c r="BK1087" i="1"/>
  <c r="BL1087" i="1"/>
  <c r="BL1561" i="1"/>
  <c r="BK1561" i="1"/>
  <c r="BL1118" i="1"/>
  <c r="BK1118" i="1"/>
  <c r="BK1470" i="1"/>
  <c r="BL1470" i="1"/>
  <c r="BK1110" i="1"/>
  <c r="BL1110" i="1"/>
  <c r="BL1548" i="1"/>
  <c r="BK1548" i="1"/>
  <c r="BL1394" i="1"/>
  <c r="BK1394" i="1"/>
  <c r="BK805" i="1"/>
  <c r="BK709" i="1"/>
  <c r="BK821" i="1"/>
  <c r="BK903" i="1"/>
  <c r="BL903" i="1"/>
  <c r="BK803" i="1"/>
  <c r="BK914" i="1"/>
  <c r="BL914" i="1"/>
  <c r="BK764" i="1"/>
  <c r="BK1216" i="1"/>
  <c r="BL1216" i="1"/>
  <c r="BK1120" i="1"/>
  <c r="BL1120" i="1"/>
  <c r="BK1008" i="1"/>
  <c r="BL1008" i="1"/>
  <c r="BK1288" i="1"/>
  <c r="BL1288" i="1"/>
  <c r="BK1162" i="1"/>
  <c r="BL1162" i="1"/>
  <c r="BK1108" i="1"/>
  <c r="BL1108" i="1"/>
  <c r="BK826" i="1"/>
  <c r="BK1047" i="1"/>
  <c r="BL1047" i="1"/>
  <c r="BK906" i="1"/>
  <c r="BL906" i="1"/>
  <c r="BK490" i="1"/>
  <c r="BK212" i="1"/>
  <c r="BK524" i="1"/>
  <c r="BK257" i="1"/>
  <c r="BK582" i="1"/>
  <c r="BK420" i="1"/>
  <c r="BK228" i="1"/>
  <c r="BK86" i="1"/>
  <c r="BK458" i="1"/>
  <c r="BK519" i="1"/>
  <c r="BK710" i="1"/>
  <c r="BK586" i="1"/>
  <c r="BK312" i="1"/>
  <c r="BK20" i="1"/>
  <c r="BK568" i="1"/>
  <c r="BK91" i="1"/>
  <c r="BK1218" i="1"/>
  <c r="BL1218" i="1"/>
  <c r="BK1580" i="1"/>
  <c r="BL1580" i="1"/>
  <c r="BL1684" i="1"/>
  <c r="BK1684" i="1"/>
  <c r="BK1540" i="1"/>
  <c r="BL1540" i="1"/>
  <c r="BK1356" i="1"/>
  <c r="BL1356" i="1"/>
  <c r="BL1386" i="1"/>
  <c r="BK1386" i="1"/>
  <c r="BL1336" i="1"/>
  <c r="BK1336" i="1"/>
  <c r="BL1232" i="1"/>
  <c r="BK1232" i="1"/>
  <c r="BL1132" i="1"/>
  <c r="BK1132" i="1"/>
  <c r="BK1300" i="1"/>
  <c r="BL1300" i="1"/>
  <c r="BK838" i="1"/>
  <c r="BL838" i="1"/>
  <c r="BK1280" i="1"/>
  <c r="BL1280" i="1"/>
  <c r="BK365" i="1"/>
  <c r="BL1297" i="1"/>
  <c r="BK1297" i="1"/>
  <c r="BK614" i="1"/>
  <c r="BK49" i="1"/>
  <c r="BL996" i="1"/>
  <c r="BK745" i="1"/>
  <c r="BL1014" i="1"/>
  <c r="BL1235" i="1"/>
  <c r="BL1488" i="1"/>
  <c r="BK1564" i="1"/>
  <c r="BL1564" i="1"/>
  <c r="BL1758" i="1"/>
  <c r="BK1758" i="1"/>
  <c r="BL1273" i="1"/>
  <c r="BK1273" i="1"/>
  <c r="BL1519" i="1"/>
  <c r="BK1519" i="1"/>
  <c r="BL1790" i="1"/>
  <c r="BK1790" i="1"/>
  <c r="BK930" i="1"/>
  <c r="BL930" i="1"/>
  <c r="BL1310" i="1"/>
  <c r="BK1310" i="1"/>
  <c r="BL876" i="1"/>
  <c r="BK876" i="1"/>
  <c r="BK1308" i="1"/>
  <c r="BL1308" i="1"/>
  <c r="BL1166" i="1"/>
  <c r="BK1166" i="1"/>
  <c r="BL1064" i="1"/>
  <c r="BK1064" i="1"/>
  <c r="BL1549" i="1"/>
  <c r="BK1549" i="1"/>
  <c r="BL1241" i="1"/>
  <c r="BK1241" i="1"/>
  <c r="BL1100" i="1"/>
  <c r="BK1100" i="1"/>
  <c r="BL1536" i="1"/>
  <c r="BK1536" i="1"/>
  <c r="BK797" i="1"/>
  <c r="BK474" i="1"/>
  <c r="BK1055" i="1"/>
  <c r="BL1055" i="1"/>
  <c r="BK908" i="1"/>
  <c r="BL908" i="1"/>
  <c r="BK1079" i="1"/>
  <c r="BL1079" i="1"/>
  <c r="BL872" i="1"/>
  <c r="BK872" i="1"/>
  <c r="BL1205" i="1"/>
  <c r="BK1205" i="1"/>
  <c r="BK1282" i="1"/>
  <c r="BL1282" i="1"/>
  <c r="BK878" i="1"/>
  <c r="BL878" i="1"/>
  <c r="BK657" i="1"/>
  <c r="BK1084" i="1"/>
  <c r="BL1084" i="1"/>
  <c r="BK946" i="1"/>
  <c r="BL946" i="1"/>
  <c r="BK817" i="1"/>
  <c r="BK1026" i="1"/>
  <c r="BL1026" i="1"/>
  <c r="BK651" i="1"/>
  <c r="BK565" i="1"/>
  <c r="BK107" i="1"/>
  <c r="BK74" i="1"/>
  <c r="BK254" i="1"/>
  <c r="BK502" i="1"/>
  <c r="BK82" i="1"/>
  <c r="BK578" i="1"/>
  <c r="BK285" i="1"/>
  <c r="BK154" i="1"/>
  <c r="BK8" i="1"/>
  <c r="BK560" i="1"/>
  <c r="BK79" i="1"/>
  <c r="BK1588" i="1"/>
  <c r="BL1588" i="1"/>
  <c r="BL1715" i="1"/>
  <c r="BK1715" i="1"/>
  <c r="BL1457" i="1"/>
  <c r="BK1457" i="1"/>
  <c r="BL1690" i="1"/>
  <c r="BK1690" i="1"/>
  <c r="BK1408" i="1"/>
  <c r="BL1408" i="1"/>
  <c r="BL1610" i="1"/>
  <c r="BK1610" i="1"/>
  <c r="BK1424" i="1"/>
  <c r="BL1424" i="1"/>
  <c r="BK1604" i="1"/>
  <c r="BL1604" i="1"/>
  <c r="BK1312" i="1"/>
  <c r="BL1312" i="1"/>
  <c r="BL1599" i="1"/>
  <c r="BK1599" i="1"/>
  <c r="BK971" i="1"/>
  <c r="BL971" i="1"/>
  <c r="BK153" i="1"/>
  <c r="BK179" i="1"/>
  <c r="BK183" i="1"/>
  <c r="BK500" i="1"/>
  <c r="BK360" i="1"/>
  <c r="BK537" i="1"/>
  <c r="BK1461" i="1"/>
  <c r="BL1098" i="1"/>
  <c r="BL1416" i="1"/>
  <c r="BL1441" i="1"/>
  <c r="BK1441" i="1"/>
  <c r="BK1683" i="1"/>
  <c r="BL1683" i="1"/>
  <c r="BK1546" i="1"/>
  <c r="BL1546" i="1"/>
  <c r="BL1678" i="1"/>
  <c r="BK1678" i="1"/>
  <c r="BL1170" i="1"/>
  <c r="BK1170" i="1"/>
  <c r="BL844" i="1"/>
  <c r="BK844" i="1"/>
  <c r="BK1304" i="1"/>
  <c r="BL1304" i="1"/>
  <c r="BL1197" i="1"/>
  <c r="BK1197" i="1"/>
  <c r="BK837" i="1"/>
  <c r="BL837" i="1"/>
  <c r="BK1272" i="1"/>
  <c r="BL1272" i="1"/>
  <c r="BK1360" i="1"/>
  <c r="BL1360" i="1"/>
  <c r="BL1229" i="1"/>
  <c r="BK1229" i="1"/>
  <c r="BK1264" i="1"/>
  <c r="BL1264" i="1"/>
  <c r="BK1290" i="1"/>
  <c r="BL1290" i="1"/>
  <c r="BL1301" i="1"/>
  <c r="BK1301" i="1"/>
  <c r="BK1032" i="1"/>
  <c r="BL1032" i="1"/>
  <c r="BK1372" i="1"/>
  <c r="BL1372" i="1"/>
  <c r="BK1234" i="1"/>
  <c r="BL1234" i="1"/>
  <c r="BL860" i="1"/>
  <c r="BK860" i="1"/>
  <c r="BL1454" i="1"/>
  <c r="BK1454" i="1"/>
  <c r="BK1268" i="1"/>
  <c r="BL1268" i="1"/>
  <c r="BK1530" i="1"/>
  <c r="BL1530" i="1"/>
  <c r="BL1225" i="1"/>
  <c r="BK1225" i="1"/>
  <c r="BL1149" i="1"/>
  <c r="BK1149" i="1"/>
  <c r="BK1045" i="1"/>
  <c r="BL1045" i="1"/>
  <c r="BK891" i="1"/>
  <c r="BL891" i="1"/>
  <c r="BK936" i="1"/>
  <c r="BL936" i="1"/>
  <c r="BK1044" i="1"/>
  <c r="BL1044" i="1"/>
  <c r="BK915" i="1"/>
  <c r="BL915" i="1"/>
  <c r="BK796" i="1"/>
  <c r="BK1043" i="1"/>
  <c r="BL1043" i="1"/>
  <c r="BK895" i="1"/>
  <c r="BL895" i="1"/>
  <c r="BK1049" i="1"/>
  <c r="BL1049" i="1"/>
  <c r="BL864" i="1"/>
  <c r="BK864" i="1"/>
  <c r="BK1200" i="1"/>
  <c r="BL1200" i="1"/>
  <c r="BK1090" i="1"/>
  <c r="BL1090" i="1"/>
  <c r="BK962" i="1"/>
  <c r="BL962" i="1"/>
  <c r="BK1276" i="1"/>
  <c r="BL1276" i="1"/>
  <c r="BK1146" i="1"/>
  <c r="BL1146" i="1"/>
  <c r="BK839" i="1"/>
  <c r="BL839" i="1"/>
  <c r="BK1065" i="1"/>
  <c r="BL1065" i="1"/>
  <c r="BK939" i="1"/>
  <c r="BL939" i="1"/>
  <c r="BK808" i="1"/>
  <c r="BK886" i="1"/>
  <c r="BL886" i="1"/>
  <c r="BK627" i="1"/>
  <c r="BK462" i="1"/>
  <c r="BK329" i="1"/>
  <c r="BK193" i="1"/>
  <c r="BK548" i="1"/>
  <c r="BK237" i="1"/>
  <c r="BK730" i="1"/>
  <c r="BK105" i="1"/>
  <c r="BK157" i="1"/>
  <c r="BK11" i="1"/>
  <c r="BK670" i="1"/>
  <c r="BK70" i="1"/>
  <c r="BK726" i="1"/>
  <c r="BK213" i="1"/>
  <c r="BK67" i="1"/>
  <c r="BK1324" i="1"/>
  <c r="BL1324" i="1"/>
  <c r="BL1608" i="1"/>
  <c r="BK1608" i="1"/>
  <c r="BL1469" i="1"/>
  <c r="BK1469" i="1"/>
  <c r="BL1198" i="1"/>
  <c r="BK1198" i="1"/>
  <c r="BK1616" i="1"/>
  <c r="BL1616" i="1"/>
  <c r="BL1436" i="1"/>
  <c r="BK1436" i="1"/>
  <c r="BK1628" i="1"/>
  <c r="BL1628" i="1"/>
  <c r="BL1362" i="1"/>
  <c r="BK1362" i="1"/>
  <c r="BK1138" i="1"/>
  <c r="BL1138" i="1"/>
  <c r="BL1181" i="1"/>
  <c r="BK1181" i="1"/>
  <c r="BK1388" i="1"/>
  <c r="BL1388" i="1"/>
  <c r="BL1531" i="1"/>
  <c r="BK1531" i="1"/>
  <c r="BK866" i="1"/>
  <c r="BL866" i="1"/>
  <c r="BK870" i="1"/>
  <c r="BL870" i="1"/>
  <c r="BK147" i="1"/>
  <c r="BL901" i="1"/>
  <c r="BL1089" i="1"/>
  <c r="BL1199" i="1"/>
  <c r="BL1339" i="1"/>
  <c r="BK1325" i="1"/>
  <c r="BK84" i="1"/>
  <c r="BK345" i="1"/>
  <c r="BK171" i="1"/>
  <c r="BK385" i="1"/>
  <c r="BK693" i="1"/>
  <c r="BL1105" i="1"/>
  <c r="BL1171" i="1"/>
  <c r="BL1496" i="1"/>
  <c r="BL1512" i="1"/>
  <c r="BL1503" i="1"/>
  <c r="BK1401" i="1"/>
  <c r="BL1688" i="1"/>
  <c r="BK1688" i="1"/>
  <c r="BK1376" i="1"/>
  <c r="BL1376" i="1"/>
  <c r="BL1555" i="1"/>
  <c r="BK1555" i="1"/>
  <c r="BL1701" i="1"/>
  <c r="BK1701" i="1"/>
  <c r="BK1298" i="1"/>
  <c r="BL1298" i="1"/>
  <c r="BK1176" i="1"/>
  <c r="BL1176" i="1"/>
  <c r="BK788" i="1"/>
  <c r="BK960" i="1"/>
  <c r="BL960" i="1"/>
  <c r="BL1346" i="1"/>
  <c r="BK1346" i="1"/>
  <c r="BK1222" i="1"/>
  <c r="BL1222" i="1"/>
  <c r="BK1236" i="1"/>
  <c r="BL1236" i="1"/>
  <c r="BK1296" i="1"/>
  <c r="BL1296" i="1"/>
  <c r="BK990" i="1"/>
  <c r="BL990" i="1"/>
  <c r="BK1364" i="1"/>
  <c r="BL1364" i="1"/>
  <c r="BK1226" i="1"/>
  <c r="BL1226" i="1"/>
  <c r="BK682" i="1"/>
  <c r="BL1261" i="1"/>
  <c r="BK1261" i="1"/>
  <c r="BL1349" i="1"/>
  <c r="BK1349" i="1"/>
  <c r="BK1206" i="1"/>
  <c r="BL1206" i="1"/>
  <c r="BK1144" i="1"/>
  <c r="BL1144" i="1"/>
  <c r="BK922" i="1"/>
  <c r="BL922" i="1"/>
  <c r="BK1037" i="1"/>
  <c r="BL1037" i="1"/>
  <c r="BK534" i="1"/>
  <c r="BK643" i="1"/>
  <c r="BK1023" i="1"/>
  <c r="BL1023" i="1"/>
  <c r="BL856" i="1"/>
  <c r="BK856" i="1"/>
  <c r="BL1189" i="1"/>
  <c r="BK1189" i="1"/>
  <c r="BK1073" i="1"/>
  <c r="BL1073" i="1"/>
  <c r="BK955" i="1"/>
  <c r="BL955" i="1"/>
  <c r="BK834" i="1"/>
  <c r="BL834" i="1"/>
  <c r="BL1269" i="1"/>
  <c r="BK1269" i="1"/>
  <c r="BK791" i="1"/>
  <c r="BK523" i="1"/>
  <c r="BK1006" i="1"/>
  <c r="BL1006" i="1"/>
  <c r="BK771" i="1"/>
  <c r="BK452" i="1"/>
  <c r="BK89" i="1"/>
  <c r="BK539" i="1"/>
  <c r="BK75" i="1"/>
  <c r="BK200" i="1"/>
  <c r="BK50" i="1"/>
  <c r="BK695" i="1"/>
  <c r="BK137" i="1"/>
  <c r="BK208" i="1"/>
  <c r="BK686" i="1"/>
  <c r="BK553" i="1"/>
  <c r="BK268" i="1"/>
  <c r="BK717" i="1"/>
  <c r="BK526" i="1"/>
  <c r="BK205" i="1"/>
  <c r="BL1402" i="1"/>
  <c r="BK1402" i="1"/>
  <c r="BL1621" i="1"/>
  <c r="BK1621" i="1"/>
  <c r="BL1759" i="1"/>
  <c r="BK1759" i="1"/>
  <c r="BK1480" i="1"/>
  <c r="BL1480" i="1"/>
  <c r="BL1702" i="1"/>
  <c r="BK1702" i="1"/>
  <c r="BL1575" i="1"/>
  <c r="BK1575" i="1"/>
  <c r="BL1458" i="1"/>
  <c r="BK1458" i="1"/>
  <c r="BL1623" i="1"/>
  <c r="BK1623" i="1"/>
  <c r="BL1450" i="1"/>
  <c r="BK1450" i="1"/>
  <c r="BL1635" i="1"/>
  <c r="BK1635" i="1"/>
  <c r="BL1390" i="1"/>
  <c r="BK1390" i="1"/>
  <c r="BK1747" i="1"/>
  <c r="BL1747" i="1"/>
  <c r="BL1538" i="1"/>
  <c r="BK1538" i="1"/>
  <c r="BK1020" i="1"/>
  <c r="BL1020" i="1"/>
  <c r="BK94" i="1"/>
  <c r="BK493" i="1"/>
  <c r="BL1258" i="1"/>
  <c r="BL1367" i="1"/>
  <c r="BL1463" i="1"/>
  <c r="BK1476" i="1"/>
  <c r="BL1476" i="1"/>
  <c r="BL1587" i="1"/>
  <c r="BK1587" i="1"/>
  <c r="BK1695" i="1"/>
  <c r="BL1695" i="1"/>
  <c r="BK1784" i="1"/>
  <c r="BL1784" i="1"/>
  <c r="BL1720" i="1"/>
  <c r="BK1720" i="1"/>
  <c r="BL1292" i="1"/>
  <c r="BK1292" i="1"/>
  <c r="BL1169" i="1"/>
  <c r="BK1169" i="1"/>
  <c r="BL1244" i="1"/>
  <c r="BK1244" i="1"/>
  <c r="BK1340" i="1"/>
  <c r="BL1340" i="1"/>
  <c r="BL1153" i="1"/>
  <c r="BK1153" i="1"/>
  <c r="BK1202" i="1"/>
  <c r="BL1202" i="1"/>
  <c r="BL1256" i="1"/>
  <c r="BK1256" i="1"/>
  <c r="BL1498" i="1"/>
  <c r="BK1498" i="1"/>
  <c r="BK1254" i="1"/>
  <c r="BL1254" i="1"/>
  <c r="BK1504" i="1"/>
  <c r="BL1504" i="1"/>
  <c r="BL1133" i="1"/>
  <c r="BK1133" i="1"/>
  <c r="BL1031" i="1"/>
  <c r="BK1031" i="1"/>
  <c r="BK758" i="1"/>
  <c r="BK910" i="1"/>
  <c r="BL910" i="1"/>
  <c r="BK649" i="1"/>
  <c r="BK1030" i="1"/>
  <c r="BL1030" i="1"/>
  <c r="BL896" i="1"/>
  <c r="BK896" i="1"/>
  <c r="BK756" i="1"/>
  <c r="BK609" i="1"/>
  <c r="BL848" i="1"/>
  <c r="BK848" i="1"/>
  <c r="BL1184" i="1"/>
  <c r="BK1184" i="1"/>
  <c r="BK1066" i="1"/>
  <c r="BL1066" i="1"/>
  <c r="BK947" i="1"/>
  <c r="BL947" i="1"/>
  <c r="BK1130" i="1"/>
  <c r="BL1130" i="1"/>
  <c r="BK1053" i="1"/>
  <c r="BL1053" i="1"/>
  <c r="BK918" i="1"/>
  <c r="BL918" i="1"/>
  <c r="BK487" i="1"/>
  <c r="BK761" i="1"/>
  <c r="BK310" i="1"/>
  <c r="BK514" i="1"/>
  <c r="BK190" i="1"/>
  <c r="BK38" i="1"/>
  <c r="BK712" i="1"/>
  <c r="BK217" i="1"/>
  <c r="BK125" i="1"/>
  <c r="BK475" i="1"/>
  <c r="BK197" i="1"/>
  <c r="BK46" i="1"/>
  <c r="BK678" i="1"/>
  <c r="BK544" i="1"/>
  <c r="BK392" i="1"/>
  <c r="BK122" i="1"/>
  <c r="BK700" i="1"/>
  <c r="BK347" i="1"/>
  <c r="BK43" i="1"/>
  <c r="BL1626" i="1"/>
  <c r="BK1626" i="1"/>
  <c r="BL1765" i="1"/>
  <c r="BK1765" i="1"/>
  <c r="BK1581" i="1"/>
  <c r="BL1581" i="1"/>
  <c r="BL1646" i="1"/>
  <c r="BK1646" i="1"/>
  <c r="BL1409" i="1"/>
  <c r="BK1409" i="1"/>
  <c r="BL1714" i="1"/>
  <c r="BK1714" i="1"/>
  <c r="BL1525" i="1"/>
  <c r="BK1525" i="1"/>
  <c r="BK898" i="1"/>
  <c r="BL898" i="1"/>
  <c r="BK1011" i="1"/>
  <c r="BL1011" i="1"/>
  <c r="BK762" i="1"/>
  <c r="BL981" i="1"/>
  <c r="BK29" i="1"/>
  <c r="BK401" i="1"/>
  <c r="BK785" i="1"/>
  <c r="BK550" i="1"/>
  <c r="BL954" i="1"/>
  <c r="BK732" i="1"/>
  <c r="BL919" i="1"/>
  <c r="BL999" i="1"/>
  <c r="BL1270" i="1"/>
  <c r="BL1175" i="1"/>
  <c r="BK1373" i="1"/>
  <c r="BL1418" i="1"/>
  <c r="BK1418" i="1"/>
  <c r="BK1594" i="1"/>
  <c r="BL1594" i="1"/>
  <c r="BL1733" i="1"/>
  <c r="BK1733" i="1"/>
  <c r="BL1148" i="1"/>
  <c r="BK1148" i="1"/>
  <c r="BL1285" i="1"/>
  <c r="BK1285" i="1"/>
  <c r="BL1161" i="1"/>
  <c r="BK1161" i="1"/>
  <c r="BL1209" i="1"/>
  <c r="BK1209" i="1"/>
  <c r="BK715" i="1"/>
  <c r="BK1328" i="1"/>
  <c r="BL1328" i="1"/>
  <c r="BL1137" i="1"/>
  <c r="BK1137" i="1"/>
  <c r="BK1196" i="1"/>
  <c r="BL1196" i="1"/>
  <c r="BL1249" i="1"/>
  <c r="BK1249" i="1"/>
  <c r="BL1567" i="1"/>
  <c r="BK1567" i="1"/>
  <c r="BL1422" i="1"/>
  <c r="BK1422" i="1"/>
  <c r="BK1262" i="1"/>
  <c r="BL1262" i="1"/>
  <c r="BK1492" i="1"/>
  <c r="BL1492" i="1"/>
  <c r="BK1350" i="1"/>
  <c r="BL1350" i="1"/>
  <c r="BL1213" i="1"/>
  <c r="BK1213" i="1"/>
  <c r="BK1554" i="1"/>
  <c r="BL1554" i="1"/>
  <c r="BK1248" i="1"/>
  <c r="BL1248" i="1"/>
  <c r="BK667" i="1"/>
  <c r="BL1497" i="1"/>
  <c r="BK1497" i="1"/>
  <c r="BK1318" i="1"/>
  <c r="BL1318" i="1"/>
  <c r="BL1058" i="1"/>
  <c r="BK1058" i="1"/>
  <c r="BK1128" i="1"/>
  <c r="BL1128" i="1"/>
  <c r="BK1019" i="1"/>
  <c r="BL1019" i="1"/>
  <c r="BK121" i="1"/>
  <c r="BK904" i="1"/>
  <c r="BL904" i="1"/>
  <c r="BK633" i="1"/>
  <c r="BK632" i="1"/>
  <c r="BK1024" i="1"/>
  <c r="BL1024" i="1"/>
  <c r="BK890" i="1"/>
  <c r="BL890" i="1"/>
  <c r="BK746" i="1"/>
  <c r="BK464" i="1"/>
  <c r="BL840" i="1"/>
  <c r="BK840" i="1"/>
  <c r="BL1173" i="1"/>
  <c r="BK1173" i="1"/>
  <c r="BL1054" i="1"/>
  <c r="BK1054" i="1"/>
  <c r="BK1000" i="1"/>
  <c r="BL1000" i="1"/>
  <c r="BK818" i="1"/>
  <c r="BK912" i="1"/>
  <c r="BL912" i="1"/>
  <c r="BK380" i="1"/>
  <c r="BK575" i="1"/>
  <c r="BK432" i="1"/>
  <c r="BK302" i="1"/>
  <c r="BK480" i="1"/>
  <c r="BK355" i="1"/>
  <c r="BK506" i="1"/>
  <c r="BK117" i="1"/>
  <c r="BK680" i="1"/>
  <c r="BK280" i="1"/>
  <c r="BK778" i="1"/>
  <c r="BK638" i="1"/>
  <c r="BK34" i="1"/>
  <c r="BK102" i="1"/>
  <c r="BK241" i="1"/>
  <c r="BK113" i="1"/>
  <c r="BL113" i="1" s="1"/>
  <c r="BK482" i="1"/>
  <c r="BK338" i="1"/>
  <c r="BK174" i="1"/>
  <c r="BK31" i="1"/>
  <c r="BL1442" i="1"/>
  <c r="BK1442" i="1"/>
  <c r="BL1632" i="1"/>
  <c r="BK1632" i="1"/>
  <c r="BK1164" i="1"/>
  <c r="BL1164" i="1"/>
  <c r="BK1520" i="1"/>
  <c r="BL1520" i="1"/>
  <c r="BK1493" i="1"/>
  <c r="BL1493" i="1"/>
  <c r="BL1473" i="1"/>
  <c r="BK1473" i="1"/>
  <c r="BL1651" i="1"/>
  <c r="BK1651" i="1"/>
  <c r="BK1456" i="1"/>
  <c r="BL1456" i="1"/>
  <c r="BK1075" i="1"/>
  <c r="BL1075" i="1"/>
  <c r="BL940" i="1"/>
  <c r="BL1752" i="1"/>
  <c r="BK1752" i="1"/>
  <c r="BL1333" i="1"/>
  <c r="BK1333" i="1"/>
  <c r="BK1518" i="1"/>
  <c r="BL1518" i="1"/>
  <c r="BL1294" i="1"/>
  <c r="BK1294" i="1"/>
  <c r="BK1035" i="1"/>
  <c r="BL1035" i="1"/>
  <c r="BK1194" i="1"/>
  <c r="BL1194" i="1"/>
  <c r="BL832" i="1"/>
  <c r="BK832" i="1"/>
  <c r="BK343" i="1"/>
  <c r="BK353" i="1"/>
  <c r="BK810" i="1"/>
  <c r="BK1389" i="1"/>
  <c r="BL1607" i="1"/>
  <c r="BK1607" i="1"/>
  <c r="BK1707" i="1"/>
  <c r="BL1707" i="1"/>
  <c r="BK1601" i="1"/>
  <c r="BL1601" i="1"/>
  <c r="BK1154" i="1"/>
  <c r="BL1154" i="1"/>
  <c r="BK1190" i="1"/>
  <c r="BL1190" i="1"/>
  <c r="BK618" i="1"/>
  <c r="BL1121" i="1"/>
  <c r="BK1121" i="1"/>
  <c r="BK1352" i="1"/>
  <c r="BL1352" i="1"/>
  <c r="BK1188" i="1"/>
  <c r="BL1188" i="1"/>
  <c r="BL1406" i="1"/>
  <c r="BK1406" i="1"/>
  <c r="BK1242" i="1"/>
  <c r="BL1242" i="1"/>
  <c r="BK1103" i="1"/>
  <c r="BL1103" i="1"/>
  <c r="BL1543" i="1"/>
  <c r="BK1543" i="1"/>
  <c r="BK1338" i="1"/>
  <c r="BL1338" i="1"/>
  <c r="BL1193" i="1"/>
  <c r="BK1193" i="1"/>
  <c r="BK1542" i="1"/>
  <c r="BL1542" i="1"/>
  <c r="BK1186" i="1"/>
  <c r="BL1186" i="1"/>
  <c r="BK1482" i="1"/>
  <c r="BL1482" i="1"/>
  <c r="BK1306" i="1"/>
  <c r="BL1306" i="1"/>
  <c r="BK1025" i="1"/>
  <c r="BL1025" i="1"/>
  <c r="BL1117" i="1"/>
  <c r="BK1117" i="1"/>
  <c r="BK616" i="1"/>
  <c r="BL617" i="1" s="1"/>
  <c r="BK1018" i="1"/>
  <c r="BL1018" i="1"/>
  <c r="BK882" i="1"/>
  <c r="BL882" i="1"/>
  <c r="BK987" i="1"/>
  <c r="BL987" i="1"/>
  <c r="BK1168" i="1"/>
  <c r="BL1168" i="1"/>
  <c r="BK926" i="1"/>
  <c r="BL926" i="1"/>
  <c r="BK1210" i="1"/>
  <c r="BL1210" i="1"/>
  <c r="BK1114" i="1"/>
  <c r="BL1114" i="1"/>
  <c r="BK992" i="1"/>
  <c r="BL992" i="1"/>
  <c r="BK1021" i="1"/>
  <c r="BL1021" i="1"/>
  <c r="BK900" i="1"/>
  <c r="BL900" i="1"/>
  <c r="BK740" i="1"/>
  <c r="BK266" i="1"/>
  <c r="BK567" i="1"/>
  <c r="BK488" i="1"/>
  <c r="BK245" i="1"/>
  <c r="BK622" i="1"/>
  <c r="BK510" i="1"/>
  <c r="BK224" i="1"/>
  <c r="BK233" i="1"/>
  <c r="BK661" i="1"/>
  <c r="BK19" i="1"/>
  <c r="BK1224" i="1"/>
  <c r="BL1224" i="1"/>
  <c r="BK1529" i="1"/>
  <c r="BL1529" i="1"/>
  <c r="BK1420" i="1"/>
  <c r="BL1420" i="1"/>
  <c r="BK1602" i="1"/>
  <c r="BL1602" i="1"/>
  <c r="BL1052" i="1"/>
  <c r="BK1052" i="1"/>
  <c r="BK1481" i="1"/>
  <c r="BL1481" i="1"/>
  <c r="BL1639" i="1"/>
  <c r="BK1639" i="1"/>
  <c r="BL1658" i="1"/>
  <c r="BK1658" i="1"/>
  <c r="BK1494" i="1"/>
  <c r="BL1494" i="1"/>
  <c r="BL689" i="1"/>
  <c r="BL6" i="1"/>
  <c r="AV5" i="1"/>
  <c r="AV6" i="1" s="1"/>
  <c r="AV7" i="1" s="1"/>
  <c r="AF45" i="1"/>
  <c r="AF44" i="1"/>
  <c r="AF3" i="1"/>
  <c r="BL257" i="1" l="1"/>
  <c r="BL188" i="1"/>
  <c r="BL149" i="1"/>
  <c r="BL114" i="1"/>
  <c r="BL115" i="1" s="1"/>
  <c r="BL116" i="1" s="1"/>
  <c r="BL438" i="1"/>
  <c r="BL439" i="1" s="1"/>
  <c r="BL440" i="1" s="1"/>
  <c r="BL441" i="1" s="1"/>
  <c r="BL442" i="1" s="1"/>
  <c r="BL443" i="1" s="1"/>
  <c r="BL444" i="1" s="1"/>
  <c r="BL445" i="1" s="1"/>
  <c r="BL446" i="1" s="1"/>
  <c r="BL447" i="1" s="1"/>
  <c r="BL448" i="1" s="1"/>
  <c r="BL449" i="1" s="1"/>
  <c r="BL450" i="1" s="1"/>
  <c r="BL451" i="1" s="1"/>
  <c r="BL452" i="1" s="1"/>
  <c r="BL453" i="1" s="1"/>
  <c r="BL454" i="1" s="1"/>
  <c r="BL455" i="1" s="1"/>
  <c r="BL456" i="1" s="1"/>
  <c r="BL457" i="1" s="1"/>
  <c r="BL458" i="1" s="1"/>
  <c r="BL459" i="1" s="1"/>
  <c r="BL460" i="1" s="1"/>
  <c r="BL461" i="1" s="1"/>
  <c r="BL462" i="1" s="1"/>
  <c r="BL463" i="1" s="1"/>
  <c r="BL464" i="1" s="1"/>
  <c r="BL465" i="1" s="1"/>
  <c r="BL466" i="1" s="1"/>
  <c r="BL467" i="1" s="1"/>
  <c r="BL468" i="1" s="1"/>
  <c r="BL469" i="1" s="1"/>
  <c r="BL470" i="1" s="1"/>
  <c r="BL471" i="1" s="1"/>
  <c r="BL472" i="1" s="1"/>
  <c r="BL401" i="1"/>
  <c r="BL402" i="1" s="1"/>
  <c r="BL403" i="1" s="1"/>
  <c r="BL545" i="1"/>
  <c r="BL546" i="1" s="1"/>
  <c r="BL547" i="1" s="1"/>
  <c r="BL510" i="1"/>
  <c r="BL511" i="1" s="1"/>
  <c r="BL512" i="1" s="1"/>
  <c r="BL513" i="1" s="1"/>
  <c r="BL514" i="1" s="1"/>
  <c r="BL515" i="1" s="1"/>
  <c r="BL516" i="1" s="1"/>
  <c r="BL517" i="1" s="1"/>
  <c r="BL518" i="1" s="1"/>
  <c r="BL519" i="1" s="1"/>
  <c r="BL520" i="1" s="1"/>
  <c r="BL521" i="1" s="1"/>
  <c r="BL522" i="1" s="1"/>
  <c r="BL523" i="1" s="1"/>
  <c r="BL524" i="1" s="1"/>
  <c r="BL525" i="1" s="1"/>
  <c r="BL526" i="1" s="1"/>
  <c r="BL527" i="1" s="1"/>
  <c r="BL528" i="1" s="1"/>
  <c r="BL529" i="1" s="1"/>
  <c r="BL530" i="1" s="1"/>
  <c r="BL531" i="1" s="1"/>
  <c r="BL532" i="1" s="1"/>
  <c r="BL533" i="1" s="1"/>
  <c r="BL534" i="1" s="1"/>
  <c r="BL535" i="1" s="1"/>
  <c r="BL536" i="1" s="1"/>
  <c r="BL537" i="1" s="1"/>
  <c r="BL538" i="1" s="1"/>
  <c r="BL539" i="1" s="1"/>
  <c r="BL540" i="1" s="1"/>
  <c r="BL541" i="1" s="1"/>
  <c r="BL542" i="1" s="1"/>
  <c r="BL543" i="1" s="1"/>
  <c r="BL544" i="1" s="1"/>
  <c r="B46" i="1"/>
  <c r="BL655" i="1"/>
  <c r="BL656" i="1" s="1"/>
  <c r="BL657" i="1" s="1"/>
  <c r="BL658" i="1" s="1"/>
  <c r="BL659" i="1" s="1"/>
  <c r="BL660" i="1" s="1"/>
  <c r="BL661" i="1" s="1"/>
  <c r="BL662" i="1" s="1"/>
  <c r="BL663" i="1" s="1"/>
  <c r="BL664" i="1" s="1"/>
  <c r="BL665" i="1" s="1"/>
  <c r="BL666" i="1" s="1"/>
  <c r="BL667" i="1" s="1"/>
  <c r="BL668" i="1" s="1"/>
  <c r="BL669" i="1" s="1"/>
  <c r="BL670" i="1" s="1"/>
  <c r="BL671" i="1" s="1"/>
  <c r="BL672" i="1" s="1"/>
  <c r="BL673" i="1" s="1"/>
  <c r="BL674" i="1" s="1"/>
  <c r="BL675" i="1" s="1"/>
  <c r="BL676" i="1" s="1"/>
  <c r="BL677" i="1" s="1"/>
  <c r="BL678" i="1" s="1"/>
  <c r="BL679" i="1" s="1"/>
  <c r="BL680" i="1" s="1"/>
  <c r="BL681" i="1" s="1"/>
  <c r="BL682" i="1" s="1"/>
  <c r="BL683" i="1" s="1"/>
  <c r="BL684" i="1" s="1"/>
  <c r="BL685" i="1" s="1"/>
  <c r="BL686" i="1" s="1"/>
  <c r="BL687" i="1" s="1"/>
  <c r="BL688" i="1" s="1"/>
  <c r="BL7" i="1"/>
  <c r="BL8" i="1"/>
  <c r="BL9" i="1" s="1"/>
  <c r="BL10" i="1" s="1"/>
  <c r="BL11" i="1" s="1"/>
  <c r="BL12" i="1" s="1"/>
  <c r="BL13" i="1" s="1"/>
  <c r="BL14" i="1" s="1"/>
  <c r="BL15" i="1" s="1"/>
  <c r="BL16" i="1" s="1"/>
  <c r="BL17" i="1" s="1"/>
  <c r="BL18" i="1" s="1"/>
  <c r="BL19" i="1" s="1"/>
  <c r="BL20" i="1" s="1"/>
  <c r="BL21" i="1" s="1"/>
  <c r="BL22" i="1" s="1"/>
  <c r="BL23" i="1" s="1"/>
  <c r="BL24" i="1" s="1"/>
  <c r="BL25" i="1" s="1"/>
  <c r="BL26" i="1" s="1"/>
  <c r="BL27" i="1" s="1"/>
  <c r="BL28" i="1" s="1"/>
  <c r="BL29" i="1" s="1"/>
  <c r="BL30" i="1" s="1"/>
  <c r="BL31" i="1" s="1"/>
  <c r="BL32" i="1" s="1"/>
  <c r="BL33" i="1" s="1"/>
  <c r="BL34" i="1" s="1"/>
  <c r="BL35" i="1" s="1"/>
  <c r="BL36" i="1" s="1"/>
  <c r="BL37" i="1" s="1"/>
  <c r="BL38" i="1" s="1"/>
  <c r="BL39" i="1" s="1"/>
  <c r="BL40" i="1" s="1"/>
  <c r="BL725" i="1"/>
  <c r="BL473" i="1"/>
  <c r="BL474" i="1" s="1"/>
  <c r="BL475" i="1" s="1"/>
  <c r="BL476" i="1" s="1"/>
  <c r="BL477" i="1" s="1"/>
  <c r="BL478" i="1" s="1"/>
  <c r="BL479" i="1" s="1"/>
  <c r="BL480" i="1" s="1"/>
  <c r="BL481" i="1" s="1"/>
  <c r="BL482" i="1" s="1"/>
  <c r="BL483" i="1" s="1"/>
  <c r="BL484" i="1" s="1"/>
  <c r="BL485" i="1" s="1"/>
  <c r="BL486" i="1" s="1"/>
  <c r="BL487" i="1" s="1"/>
  <c r="BL488" i="1" s="1"/>
  <c r="BL489" i="1" s="1"/>
  <c r="BL490" i="1" s="1"/>
  <c r="BL491" i="1" s="1"/>
  <c r="BL492" i="1" s="1"/>
  <c r="BL493" i="1" s="1"/>
  <c r="BL494" i="1" s="1"/>
  <c r="BL495" i="1" s="1"/>
  <c r="BL496" i="1" s="1"/>
  <c r="BL497" i="1" s="1"/>
  <c r="BL498" i="1" s="1"/>
  <c r="BL499" i="1" s="1"/>
  <c r="BL500" i="1" s="1"/>
  <c r="BL501" i="1" s="1"/>
  <c r="BL502" i="1" s="1"/>
  <c r="BL503" i="1" s="1"/>
  <c r="BL504" i="1" s="1"/>
  <c r="BL505" i="1" s="1"/>
  <c r="BL506" i="1" s="1"/>
  <c r="BL507" i="1" s="1"/>
  <c r="BL508" i="1" s="1"/>
  <c r="BL690" i="1"/>
  <c r="BL691" i="1" s="1"/>
  <c r="BL692" i="1" s="1"/>
  <c r="BL693" i="1" s="1"/>
  <c r="BL694" i="1" s="1"/>
  <c r="BL695" i="1" s="1"/>
  <c r="BL696" i="1" s="1"/>
  <c r="BL697" i="1" s="1"/>
  <c r="BL698" i="1" s="1"/>
  <c r="BL699" i="1" s="1"/>
  <c r="BL700" i="1" s="1"/>
  <c r="BL701" i="1" s="1"/>
  <c r="BL702" i="1" s="1"/>
  <c r="BL703" i="1" s="1"/>
  <c r="BL704" i="1" s="1"/>
  <c r="BL705" i="1" s="1"/>
  <c r="BL706" i="1" s="1"/>
  <c r="BL707" i="1" s="1"/>
  <c r="BL708" i="1" s="1"/>
  <c r="BL709" i="1" s="1"/>
  <c r="BL710" i="1" s="1"/>
  <c r="BL711" i="1" s="1"/>
  <c r="BL712" i="1" s="1"/>
  <c r="BL713" i="1" s="1"/>
  <c r="BL714" i="1" s="1"/>
  <c r="BL715" i="1" s="1"/>
  <c r="BL716" i="1" s="1"/>
  <c r="BL717" i="1" s="1"/>
  <c r="BL718" i="1" s="1"/>
  <c r="BL719" i="1" s="1"/>
  <c r="BL720" i="1" s="1"/>
  <c r="BL721" i="1" s="1"/>
  <c r="BL722" i="1" s="1"/>
  <c r="BL723" i="1" s="1"/>
  <c r="BL724" i="1" s="1"/>
  <c r="BL365" i="1"/>
  <c r="BL366" i="1" s="1"/>
  <c r="BL367" i="1" s="1"/>
  <c r="BL368" i="1" s="1"/>
  <c r="BL369" i="1" s="1"/>
  <c r="BL370" i="1" s="1"/>
  <c r="BL371" i="1" s="1"/>
  <c r="BL372" i="1" s="1"/>
  <c r="BL373" i="1" s="1"/>
  <c r="BL374" i="1" s="1"/>
  <c r="BL375" i="1" s="1"/>
  <c r="BL376" i="1" s="1"/>
  <c r="BL377" i="1" s="1"/>
  <c r="BL378" i="1" s="1"/>
  <c r="BL379" i="1" s="1"/>
  <c r="BL380" i="1" s="1"/>
  <c r="BL381" i="1" s="1"/>
  <c r="BL382" i="1" s="1"/>
  <c r="BL383" i="1" s="1"/>
  <c r="BL384" i="1" s="1"/>
  <c r="BL385" i="1" s="1"/>
  <c r="BL386" i="1" s="1"/>
  <c r="BL387" i="1" s="1"/>
  <c r="BL388" i="1" s="1"/>
  <c r="BL389" i="1" s="1"/>
  <c r="BL390" i="1" s="1"/>
  <c r="BL391" i="1" s="1"/>
  <c r="BL392" i="1" s="1"/>
  <c r="BL393" i="1" s="1"/>
  <c r="BL394" i="1" s="1"/>
  <c r="BL395" i="1" s="1"/>
  <c r="BL396" i="1" s="1"/>
  <c r="BL397" i="1" s="1"/>
  <c r="BL398" i="1" s="1"/>
  <c r="BL399" i="1" s="1"/>
  <c r="BL400" i="1" s="1"/>
  <c r="BL117" i="1"/>
  <c r="BL118" i="1" s="1"/>
  <c r="BL119" i="1" s="1"/>
  <c r="BL120" i="1" s="1"/>
  <c r="BL121" i="1" s="1"/>
  <c r="BL122" i="1" s="1"/>
  <c r="BL123" i="1" s="1"/>
  <c r="BL124" i="1" s="1"/>
  <c r="BL125" i="1" s="1"/>
  <c r="BL126" i="1" s="1"/>
  <c r="BL127" i="1" s="1"/>
  <c r="BL128" i="1" s="1"/>
  <c r="BL129" i="1" s="1"/>
  <c r="BL130" i="1" s="1"/>
  <c r="BL131" i="1" s="1"/>
  <c r="BL132" i="1" s="1"/>
  <c r="BL133" i="1" s="1"/>
  <c r="BL134" i="1" s="1"/>
  <c r="BL135" i="1" s="1"/>
  <c r="BL136" i="1" s="1"/>
  <c r="BL137" i="1" s="1"/>
  <c r="BL138" i="1" s="1"/>
  <c r="BL139" i="1" s="1"/>
  <c r="BL140" i="1" s="1"/>
  <c r="BL141" i="1" s="1"/>
  <c r="BL142" i="1" s="1"/>
  <c r="BL143" i="1" s="1"/>
  <c r="BL144" i="1" s="1"/>
  <c r="BL145" i="1" s="1"/>
  <c r="BL146" i="1" s="1"/>
  <c r="BL147" i="1" s="1"/>
  <c r="BL148" i="1" s="1"/>
  <c r="BL404" i="1"/>
  <c r="BL405" i="1" s="1"/>
  <c r="BL406" i="1" s="1"/>
  <c r="BL407" i="1" s="1"/>
  <c r="BL408" i="1" s="1"/>
  <c r="BL409" i="1" s="1"/>
  <c r="BL410" i="1" s="1"/>
  <c r="BL411" i="1" s="1"/>
  <c r="BL412" i="1" s="1"/>
  <c r="BL413" i="1" s="1"/>
  <c r="BL414" i="1" s="1"/>
  <c r="BL415" i="1" s="1"/>
  <c r="BL416" i="1" s="1"/>
  <c r="BL417" i="1" s="1"/>
  <c r="BL418" i="1" s="1"/>
  <c r="BL419" i="1" s="1"/>
  <c r="BL420" i="1" s="1"/>
  <c r="BL421" i="1" s="1"/>
  <c r="BL422" i="1" s="1"/>
  <c r="BL423" i="1" s="1"/>
  <c r="BL424" i="1" s="1"/>
  <c r="BL425" i="1" s="1"/>
  <c r="BL426" i="1" s="1"/>
  <c r="BL427" i="1" s="1"/>
  <c r="BL428" i="1" s="1"/>
  <c r="BL429" i="1" s="1"/>
  <c r="BL430" i="1" s="1"/>
  <c r="BL431" i="1" s="1"/>
  <c r="BL432" i="1" s="1"/>
  <c r="BL433" i="1" s="1"/>
  <c r="BL434" i="1" s="1"/>
  <c r="BL435" i="1" s="1"/>
  <c r="BL436" i="1" s="1"/>
  <c r="BL618" i="1"/>
  <c r="BL619" i="1" s="1"/>
  <c r="BL620" i="1" s="1"/>
  <c r="BL621" i="1" s="1"/>
  <c r="BL622" i="1" s="1"/>
  <c r="BL623" i="1" s="1"/>
  <c r="BL624" i="1" s="1"/>
  <c r="BL625" i="1" s="1"/>
  <c r="BL626" i="1" s="1"/>
  <c r="BL627" i="1" s="1"/>
  <c r="BL628" i="1" s="1"/>
  <c r="BL629" i="1" s="1"/>
  <c r="BL630" i="1" s="1"/>
  <c r="BL631" i="1" s="1"/>
  <c r="BL632" i="1" s="1"/>
  <c r="BL633" i="1" s="1"/>
  <c r="BL634" i="1" s="1"/>
  <c r="BL635" i="1" s="1"/>
  <c r="BL636" i="1" s="1"/>
  <c r="BL637" i="1" s="1"/>
  <c r="BL638" i="1" s="1"/>
  <c r="BL639" i="1" s="1"/>
  <c r="BL640" i="1" s="1"/>
  <c r="BL641" i="1" s="1"/>
  <c r="BL642" i="1" s="1"/>
  <c r="BL643" i="1" s="1"/>
  <c r="BL644" i="1" s="1"/>
  <c r="BL645" i="1" s="1"/>
  <c r="BL646" i="1" s="1"/>
  <c r="BL647" i="1" s="1"/>
  <c r="BL648" i="1" s="1"/>
  <c r="BL649" i="1" s="1"/>
  <c r="BL650" i="1" s="1"/>
  <c r="BL651" i="1" s="1"/>
  <c r="BL652" i="1" s="1"/>
  <c r="BL582" i="1"/>
  <c r="BL583" i="1" s="1"/>
  <c r="BL584" i="1" s="1"/>
  <c r="BL585" i="1" s="1"/>
  <c r="BL586" i="1" s="1"/>
  <c r="BL587" i="1" s="1"/>
  <c r="BL588" i="1" s="1"/>
  <c r="BL589" i="1" s="1"/>
  <c r="BL590" i="1" s="1"/>
  <c r="BL591" i="1" s="1"/>
  <c r="BL592" i="1" s="1"/>
  <c r="BL593" i="1" s="1"/>
  <c r="BL594" i="1" s="1"/>
  <c r="BL595" i="1" s="1"/>
  <c r="BL596" i="1" s="1"/>
  <c r="BL597" i="1" s="1"/>
  <c r="BL598" i="1" s="1"/>
  <c r="BL599" i="1" s="1"/>
  <c r="BL600" i="1" s="1"/>
  <c r="BL601" i="1" s="1"/>
  <c r="BL602" i="1" s="1"/>
  <c r="BL603" i="1" s="1"/>
  <c r="BL604" i="1" s="1"/>
  <c r="BL605" i="1" s="1"/>
  <c r="BL606" i="1" s="1"/>
  <c r="BL607" i="1" s="1"/>
  <c r="BL608" i="1" s="1"/>
  <c r="BL609" i="1" s="1"/>
  <c r="BL610" i="1" s="1"/>
  <c r="BL611" i="1" s="1"/>
  <c r="BL612" i="1" s="1"/>
  <c r="BL613" i="1" s="1"/>
  <c r="BL614" i="1" s="1"/>
  <c r="BL615" i="1" s="1"/>
  <c r="BL616" i="1" s="1"/>
  <c r="BL43" i="1"/>
  <c r="BL44" i="1" s="1"/>
  <c r="BL45" i="1" s="1"/>
  <c r="BL46" i="1" s="1"/>
  <c r="BL47" i="1" s="1"/>
  <c r="BL48" i="1" s="1"/>
  <c r="BL49" i="1" s="1"/>
  <c r="BL50" i="1" s="1"/>
  <c r="BL51" i="1" s="1"/>
  <c r="BL52" i="1" s="1"/>
  <c r="BL53" i="1" s="1"/>
  <c r="BL54" i="1" s="1"/>
  <c r="BL55" i="1" s="1"/>
  <c r="BL56" i="1" s="1"/>
  <c r="BL57" i="1" s="1"/>
  <c r="BL58" i="1" s="1"/>
  <c r="BL59" i="1" s="1"/>
  <c r="BL60" i="1" s="1"/>
  <c r="BL61" i="1" s="1"/>
  <c r="BL62" i="1" s="1"/>
  <c r="BL63" i="1" s="1"/>
  <c r="BL64" i="1" s="1"/>
  <c r="BL65" i="1" s="1"/>
  <c r="BL66" i="1" s="1"/>
  <c r="BL67" i="1" s="1"/>
  <c r="BL68" i="1" s="1"/>
  <c r="BL69" i="1" s="1"/>
  <c r="BL70" i="1" s="1"/>
  <c r="BL71" i="1" s="1"/>
  <c r="BL72" i="1" s="1"/>
  <c r="BL73" i="1" s="1"/>
  <c r="BL74" i="1" s="1"/>
  <c r="BL75" i="1" s="1"/>
  <c r="BL76" i="1" s="1"/>
  <c r="BL189" i="1"/>
  <c r="BL190" i="1" s="1"/>
  <c r="BL191" i="1" s="1"/>
  <c r="BL192" i="1" s="1"/>
  <c r="BL193" i="1" s="1"/>
  <c r="BL194" i="1" s="1"/>
  <c r="BL195" i="1" s="1"/>
  <c r="BL196" i="1" s="1"/>
  <c r="BL197" i="1" s="1"/>
  <c r="BL198" i="1" s="1"/>
  <c r="BL199" i="1" s="1"/>
  <c r="BL200" i="1" s="1"/>
  <c r="BL201" i="1" s="1"/>
  <c r="BL202" i="1" s="1"/>
  <c r="BL203" i="1" s="1"/>
  <c r="BL204" i="1" s="1"/>
  <c r="BL205" i="1" s="1"/>
  <c r="BL206" i="1" s="1"/>
  <c r="BL207" i="1" s="1"/>
  <c r="BL208" i="1" s="1"/>
  <c r="BL209" i="1" s="1"/>
  <c r="BL210" i="1" s="1"/>
  <c r="BL211" i="1" s="1"/>
  <c r="BL212" i="1" s="1"/>
  <c r="BL213" i="1" s="1"/>
  <c r="BL214" i="1" s="1"/>
  <c r="BL215" i="1" s="1"/>
  <c r="BL216" i="1" s="1"/>
  <c r="BL217" i="1" s="1"/>
  <c r="BL218" i="1" s="1"/>
  <c r="BL219" i="1" s="1"/>
  <c r="BL220" i="1" s="1"/>
  <c r="BL150" i="1"/>
  <c r="BL151" i="1" s="1"/>
  <c r="BL152" i="1" s="1"/>
  <c r="BL153" i="1" s="1"/>
  <c r="BL154" i="1" s="1"/>
  <c r="BL155" i="1" s="1"/>
  <c r="BL156" i="1" s="1"/>
  <c r="BL157" i="1" s="1"/>
  <c r="BL158" i="1" s="1"/>
  <c r="BL159" i="1" s="1"/>
  <c r="BL160" i="1" s="1"/>
  <c r="BL161" i="1" s="1"/>
  <c r="BL162" i="1" s="1"/>
  <c r="BL163" i="1" s="1"/>
  <c r="BL164" i="1" s="1"/>
  <c r="BL165" i="1" s="1"/>
  <c r="BL166" i="1" s="1"/>
  <c r="BL167" i="1" s="1"/>
  <c r="BL168" i="1" s="1"/>
  <c r="BL169" i="1" s="1"/>
  <c r="BL170" i="1" s="1"/>
  <c r="BL171" i="1" s="1"/>
  <c r="BL172" i="1" s="1"/>
  <c r="BL173" i="1" s="1"/>
  <c r="BL174" i="1" s="1"/>
  <c r="BL175" i="1" s="1"/>
  <c r="BL176" i="1" s="1"/>
  <c r="BL177" i="1" s="1"/>
  <c r="BL178" i="1" s="1"/>
  <c r="BL179" i="1" s="1"/>
  <c r="BL180" i="1" s="1"/>
  <c r="BL181" i="1" s="1"/>
  <c r="BL182" i="1" s="1"/>
  <c r="BL183" i="1" s="1"/>
  <c r="BL184" i="1" s="1"/>
  <c r="BL222" i="1"/>
  <c r="BL223" i="1" s="1"/>
  <c r="BL224" i="1" s="1"/>
  <c r="BL225" i="1" s="1"/>
  <c r="BL226" i="1" s="1"/>
  <c r="BL227" i="1" s="1"/>
  <c r="BL228" i="1" s="1"/>
  <c r="BL229" i="1" s="1"/>
  <c r="BL230" i="1" s="1"/>
  <c r="BL231" i="1" s="1"/>
  <c r="BL232" i="1" s="1"/>
  <c r="BL233" i="1" s="1"/>
  <c r="BL234" i="1" s="1"/>
  <c r="BL235" i="1" s="1"/>
  <c r="BL236" i="1" s="1"/>
  <c r="BL237" i="1" s="1"/>
  <c r="BL238" i="1" s="1"/>
  <c r="BL239" i="1" s="1"/>
  <c r="BL240" i="1" s="1"/>
  <c r="BL241" i="1" s="1"/>
  <c r="BL242" i="1" s="1"/>
  <c r="BL243" i="1" s="1"/>
  <c r="BL244" i="1" s="1"/>
  <c r="BL245" i="1" s="1"/>
  <c r="BL246" i="1" s="1"/>
  <c r="BL247" i="1" s="1"/>
  <c r="BL248" i="1" s="1"/>
  <c r="BL249" i="1" s="1"/>
  <c r="BL250" i="1" s="1"/>
  <c r="BL251" i="1" s="1"/>
  <c r="BL252" i="1" s="1"/>
  <c r="BL253" i="1" s="1"/>
  <c r="BL254" i="1" s="1"/>
  <c r="BL255" i="1" s="1"/>
  <c r="BL256" i="1" s="1"/>
  <c r="BL761" i="1"/>
  <c r="BL762" i="1" s="1"/>
  <c r="BL763" i="1" s="1"/>
  <c r="BL764" i="1" s="1"/>
  <c r="BL765" i="1" s="1"/>
  <c r="BL766" i="1" s="1"/>
  <c r="BL767" i="1" s="1"/>
  <c r="BL768" i="1" s="1"/>
  <c r="BL769" i="1" s="1"/>
  <c r="BL770" i="1" s="1"/>
  <c r="BL771" i="1" s="1"/>
  <c r="BL772" i="1" s="1"/>
  <c r="BL773" i="1" s="1"/>
  <c r="BL774" i="1" s="1"/>
  <c r="BL775" i="1" s="1"/>
  <c r="BL776" i="1" s="1"/>
  <c r="BL777" i="1" s="1"/>
  <c r="BL778" i="1" s="1"/>
  <c r="BL779" i="1" s="1"/>
  <c r="BL780" i="1" s="1"/>
  <c r="BL781" i="1" s="1"/>
  <c r="BL782" i="1" s="1"/>
  <c r="BL783" i="1" s="1"/>
  <c r="BL784" i="1" s="1"/>
  <c r="BL785" i="1" s="1"/>
  <c r="BL786" i="1" s="1"/>
  <c r="BL787" i="1" s="1"/>
  <c r="BL788" i="1" s="1"/>
  <c r="BL789" i="1" s="1"/>
  <c r="BL790" i="1" s="1"/>
  <c r="BL791" i="1" s="1"/>
  <c r="BL792" i="1" s="1"/>
  <c r="BL793" i="1" s="1"/>
  <c r="BL794" i="1" s="1"/>
  <c r="BL795" i="1" s="1"/>
  <c r="BL796" i="1" s="1"/>
  <c r="BL329" i="1"/>
  <c r="BL330" i="1" s="1"/>
  <c r="BL331" i="1" s="1"/>
  <c r="BL332" i="1" s="1"/>
  <c r="BL333" i="1" s="1"/>
  <c r="BL334" i="1" s="1"/>
  <c r="BL335" i="1" s="1"/>
  <c r="BL336" i="1" s="1"/>
  <c r="BL337" i="1" s="1"/>
  <c r="BL338" i="1" s="1"/>
  <c r="BL339" i="1" s="1"/>
  <c r="BL340" i="1" s="1"/>
  <c r="BL341" i="1" s="1"/>
  <c r="BL342" i="1" s="1"/>
  <c r="BL343" i="1" s="1"/>
  <c r="BL344" i="1" s="1"/>
  <c r="BL345" i="1" s="1"/>
  <c r="BL346" i="1" s="1"/>
  <c r="BL347" i="1" s="1"/>
  <c r="BL348" i="1" s="1"/>
  <c r="BL349" i="1" s="1"/>
  <c r="BL350" i="1" s="1"/>
  <c r="BL351" i="1" s="1"/>
  <c r="BL352" i="1" s="1"/>
  <c r="BL353" i="1" s="1"/>
  <c r="BL354" i="1" s="1"/>
  <c r="BL355" i="1" s="1"/>
  <c r="BL356" i="1" s="1"/>
  <c r="BL357" i="1" s="1"/>
  <c r="BL358" i="1" s="1"/>
  <c r="BL359" i="1" s="1"/>
  <c r="BL360" i="1" s="1"/>
  <c r="BL361" i="1" s="1"/>
  <c r="BL362" i="1" s="1"/>
  <c r="BL363" i="1" s="1"/>
  <c r="BL364" i="1" s="1"/>
  <c r="BL797" i="1"/>
  <c r="BL798" i="1" s="1"/>
  <c r="BL799" i="1" s="1"/>
  <c r="BL800" i="1" s="1"/>
  <c r="BL801" i="1" s="1"/>
  <c r="BL802" i="1" s="1"/>
  <c r="BL803" i="1" s="1"/>
  <c r="BL804" i="1" s="1"/>
  <c r="BL805" i="1" s="1"/>
  <c r="BL806" i="1" s="1"/>
  <c r="BL807" i="1" s="1"/>
  <c r="BL808" i="1" s="1"/>
  <c r="BL809" i="1" s="1"/>
  <c r="BL810" i="1" s="1"/>
  <c r="BL811" i="1" s="1"/>
  <c r="BL812" i="1" s="1"/>
  <c r="BL813" i="1" s="1"/>
  <c r="BL814" i="1" s="1"/>
  <c r="BL815" i="1" s="1"/>
  <c r="BL816" i="1" s="1"/>
  <c r="BL817" i="1" s="1"/>
  <c r="BL818" i="1" s="1"/>
  <c r="BL819" i="1" s="1"/>
  <c r="BL820" i="1" s="1"/>
  <c r="BL821" i="1" s="1"/>
  <c r="BL822" i="1" s="1"/>
  <c r="BL823" i="1" s="1"/>
  <c r="BL824" i="1" s="1"/>
  <c r="BL825" i="1" s="1"/>
  <c r="BL826" i="1" s="1"/>
  <c r="BL827" i="1" s="1"/>
  <c r="BL828" i="1" s="1"/>
  <c r="BL294" i="1"/>
  <c r="BL295" i="1" s="1"/>
  <c r="BL296" i="1" s="1"/>
  <c r="BL297" i="1" s="1"/>
  <c r="BL298" i="1" s="1"/>
  <c r="BL299" i="1" s="1"/>
  <c r="BL300" i="1" s="1"/>
  <c r="BL301" i="1" s="1"/>
  <c r="BL302" i="1" s="1"/>
  <c r="BL303" i="1" s="1"/>
  <c r="BL304" i="1" s="1"/>
  <c r="BL305" i="1" s="1"/>
  <c r="BL306" i="1" s="1"/>
  <c r="BL307" i="1" s="1"/>
  <c r="BL308" i="1" s="1"/>
  <c r="BL309" i="1" s="1"/>
  <c r="BL310" i="1" s="1"/>
  <c r="BL311" i="1" s="1"/>
  <c r="BL312" i="1" s="1"/>
  <c r="BL313" i="1" s="1"/>
  <c r="BL314" i="1" s="1"/>
  <c r="BL315" i="1" s="1"/>
  <c r="BL316" i="1" s="1"/>
  <c r="BL317" i="1" s="1"/>
  <c r="BL318" i="1" s="1"/>
  <c r="BL319" i="1" s="1"/>
  <c r="BL320" i="1" s="1"/>
  <c r="BL321" i="1" s="1"/>
  <c r="BL322" i="1" s="1"/>
  <c r="BL323" i="1" s="1"/>
  <c r="BL324" i="1" s="1"/>
  <c r="BL325" i="1" s="1"/>
  <c r="BL326" i="1" s="1"/>
  <c r="BL327" i="1" s="1"/>
  <c r="BL328" i="1" s="1"/>
  <c r="BL548" i="1"/>
  <c r="BL549" i="1" s="1"/>
  <c r="BL550" i="1" s="1"/>
  <c r="BL551" i="1" s="1"/>
  <c r="BL552" i="1" s="1"/>
  <c r="BL553" i="1" s="1"/>
  <c r="BL554" i="1" s="1"/>
  <c r="BL555" i="1" s="1"/>
  <c r="BL556" i="1" s="1"/>
  <c r="BL557" i="1" s="1"/>
  <c r="BL558" i="1" s="1"/>
  <c r="BL559" i="1" s="1"/>
  <c r="BL560" i="1" s="1"/>
  <c r="BL561" i="1" s="1"/>
  <c r="BL562" i="1" s="1"/>
  <c r="BL563" i="1" s="1"/>
  <c r="BL564" i="1" s="1"/>
  <c r="BL565" i="1" s="1"/>
  <c r="BL566" i="1" s="1"/>
  <c r="BL567" i="1" s="1"/>
  <c r="BL568" i="1" s="1"/>
  <c r="BL569" i="1" s="1"/>
  <c r="BL570" i="1" s="1"/>
  <c r="BL571" i="1" s="1"/>
  <c r="BL572" i="1" s="1"/>
  <c r="BL573" i="1" s="1"/>
  <c r="BL574" i="1" s="1"/>
  <c r="BL575" i="1" s="1"/>
  <c r="BL576" i="1" s="1"/>
  <c r="BL577" i="1" s="1"/>
  <c r="BL578" i="1" s="1"/>
  <c r="BL579" i="1" s="1"/>
  <c r="BL580" i="1" s="1"/>
  <c r="BL726" i="1"/>
  <c r="BL727" i="1" s="1"/>
  <c r="BL728" i="1" s="1"/>
  <c r="BL729" i="1" s="1"/>
  <c r="BL730" i="1" s="1"/>
  <c r="BL731" i="1" s="1"/>
  <c r="BL732" i="1" s="1"/>
  <c r="BL733" i="1" s="1"/>
  <c r="BL734" i="1" s="1"/>
  <c r="BL735" i="1" s="1"/>
  <c r="BL736" i="1" s="1"/>
  <c r="BL737" i="1" s="1"/>
  <c r="BL738" i="1" s="1"/>
  <c r="BL739" i="1" s="1"/>
  <c r="BL740" i="1" s="1"/>
  <c r="BL741" i="1" s="1"/>
  <c r="BL742" i="1" s="1"/>
  <c r="BL743" i="1" s="1"/>
  <c r="BL744" i="1" s="1"/>
  <c r="BL745" i="1" s="1"/>
  <c r="BL746" i="1" s="1"/>
  <c r="BL747" i="1" s="1"/>
  <c r="BL748" i="1" s="1"/>
  <c r="BL749" i="1" s="1"/>
  <c r="BL750" i="1" s="1"/>
  <c r="BL751" i="1" s="1"/>
  <c r="BL752" i="1" s="1"/>
  <c r="BL753" i="1" s="1"/>
  <c r="BL754" i="1" s="1"/>
  <c r="BL755" i="1" s="1"/>
  <c r="BL756" i="1" s="1"/>
  <c r="BL757" i="1" s="1"/>
  <c r="BL758" i="1" s="1"/>
  <c r="BL759" i="1" s="1"/>
  <c r="BL760" i="1" s="1"/>
  <c r="BL258" i="1"/>
  <c r="BL259" i="1" s="1"/>
  <c r="BL260" i="1" s="1"/>
  <c r="BL261" i="1" s="1"/>
  <c r="BL262" i="1" s="1"/>
  <c r="BL263" i="1" s="1"/>
  <c r="BL264" i="1" s="1"/>
  <c r="BL265" i="1" s="1"/>
  <c r="BL266" i="1" s="1"/>
  <c r="BL267" i="1" s="1"/>
  <c r="BL268" i="1" s="1"/>
  <c r="BL269" i="1" s="1"/>
  <c r="BL270" i="1" s="1"/>
  <c r="BL271" i="1" s="1"/>
  <c r="BL272" i="1" s="1"/>
  <c r="BL273" i="1" s="1"/>
  <c r="BL274" i="1" s="1"/>
  <c r="BL275" i="1" s="1"/>
  <c r="BL276" i="1" s="1"/>
  <c r="BL277" i="1" s="1"/>
  <c r="BL278" i="1" s="1"/>
  <c r="BL279" i="1" s="1"/>
  <c r="BL280" i="1" s="1"/>
  <c r="BL281" i="1" s="1"/>
  <c r="BL282" i="1" s="1"/>
  <c r="BL283" i="1" s="1"/>
  <c r="BL284" i="1" s="1"/>
  <c r="BL285" i="1" s="1"/>
  <c r="BL286" i="1" s="1"/>
  <c r="BL287" i="1" s="1"/>
  <c r="BL288" i="1" s="1"/>
  <c r="BL289" i="1" s="1"/>
  <c r="BL290" i="1" s="1"/>
  <c r="BL291" i="1" s="1"/>
  <c r="BL292" i="1" s="1"/>
  <c r="BL79" i="1"/>
  <c r="BL80" i="1" s="1"/>
  <c r="BL81" i="1" s="1"/>
  <c r="BL82" i="1" s="1"/>
  <c r="BL83" i="1" s="1"/>
  <c r="BL84" i="1" s="1"/>
  <c r="BL85" i="1" s="1"/>
  <c r="BL86" i="1" s="1"/>
  <c r="BL87" i="1" s="1"/>
  <c r="BL88" i="1" s="1"/>
  <c r="BL89" i="1" s="1"/>
  <c r="BL90" i="1" s="1"/>
  <c r="BL91" i="1" s="1"/>
  <c r="BL92" i="1" s="1"/>
  <c r="BL93" i="1" s="1"/>
  <c r="BL94" i="1" s="1"/>
  <c r="BL95" i="1" s="1"/>
  <c r="BL96" i="1" s="1"/>
  <c r="BL97" i="1" s="1"/>
  <c r="BL98" i="1" s="1"/>
  <c r="BL99" i="1" s="1"/>
  <c r="BL100" i="1" s="1"/>
  <c r="BL101" i="1" s="1"/>
  <c r="BL102" i="1" s="1"/>
  <c r="BL103" i="1" s="1"/>
  <c r="BL104" i="1" s="1"/>
  <c r="BL105" i="1" s="1"/>
  <c r="BL106" i="1" s="1"/>
  <c r="BL107" i="1" s="1"/>
  <c r="BL108" i="1" s="1"/>
  <c r="BL109" i="1" s="1"/>
  <c r="BL110" i="1" s="1"/>
  <c r="BL111" i="1" s="1"/>
  <c r="BL112" i="1" s="1"/>
  <c r="AF46" i="1"/>
  <c r="AV8" i="1"/>
  <c r="AV9" i="1" s="1"/>
  <c r="AV10" i="1" s="1"/>
  <c r="AV11" i="1" l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l="1"/>
  <c r="AV24" i="1" s="1"/>
  <c r="AV25" i="1" s="1"/>
  <c r="AV26" i="1" s="1"/>
  <c r="AV27" i="1" s="1"/>
  <c r="AV28" i="1" s="1"/>
  <c r="AV29" i="1" s="1"/>
  <c r="AV30" i="1" s="1"/>
  <c r="AV31" i="1" s="1"/>
  <c r="AV32" i="1" s="1"/>
  <c r="AV33" i="1" s="1"/>
  <c r="AV34" i="1" s="1"/>
  <c r="AV35" i="1" s="1"/>
  <c r="AV36" i="1" l="1"/>
  <c r="AV37" i="1" s="1"/>
  <c r="AV38" i="1" s="1"/>
  <c r="AV39" i="1" s="1"/>
  <c r="AV40" i="1" s="1"/>
  <c r="AV41" i="1" s="1"/>
  <c r="AV42" i="1" s="1"/>
</calcChain>
</file>

<file path=xl/sharedStrings.xml><?xml version="1.0" encoding="utf-8"?>
<sst xmlns="http://schemas.openxmlformats.org/spreadsheetml/2006/main" count="101" uniqueCount="64">
  <si>
    <t>layer</t>
  </si>
  <si>
    <t>row</t>
  </si>
  <si>
    <t>col</t>
  </si>
  <si>
    <t>seg</t>
  </si>
  <si>
    <t>reach</t>
  </si>
  <si>
    <t>length</t>
  </si>
  <si>
    <t>SFR2</t>
  </si>
  <si>
    <t>(0, 0, 22)</t>
  </si>
  <si>
    <t>SEG1</t>
  </si>
  <si>
    <t>(0, 1, 22)</t>
  </si>
  <si>
    <t>(0, 1, 21)</t>
  </si>
  <si>
    <t>(0, 2, 20)</t>
  </si>
  <si>
    <t>(0, 3, 19)</t>
  </si>
  <si>
    <t>(0, 4, 19)</t>
  </si>
  <si>
    <t>(0, 16, 17)</t>
  </si>
  <si>
    <t>SEG2</t>
  </si>
  <si>
    <t>(0, 17, 17)</t>
  </si>
  <si>
    <t>(0, 18, 17)</t>
  </si>
  <si>
    <t>(0, 19, 16)</t>
  </si>
  <si>
    <t>(0, 20, 16)</t>
  </si>
  <si>
    <t>(0, 21, 16)</t>
  </si>
  <si>
    <t>(0, 22, 15)</t>
  </si>
  <si>
    <t>(0, 23, 15)</t>
  </si>
  <si>
    <t>(0, 24, 15)</t>
  </si>
  <si>
    <t>(0, 25, 15)</t>
  </si>
  <si>
    <t>(0, 26, 15)</t>
  </si>
  <si>
    <t>(0, 27, 14)</t>
  </si>
  <si>
    <t>(0, 17, 10)</t>
  </si>
  <si>
    <t>SEG3</t>
  </si>
  <si>
    <t>(0, 18, 10)</t>
  </si>
  <si>
    <t>(0, 18, 11)</t>
  </si>
  <si>
    <t>(0, 19, 11)</t>
  </si>
  <si>
    <t>(0, 20, 11)</t>
  </si>
  <si>
    <t>(0, 21, 12)</t>
  </si>
  <si>
    <t>(0, 22, 12)</t>
  </si>
  <si>
    <t>(0, 23, 12)</t>
  </si>
  <si>
    <t>(0, 23, 13)</t>
  </si>
  <si>
    <t>(0, 24, 13)</t>
  </si>
  <si>
    <t>(0, 25, 13)</t>
  </si>
  <si>
    <t>(0, 26, 13)</t>
  </si>
  <si>
    <t>(0, 28, 14)</t>
  </si>
  <si>
    <t>SEG4</t>
  </si>
  <si>
    <t>(0, 29, 14)</t>
  </si>
  <si>
    <t>(0, 30, 14)</t>
  </si>
  <si>
    <t>(0, 31, 14)</t>
  </si>
  <si>
    <t>(0, 32, 14)</t>
  </si>
  <si>
    <t>(0, 33, 14)</t>
  </si>
  <si>
    <t>(0, 34, 14)</t>
  </si>
  <si>
    <t>SFR1</t>
  </si>
  <si>
    <t>stream.csv</t>
  </si>
  <si>
    <t>CHD</t>
  </si>
  <si>
    <t>y</t>
  </si>
  <si>
    <t>x</t>
  </si>
  <si>
    <t>a2_sfr_pakdata</t>
  </si>
  <si>
    <t>sfr-p01.sfr.obs.csv</t>
  </si>
  <si>
    <t>z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</si>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</sst>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E+00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5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4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99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5" borderId="0" xfId="0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2" fillId="9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8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4" borderId="0" xfId="0" applyFill="1"/>
    <xf numFmtId="0" fontId="5" fillId="10" borderId="0" xfId="0" applyFont="1" applyFill="1" applyAlignment="1">
      <alignment horizontal="center" vertical="center"/>
    </xf>
    <xf numFmtId="0" fontId="8" fillId="2" borderId="0" xfId="0" applyFont="1" applyFill="1"/>
    <xf numFmtId="0" fontId="9" fillId="2" borderId="0" xfId="0" applyFont="1" applyFill="1"/>
    <xf numFmtId="0" fontId="4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/>
    <xf numFmtId="0" fontId="10" fillId="12" borderId="0" xfId="0" applyFont="1" applyFill="1" applyAlignment="1">
      <alignment horizontal="left" vertical="center"/>
    </xf>
    <xf numFmtId="0" fontId="10" fillId="12" borderId="0" xfId="0" applyFont="1" applyFill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0" fontId="4" fillId="13" borderId="0" xfId="0" applyFont="1" applyFill="1"/>
    <xf numFmtId="0" fontId="0" fillId="13" borderId="0" xfId="0" applyFill="1"/>
    <xf numFmtId="0" fontId="0" fillId="12" borderId="0" xfId="0" applyFill="1"/>
    <xf numFmtId="0" fontId="12" fillId="5" borderId="0" xfId="0" applyFont="1" applyFill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0" fontId="13" fillId="1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5" fillId="15" borderId="0" xfId="0" applyFont="1" applyFill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5" fillId="13" borderId="0" xfId="0" applyFont="1" applyFill="1"/>
    <xf numFmtId="0" fontId="4" fillId="13" borderId="0" xfId="0" applyFont="1" applyFill="1" applyAlignment="1">
      <alignment horizontal="right"/>
    </xf>
    <xf numFmtId="0" fontId="9" fillId="11" borderId="0" xfId="0" applyFont="1" applyFill="1" applyAlignment="1">
      <alignment horizontal="center" vertical="center"/>
    </xf>
    <xf numFmtId="2" fontId="4" fillId="2" borderId="0" xfId="0" applyNumberFormat="1" applyFont="1" applyFill="1"/>
    <xf numFmtId="1" fontId="4" fillId="0" borderId="0" xfId="0" applyNumberFormat="1" applyFont="1"/>
    <xf numFmtId="1" fontId="4" fillId="16" borderId="0" xfId="0" applyNumberFormat="1" applyFont="1" applyFill="1"/>
    <xf numFmtId="1" fontId="4" fillId="7" borderId="0" xfId="0" applyNumberFormat="1" applyFont="1" applyFill="1"/>
    <xf numFmtId="0" fontId="16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5" borderId="0" xfId="0" applyFill="1" applyAlignment="1">
      <alignment horizontal="right" vertical="center"/>
    </xf>
    <xf numFmtId="0" fontId="10" fillId="3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14" fillId="0" borderId="0" xfId="0" applyFont="1"/>
    <xf numFmtId="1" fontId="5" fillId="5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7" fillId="17" borderId="0" xfId="0" applyFont="1" applyFill="1" applyAlignment="1">
      <alignment horizontal="left" vertical="center"/>
    </xf>
    <xf numFmtId="0" fontId="17" fillId="17" borderId="0" xfId="0" applyFont="1" applyFill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4" fillId="15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left" vertical="center"/>
    </xf>
    <xf numFmtId="0" fontId="19" fillId="15" borderId="0" xfId="0" applyFont="1" applyFill="1" applyAlignment="1">
      <alignment horizontal="center" vertical="center"/>
    </xf>
    <xf numFmtId="0" fontId="0" fillId="11" borderId="0" xfId="0" applyFill="1"/>
    <xf numFmtId="1" fontId="14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/>
    <xf numFmtId="0" fontId="6" fillId="4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9" fillId="18" borderId="0" xfId="0" applyFont="1" applyFill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/>
    </xf>
  </cellXfs>
  <cellStyles count="1">
    <cellStyle name="Normal" xfId="0" builtinId="0"/>
  </cellStyles>
  <dxfs count="1">
    <dxf>
      <font>
        <color theme="0"/>
      </font>
      <fill>
        <patternFill>
          <bgColor theme="8" tint="-0.24994659260841701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'a1'!$AB$5:$AB$42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C4-4A5B-AB48-58D7C3300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'11'!$BK$3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'11'!$BO$5:$BO$105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CC-4B40-B211-07F3CCCD7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'11'!$BL$3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'11'!$BP$5:$BP$105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04-4D09-80D5-D629D9193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'11'!$BM$3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'11'!$BQ$5:$BQ$105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25-403D-8871-F8FB88393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'11'!$BN$3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'11'!$BI$5:$BI$106</c:f>
              <c:numCache>
                <c:formatCode>0.00</c:formatCode>
                <c:ptCount val="102"/>
              </c:numCache>
            </c:numRef>
          </c:xVal>
          <c:yVal>
            <c:numRef>
              <c:f>'11'!$BR$5:$BR$105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DA-438D-99BB-6A53240E8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'11'!$BK$3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'11'!$BK$5:$BK$105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7A-48BE-8B54-249D19981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'11'!$BL$3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'11'!$BL$5:$BL$105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B0-46E5-B708-BA3A60518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'11'!$BM$3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'11'!$BM$5:$BM$105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B-437C-8D1C-A59D3B20A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'11'!$BN$3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'11'!$BN$5:$BN$105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56-4ACC-9781-354507EB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'11'!$BK$3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'11'!$BS$5:$BS$105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51-4203-AF4D-56715A392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marker>
            <c:symbol val="none"/>
          </c:marker>
          <c:xVal>
            <c:numRef>
              <c:f>'11'!$A$6:$A$41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'11'!#REF!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A1-4444-AF93-5188DB2329B7}"/>
            </c:ext>
          </c:extLst>
        </c:ser>
        <c:ser>
          <c:idx val="1"/>
          <c:order val="1"/>
          <c:marker>
            <c:symbol val="none"/>
          </c:marker>
          <c:xVal>
            <c:numRef>
              <c:f>'11'!#REF!</c:f>
            </c:numRef>
          </c:xVal>
          <c:yVal>
            <c:numRef>
              <c:f>'11'!#REF!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00A1-4444-AF93-5188DB232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45023"/>
        <c:axId val="394748383"/>
      </c:scatterChart>
      <c:valAx>
        <c:axId val="39474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8383"/>
        <c:crosses val="autoZero"/>
        <c:crossBetween val="midCat"/>
      </c:valAx>
      <c:valAx>
        <c:axId val="39474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50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'11'!$BK$5:$BK$105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9D-4664-A5EA-EC11634D0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'11'!$BI$5:$BI$105</c:f>
              <c:numCache>
                <c:formatCode>0.00</c:formatCode>
                <c:ptCount val="101"/>
              </c:numCache>
            </c:numRef>
          </c:xVal>
          <c:yVal>
            <c:numRef>
              <c:f>'11'!$BL$5:$BL$105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9D-4664-A5EA-EC11634D0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1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image" Target="../media/image4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image" Target="../media/image3.png"/><Relationship Id="rId5" Type="http://schemas.openxmlformats.org/officeDocument/2006/relationships/chart" Target="../charts/chart6.xml"/><Relationship Id="rId10" Type="http://schemas.openxmlformats.org/officeDocument/2006/relationships/image" Target="../media/image2.png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39221</xdr:colOff>
      <xdr:row>22</xdr:row>
      <xdr:rowOff>89647</xdr:rowOff>
    </xdr:from>
    <xdr:to>
      <xdr:col>22</xdr:col>
      <xdr:colOff>11206</xdr:colOff>
      <xdr:row>35</xdr:row>
      <xdr:rowOff>78441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DEA550-F809-0B0C-40C7-A79CCBC01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11205</xdr:colOff>
      <xdr:row>10</xdr:row>
      <xdr:rowOff>67780</xdr:rowOff>
    </xdr:from>
    <xdr:to>
      <xdr:col>22</xdr:col>
      <xdr:colOff>75639</xdr:colOff>
      <xdr:row>19</xdr:row>
      <xdr:rowOff>100853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AE8D5BB-23EA-4653-949C-427E9DB08F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6524" b="14290"/>
        <a:stretch>
          <a:fillRect/>
        </a:stretch>
      </xdr:blipFill>
      <xdr:spPr>
        <a:xfrm>
          <a:off x="705970" y="1995192"/>
          <a:ext cx="2731434" cy="1747573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590550</xdr:colOff>
      <xdr:row>5</xdr:row>
      <xdr:rowOff>57150</xdr:rowOff>
    </xdr:from>
    <xdr:to>
      <xdr:col>83</xdr:col>
      <xdr:colOff>38100</xdr:colOff>
      <xdr:row>48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DA4897F0-59EF-4EF8-B23C-CFECC569727F}"/>
            </a:ext>
          </a:extLst>
        </xdr:cNvPr>
        <xdr:cNvGrpSpPr>
          <a:grpSpLocks noChangeAspect="1"/>
        </xdr:cNvGrpSpPr>
      </xdr:nvGrpSpPr>
      <xdr:grpSpPr>
        <a:xfrm>
          <a:off x="16240125" y="876300"/>
          <a:ext cx="5648325" cy="6543675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1008A44E-7FD9-9B0C-5A40-21465AADF0CD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964D77A3-D7D7-934A-EAB3-0C126E3C69F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4C041D8A-1C52-35A3-34A6-D0899F862053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93BE8DE7-452A-18E8-DD16-8801239B55FC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99328C7F-D545-7CDB-7963-C737748DF5A5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6D1C60D2-BCE8-83F4-CB59-B0DDB07CB93E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EF305B7-01FF-CFBC-3480-499186C70A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A5ABA18C-5B9F-B3B4-E88D-F3FB9D029C06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4B5C53B2-2B30-C255-84B2-41ED4AD4770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E1D10390-E1F2-DE24-13D8-C3F223473858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</xdr:grpSp>
    </xdr:grpSp>
    <xdr:clientData/>
  </xdr:twoCellAnchor>
  <xdr:twoCellAnchor>
    <xdr:from>
      <xdr:col>58</xdr:col>
      <xdr:colOff>209550</xdr:colOff>
      <xdr:row>2</xdr:row>
      <xdr:rowOff>38100</xdr:rowOff>
    </xdr:from>
    <xdr:to>
      <xdr:col>59</xdr:col>
      <xdr:colOff>247650</xdr:colOff>
      <xdr:row>4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928EA8-8874-4B80-8E2C-30A6A84B14C9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64</xdr:col>
      <xdr:colOff>0</xdr:colOff>
      <xdr:row>10</xdr:row>
      <xdr:rowOff>0</xdr:rowOff>
    </xdr:from>
    <xdr:to>
      <xdr:col>71</xdr:col>
      <xdr:colOff>161925</xdr:colOff>
      <xdr:row>19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65BF44A-23EE-44ED-99A8-A13A5F2D1E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142876</xdr:colOff>
      <xdr:row>63</xdr:row>
      <xdr:rowOff>76200</xdr:rowOff>
    </xdr:from>
    <xdr:to>
      <xdr:col>72</xdr:col>
      <xdr:colOff>228600</xdr:colOff>
      <xdr:row>105</xdr:row>
      <xdr:rowOff>23763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48FD8BA4-B647-46A3-95C4-1FAB72C72EB5}"/>
            </a:ext>
          </a:extLst>
        </xdr:cNvPr>
        <xdr:cNvGrpSpPr/>
      </xdr:nvGrpSpPr>
      <xdr:grpSpPr>
        <a:xfrm>
          <a:off x="6238876" y="9734550"/>
          <a:ext cx="9639299" cy="6348363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E15045DF-2C8B-C21D-D09F-5F052581F39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4A4BF860-B200-908C-F896-5BBB0E44EA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B164C7A6-6D90-AE17-C539-09896C66DFF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EE7B903C-53F3-1EE4-75A0-5FCEF2343A4B}"/>
              </a:ext>
            </a:extLst>
          </xdr:cNvPr>
          <xdr:cNvGraphicFramePr>
            <a:graphicFrameLocks/>
          </xdr:cNvGraphicFramePr>
        </xdr:nvGraphicFramePr>
        <xdr:xfrm>
          <a:off x="9934575" y="8143875"/>
          <a:ext cx="1590675" cy="21240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</xdr:grpSp>
    <xdr:clientData/>
  </xdr:twoCellAnchor>
  <xdr:twoCellAnchor>
    <xdr:from>
      <xdr:col>62</xdr:col>
      <xdr:colOff>276225</xdr:colOff>
      <xdr:row>24</xdr:row>
      <xdr:rowOff>100012</xdr:rowOff>
    </xdr:from>
    <xdr:to>
      <xdr:col>73</xdr:col>
      <xdr:colOff>352425</xdr:colOff>
      <xdr:row>42</xdr:row>
      <xdr:rowOff>100012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13BC7EC-D6C4-499F-B2C1-73CE408061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792"/>
  <sheetViews>
    <sheetView tabSelected="1" zoomScale="85" zoomScaleNormal="85" workbookViewId="0">
      <selection activeCell="AF17" sqref="AF17"/>
    </sheetView>
  </sheetViews>
  <sheetFormatPr defaultRowHeight="15" x14ac:dyDescent="0.25"/>
  <cols>
    <col min="1" max="2" width="1.7109375" customWidth="1"/>
    <col min="3" max="25" width="2.28515625" customWidth="1"/>
    <col min="26" max="26" width="1.7109375" customWidth="1"/>
    <col min="27" max="31" width="3.28515625" style="4" customWidth="1"/>
    <col min="32" max="32" width="6.140625" style="4" customWidth="1"/>
    <col min="33" max="33" width="1.7109375" style="4" customWidth="1"/>
    <col min="34" max="48" width="3.42578125" style="4" customWidth="1"/>
    <col min="49" max="49" width="1.7109375" style="4" customWidth="1"/>
    <col min="50" max="51" width="3.140625" style="4" bestFit="1" customWidth="1"/>
    <col min="52" max="53" width="3.85546875" style="4" bestFit="1" customWidth="1"/>
    <col min="54" max="54" width="3.140625" style="4" bestFit="1" customWidth="1"/>
    <col min="55" max="55" width="1.7109375" customWidth="1"/>
    <col min="56" max="56" width="4.85546875" style="4" bestFit="1" customWidth="1"/>
    <col min="57" max="58" width="3.140625" style="4" bestFit="1" customWidth="1"/>
    <col min="59" max="59" width="6.140625" style="4" bestFit="1" customWidth="1"/>
    <col min="60" max="60" width="5" customWidth="1"/>
    <col min="61" max="61" width="1.7109375" customWidth="1"/>
    <col min="62" max="62" width="4" customWidth="1"/>
    <col min="63" max="64" width="3.28515625" customWidth="1"/>
    <col min="65" max="65" width="1.7109375" customWidth="1"/>
    <col min="66" max="66" width="9.140625" customWidth="1"/>
  </cols>
  <sheetData>
    <row r="1" spans="1:8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1"/>
      <c r="BD1" s="3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</row>
    <row r="2" spans="1:8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1"/>
      <c r="BD2" s="3"/>
      <c r="BE2" s="3"/>
      <c r="BF2" s="3"/>
      <c r="BG2" s="3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</row>
    <row r="3" spans="1:88" ht="15.7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83" t="s">
        <v>49</v>
      </c>
      <c r="AB3" s="5"/>
      <c r="AC3" s="5"/>
      <c r="AD3" s="5"/>
      <c r="AE3" s="5"/>
      <c r="AF3" s="3">
        <f>COUNT(AF5:AF43)</f>
        <v>38</v>
      </c>
      <c r="AG3" s="3"/>
      <c r="AH3" s="83" t="s">
        <v>48</v>
      </c>
      <c r="AI3" s="5"/>
      <c r="AJ3" s="5"/>
      <c r="AK3" s="5"/>
      <c r="AL3" s="5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83" t="s">
        <v>6</v>
      </c>
      <c r="AY3" s="83"/>
      <c r="AZ3" s="5"/>
      <c r="BA3" s="5"/>
      <c r="BB3" s="5"/>
      <c r="BC3" s="1"/>
      <c r="BD3" s="80" t="s">
        <v>50</v>
      </c>
      <c r="BE3" s="5"/>
      <c r="BF3" s="5"/>
      <c r="BG3" s="12">
        <f>COUNT(BG4:BG3205)</f>
        <v>322</v>
      </c>
      <c r="BH3" s="81">
        <v>0</v>
      </c>
      <c r="BI3" s="1"/>
      <c r="BJ3" s="10"/>
      <c r="BK3" s="79" t="s">
        <v>51</v>
      </c>
      <c r="BL3" s="79" t="s">
        <v>52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</row>
    <row r="4" spans="1:88" x14ac:dyDescent="0.25">
      <c r="A4" s="1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"/>
      <c r="AA4" s="17" t="s">
        <v>0</v>
      </c>
      <c r="AB4" s="6" t="s">
        <v>1</v>
      </c>
      <c r="AC4" s="6" t="s">
        <v>2</v>
      </c>
      <c r="AD4" s="6" t="s">
        <v>3</v>
      </c>
      <c r="AE4" s="6" t="s">
        <v>4</v>
      </c>
      <c r="AF4" s="6" t="s">
        <v>5</v>
      </c>
      <c r="AG4" s="3"/>
      <c r="AH4" s="11"/>
      <c r="AI4" s="11">
        <v>0</v>
      </c>
      <c r="AJ4" s="11">
        <v>1</v>
      </c>
      <c r="AK4" s="11">
        <v>2</v>
      </c>
      <c r="AL4" s="11">
        <v>3</v>
      </c>
      <c r="AM4" s="11">
        <v>4</v>
      </c>
      <c r="AN4" s="11">
        <v>5</v>
      </c>
      <c r="AO4" s="11">
        <v>6</v>
      </c>
      <c r="AP4" s="11">
        <v>7</v>
      </c>
      <c r="AQ4" s="11">
        <v>8</v>
      </c>
      <c r="AR4" s="11">
        <v>9</v>
      </c>
      <c r="AS4" s="11">
        <v>10</v>
      </c>
      <c r="AT4" s="11">
        <v>11</v>
      </c>
      <c r="AU4" s="11">
        <v>12</v>
      </c>
      <c r="AV4" s="3"/>
      <c r="AW4" s="3"/>
      <c r="AX4" s="6"/>
      <c r="AY4" s="6">
        <v>0</v>
      </c>
      <c r="AZ4" s="6">
        <v>1</v>
      </c>
      <c r="BA4" s="6">
        <v>2</v>
      </c>
      <c r="BB4" s="6">
        <v>3</v>
      </c>
      <c r="BC4" s="1"/>
      <c r="BD4" s="6" t="s">
        <v>55</v>
      </c>
      <c r="BE4" s="10" t="s">
        <v>51</v>
      </c>
      <c r="BF4" s="10" t="s">
        <v>52</v>
      </c>
      <c r="BG4" s="6"/>
      <c r="BH4" s="81">
        <v>5</v>
      </c>
      <c r="BI4" s="1"/>
      <c r="BJ4" s="78">
        <f>BL4*BK4</f>
        <v>828</v>
      </c>
      <c r="BK4" s="14">
        <v>23</v>
      </c>
      <c r="BL4" s="15">
        <v>36</v>
      </c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1:88" x14ac:dyDescent="0.25">
      <c r="A5" s="1"/>
      <c r="B5" s="18"/>
      <c r="C5" s="51">
        <f>IF(ISNUMBER(MATCH(C48,$BH$5:$BH$4000,0)),$BH$4,$BH$3)</f>
        <v>0</v>
      </c>
      <c r="D5" s="51">
        <f t="shared" ref="D5:Y5" si="0">IF(ISNUMBER(MATCH(D48,$BH$5:$BH$4000,0)),$BH$4,$BH$3)</f>
        <v>0</v>
      </c>
      <c r="E5" s="51">
        <f t="shared" si="0"/>
        <v>0</v>
      </c>
      <c r="F5" s="51">
        <f t="shared" si="0"/>
        <v>5</v>
      </c>
      <c r="G5" s="51">
        <f t="shared" si="0"/>
        <v>5</v>
      </c>
      <c r="H5" s="51">
        <f t="shared" si="0"/>
        <v>5</v>
      </c>
      <c r="I5" s="51">
        <f t="shared" si="0"/>
        <v>5</v>
      </c>
      <c r="J5" s="51">
        <f t="shared" si="0"/>
        <v>5</v>
      </c>
      <c r="K5" s="51">
        <f t="shared" si="0"/>
        <v>5</v>
      </c>
      <c r="L5" s="51">
        <f t="shared" si="0"/>
        <v>5</v>
      </c>
      <c r="M5" s="51">
        <f t="shared" si="0"/>
        <v>5</v>
      </c>
      <c r="N5" s="51">
        <f t="shared" si="0"/>
        <v>5</v>
      </c>
      <c r="O5" s="51">
        <f t="shared" si="0"/>
        <v>5</v>
      </c>
      <c r="P5" s="51">
        <f t="shared" si="0"/>
        <v>5</v>
      </c>
      <c r="Q5" s="51">
        <f t="shared" si="0"/>
        <v>5</v>
      </c>
      <c r="R5" s="51">
        <f t="shared" si="0"/>
        <v>5</v>
      </c>
      <c r="S5" s="51">
        <f t="shared" si="0"/>
        <v>5</v>
      </c>
      <c r="T5" s="51">
        <f t="shared" si="0"/>
        <v>5</v>
      </c>
      <c r="U5" s="51">
        <f t="shared" si="0"/>
        <v>5</v>
      </c>
      <c r="V5" s="51">
        <f t="shared" si="0"/>
        <v>5</v>
      </c>
      <c r="W5" s="51">
        <f t="shared" si="0"/>
        <v>5</v>
      </c>
      <c r="X5" s="51">
        <f t="shared" si="0"/>
        <v>0</v>
      </c>
      <c r="Y5" s="51">
        <f t="shared" si="0"/>
        <v>0</v>
      </c>
      <c r="Z5" s="1"/>
      <c r="AA5" s="4">
        <v>1</v>
      </c>
      <c r="AB5" s="4">
        <v>1</v>
      </c>
      <c r="AC5" s="4">
        <v>23</v>
      </c>
      <c r="AD5" s="4">
        <v>1</v>
      </c>
      <c r="AE5" s="4">
        <v>1</v>
      </c>
      <c r="AF5" s="4">
        <v>400</v>
      </c>
      <c r="AG5" s="3"/>
      <c r="AH5" s="8">
        <v>0</v>
      </c>
      <c r="AI5" s="8">
        <v>0</v>
      </c>
      <c r="AJ5" s="8" t="s">
        <v>7</v>
      </c>
      <c r="AK5" s="8">
        <v>400</v>
      </c>
      <c r="AL5" s="8">
        <v>5</v>
      </c>
      <c r="AM5" s="8">
        <v>1.8181818181818099E-3</v>
      </c>
      <c r="AN5" s="8">
        <v>48.636363636363598</v>
      </c>
      <c r="AO5" s="8">
        <v>1</v>
      </c>
      <c r="AP5" s="8">
        <v>100</v>
      </c>
      <c r="AQ5" s="8">
        <v>0.03</v>
      </c>
      <c r="AR5" s="8">
        <v>1</v>
      </c>
      <c r="AS5" s="8">
        <v>1</v>
      </c>
      <c r="AT5" s="8">
        <v>0</v>
      </c>
      <c r="AU5" s="8" t="s">
        <v>8</v>
      </c>
      <c r="AV5" s="3">
        <f>IF(AU4=AU5,AV4,MAX(AV4:AV$4)+1)</f>
        <v>1</v>
      </c>
      <c r="AW5" s="3"/>
      <c r="AX5" s="4">
        <v>0</v>
      </c>
      <c r="AY5" s="4">
        <v>0</v>
      </c>
      <c r="AZ5" s="19">
        <v>-1</v>
      </c>
      <c r="BA5" s="19"/>
      <c r="BB5" s="19"/>
      <c r="BC5" s="1"/>
      <c r="BD5" s="6">
        <v>1</v>
      </c>
      <c r="BE5" s="6">
        <v>1</v>
      </c>
      <c r="BF5" s="6">
        <v>4</v>
      </c>
      <c r="BG5" s="6">
        <v>50</v>
      </c>
      <c r="BH5" s="49" t="str">
        <f>_xlfn.CONCAT(BF5,",",BE5)</f>
        <v>4,1</v>
      </c>
      <c r="BI5" s="1"/>
      <c r="BJ5" s="13">
        <f t="shared" ref="BJ5:BJ36" si="1">IF(ROW()-BJ$3&lt;=$BJ$4,ROW()-ROW(BJ$4),"")</f>
        <v>1</v>
      </c>
      <c r="BK5" s="16">
        <v>1</v>
      </c>
      <c r="BL5" s="10">
        <f>IF(BK4&lt;&gt;BK5,1,BL4+1)</f>
        <v>1</v>
      </c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1:88" x14ac:dyDescent="0.25">
      <c r="A6" s="1"/>
      <c r="B6" s="18"/>
      <c r="C6" s="51">
        <f t="shared" ref="C6:Y6" si="2">IF(ISNUMBER(MATCH(C49,$BH$5:$BH$4000,0)),$BH$4,$BH$3)</f>
        <v>0</v>
      </c>
      <c r="D6" s="51">
        <f t="shared" si="2"/>
        <v>0</v>
      </c>
      <c r="E6" s="51">
        <f t="shared" si="2"/>
        <v>0</v>
      </c>
      <c r="F6" s="51">
        <f t="shared" si="2"/>
        <v>0</v>
      </c>
      <c r="G6" s="51">
        <f t="shared" si="2"/>
        <v>0</v>
      </c>
      <c r="H6" s="51">
        <f t="shared" si="2"/>
        <v>0</v>
      </c>
      <c r="I6" s="51">
        <f t="shared" si="2"/>
        <v>0</v>
      </c>
      <c r="J6" s="51">
        <f t="shared" si="2"/>
        <v>0</v>
      </c>
      <c r="K6" s="51">
        <f t="shared" si="2"/>
        <v>0</v>
      </c>
      <c r="L6" s="51">
        <f t="shared" si="2"/>
        <v>0</v>
      </c>
      <c r="M6" s="51">
        <f t="shared" si="2"/>
        <v>0</v>
      </c>
      <c r="N6" s="51">
        <f t="shared" si="2"/>
        <v>0</v>
      </c>
      <c r="O6" s="51">
        <f t="shared" si="2"/>
        <v>0</v>
      </c>
      <c r="P6" s="51">
        <f t="shared" si="2"/>
        <v>0</v>
      </c>
      <c r="Q6" s="51">
        <f t="shared" si="2"/>
        <v>0</v>
      </c>
      <c r="R6" s="51">
        <f t="shared" si="2"/>
        <v>0</v>
      </c>
      <c r="S6" s="51">
        <f t="shared" si="2"/>
        <v>0</v>
      </c>
      <c r="T6" s="51">
        <f t="shared" si="2"/>
        <v>0</v>
      </c>
      <c r="U6" s="51">
        <f t="shared" si="2"/>
        <v>0</v>
      </c>
      <c r="V6" s="51">
        <f t="shared" si="2"/>
        <v>0</v>
      </c>
      <c r="W6" s="51">
        <f t="shared" si="2"/>
        <v>0</v>
      </c>
      <c r="X6" s="51">
        <f t="shared" si="2"/>
        <v>0</v>
      </c>
      <c r="Y6" s="51">
        <f t="shared" si="2"/>
        <v>0</v>
      </c>
      <c r="Z6" s="1"/>
      <c r="AA6" s="4">
        <v>1</v>
      </c>
      <c r="AB6" s="4">
        <v>2</v>
      </c>
      <c r="AC6" s="4">
        <v>23</v>
      </c>
      <c r="AD6" s="4">
        <v>1</v>
      </c>
      <c r="AE6" s="4">
        <v>2</v>
      </c>
      <c r="AF6" s="4">
        <v>200</v>
      </c>
      <c r="AG6" s="3"/>
      <c r="AH6" s="8">
        <v>1</v>
      </c>
      <c r="AI6" s="8">
        <v>1</v>
      </c>
      <c r="AJ6" s="8" t="s">
        <v>9</v>
      </c>
      <c r="AK6" s="8">
        <v>200</v>
      </c>
      <c r="AL6" s="8">
        <v>5</v>
      </c>
      <c r="AM6" s="8">
        <v>1.8181818181818099E-3</v>
      </c>
      <c r="AN6" s="8">
        <v>48.090909090909001</v>
      </c>
      <c r="AO6" s="8">
        <v>1</v>
      </c>
      <c r="AP6" s="8">
        <v>100</v>
      </c>
      <c r="AQ6" s="8">
        <v>0.03</v>
      </c>
      <c r="AR6" s="8">
        <v>2</v>
      </c>
      <c r="AS6" s="8">
        <v>1</v>
      </c>
      <c r="AT6" s="8">
        <v>0</v>
      </c>
      <c r="AU6" s="8" t="s">
        <v>8</v>
      </c>
      <c r="AV6" s="3">
        <f>IF(AU5=AU6,AV5,MAX(AV$4:AV5)+1)</f>
        <v>1</v>
      </c>
      <c r="AW6" s="3"/>
      <c r="AX6" s="4">
        <v>1</v>
      </c>
      <c r="AY6" s="4">
        <v>1</v>
      </c>
      <c r="AZ6" s="19">
        <v>0</v>
      </c>
      <c r="BA6" s="19">
        <v>-2</v>
      </c>
      <c r="BB6" s="19"/>
      <c r="BC6" s="1"/>
      <c r="BD6" s="3">
        <v>1</v>
      </c>
      <c r="BE6" s="3">
        <v>1</v>
      </c>
      <c r="BF6" s="3">
        <v>5</v>
      </c>
      <c r="BG6" s="3">
        <v>50</v>
      </c>
      <c r="BH6" s="49" t="str">
        <f t="shared" ref="BH6:BH69" si="3">_xlfn.CONCAT(BF6,",",BE6)</f>
        <v>5,1</v>
      </c>
      <c r="BI6" s="1"/>
      <c r="BJ6" s="13">
        <f t="shared" si="1"/>
        <v>2</v>
      </c>
      <c r="BK6" s="10">
        <f>IF(ISNUMBER(BJ6),INT(BJ5/$BL$4)+1,"")</f>
        <v>1</v>
      </c>
      <c r="BL6" s="10">
        <f>IF(ISNUMBER(BJ6),IF(BK5&lt;&gt;BK6,1,BL5+1),"")</f>
        <v>2</v>
      </c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1:88" x14ac:dyDescent="0.25">
      <c r="A7" s="1"/>
      <c r="B7" s="18"/>
      <c r="C7" s="51">
        <f t="shared" ref="C7:Y7" si="4">IF(ISNUMBER(MATCH(C50,$BH$5:$BH$4000,0)),$BH$4,$BH$3)</f>
        <v>0</v>
      </c>
      <c r="D7" s="51">
        <f t="shared" si="4"/>
        <v>0</v>
      </c>
      <c r="E7" s="51">
        <f t="shared" si="4"/>
        <v>0</v>
      </c>
      <c r="F7" s="51">
        <f t="shared" si="4"/>
        <v>0</v>
      </c>
      <c r="G7" s="51">
        <f t="shared" si="4"/>
        <v>0</v>
      </c>
      <c r="H7" s="51">
        <f t="shared" si="4"/>
        <v>0</v>
      </c>
      <c r="I7" s="51">
        <f t="shared" si="4"/>
        <v>0</v>
      </c>
      <c r="J7" s="51">
        <f t="shared" si="4"/>
        <v>0</v>
      </c>
      <c r="K7" s="51">
        <f t="shared" si="4"/>
        <v>0</v>
      </c>
      <c r="L7" s="51">
        <f t="shared" si="4"/>
        <v>0</v>
      </c>
      <c r="M7" s="51">
        <f t="shared" si="4"/>
        <v>0</v>
      </c>
      <c r="N7" s="51">
        <f t="shared" si="4"/>
        <v>0</v>
      </c>
      <c r="O7" s="51">
        <f t="shared" si="4"/>
        <v>0</v>
      </c>
      <c r="P7" s="51">
        <f t="shared" si="4"/>
        <v>0</v>
      </c>
      <c r="Q7" s="51">
        <f t="shared" si="4"/>
        <v>0</v>
      </c>
      <c r="R7" s="51">
        <f t="shared" si="4"/>
        <v>0</v>
      </c>
      <c r="S7" s="51">
        <f t="shared" si="4"/>
        <v>0</v>
      </c>
      <c r="T7" s="51">
        <f t="shared" si="4"/>
        <v>0</v>
      </c>
      <c r="U7" s="51">
        <f t="shared" si="4"/>
        <v>0</v>
      </c>
      <c r="V7" s="51">
        <f t="shared" si="4"/>
        <v>0</v>
      </c>
      <c r="W7" s="51">
        <f t="shared" si="4"/>
        <v>0</v>
      </c>
      <c r="X7" s="51">
        <f t="shared" si="4"/>
        <v>0</v>
      </c>
      <c r="Y7" s="51">
        <f t="shared" si="4"/>
        <v>0</v>
      </c>
      <c r="Z7" s="1"/>
      <c r="AA7" s="4">
        <v>1</v>
      </c>
      <c r="AB7" s="4">
        <v>2</v>
      </c>
      <c r="AC7" s="4">
        <v>22</v>
      </c>
      <c r="AD7" s="4">
        <v>1</v>
      </c>
      <c r="AE7" s="4">
        <v>3</v>
      </c>
      <c r="AF7" s="4">
        <v>400</v>
      </c>
      <c r="AG7" s="3"/>
      <c r="AH7" s="8">
        <v>2</v>
      </c>
      <c r="AI7" s="8">
        <v>2</v>
      </c>
      <c r="AJ7" s="8" t="s">
        <v>10</v>
      </c>
      <c r="AK7" s="8">
        <v>400</v>
      </c>
      <c r="AL7" s="8">
        <v>5</v>
      </c>
      <c r="AM7" s="8">
        <v>1.8181818181818099E-3</v>
      </c>
      <c r="AN7" s="8">
        <v>47.545454545454497</v>
      </c>
      <c r="AO7" s="8">
        <v>1</v>
      </c>
      <c r="AP7" s="8">
        <v>100</v>
      </c>
      <c r="AQ7" s="8">
        <v>0.03</v>
      </c>
      <c r="AR7" s="8">
        <v>2</v>
      </c>
      <c r="AS7" s="8">
        <v>1</v>
      </c>
      <c r="AT7" s="8">
        <v>0</v>
      </c>
      <c r="AU7" s="8" t="s">
        <v>8</v>
      </c>
      <c r="AV7" s="3">
        <f>IF(AU6=AU7,AV6,MAX(AV$4:AV6)+1)</f>
        <v>1</v>
      </c>
      <c r="AW7" s="3"/>
      <c r="AX7" s="4">
        <v>2</v>
      </c>
      <c r="AY7" s="4">
        <v>2</v>
      </c>
      <c r="AZ7" s="19">
        <v>1</v>
      </c>
      <c r="BA7" s="19">
        <v>-3</v>
      </c>
      <c r="BB7" s="19"/>
      <c r="BC7" s="1"/>
      <c r="BD7" s="3">
        <v>1</v>
      </c>
      <c r="BE7" s="3">
        <v>1</v>
      </c>
      <c r="BF7" s="3">
        <v>6</v>
      </c>
      <c r="BG7" s="3">
        <v>50</v>
      </c>
      <c r="BH7" s="49" t="str">
        <f t="shared" si="3"/>
        <v>6,1</v>
      </c>
      <c r="BI7" s="1"/>
      <c r="BJ7" s="13">
        <f t="shared" si="1"/>
        <v>3</v>
      </c>
      <c r="BK7" s="10">
        <f t="shared" ref="BK7:BK70" si="5">IF(ISNUMBER(BJ7),INT(BJ6/$BL$4)+1,"")</f>
        <v>1</v>
      </c>
      <c r="BL7" s="10">
        <f t="shared" ref="BL7:BL70" si="6">IF(ISNUMBER(BJ7),IF(BK6&lt;&gt;BK7,1,BL6+1),"")</f>
        <v>3</v>
      </c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1:88" x14ac:dyDescent="0.25">
      <c r="A8" s="1"/>
      <c r="B8" s="18"/>
      <c r="C8" s="51">
        <f t="shared" ref="C8:Y8" si="7">IF(ISNUMBER(MATCH(C51,$BH$5:$BH$4000,0)),$BH$4,$BH$3)</f>
        <v>0</v>
      </c>
      <c r="D8" s="51">
        <f t="shared" si="7"/>
        <v>0</v>
      </c>
      <c r="E8" s="51">
        <f t="shared" si="7"/>
        <v>0</v>
      </c>
      <c r="F8" s="51">
        <f t="shared" si="7"/>
        <v>0</v>
      </c>
      <c r="G8" s="51">
        <f t="shared" si="7"/>
        <v>0</v>
      </c>
      <c r="H8" s="51">
        <f t="shared" si="7"/>
        <v>0</v>
      </c>
      <c r="I8" s="51">
        <f t="shared" si="7"/>
        <v>0</v>
      </c>
      <c r="J8" s="51">
        <f t="shared" si="7"/>
        <v>0</v>
      </c>
      <c r="K8" s="51">
        <f t="shared" si="7"/>
        <v>0</v>
      </c>
      <c r="L8" s="51">
        <f t="shared" si="7"/>
        <v>0</v>
      </c>
      <c r="M8" s="51">
        <f t="shared" si="7"/>
        <v>0</v>
      </c>
      <c r="N8" s="51">
        <f t="shared" si="7"/>
        <v>0</v>
      </c>
      <c r="O8" s="51">
        <f t="shared" si="7"/>
        <v>0</v>
      </c>
      <c r="P8" s="51">
        <f t="shared" si="7"/>
        <v>0</v>
      </c>
      <c r="Q8" s="51">
        <f t="shared" si="7"/>
        <v>0</v>
      </c>
      <c r="R8" s="51">
        <f t="shared" si="7"/>
        <v>0</v>
      </c>
      <c r="S8" s="51">
        <f t="shared" si="7"/>
        <v>0</v>
      </c>
      <c r="T8" s="51">
        <f t="shared" si="7"/>
        <v>0</v>
      </c>
      <c r="U8" s="51">
        <f t="shared" si="7"/>
        <v>0</v>
      </c>
      <c r="V8" s="51">
        <f t="shared" si="7"/>
        <v>0</v>
      </c>
      <c r="W8" s="51">
        <f t="shared" si="7"/>
        <v>0</v>
      </c>
      <c r="X8" s="51">
        <f t="shared" si="7"/>
        <v>0</v>
      </c>
      <c r="Y8" s="51">
        <f t="shared" si="7"/>
        <v>0</v>
      </c>
      <c r="Z8" s="1"/>
      <c r="AA8" s="4">
        <v>1</v>
      </c>
      <c r="AB8" s="4">
        <v>3</v>
      </c>
      <c r="AC8" s="4">
        <v>21</v>
      </c>
      <c r="AD8" s="4">
        <v>1</v>
      </c>
      <c r="AE8" s="4">
        <v>4</v>
      </c>
      <c r="AF8" s="4">
        <v>400</v>
      </c>
      <c r="AG8" s="3"/>
      <c r="AH8" s="8">
        <v>3</v>
      </c>
      <c r="AI8" s="8">
        <v>3</v>
      </c>
      <c r="AJ8" s="8" t="s">
        <v>11</v>
      </c>
      <c r="AK8" s="8">
        <v>400</v>
      </c>
      <c r="AL8" s="8">
        <v>5</v>
      </c>
      <c r="AM8" s="8">
        <v>1.8181818181818099E-3</v>
      </c>
      <c r="AN8" s="8">
        <v>46.818181818181799</v>
      </c>
      <c r="AO8" s="8">
        <v>1</v>
      </c>
      <c r="AP8" s="8">
        <v>100</v>
      </c>
      <c r="AQ8" s="8">
        <v>0.03</v>
      </c>
      <c r="AR8" s="8">
        <v>2</v>
      </c>
      <c r="AS8" s="8">
        <v>1</v>
      </c>
      <c r="AT8" s="8">
        <v>0</v>
      </c>
      <c r="AU8" s="8" t="s">
        <v>8</v>
      </c>
      <c r="AV8" s="3">
        <f>IF(AU7=AU8,AV7,MAX(AV$4:AV7)+1)</f>
        <v>1</v>
      </c>
      <c r="AW8" s="3"/>
      <c r="AX8" s="4">
        <v>3</v>
      </c>
      <c r="AY8" s="4">
        <v>3</v>
      </c>
      <c r="AZ8" s="19">
        <v>2</v>
      </c>
      <c r="BA8" s="19">
        <v>-4</v>
      </c>
      <c r="BB8" s="19"/>
      <c r="BC8" s="1"/>
      <c r="BD8" s="3">
        <v>1</v>
      </c>
      <c r="BE8" s="3">
        <v>1</v>
      </c>
      <c r="BF8" s="3">
        <v>7</v>
      </c>
      <c r="BG8" s="3">
        <v>50</v>
      </c>
      <c r="BH8" s="49" t="str">
        <f t="shared" si="3"/>
        <v>7,1</v>
      </c>
      <c r="BI8" s="1"/>
      <c r="BJ8" s="13">
        <f t="shared" si="1"/>
        <v>4</v>
      </c>
      <c r="BK8" s="10">
        <f t="shared" si="5"/>
        <v>1</v>
      </c>
      <c r="BL8" s="10">
        <f t="shared" si="6"/>
        <v>4</v>
      </c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</row>
    <row r="9" spans="1:88" x14ac:dyDescent="0.25">
      <c r="A9" s="1"/>
      <c r="B9" s="18"/>
      <c r="C9" s="51">
        <f t="shared" ref="C9:Y9" si="8">IF(ISNUMBER(MATCH(C52,$BH$5:$BH$4000,0)),$BH$4,$BH$3)</f>
        <v>0</v>
      </c>
      <c r="D9" s="51">
        <f t="shared" si="8"/>
        <v>0</v>
      </c>
      <c r="E9" s="51">
        <f t="shared" si="8"/>
        <v>0</v>
      </c>
      <c r="F9" s="51">
        <f t="shared" si="8"/>
        <v>0</v>
      </c>
      <c r="G9" s="51">
        <f t="shared" si="8"/>
        <v>0</v>
      </c>
      <c r="H9" s="51">
        <f t="shared" si="8"/>
        <v>0</v>
      </c>
      <c r="I9" s="51">
        <f t="shared" si="8"/>
        <v>0</v>
      </c>
      <c r="J9" s="51">
        <f t="shared" si="8"/>
        <v>0</v>
      </c>
      <c r="K9" s="51">
        <f t="shared" si="8"/>
        <v>0</v>
      </c>
      <c r="L9" s="51">
        <f t="shared" si="8"/>
        <v>0</v>
      </c>
      <c r="M9" s="51">
        <f t="shared" si="8"/>
        <v>0</v>
      </c>
      <c r="N9" s="51">
        <f t="shared" si="8"/>
        <v>0</v>
      </c>
      <c r="O9" s="51">
        <f t="shared" si="8"/>
        <v>0</v>
      </c>
      <c r="P9" s="51">
        <f t="shared" si="8"/>
        <v>0</v>
      </c>
      <c r="Q9" s="51">
        <f t="shared" si="8"/>
        <v>0</v>
      </c>
      <c r="R9" s="51">
        <f t="shared" si="8"/>
        <v>0</v>
      </c>
      <c r="S9" s="51">
        <f t="shared" si="8"/>
        <v>0</v>
      </c>
      <c r="T9" s="51">
        <f t="shared" si="8"/>
        <v>0</v>
      </c>
      <c r="U9" s="51">
        <f t="shared" si="8"/>
        <v>0</v>
      </c>
      <c r="V9" s="51">
        <f t="shared" si="8"/>
        <v>0</v>
      </c>
      <c r="W9" s="51">
        <f t="shared" si="8"/>
        <v>0</v>
      </c>
      <c r="X9" s="51">
        <f t="shared" si="8"/>
        <v>0</v>
      </c>
      <c r="Y9" s="51">
        <f t="shared" si="8"/>
        <v>0</v>
      </c>
      <c r="Z9" s="1"/>
      <c r="AA9" s="4">
        <v>1</v>
      </c>
      <c r="AB9" s="4">
        <v>4</v>
      </c>
      <c r="AC9" s="4">
        <v>20</v>
      </c>
      <c r="AD9" s="4">
        <v>1</v>
      </c>
      <c r="AE9" s="4">
        <v>5</v>
      </c>
      <c r="AF9" s="4">
        <v>400</v>
      </c>
      <c r="AG9" s="3"/>
      <c r="AH9" s="8">
        <v>4</v>
      </c>
      <c r="AI9" s="8">
        <v>4</v>
      </c>
      <c r="AJ9" s="8" t="s">
        <v>12</v>
      </c>
      <c r="AK9" s="8">
        <v>400</v>
      </c>
      <c r="AL9" s="8">
        <v>5</v>
      </c>
      <c r="AM9" s="8">
        <v>1.8181818181818099E-3</v>
      </c>
      <c r="AN9" s="8">
        <v>46.090909090909001</v>
      </c>
      <c r="AO9" s="8">
        <v>1</v>
      </c>
      <c r="AP9" s="8">
        <v>100</v>
      </c>
      <c r="AQ9" s="8">
        <v>0.03</v>
      </c>
      <c r="AR9" s="8">
        <v>2</v>
      </c>
      <c r="AS9" s="8">
        <v>1</v>
      </c>
      <c r="AT9" s="8">
        <v>0</v>
      </c>
      <c r="AU9" s="8" t="s">
        <v>8</v>
      </c>
      <c r="AV9" s="3">
        <f>IF(AU8=AU9,AV8,MAX(AV$4:AV8)+1)</f>
        <v>1</v>
      </c>
      <c r="AW9" s="3"/>
      <c r="AX9" s="4">
        <v>4</v>
      </c>
      <c r="AY9" s="4">
        <v>4</v>
      </c>
      <c r="AZ9" s="19">
        <v>3</v>
      </c>
      <c r="BA9" s="19">
        <v>-5</v>
      </c>
      <c r="BB9" s="19"/>
      <c r="BC9" s="1"/>
      <c r="BD9" s="3">
        <v>1</v>
      </c>
      <c r="BE9" s="3">
        <v>1</v>
      </c>
      <c r="BF9" s="3">
        <v>8</v>
      </c>
      <c r="BG9" s="3">
        <v>50</v>
      </c>
      <c r="BH9" s="49" t="str">
        <f t="shared" si="3"/>
        <v>8,1</v>
      </c>
      <c r="BI9" s="1"/>
      <c r="BJ9" s="13">
        <f t="shared" si="1"/>
        <v>5</v>
      </c>
      <c r="BK9" s="10">
        <f t="shared" si="5"/>
        <v>1</v>
      </c>
      <c r="BL9" s="10">
        <f t="shared" si="6"/>
        <v>5</v>
      </c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</row>
    <row r="10" spans="1:88" x14ac:dyDescent="0.25">
      <c r="A10" s="1"/>
      <c r="B10" s="18"/>
      <c r="C10" s="51">
        <f t="shared" ref="C10:Y10" si="9">IF(ISNUMBER(MATCH(C53,$BH$5:$BH$4000,0)),$BH$4,$BH$3)</f>
        <v>0</v>
      </c>
      <c r="D10" s="51">
        <f t="shared" si="9"/>
        <v>0</v>
      </c>
      <c r="E10" s="51">
        <f t="shared" si="9"/>
        <v>0</v>
      </c>
      <c r="F10" s="51">
        <f t="shared" si="9"/>
        <v>0</v>
      </c>
      <c r="G10" s="51">
        <f t="shared" si="9"/>
        <v>0</v>
      </c>
      <c r="H10" s="51">
        <f t="shared" si="9"/>
        <v>0</v>
      </c>
      <c r="I10" s="51">
        <f t="shared" si="9"/>
        <v>0</v>
      </c>
      <c r="J10" s="51">
        <f t="shared" si="9"/>
        <v>0</v>
      </c>
      <c r="K10" s="51">
        <f t="shared" si="9"/>
        <v>0</v>
      </c>
      <c r="L10" s="51">
        <f t="shared" si="9"/>
        <v>0</v>
      </c>
      <c r="M10" s="51">
        <f t="shared" si="9"/>
        <v>0</v>
      </c>
      <c r="N10" s="51">
        <f t="shared" si="9"/>
        <v>0</v>
      </c>
      <c r="O10" s="51">
        <f t="shared" si="9"/>
        <v>0</v>
      </c>
      <c r="P10" s="51">
        <f t="shared" si="9"/>
        <v>0</v>
      </c>
      <c r="Q10" s="51">
        <f t="shared" si="9"/>
        <v>0</v>
      </c>
      <c r="R10" s="51">
        <f t="shared" si="9"/>
        <v>0</v>
      </c>
      <c r="S10" s="51">
        <f t="shared" si="9"/>
        <v>0</v>
      </c>
      <c r="T10" s="51">
        <f t="shared" si="9"/>
        <v>0</v>
      </c>
      <c r="U10" s="51">
        <f t="shared" si="9"/>
        <v>0</v>
      </c>
      <c r="V10" s="51">
        <f t="shared" si="9"/>
        <v>0</v>
      </c>
      <c r="W10" s="51">
        <f t="shared" si="9"/>
        <v>0</v>
      </c>
      <c r="X10" s="51">
        <f t="shared" si="9"/>
        <v>0</v>
      </c>
      <c r="Y10" s="51">
        <f t="shared" si="9"/>
        <v>0</v>
      </c>
      <c r="Z10" s="1"/>
      <c r="AA10" s="4">
        <v>1</v>
      </c>
      <c r="AB10" s="4">
        <v>5</v>
      </c>
      <c r="AC10" s="4">
        <v>20</v>
      </c>
      <c r="AD10" s="4">
        <v>1</v>
      </c>
      <c r="AE10" s="4">
        <v>6</v>
      </c>
      <c r="AF10" s="4">
        <v>400</v>
      </c>
      <c r="AG10" s="3"/>
      <c r="AH10" s="8">
        <v>5</v>
      </c>
      <c r="AI10" s="8">
        <v>5</v>
      </c>
      <c r="AJ10" s="8" t="s">
        <v>13</v>
      </c>
      <c r="AK10" s="8">
        <v>400</v>
      </c>
      <c r="AL10" s="8">
        <v>5</v>
      </c>
      <c r="AM10" s="8">
        <v>1.8181818181818099E-3</v>
      </c>
      <c r="AN10" s="8">
        <v>45.363636363636303</v>
      </c>
      <c r="AO10" s="8">
        <v>1</v>
      </c>
      <c r="AP10" s="8">
        <v>100</v>
      </c>
      <c r="AQ10" s="8">
        <v>0.03</v>
      </c>
      <c r="AR10" s="8">
        <v>1</v>
      </c>
      <c r="AS10" s="8">
        <v>1</v>
      </c>
      <c r="AT10" s="8">
        <v>0</v>
      </c>
      <c r="AU10" s="8" t="s">
        <v>8</v>
      </c>
      <c r="AV10" s="3">
        <f>IF(AU9=AU10,AV9,MAX(AV$4:AV9)+1)</f>
        <v>1</v>
      </c>
      <c r="AW10" s="3"/>
      <c r="AX10" s="4">
        <v>5</v>
      </c>
      <c r="AY10" s="4">
        <v>5</v>
      </c>
      <c r="AZ10" s="19">
        <v>4</v>
      </c>
      <c r="BA10" s="19"/>
      <c r="BB10" s="19"/>
      <c r="BC10" s="1"/>
      <c r="BD10" s="3">
        <v>1</v>
      </c>
      <c r="BE10" s="3">
        <v>1</v>
      </c>
      <c r="BF10" s="3">
        <v>9</v>
      </c>
      <c r="BG10" s="3">
        <v>50</v>
      </c>
      <c r="BH10" s="49" t="str">
        <f t="shared" si="3"/>
        <v>9,1</v>
      </c>
      <c r="BI10" s="1"/>
      <c r="BJ10" s="13">
        <f t="shared" si="1"/>
        <v>6</v>
      </c>
      <c r="BK10" s="10">
        <f t="shared" si="5"/>
        <v>1</v>
      </c>
      <c r="BL10" s="10">
        <f t="shared" si="6"/>
        <v>6</v>
      </c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</row>
    <row r="11" spans="1:88" x14ac:dyDescent="0.25">
      <c r="A11" s="1"/>
      <c r="B11" s="18"/>
      <c r="C11" s="51">
        <f t="shared" ref="C11:Y11" si="10">IF(ISNUMBER(MATCH(C54,$BH$5:$BH$4000,0)),$BH$4,$BH$3)</f>
        <v>0</v>
      </c>
      <c r="D11" s="51">
        <f t="shared" si="10"/>
        <v>0</v>
      </c>
      <c r="E11" s="51">
        <f t="shared" si="10"/>
        <v>0</v>
      </c>
      <c r="F11" s="51">
        <f t="shared" si="10"/>
        <v>0</v>
      </c>
      <c r="G11" s="51">
        <f t="shared" si="10"/>
        <v>0</v>
      </c>
      <c r="H11" s="51">
        <f t="shared" si="10"/>
        <v>0</v>
      </c>
      <c r="I11" s="51">
        <f t="shared" si="10"/>
        <v>0</v>
      </c>
      <c r="J11" s="51">
        <f t="shared" si="10"/>
        <v>0</v>
      </c>
      <c r="K11" s="51">
        <f t="shared" si="10"/>
        <v>0</v>
      </c>
      <c r="L11" s="51">
        <f t="shared" si="10"/>
        <v>0</v>
      </c>
      <c r="M11" s="51">
        <f t="shared" si="10"/>
        <v>0</v>
      </c>
      <c r="N11" s="51">
        <f t="shared" si="10"/>
        <v>0</v>
      </c>
      <c r="O11" s="51">
        <f t="shared" si="10"/>
        <v>0</v>
      </c>
      <c r="P11" s="51">
        <f t="shared" si="10"/>
        <v>0</v>
      </c>
      <c r="Q11" s="51">
        <f t="shared" si="10"/>
        <v>0</v>
      </c>
      <c r="R11" s="51">
        <f t="shared" si="10"/>
        <v>0</v>
      </c>
      <c r="S11" s="51">
        <f t="shared" si="10"/>
        <v>0</v>
      </c>
      <c r="T11" s="51">
        <f t="shared" si="10"/>
        <v>0</v>
      </c>
      <c r="U11" s="51">
        <f t="shared" si="10"/>
        <v>0</v>
      </c>
      <c r="V11" s="51">
        <f t="shared" si="10"/>
        <v>0</v>
      </c>
      <c r="W11" s="51">
        <f t="shared" si="10"/>
        <v>0</v>
      </c>
      <c r="X11" s="51">
        <f t="shared" si="10"/>
        <v>0</v>
      </c>
      <c r="Y11" s="51">
        <f t="shared" si="10"/>
        <v>0</v>
      </c>
      <c r="Z11" s="1"/>
      <c r="AA11" s="4">
        <v>1</v>
      </c>
      <c r="AB11" s="4">
        <v>17</v>
      </c>
      <c r="AC11" s="4">
        <v>18</v>
      </c>
      <c r="AD11" s="4">
        <v>2</v>
      </c>
      <c r="AE11" s="4">
        <v>1</v>
      </c>
      <c r="AF11" s="4">
        <v>400</v>
      </c>
      <c r="AG11" s="3"/>
      <c r="AH11" s="8">
        <v>6</v>
      </c>
      <c r="AI11" s="8">
        <v>6</v>
      </c>
      <c r="AJ11" s="8" t="s">
        <v>14</v>
      </c>
      <c r="AK11" s="8">
        <v>400</v>
      </c>
      <c r="AL11" s="8">
        <v>5</v>
      </c>
      <c r="AM11" s="8">
        <v>2.1875000000000002E-3</v>
      </c>
      <c r="AN11" s="8">
        <v>44.0625</v>
      </c>
      <c r="AO11" s="8">
        <v>1</v>
      </c>
      <c r="AP11" s="8">
        <v>100</v>
      </c>
      <c r="AQ11" s="8">
        <v>0.03</v>
      </c>
      <c r="AR11" s="8">
        <v>1</v>
      </c>
      <c r="AS11" s="8">
        <v>1</v>
      </c>
      <c r="AT11" s="8">
        <v>0</v>
      </c>
      <c r="AU11" s="8" t="s">
        <v>15</v>
      </c>
      <c r="AV11" s="3">
        <f>IF(AU10=AU11,AV10,MAX(AV$4:AV10)+1)</f>
        <v>2</v>
      </c>
      <c r="AW11" s="3"/>
      <c r="AX11" s="4">
        <v>6</v>
      </c>
      <c r="AY11" s="4">
        <v>6</v>
      </c>
      <c r="AZ11" s="19">
        <v>-7</v>
      </c>
      <c r="BA11" s="19"/>
      <c r="BB11" s="19"/>
      <c r="BC11" s="1"/>
      <c r="BD11" s="3">
        <v>1</v>
      </c>
      <c r="BE11" s="3">
        <v>1</v>
      </c>
      <c r="BF11" s="3">
        <v>10</v>
      </c>
      <c r="BG11" s="3">
        <v>50</v>
      </c>
      <c r="BH11" s="49" t="str">
        <f t="shared" si="3"/>
        <v>10,1</v>
      </c>
      <c r="BI11" s="1"/>
      <c r="BJ11" s="13">
        <f t="shared" si="1"/>
        <v>7</v>
      </c>
      <c r="BK11" s="10">
        <f t="shared" si="5"/>
        <v>1</v>
      </c>
      <c r="BL11" s="10">
        <f t="shared" si="6"/>
        <v>7</v>
      </c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</row>
    <row r="12" spans="1:88" x14ac:dyDescent="0.25">
      <c r="A12" s="1"/>
      <c r="B12" s="18"/>
      <c r="C12" s="51">
        <f t="shared" ref="C12:Y12" si="11">IF(ISNUMBER(MATCH(C55,$BH$5:$BH$4000,0)),$BH$4,$BH$3)</f>
        <v>0</v>
      </c>
      <c r="D12" s="51">
        <f t="shared" si="11"/>
        <v>0</v>
      </c>
      <c r="E12" s="51">
        <f t="shared" si="11"/>
        <v>0</v>
      </c>
      <c r="F12" s="51">
        <f t="shared" si="11"/>
        <v>0</v>
      </c>
      <c r="G12" s="51">
        <f t="shared" si="11"/>
        <v>0</v>
      </c>
      <c r="H12" s="51">
        <f t="shared" si="11"/>
        <v>0</v>
      </c>
      <c r="I12" s="51">
        <f t="shared" si="11"/>
        <v>0</v>
      </c>
      <c r="J12" s="51">
        <f t="shared" si="11"/>
        <v>0</v>
      </c>
      <c r="K12" s="51">
        <f t="shared" si="11"/>
        <v>0</v>
      </c>
      <c r="L12" s="51">
        <f t="shared" si="11"/>
        <v>0</v>
      </c>
      <c r="M12" s="51">
        <f t="shared" si="11"/>
        <v>0</v>
      </c>
      <c r="N12" s="51">
        <f t="shared" si="11"/>
        <v>0</v>
      </c>
      <c r="O12" s="51">
        <f t="shared" si="11"/>
        <v>0</v>
      </c>
      <c r="P12" s="51">
        <f t="shared" si="11"/>
        <v>0</v>
      </c>
      <c r="Q12" s="51">
        <f t="shared" si="11"/>
        <v>0</v>
      </c>
      <c r="R12" s="51">
        <f t="shared" si="11"/>
        <v>0</v>
      </c>
      <c r="S12" s="51">
        <f t="shared" si="11"/>
        <v>0</v>
      </c>
      <c r="T12" s="51">
        <f t="shared" si="11"/>
        <v>0</v>
      </c>
      <c r="U12" s="51">
        <f t="shared" si="11"/>
        <v>0</v>
      </c>
      <c r="V12" s="51">
        <f t="shared" si="11"/>
        <v>0</v>
      </c>
      <c r="W12" s="51">
        <f t="shared" si="11"/>
        <v>0</v>
      </c>
      <c r="X12" s="51">
        <f t="shared" si="11"/>
        <v>0</v>
      </c>
      <c r="Y12" s="51">
        <f t="shared" si="11"/>
        <v>0</v>
      </c>
      <c r="Z12" s="1"/>
      <c r="AA12" s="4">
        <v>1</v>
      </c>
      <c r="AB12" s="4">
        <v>18</v>
      </c>
      <c r="AC12" s="4">
        <v>18</v>
      </c>
      <c r="AD12" s="4">
        <v>2</v>
      </c>
      <c r="AE12" s="4">
        <v>2</v>
      </c>
      <c r="AF12" s="4">
        <v>400</v>
      </c>
      <c r="AG12" s="3"/>
      <c r="AH12" s="8">
        <v>7</v>
      </c>
      <c r="AI12" s="8">
        <v>7</v>
      </c>
      <c r="AJ12" s="8" t="s">
        <v>16</v>
      </c>
      <c r="AK12" s="8">
        <v>400</v>
      </c>
      <c r="AL12" s="8">
        <v>5</v>
      </c>
      <c r="AM12" s="8">
        <v>2.1875000000000002E-3</v>
      </c>
      <c r="AN12" s="8">
        <v>43.1875</v>
      </c>
      <c r="AO12" s="8">
        <v>1</v>
      </c>
      <c r="AP12" s="8">
        <v>100</v>
      </c>
      <c r="AQ12" s="8">
        <v>0.03</v>
      </c>
      <c r="AR12" s="8">
        <v>2</v>
      </c>
      <c r="AS12" s="8">
        <v>1</v>
      </c>
      <c r="AT12" s="8">
        <v>0</v>
      </c>
      <c r="AU12" s="8" t="s">
        <v>15</v>
      </c>
      <c r="AV12" s="3">
        <f>IF(AU11=AU12,AV11,MAX(AV$4:AV11)+1)</f>
        <v>2</v>
      </c>
      <c r="AW12" s="3"/>
      <c r="AX12" s="4">
        <v>7</v>
      </c>
      <c r="AY12" s="4">
        <v>7</v>
      </c>
      <c r="AZ12" s="19">
        <v>6</v>
      </c>
      <c r="BA12" s="19">
        <v>-8</v>
      </c>
      <c r="BB12" s="19"/>
      <c r="BC12" s="1"/>
      <c r="BD12" s="3">
        <v>1</v>
      </c>
      <c r="BE12" s="3">
        <v>1</v>
      </c>
      <c r="BF12" s="3">
        <v>11</v>
      </c>
      <c r="BG12" s="3">
        <v>50</v>
      </c>
      <c r="BH12" s="49" t="str">
        <f t="shared" si="3"/>
        <v>11,1</v>
      </c>
      <c r="BI12" s="1"/>
      <c r="BJ12" s="13">
        <f t="shared" si="1"/>
        <v>8</v>
      </c>
      <c r="BK12" s="10">
        <f t="shared" si="5"/>
        <v>1</v>
      </c>
      <c r="BL12" s="10">
        <f t="shared" si="6"/>
        <v>8</v>
      </c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</row>
    <row r="13" spans="1:88" x14ac:dyDescent="0.25">
      <c r="A13" s="1"/>
      <c r="B13" s="18"/>
      <c r="C13" s="51">
        <f t="shared" ref="C13:Y13" si="12">IF(ISNUMBER(MATCH(C56,$BH$5:$BH$4000,0)),$BH$4,$BH$3)</f>
        <v>0</v>
      </c>
      <c r="D13" s="51">
        <f t="shared" si="12"/>
        <v>0</v>
      </c>
      <c r="E13" s="51">
        <f t="shared" si="12"/>
        <v>0</v>
      </c>
      <c r="F13" s="51">
        <f t="shared" si="12"/>
        <v>0</v>
      </c>
      <c r="G13" s="51">
        <f t="shared" si="12"/>
        <v>0</v>
      </c>
      <c r="H13" s="51">
        <f t="shared" si="12"/>
        <v>0</v>
      </c>
      <c r="I13" s="51">
        <f t="shared" si="12"/>
        <v>0</v>
      </c>
      <c r="J13" s="51">
        <f t="shared" si="12"/>
        <v>0</v>
      </c>
      <c r="K13" s="51">
        <f t="shared" si="12"/>
        <v>0</v>
      </c>
      <c r="L13" s="51">
        <f t="shared" si="12"/>
        <v>0</v>
      </c>
      <c r="M13" s="51">
        <f t="shared" si="12"/>
        <v>0</v>
      </c>
      <c r="N13" s="51">
        <f t="shared" si="12"/>
        <v>0</v>
      </c>
      <c r="O13" s="51">
        <f t="shared" si="12"/>
        <v>0</v>
      </c>
      <c r="P13" s="51">
        <f t="shared" si="12"/>
        <v>0</v>
      </c>
      <c r="Q13" s="51">
        <f t="shared" si="12"/>
        <v>0</v>
      </c>
      <c r="R13" s="51">
        <f t="shared" si="12"/>
        <v>0</v>
      </c>
      <c r="S13" s="51">
        <f t="shared" si="12"/>
        <v>0</v>
      </c>
      <c r="T13" s="51">
        <f t="shared" si="12"/>
        <v>0</v>
      </c>
      <c r="U13" s="51">
        <f t="shared" si="12"/>
        <v>0</v>
      </c>
      <c r="V13" s="51">
        <f t="shared" si="12"/>
        <v>0</v>
      </c>
      <c r="W13" s="51">
        <f t="shared" si="12"/>
        <v>0</v>
      </c>
      <c r="X13" s="51">
        <f t="shared" si="12"/>
        <v>0</v>
      </c>
      <c r="Y13" s="51">
        <f t="shared" si="12"/>
        <v>0</v>
      </c>
      <c r="Z13" s="1"/>
      <c r="AA13" s="4">
        <v>1</v>
      </c>
      <c r="AB13" s="4">
        <v>19</v>
      </c>
      <c r="AC13" s="4">
        <v>18</v>
      </c>
      <c r="AD13" s="4">
        <v>2</v>
      </c>
      <c r="AE13" s="4">
        <v>3</v>
      </c>
      <c r="AF13" s="4">
        <v>400</v>
      </c>
      <c r="AG13" s="3"/>
      <c r="AH13" s="8">
        <v>8</v>
      </c>
      <c r="AI13" s="8">
        <v>8</v>
      </c>
      <c r="AJ13" s="8" t="s">
        <v>17</v>
      </c>
      <c r="AK13" s="8">
        <v>400</v>
      </c>
      <c r="AL13" s="8">
        <v>5</v>
      </c>
      <c r="AM13" s="8">
        <v>2.1875000000000002E-3</v>
      </c>
      <c r="AN13" s="8">
        <v>42.3125</v>
      </c>
      <c r="AO13" s="8">
        <v>1</v>
      </c>
      <c r="AP13" s="8">
        <v>100</v>
      </c>
      <c r="AQ13" s="8">
        <v>0.03</v>
      </c>
      <c r="AR13" s="8">
        <v>2</v>
      </c>
      <c r="AS13" s="8">
        <v>1</v>
      </c>
      <c r="AT13" s="8">
        <v>0</v>
      </c>
      <c r="AU13" s="8" t="s">
        <v>15</v>
      </c>
      <c r="AV13" s="3">
        <f>IF(AU12=AU13,AV12,MAX(AV$4:AV12)+1)</f>
        <v>2</v>
      </c>
      <c r="AW13" s="3"/>
      <c r="AX13" s="4">
        <v>8</v>
      </c>
      <c r="AY13" s="4">
        <v>8</v>
      </c>
      <c r="AZ13" s="19">
        <v>7</v>
      </c>
      <c r="BA13" s="19">
        <v>-9</v>
      </c>
      <c r="BB13" s="19"/>
      <c r="BC13" s="1"/>
      <c r="BD13" s="3">
        <v>1</v>
      </c>
      <c r="BE13" s="3">
        <v>1</v>
      </c>
      <c r="BF13" s="3">
        <v>12</v>
      </c>
      <c r="BG13" s="3">
        <v>50.1</v>
      </c>
      <c r="BH13" s="49" t="str">
        <f t="shared" si="3"/>
        <v>12,1</v>
      </c>
      <c r="BI13" s="1"/>
      <c r="BJ13" s="13">
        <f t="shared" si="1"/>
        <v>9</v>
      </c>
      <c r="BK13" s="10">
        <f t="shared" si="5"/>
        <v>1</v>
      </c>
      <c r="BL13" s="10">
        <f t="shared" si="6"/>
        <v>9</v>
      </c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</row>
    <row r="14" spans="1:88" x14ac:dyDescent="0.25">
      <c r="A14" s="1"/>
      <c r="B14" s="18"/>
      <c r="C14" s="51">
        <f t="shared" ref="C14:Y14" si="13">IF(ISNUMBER(MATCH(C57,$BH$5:$BH$4000,0)),$BH$4,$BH$3)</f>
        <v>0</v>
      </c>
      <c r="D14" s="51">
        <f t="shared" si="13"/>
        <v>0</v>
      </c>
      <c r="E14" s="51">
        <f t="shared" si="13"/>
        <v>0</v>
      </c>
      <c r="F14" s="51">
        <f t="shared" si="13"/>
        <v>0</v>
      </c>
      <c r="G14" s="51">
        <f t="shared" si="13"/>
        <v>0</v>
      </c>
      <c r="H14" s="51">
        <f t="shared" si="13"/>
        <v>0</v>
      </c>
      <c r="I14" s="51">
        <f t="shared" si="13"/>
        <v>0</v>
      </c>
      <c r="J14" s="51">
        <f t="shared" si="13"/>
        <v>0</v>
      </c>
      <c r="K14" s="51">
        <f t="shared" si="13"/>
        <v>0</v>
      </c>
      <c r="L14" s="51">
        <f t="shared" si="13"/>
        <v>0</v>
      </c>
      <c r="M14" s="51">
        <f t="shared" si="13"/>
        <v>0</v>
      </c>
      <c r="N14" s="51">
        <f t="shared" si="13"/>
        <v>0</v>
      </c>
      <c r="O14" s="51">
        <f t="shared" si="13"/>
        <v>0</v>
      </c>
      <c r="P14" s="51">
        <f t="shared" si="13"/>
        <v>0</v>
      </c>
      <c r="Q14" s="51">
        <f t="shared" si="13"/>
        <v>0</v>
      </c>
      <c r="R14" s="51">
        <f t="shared" si="13"/>
        <v>0</v>
      </c>
      <c r="S14" s="51">
        <f t="shared" si="13"/>
        <v>0</v>
      </c>
      <c r="T14" s="51">
        <f t="shared" si="13"/>
        <v>0</v>
      </c>
      <c r="U14" s="51">
        <f t="shared" si="13"/>
        <v>0</v>
      </c>
      <c r="V14" s="51">
        <f t="shared" si="13"/>
        <v>0</v>
      </c>
      <c r="W14" s="51">
        <f t="shared" si="13"/>
        <v>0</v>
      </c>
      <c r="X14" s="51">
        <f t="shared" si="13"/>
        <v>0</v>
      </c>
      <c r="Y14" s="51">
        <f t="shared" si="13"/>
        <v>0</v>
      </c>
      <c r="Z14" s="1"/>
      <c r="AA14" s="4">
        <v>1</v>
      </c>
      <c r="AB14" s="4">
        <v>20</v>
      </c>
      <c r="AC14" s="4">
        <v>17</v>
      </c>
      <c r="AD14" s="4">
        <v>2</v>
      </c>
      <c r="AE14" s="4">
        <v>4</v>
      </c>
      <c r="AF14" s="4">
        <v>400</v>
      </c>
      <c r="AG14" s="3"/>
      <c r="AH14" s="8">
        <v>9</v>
      </c>
      <c r="AI14" s="8">
        <v>9</v>
      </c>
      <c r="AJ14" s="8" t="s">
        <v>18</v>
      </c>
      <c r="AK14" s="8">
        <v>400</v>
      </c>
      <c r="AL14" s="8">
        <v>5</v>
      </c>
      <c r="AM14" s="8">
        <v>2.1875000000000002E-3</v>
      </c>
      <c r="AN14" s="8">
        <v>41.4375</v>
      </c>
      <c r="AO14" s="8">
        <v>1</v>
      </c>
      <c r="AP14" s="8">
        <v>100</v>
      </c>
      <c r="AQ14" s="8">
        <v>0.03</v>
      </c>
      <c r="AR14" s="8">
        <v>2</v>
      </c>
      <c r="AS14" s="8">
        <v>1</v>
      </c>
      <c r="AT14" s="8">
        <v>0</v>
      </c>
      <c r="AU14" s="8" t="s">
        <v>15</v>
      </c>
      <c r="AV14" s="3">
        <f>IF(AU13=AU14,AV13,MAX(AV$4:AV13)+1)</f>
        <v>2</v>
      </c>
      <c r="AW14" s="3"/>
      <c r="AX14" s="4">
        <v>9</v>
      </c>
      <c r="AY14" s="4">
        <v>9</v>
      </c>
      <c r="AZ14" s="19">
        <v>8</v>
      </c>
      <c r="BA14" s="19">
        <v>-10</v>
      </c>
      <c r="BB14" s="19"/>
      <c r="BC14" s="1"/>
      <c r="BD14" s="3">
        <v>1</v>
      </c>
      <c r="BE14" s="3">
        <v>1</v>
      </c>
      <c r="BF14" s="3">
        <v>13</v>
      </c>
      <c r="BG14" s="3">
        <v>50.15</v>
      </c>
      <c r="BH14" s="49" t="str">
        <f t="shared" si="3"/>
        <v>13,1</v>
      </c>
      <c r="BI14" s="1"/>
      <c r="BJ14" s="13">
        <f t="shared" si="1"/>
        <v>10</v>
      </c>
      <c r="BK14" s="10">
        <f t="shared" si="5"/>
        <v>1</v>
      </c>
      <c r="BL14" s="10">
        <f t="shared" si="6"/>
        <v>10</v>
      </c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1:88" x14ac:dyDescent="0.25">
      <c r="A15" s="1"/>
      <c r="B15" s="18"/>
      <c r="C15" s="51">
        <f t="shared" ref="C15:Y15" si="14">IF(ISNUMBER(MATCH(C58,$BH$5:$BH$4000,0)),$BH$4,$BH$3)</f>
        <v>0</v>
      </c>
      <c r="D15" s="51">
        <f t="shared" si="14"/>
        <v>0</v>
      </c>
      <c r="E15" s="51">
        <f t="shared" si="14"/>
        <v>0</v>
      </c>
      <c r="F15" s="51">
        <f t="shared" si="14"/>
        <v>0</v>
      </c>
      <c r="G15" s="51">
        <f t="shared" si="14"/>
        <v>0</v>
      </c>
      <c r="H15" s="51">
        <f t="shared" si="14"/>
        <v>0</v>
      </c>
      <c r="I15" s="51">
        <f t="shared" si="14"/>
        <v>0</v>
      </c>
      <c r="J15" s="51">
        <f t="shared" si="14"/>
        <v>0</v>
      </c>
      <c r="K15" s="51">
        <f t="shared" si="14"/>
        <v>0</v>
      </c>
      <c r="L15" s="51">
        <f t="shared" si="14"/>
        <v>0</v>
      </c>
      <c r="M15" s="51">
        <f t="shared" si="14"/>
        <v>0</v>
      </c>
      <c r="N15" s="51">
        <f t="shared" si="14"/>
        <v>0</v>
      </c>
      <c r="O15" s="51">
        <f t="shared" si="14"/>
        <v>0</v>
      </c>
      <c r="P15" s="51">
        <f t="shared" si="14"/>
        <v>0</v>
      </c>
      <c r="Q15" s="51">
        <f t="shared" si="14"/>
        <v>0</v>
      </c>
      <c r="R15" s="51">
        <f t="shared" si="14"/>
        <v>0</v>
      </c>
      <c r="S15" s="51">
        <f t="shared" si="14"/>
        <v>0</v>
      </c>
      <c r="T15" s="51">
        <f t="shared" si="14"/>
        <v>0</v>
      </c>
      <c r="U15" s="51">
        <f t="shared" si="14"/>
        <v>0</v>
      </c>
      <c r="V15" s="51">
        <f t="shared" si="14"/>
        <v>0</v>
      </c>
      <c r="W15" s="51">
        <f t="shared" si="14"/>
        <v>0</v>
      </c>
      <c r="X15" s="51">
        <f t="shared" si="14"/>
        <v>0</v>
      </c>
      <c r="Y15" s="51">
        <f t="shared" si="14"/>
        <v>0</v>
      </c>
      <c r="Z15" s="1"/>
      <c r="AA15" s="4">
        <v>1</v>
      </c>
      <c r="AB15" s="4">
        <v>21</v>
      </c>
      <c r="AC15" s="4">
        <v>17</v>
      </c>
      <c r="AD15" s="4">
        <v>2</v>
      </c>
      <c r="AE15" s="4">
        <v>5</v>
      </c>
      <c r="AF15" s="4">
        <v>400</v>
      </c>
      <c r="AG15" s="3"/>
      <c r="AH15" s="8">
        <v>10</v>
      </c>
      <c r="AI15" s="8">
        <v>10</v>
      </c>
      <c r="AJ15" s="8" t="s">
        <v>19</v>
      </c>
      <c r="AK15" s="8">
        <v>400</v>
      </c>
      <c r="AL15" s="8">
        <v>5</v>
      </c>
      <c r="AM15" s="8">
        <v>2.1875000000000002E-3</v>
      </c>
      <c r="AN15" s="8">
        <v>40.5625</v>
      </c>
      <c r="AO15" s="8">
        <v>1</v>
      </c>
      <c r="AP15" s="8">
        <v>100</v>
      </c>
      <c r="AQ15" s="8">
        <v>0.03</v>
      </c>
      <c r="AR15" s="8">
        <v>2</v>
      </c>
      <c r="AS15" s="8">
        <v>1</v>
      </c>
      <c r="AT15" s="8">
        <v>0</v>
      </c>
      <c r="AU15" s="8" t="s">
        <v>15</v>
      </c>
      <c r="AV15" s="3">
        <f>IF(AU14=AU15,AV14,MAX(AV$4:AV14)+1)</f>
        <v>2</v>
      </c>
      <c r="AW15" s="3"/>
      <c r="AX15" s="4">
        <v>10</v>
      </c>
      <c r="AY15" s="4">
        <v>10</v>
      </c>
      <c r="AZ15" s="19">
        <v>9</v>
      </c>
      <c r="BA15" s="19">
        <v>-11</v>
      </c>
      <c r="BB15" s="19"/>
      <c r="BC15" s="1"/>
      <c r="BD15" s="3">
        <v>1</v>
      </c>
      <c r="BE15" s="3">
        <v>1</v>
      </c>
      <c r="BF15" s="3">
        <v>14</v>
      </c>
      <c r="BG15" s="3">
        <v>50.15</v>
      </c>
      <c r="BH15" s="49" t="str">
        <f t="shared" si="3"/>
        <v>14,1</v>
      </c>
      <c r="BI15" s="1"/>
      <c r="BJ15" s="13">
        <f t="shared" si="1"/>
        <v>11</v>
      </c>
      <c r="BK15" s="10">
        <f t="shared" si="5"/>
        <v>1</v>
      </c>
      <c r="BL15" s="10">
        <f t="shared" si="6"/>
        <v>11</v>
      </c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1:88" x14ac:dyDescent="0.25">
      <c r="A16" s="1"/>
      <c r="B16" s="18"/>
      <c r="C16" s="51">
        <f t="shared" ref="C16:Y16" si="15">IF(ISNUMBER(MATCH(C59,$BH$5:$BH$4000,0)),$BH$4,$BH$3)</f>
        <v>0</v>
      </c>
      <c r="D16" s="51">
        <f t="shared" si="15"/>
        <v>0</v>
      </c>
      <c r="E16" s="51">
        <f t="shared" si="15"/>
        <v>0</v>
      </c>
      <c r="F16" s="51">
        <f t="shared" si="15"/>
        <v>0</v>
      </c>
      <c r="G16" s="51">
        <f t="shared" si="15"/>
        <v>0</v>
      </c>
      <c r="H16" s="51">
        <f t="shared" si="15"/>
        <v>0</v>
      </c>
      <c r="I16" s="51">
        <f t="shared" si="15"/>
        <v>0</v>
      </c>
      <c r="J16" s="51">
        <f t="shared" si="15"/>
        <v>0</v>
      </c>
      <c r="K16" s="51">
        <f t="shared" si="15"/>
        <v>0</v>
      </c>
      <c r="L16" s="51">
        <f t="shared" si="15"/>
        <v>0</v>
      </c>
      <c r="M16" s="51">
        <f t="shared" si="15"/>
        <v>0</v>
      </c>
      <c r="N16" s="51">
        <f t="shared" si="15"/>
        <v>0</v>
      </c>
      <c r="O16" s="51">
        <f t="shared" si="15"/>
        <v>0</v>
      </c>
      <c r="P16" s="51">
        <f t="shared" si="15"/>
        <v>0</v>
      </c>
      <c r="Q16" s="51">
        <f t="shared" si="15"/>
        <v>0</v>
      </c>
      <c r="R16" s="51">
        <f t="shared" si="15"/>
        <v>0</v>
      </c>
      <c r="S16" s="51">
        <f t="shared" si="15"/>
        <v>0</v>
      </c>
      <c r="T16" s="51">
        <f t="shared" si="15"/>
        <v>0</v>
      </c>
      <c r="U16" s="51">
        <f t="shared" si="15"/>
        <v>0</v>
      </c>
      <c r="V16" s="51">
        <f t="shared" si="15"/>
        <v>0</v>
      </c>
      <c r="W16" s="51">
        <f t="shared" si="15"/>
        <v>0</v>
      </c>
      <c r="X16" s="51">
        <f t="shared" si="15"/>
        <v>0</v>
      </c>
      <c r="Y16" s="51">
        <f t="shared" si="15"/>
        <v>0</v>
      </c>
      <c r="Z16" s="1"/>
      <c r="AA16" s="4">
        <v>1</v>
      </c>
      <c r="AB16" s="4">
        <v>22</v>
      </c>
      <c r="AC16" s="4">
        <v>17</v>
      </c>
      <c r="AD16" s="4">
        <v>2</v>
      </c>
      <c r="AE16" s="4">
        <v>6</v>
      </c>
      <c r="AF16" s="4">
        <v>400</v>
      </c>
      <c r="AG16" s="3"/>
      <c r="AH16" s="8">
        <v>11</v>
      </c>
      <c r="AI16" s="8">
        <v>11</v>
      </c>
      <c r="AJ16" s="8" t="s">
        <v>20</v>
      </c>
      <c r="AK16" s="8">
        <v>400</v>
      </c>
      <c r="AL16" s="8">
        <v>5</v>
      </c>
      <c r="AM16" s="8">
        <v>2.1875000000000002E-3</v>
      </c>
      <c r="AN16" s="8">
        <v>39.6875</v>
      </c>
      <c r="AO16" s="8">
        <v>1</v>
      </c>
      <c r="AP16" s="8">
        <v>100</v>
      </c>
      <c r="AQ16" s="8">
        <v>0.03</v>
      </c>
      <c r="AR16" s="8">
        <v>2</v>
      </c>
      <c r="AS16" s="8">
        <v>1</v>
      </c>
      <c r="AT16" s="8">
        <v>0</v>
      </c>
      <c r="AU16" s="8" t="s">
        <v>15</v>
      </c>
      <c r="AV16" s="3">
        <f>IF(AU15=AU16,AV15,MAX(AV$4:AV15)+1)</f>
        <v>2</v>
      </c>
      <c r="AW16" s="3"/>
      <c r="AX16" s="4">
        <v>11</v>
      </c>
      <c r="AY16" s="4">
        <v>11</v>
      </c>
      <c r="AZ16" s="19">
        <v>10</v>
      </c>
      <c r="BA16" s="19">
        <v>-12</v>
      </c>
      <c r="BB16" s="19"/>
      <c r="BC16" s="1"/>
      <c r="BD16" s="3">
        <v>1</v>
      </c>
      <c r="BE16" s="3">
        <v>1</v>
      </c>
      <c r="BF16" s="3">
        <v>15</v>
      </c>
      <c r="BG16" s="3">
        <v>50.1</v>
      </c>
      <c r="BH16" s="49" t="str">
        <f t="shared" si="3"/>
        <v>15,1</v>
      </c>
      <c r="BI16" s="1"/>
      <c r="BJ16" s="13">
        <f t="shared" si="1"/>
        <v>12</v>
      </c>
      <c r="BK16" s="10">
        <f t="shared" si="5"/>
        <v>1</v>
      </c>
      <c r="BL16" s="10">
        <f t="shared" si="6"/>
        <v>12</v>
      </c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1:88" x14ac:dyDescent="0.25">
      <c r="A17" s="1"/>
      <c r="B17" s="18"/>
      <c r="C17" s="51">
        <f t="shared" ref="C17:Y17" si="16">IF(ISNUMBER(MATCH(C60,$BH$5:$BH$4000,0)),$BH$4,$BH$3)</f>
        <v>0</v>
      </c>
      <c r="D17" s="51">
        <f t="shared" si="16"/>
        <v>0</v>
      </c>
      <c r="E17" s="51">
        <f t="shared" si="16"/>
        <v>0</v>
      </c>
      <c r="F17" s="51">
        <f t="shared" si="16"/>
        <v>0</v>
      </c>
      <c r="G17" s="51">
        <f t="shared" si="16"/>
        <v>0</v>
      </c>
      <c r="H17" s="51">
        <f t="shared" si="16"/>
        <v>0</v>
      </c>
      <c r="I17" s="51">
        <f t="shared" si="16"/>
        <v>0</v>
      </c>
      <c r="J17" s="51">
        <f t="shared" si="16"/>
        <v>0</v>
      </c>
      <c r="K17" s="51">
        <f t="shared" si="16"/>
        <v>0</v>
      </c>
      <c r="L17" s="51">
        <f t="shared" si="16"/>
        <v>0</v>
      </c>
      <c r="M17" s="51">
        <f t="shared" si="16"/>
        <v>0</v>
      </c>
      <c r="N17" s="51">
        <f t="shared" si="16"/>
        <v>0</v>
      </c>
      <c r="O17" s="51">
        <f t="shared" si="16"/>
        <v>0</v>
      </c>
      <c r="P17" s="51">
        <f t="shared" si="16"/>
        <v>0</v>
      </c>
      <c r="Q17" s="51">
        <f t="shared" si="16"/>
        <v>0</v>
      </c>
      <c r="R17" s="51">
        <f t="shared" si="16"/>
        <v>0</v>
      </c>
      <c r="S17" s="51">
        <f t="shared" si="16"/>
        <v>0</v>
      </c>
      <c r="T17" s="51">
        <f t="shared" si="16"/>
        <v>0</v>
      </c>
      <c r="U17" s="51">
        <f t="shared" si="16"/>
        <v>0</v>
      </c>
      <c r="V17" s="51">
        <f t="shared" si="16"/>
        <v>0</v>
      </c>
      <c r="W17" s="51">
        <f t="shared" si="16"/>
        <v>0</v>
      </c>
      <c r="X17" s="51">
        <f t="shared" si="16"/>
        <v>0</v>
      </c>
      <c r="Y17" s="51">
        <f t="shared" si="16"/>
        <v>0</v>
      </c>
      <c r="Z17" s="1"/>
      <c r="AA17" s="4">
        <v>1</v>
      </c>
      <c r="AB17" s="4">
        <v>23</v>
      </c>
      <c r="AC17" s="4">
        <v>16</v>
      </c>
      <c r="AD17" s="4">
        <v>2</v>
      </c>
      <c r="AE17" s="4">
        <v>7</v>
      </c>
      <c r="AF17" s="4">
        <v>400</v>
      </c>
      <c r="AG17" s="3"/>
      <c r="AH17" s="8">
        <v>12</v>
      </c>
      <c r="AI17" s="8">
        <v>12</v>
      </c>
      <c r="AJ17" s="8" t="s">
        <v>21</v>
      </c>
      <c r="AK17" s="8">
        <v>400</v>
      </c>
      <c r="AL17" s="8">
        <v>5</v>
      </c>
      <c r="AM17" s="8">
        <v>2.1875000000000002E-3</v>
      </c>
      <c r="AN17" s="8">
        <v>38.8125</v>
      </c>
      <c r="AO17" s="8">
        <v>1</v>
      </c>
      <c r="AP17" s="8">
        <v>100</v>
      </c>
      <c r="AQ17" s="8">
        <v>0.03</v>
      </c>
      <c r="AR17" s="8">
        <v>2</v>
      </c>
      <c r="AS17" s="8">
        <v>1</v>
      </c>
      <c r="AT17" s="8">
        <v>0</v>
      </c>
      <c r="AU17" s="8" t="s">
        <v>15</v>
      </c>
      <c r="AV17" s="3">
        <f>IF(AU16=AU17,AV16,MAX(AV$4:AV16)+1)</f>
        <v>2</v>
      </c>
      <c r="AW17" s="3"/>
      <c r="AX17" s="4">
        <v>12</v>
      </c>
      <c r="AY17" s="4">
        <v>12</v>
      </c>
      <c r="AZ17" s="19">
        <v>11</v>
      </c>
      <c r="BA17" s="19">
        <v>-13</v>
      </c>
      <c r="BB17" s="19"/>
      <c r="BC17" s="1"/>
      <c r="BD17" s="3">
        <v>1</v>
      </c>
      <c r="BE17" s="3">
        <v>1</v>
      </c>
      <c r="BF17" s="3">
        <v>16</v>
      </c>
      <c r="BG17" s="3">
        <v>50</v>
      </c>
      <c r="BH17" s="49" t="str">
        <f t="shared" si="3"/>
        <v>16,1</v>
      </c>
      <c r="BI17" s="1"/>
      <c r="BJ17" s="13">
        <f t="shared" si="1"/>
        <v>13</v>
      </c>
      <c r="BK17" s="10">
        <f t="shared" si="5"/>
        <v>1</v>
      </c>
      <c r="BL17" s="10">
        <f t="shared" si="6"/>
        <v>13</v>
      </c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1:88" x14ac:dyDescent="0.25">
      <c r="A18" s="1"/>
      <c r="B18" s="18"/>
      <c r="C18" s="51">
        <f t="shared" ref="C18:Y18" si="17">IF(ISNUMBER(MATCH(C61,$BH$5:$BH$4000,0)),$BH$4,$BH$3)</f>
        <v>0</v>
      </c>
      <c r="D18" s="51">
        <f t="shared" si="17"/>
        <v>0</v>
      </c>
      <c r="E18" s="51">
        <f t="shared" si="17"/>
        <v>0</v>
      </c>
      <c r="F18" s="51">
        <f t="shared" si="17"/>
        <v>0</v>
      </c>
      <c r="G18" s="51">
        <f t="shared" si="17"/>
        <v>0</v>
      </c>
      <c r="H18" s="51">
        <f t="shared" si="17"/>
        <v>0</v>
      </c>
      <c r="I18" s="51">
        <f t="shared" si="17"/>
        <v>0</v>
      </c>
      <c r="J18" s="51">
        <f t="shared" si="17"/>
        <v>0</v>
      </c>
      <c r="K18" s="51">
        <f t="shared" si="17"/>
        <v>0</v>
      </c>
      <c r="L18" s="51">
        <f t="shared" si="17"/>
        <v>0</v>
      </c>
      <c r="M18" s="51">
        <f t="shared" si="17"/>
        <v>0</v>
      </c>
      <c r="N18" s="51">
        <f t="shared" si="17"/>
        <v>0</v>
      </c>
      <c r="O18" s="51">
        <f t="shared" si="17"/>
        <v>0</v>
      </c>
      <c r="P18" s="51">
        <f t="shared" si="17"/>
        <v>0</v>
      </c>
      <c r="Q18" s="51">
        <f t="shared" si="17"/>
        <v>0</v>
      </c>
      <c r="R18" s="51">
        <f t="shared" si="17"/>
        <v>0</v>
      </c>
      <c r="S18" s="51">
        <f t="shared" si="17"/>
        <v>0</v>
      </c>
      <c r="T18" s="51">
        <f t="shared" si="17"/>
        <v>0</v>
      </c>
      <c r="U18" s="51">
        <f t="shared" si="17"/>
        <v>0</v>
      </c>
      <c r="V18" s="51">
        <f t="shared" si="17"/>
        <v>0</v>
      </c>
      <c r="W18" s="51">
        <f t="shared" si="17"/>
        <v>0</v>
      </c>
      <c r="X18" s="51">
        <f t="shared" si="17"/>
        <v>0</v>
      </c>
      <c r="Y18" s="51">
        <f t="shared" si="17"/>
        <v>0</v>
      </c>
      <c r="Z18" s="1"/>
      <c r="AA18" s="4">
        <v>1</v>
      </c>
      <c r="AB18" s="4">
        <v>24</v>
      </c>
      <c r="AC18" s="4">
        <v>16</v>
      </c>
      <c r="AD18" s="4">
        <v>2</v>
      </c>
      <c r="AE18" s="4">
        <v>8</v>
      </c>
      <c r="AF18" s="4">
        <v>400</v>
      </c>
      <c r="AG18" s="3"/>
      <c r="AH18" s="8">
        <v>13</v>
      </c>
      <c r="AI18" s="8">
        <v>13</v>
      </c>
      <c r="AJ18" s="8" t="s">
        <v>22</v>
      </c>
      <c r="AK18" s="8">
        <v>400</v>
      </c>
      <c r="AL18" s="8">
        <v>5</v>
      </c>
      <c r="AM18" s="8">
        <v>2.1875000000000002E-3</v>
      </c>
      <c r="AN18" s="8">
        <v>37.9375</v>
      </c>
      <c r="AO18" s="8">
        <v>1</v>
      </c>
      <c r="AP18" s="8">
        <v>100</v>
      </c>
      <c r="AQ18" s="8">
        <v>0.03</v>
      </c>
      <c r="AR18" s="8">
        <v>2</v>
      </c>
      <c r="AS18" s="8">
        <v>1</v>
      </c>
      <c r="AT18" s="8">
        <v>0</v>
      </c>
      <c r="AU18" s="8" t="s">
        <v>15</v>
      </c>
      <c r="AV18" s="3">
        <f>IF(AU17=AU18,AV17,MAX(AV$4:AV17)+1)</f>
        <v>2</v>
      </c>
      <c r="AW18" s="3"/>
      <c r="AX18" s="4">
        <v>13</v>
      </c>
      <c r="AY18" s="4">
        <v>13</v>
      </c>
      <c r="AZ18" s="19">
        <v>12</v>
      </c>
      <c r="BA18" s="19">
        <v>-14</v>
      </c>
      <c r="BB18" s="19"/>
      <c r="BC18" s="1"/>
      <c r="BD18" s="3">
        <v>1</v>
      </c>
      <c r="BE18" s="3">
        <v>1</v>
      </c>
      <c r="BF18" s="3">
        <v>17</v>
      </c>
      <c r="BG18" s="3">
        <v>50</v>
      </c>
      <c r="BH18" s="49" t="str">
        <f t="shared" si="3"/>
        <v>17,1</v>
      </c>
      <c r="BI18" s="1"/>
      <c r="BJ18" s="13">
        <f t="shared" si="1"/>
        <v>14</v>
      </c>
      <c r="BK18" s="10">
        <f t="shared" si="5"/>
        <v>1</v>
      </c>
      <c r="BL18" s="10">
        <f t="shared" si="6"/>
        <v>14</v>
      </c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</row>
    <row r="19" spans="1:88" x14ac:dyDescent="0.25">
      <c r="A19" s="1"/>
      <c r="B19" s="18"/>
      <c r="C19" s="51">
        <f t="shared" ref="C19:Y19" si="18">IF(ISNUMBER(MATCH(C62,$BH$5:$BH$4000,0)),$BH$4,$BH$3)</f>
        <v>0</v>
      </c>
      <c r="D19" s="51">
        <f t="shared" si="18"/>
        <v>0</v>
      </c>
      <c r="E19" s="51">
        <f t="shared" si="18"/>
        <v>0</v>
      </c>
      <c r="F19" s="51">
        <f t="shared" si="18"/>
        <v>0</v>
      </c>
      <c r="G19" s="51">
        <f t="shared" si="18"/>
        <v>0</v>
      </c>
      <c r="H19" s="51">
        <f t="shared" si="18"/>
        <v>0</v>
      </c>
      <c r="I19" s="51">
        <f t="shared" si="18"/>
        <v>0</v>
      </c>
      <c r="J19" s="51">
        <f t="shared" si="18"/>
        <v>0</v>
      </c>
      <c r="K19" s="51">
        <f t="shared" si="18"/>
        <v>0</v>
      </c>
      <c r="L19" s="51">
        <f t="shared" si="18"/>
        <v>0</v>
      </c>
      <c r="M19" s="51">
        <f t="shared" si="18"/>
        <v>0</v>
      </c>
      <c r="N19" s="51">
        <f t="shared" si="18"/>
        <v>0</v>
      </c>
      <c r="O19" s="51">
        <f t="shared" si="18"/>
        <v>0</v>
      </c>
      <c r="P19" s="51">
        <f t="shared" si="18"/>
        <v>0</v>
      </c>
      <c r="Q19" s="51">
        <f t="shared" si="18"/>
        <v>0</v>
      </c>
      <c r="R19" s="51">
        <f t="shared" si="18"/>
        <v>0</v>
      </c>
      <c r="S19" s="51">
        <f t="shared" si="18"/>
        <v>0</v>
      </c>
      <c r="T19" s="51">
        <f t="shared" si="18"/>
        <v>0</v>
      </c>
      <c r="U19" s="51">
        <f t="shared" si="18"/>
        <v>0</v>
      </c>
      <c r="V19" s="51">
        <f t="shared" si="18"/>
        <v>0</v>
      </c>
      <c r="W19" s="51">
        <f t="shared" si="18"/>
        <v>0</v>
      </c>
      <c r="X19" s="51">
        <f t="shared" si="18"/>
        <v>0</v>
      </c>
      <c r="Y19" s="51">
        <f t="shared" si="18"/>
        <v>0</v>
      </c>
      <c r="Z19" s="1"/>
      <c r="AA19" s="4">
        <v>1</v>
      </c>
      <c r="AB19" s="4">
        <v>25</v>
      </c>
      <c r="AC19" s="4">
        <v>16</v>
      </c>
      <c r="AD19" s="4">
        <v>2</v>
      </c>
      <c r="AE19" s="4">
        <v>9</v>
      </c>
      <c r="AF19" s="4">
        <v>400</v>
      </c>
      <c r="AG19" s="3"/>
      <c r="AH19" s="8">
        <v>14</v>
      </c>
      <c r="AI19" s="8">
        <v>14</v>
      </c>
      <c r="AJ19" s="8" t="s">
        <v>23</v>
      </c>
      <c r="AK19" s="8">
        <v>400</v>
      </c>
      <c r="AL19" s="8">
        <v>5</v>
      </c>
      <c r="AM19" s="8">
        <v>2.1875000000000002E-3</v>
      </c>
      <c r="AN19" s="8">
        <v>37.0625</v>
      </c>
      <c r="AO19" s="8">
        <v>1</v>
      </c>
      <c r="AP19" s="8">
        <v>100</v>
      </c>
      <c r="AQ19" s="8">
        <v>0.03</v>
      </c>
      <c r="AR19" s="8">
        <v>2</v>
      </c>
      <c r="AS19" s="8">
        <v>1</v>
      </c>
      <c r="AT19" s="8">
        <v>0</v>
      </c>
      <c r="AU19" s="8" t="s">
        <v>15</v>
      </c>
      <c r="AV19" s="3">
        <f>IF(AU18=AU19,AV18,MAX(AV$4:AV18)+1)</f>
        <v>2</v>
      </c>
      <c r="AW19" s="3"/>
      <c r="AX19" s="4">
        <v>14</v>
      </c>
      <c r="AY19" s="4">
        <v>14</v>
      </c>
      <c r="AZ19" s="19">
        <v>13</v>
      </c>
      <c r="BA19" s="19">
        <v>-15</v>
      </c>
      <c r="BB19" s="19"/>
      <c r="BC19" s="1"/>
      <c r="BD19" s="3">
        <v>1</v>
      </c>
      <c r="BE19" s="3">
        <v>1</v>
      </c>
      <c r="BF19" s="3">
        <v>18</v>
      </c>
      <c r="BG19" s="3">
        <v>50</v>
      </c>
      <c r="BH19" s="49" t="str">
        <f t="shared" si="3"/>
        <v>18,1</v>
      </c>
      <c r="BI19" s="1"/>
      <c r="BJ19" s="13">
        <f t="shared" si="1"/>
        <v>15</v>
      </c>
      <c r="BK19" s="10">
        <f t="shared" si="5"/>
        <v>1</v>
      </c>
      <c r="BL19" s="10">
        <f t="shared" si="6"/>
        <v>15</v>
      </c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</row>
    <row r="20" spans="1:88" x14ac:dyDescent="0.25">
      <c r="A20" s="1"/>
      <c r="B20" s="18"/>
      <c r="C20" s="51">
        <f t="shared" ref="C20:Y20" si="19">IF(ISNUMBER(MATCH(C63,$BH$5:$BH$4000,0)),$BH$4,$BH$3)</f>
        <v>0</v>
      </c>
      <c r="D20" s="51">
        <f t="shared" si="19"/>
        <v>0</v>
      </c>
      <c r="E20" s="51">
        <f t="shared" si="19"/>
        <v>0</v>
      </c>
      <c r="F20" s="51">
        <f t="shared" si="19"/>
        <v>0</v>
      </c>
      <c r="G20" s="51">
        <f t="shared" si="19"/>
        <v>0</v>
      </c>
      <c r="H20" s="51">
        <f t="shared" si="19"/>
        <v>0</v>
      </c>
      <c r="I20" s="51">
        <f t="shared" si="19"/>
        <v>0</v>
      </c>
      <c r="J20" s="51">
        <f t="shared" si="19"/>
        <v>0</v>
      </c>
      <c r="K20" s="51">
        <f t="shared" si="19"/>
        <v>0</v>
      </c>
      <c r="L20" s="51">
        <f t="shared" si="19"/>
        <v>0</v>
      </c>
      <c r="M20" s="51">
        <f t="shared" si="19"/>
        <v>0</v>
      </c>
      <c r="N20" s="51">
        <f t="shared" si="19"/>
        <v>0</v>
      </c>
      <c r="O20" s="51">
        <f t="shared" si="19"/>
        <v>0</v>
      </c>
      <c r="P20" s="51">
        <f t="shared" si="19"/>
        <v>0</v>
      </c>
      <c r="Q20" s="51">
        <f t="shared" si="19"/>
        <v>0</v>
      </c>
      <c r="R20" s="51">
        <f t="shared" si="19"/>
        <v>0</v>
      </c>
      <c r="S20" s="51">
        <f t="shared" si="19"/>
        <v>0</v>
      </c>
      <c r="T20" s="51">
        <f t="shared" si="19"/>
        <v>0</v>
      </c>
      <c r="U20" s="51">
        <f t="shared" si="19"/>
        <v>0</v>
      </c>
      <c r="V20" s="51">
        <f t="shared" si="19"/>
        <v>0</v>
      </c>
      <c r="W20" s="51">
        <f t="shared" si="19"/>
        <v>0</v>
      </c>
      <c r="X20" s="51">
        <f t="shared" si="19"/>
        <v>0</v>
      </c>
      <c r="Y20" s="51">
        <f t="shared" si="19"/>
        <v>0</v>
      </c>
      <c r="Z20" s="1"/>
      <c r="AA20" s="4">
        <v>1</v>
      </c>
      <c r="AB20" s="4">
        <v>26</v>
      </c>
      <c r="AC20" s="4">
        <v>16</v>
      </c>
      <c r="AD20" s="4">
        <v>2</v>
      </c>
      <c r="AE20" s="4">
        <v>10</v>
      </c>
      <c r="AF20" s="4">
        <v>400</v>
      </c>
      <c r="AG20" s="3"/>
      <c r="AH20" s="8">
        <v>15</v>
      </c>
      <c r="AI20" s="8">
        <v>15</v>
      </c>
      <c r="AJ20" s="8" t="s">
        <v>24</v>
      </c>
      <c r="AK20" s="8">
        <v>400</v>
      </c>
      <c r="AL20" s="8">
        <v>5</v>
      </c>
      <c r="AM20" s="8">
        <v>2.1875000000000002E-3</v>
      </c>
      <c r="AN20" s="8">
        <v>36.1875</v>
      </c>
      <c r="AO20" s="8">
        <v>1</v>
      </c>
      <c r="AP20" s="8">
        <v>100</v>
      </c>
      <c r="AQ20" s="8">
        <v>0.03</v>
      </c>
      <c r="AR20" s="8">
        <v>2</v>
      </c>
      <c r="AS20" s="8">
        <v>1</v>
      </c>
      <c r="AT20" s="8">
        <v>0</v>
      </c>
      <c r="AU20" s="8" t="s">
        <v>15</v>
      </c>
      <c r="AV20" s="3">
        <f>IF(AU19=AU20,AV19,MAX(AV$4:AV19)+1)</f>
        <v>2</v>
      </c>
      <c r="AW20" s="3"/>
      <c r="AX20" s="4">
        <v>15</v>
      </c>
      <c r="AY20" s="4">
        <v>15</v>
      </c>
      <c r="AZ20" s="19">
        <v>14</v>
      </c>
      <c r="BA20" s="19">
        <v>-16</v>
      </c>
      <c r="BB20" s="19"/>
      <c r="BC20" s="1"/>
      <c r="BD20" s="3">
        <v>1</v>
      </c>
      <c r="BE20" s="3">
        <v>1</v>
      </c>
      <c r="BF20" s="3">
        <v>19</v>
      </c>
      <c r="BG20" s="3">
        <v>50</v>
      </c>
      <c r="BH20" s="49" t="str">
        <f t="shared" si="3"/>
        <v>19,1</v>
      </c>
      <c r="BI20" s="1"/>
      <c r="BJ20" s="13">
        <f t="shared" si="1"/>
        <v>16</v>
      </c>
      <c r="BK20" s="10">
        <f t="shared" si="5"/>
        <v>1</v>
      </c>
      <c r="BL20" s="10">
        <f t="shared" si="6"/>
        <v>16</v>
      </c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</row>
    <row r="21" spans="1:88" x14ac:dyDescent="0.25">
      <c r="A21" s="1"/>
      <c r="B21" s="18"/>
      <c r="C21" s="51">
        <f t="shared" ref="C21:Y21" si="20">IF(ISNUMBER(MATCH(C64,$BH$5:$BH$4000,0)),$BH$4,$BH$3)</f>
        <v>0</v>
      </c>
      <c r="D21" s="51">
        <f t="shared" si="20"/>
        <v>0</v>
      </c>
      <c r="E21" s="51">
        <f t="shared" si="20"/>
        <v>0</v>
      </c>
      <c r="F21" s="51">
        <f t="shared" si="20"/>
        <v>0</v>
      </c>
      <c r="G21" s="51">
        <f t="shared" si="20"/>
        <v>0</v>
      </c>
      <c r="H21" s="51">
        <f t="shared" si="20"/>
        <v>0</v>
      </c>
      <c r="I21" s="51">
        <f t="shared" si="20"/>
        <v>0</v>
      </c>
      <c r="J21" s="51">
        <f t="shared" si="20"/>
        <v>0</v>
      </c>
      <c r="K21" s="51">
        <f t="shared" si="20"/>
        <v>0</v>
      </c>
      <c r="L21" s="51">
        <f t="shared" si="20"/>
        <v>0</v>
      </c>
      <c r="M21" s="51">
        <f t="shared" si="20"/>
        <v>0</v>
      </c>
      <c r="N21" s="51">
        <f t="shared" si="20"/>
        <v>0</v>
      </c>
      <c r="O21" s="51">
        <f t="shared" si="20"/>
        <v>0</v>
      </c>
      <c r="P21" s="51">
        <f t="shared" si="20"/>
        <v>0</v>
      </c>
      <c r="Q21" s="51">
        <f t="shared" si="20"/>
        <v>0</v>
      </c>
      <c r="R21" s="51">
        <f t="shared" si="20"/>
        <v>0</v>
      </c>
      <c r="S21" s="51">
        <f t="shared" si="20"/>
        <v>0</v>
      </c>
      <c r="T21" s="51">
        <f t="shared" si="20"/>
        <v>0</v>
      </c>
      <c r="U21" s="51">
        <f t="shared" si="20"/>
        <v>0</v>
      </c>
      <c r="V21" s="51">
        <f t="shared" si="20"/>
        <v>0</v>
      </c>
      <c r="W21" s="51">
        <f t="shared" si="20"/>
        <v>0</v>
      </c>
      <c r="X21" s="51">
        <f t="shared" si="20"/>
        <v>0</v>
      </c>
      <c r="Y21" s="51">
        <f t="shared" si="20"/>
        <v>0</v>
      </c>
      <c r="Z21" s="1"/>
      <c r="AA21" s="4">
        <v>1</v>
      </c>
      <c r="AB21" s="4">
        <v>27</v>
      </c>
      <c r="AC21" s="4">
        <v>16</v>
      </c>
      <c r="AD21" s="4">
        <v>2</v>
      </c>
      <c r="AE21" s="4">
        <v>11</v>
      </c>
      <c r="AF21" s="4">
        <v>400</v>
      </c>
      <c r="AG21" s="3"/>
      <c r="AH21" s="8">
        <v>16</v>
      </c>
      <c r="AI21" s="8">
        <v>16</v>
      </c>
      <c r="AJ21" s="8" t="s">
        <v>25</v>
      </c>
      <c r="AK21" s="8">
        <v>400</v>
      </c>
      <c r="AL21" s="8">
        <v>5</v>
      </c>
      <c r="AM21" s="8">
        <v>2.1875000000000002E-3</v>
      </c>
      <c r="AN21" s="8">
        <v>35.3125</v>
      </c>
      <c r="AO21" s="8">
        <v>1</v>
      </c>
      <c r="AP21" s="8">
        <v>100</v>
      </c>
      <c r="AQ21" s="8">
        <v>0.03</v>
      </c>
      <c r="AR21" s="8">
        <v>2</v>
      </c>
      <c r="AS21" s="8">
        <v>1</v>
      </c>
      <c r="AT21" s="8">
        <v>0</v>
      </c>
      <c r="AU21" s="8" t="s">
        <v>15</v>
      </c>
      <c r="AV21" s="3">
        <f>IF(AU20=AU21,AV20,MAX(AV$4:AV20)+1)</f>
        <v>2</v>
      </c>
      <c r="AW21" s="3"/>
      <c r="AX21" s="4">
        <v>16</v>
      </c>
      <c r="AY21" s="4">
        <v>16</v>
      </c>
      <c r="AZ21" s="19">
        <v>15</v>
      </c>
      <c r="BA21" s="19">
        <v>-17</v>
      </c>
      <c r="BB21" s="19"/>
      <c r="BC21" s="1"/>
      <c r="BD21" s="3">
        <v>1</v>
      </c>
      <c r="BE21" s="3">
        <v>1</v>
      </c>
      <c r="BF21" s="3">
        <v>20</v>
      </c>
      <c r="BG21" s="3">
        <v>50</v>
      </c>
      <c r="BH21" s="49" t="str">
        <f t="shared" si="3"/>
        <v>20,1</v>
      </c>
      <c r="BI21" s="1"/>
      <c r="BJ21" s="13">
        <f t="shared" si="1"/>
        <v>17</v>
      </c>
      <c r="BK21" s="10">
        <f t="shared" si="5"/>
        <v>1</v>
      </c>
      <c r="BL21" s="10">
        <f t="shared" si="6"/>
        <v>17</v>
      </c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</row>
    <row r="22" spans="1:88" x14ac:dyDescent="0.25">
      <c r="A22" s="1"/>
      <c r="B22" s="18"/>
      <c r="C22" s="51">
        <f t="shared" ref="C22:Y22" si="21">IF(ISNUMBER(MATCH(C65,$BH$5:$BH$4000,0)),$BH$4,$BH$3)</f>
        <v>0</v>
      </c>
      <c r="D22" s="51">
        <f t="shared" si="21"/>
        <v>0</v>
      </c>
      <c r="E22" s="51">
        <f t="shared" si="21"/>
        <v>0</v>
      </c>
      <c r="F22" s="51">
        <f t="shared" si="21"/>
        <v>0</v>
      </c>
      <c r="G22" s="51">
        <f t="shared" si="21"/>
        <v>0</v>
      </c>
      <c r="H22" s="51">
        <f t="shared" si="21"/>
        <v>0</v>
      </c>
      <c r="I22" s="51">
        <f t="shared" si="21"/>
        <v>0</v>
      </c>
      <c r="J22" s="51">
        <f t="shared" si="21"/>
        <v>0</v>
      </c>
      <c r="K22" s="51">
        <f t="shared" si="21"/>
        <v>0</v>
      </c>
      <c r="L22" s="51">
        <f t="shared" si="21"/>
        <v>0</v>
      </c>
      <c r="M22" s="51">
        <f t="shared" si="21"/>
        <v>0</v>
      </c>
      <c r="N22" s="51">
        <f t="shared" si="21"/>
        <v>0</v>
      </c>
      <c r="O22" s="51">
        <f t="shared" si="21"/>
        <v>0</v>
      </c>
      <c r="P22" s="51">
        <f t="shared" si="21"/>
        <v>0</v>
      </c>
      <c r="Q22" s="51">
        <f t="shared" si="21"/>
        <v>0</v>
      </c>
      <c r="R22" s="51">
        <f t="shared" si="21"/>
        <v>0</v>
      </c>
      <c r="S22" s="51">
        <f t="shared" si="21"/>
        <v>0</v>
      </c>
      <c r="T22" s="51">
        <f t="shared" si="21"/>
        <v>0</v>
      </c>
      <c r="U22" s="51">
        <f t="shared" si="21"/>
        <v>0</v>
      </c>
      <c r="V22" s="51">
        <f t="shared" si="21"/>
        <v>0</v>
      </c>
      <c r="W22" s="51">
        <f t="shared" si="21"/>
        <v>0</v>
      </c>
      <c r="X22" s="51">
        <f t="shared" si="21"/>
        <v>0</v>
      </c>
      <c r="Y22" s="51">
        <f t="shared" si="21"/>
        <v>0</v>
      </c>
      <c r="Z22" s="1"/>
      <c r="AA22" s="4">
        <v>1</v>
      </c>
      <c r="AB22" s="4">
        <v>28</v>
      </c>
      <c r="AC22" s="4">
        <v>15</v>
      </c>
      <c r="AD22" s="4">
        <v>2</v>
      </c>
      <c r="AE22" s="4">
        <v>12</v>
      </c>
      <c r="AF22" s="4">
        <v>400</v>
      </c>
      <c r="AG22" s="3"/>
      <c r="AH22" s="8">
        <v>17</v>
      </c>
      <c r="AI22" s="8">
        <v>17</v>
      </c>
      <c r="AJ22" s="8" t="s">
        <v>26</v>
      </c>
      <c r="AK22" s="8">
        <v>400</v>
      </c>
      <c r="AL22" s="8">
        <v>5</v>
      </c>
      <c r="AM22" s="8">
        <v>2.1875000000000002E-3</v>
      </c>
      <c r="AN22" s="8">
        <v>34.4375</v>
      </c>
      <c r="AO22" s="8">
        <v>1</v>
      </c>
      <c r="AP22" s="8">
        <v>100</v>
      </c>
      <c r="AQ22" s="8">
        <v>0.03</v>
      </c>
      <c r="AR22" s="8">
        <v>2</v>
      </c>
      <c r="AS22" s="8">
        <v>1</v>
      </c>
      <c r="AT22" s="8">
        <v>0</v>
      </c>
      <c r="AU22" s="8" t="s">
        <v>15</v>
      </c>
      <c r="AV22" s="3">
        <f>IF(AU21=AU22,AV21,MAX(AV$4:AV21)+1)</f>
        <v>2</v>
      </c>
      <c r="AW22" s="3"/>
      <c r="AX22" s="4">
        <v>17</v>
      </c>
      <c r="AY22" s="4">
        <v>17</v>
      </c>
      <c r="AZ22" s="19">
        <v>16</v>
      </c>
      <c r="BA22" s="19">
        <v>-31</v>
      </c>
      <c r="BB22" s="19"/>
      <c r="BC22" s="1"/>
      <c r="BD22" s="3">
        <v>1</v>
      </c>
      <c r="BE22" s="3">
        <v>1</v>
      </c>
      <c r="BF22" s="3">
        <v>21</v>
      </c>
      <c r="BG22" s="3">
        <v>50</v>
      </c>
      <c r="BH22" s="49" t="str">
        <f t="shared" si="3"/>
        <v>21,1</v>
      </c>
      <c r="BI22" s="1"/>
      <c r="BJ22" s="13">
        <f t="shared" si="1"/>
        <v>18</v>
      </c>
      <c r="BK22" s="10">
        <f t="shared" si="5"/>
        <v>1</v>
      </c>
      <c r="BL22" s="10">
        <f t="shared" si="6"/>
        <v>18</v>
      </c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</row>
    <row r="23" spans="1:88" x14ac:dyDescent="0.25">
      <c r="A23" s="1"/>
      <c r="B23" s="18"/>
      <c r="C23" s="51">
        <f t="shared" ref="C23:Y23" si="22">IF(ISNUMBER(MATCH(C66,$BH$5:$BH$4000,0)),$BH$4,$BH$3)</f>
        <v>0</v>
      </c>
      <c r="D23" s="51">
        <f t="shared" si="22"/>
        <v>0</v>
      </c>
      <c r="E23" s="51">
        <f t="shared" si="22"/>
        <v>0</v>
      </c>
      <c r="F23" s="51">
        <f t="shared" si="22"/>
        <v>0</v>
      </c>
      <c r="G23" s="51">
        <f t="shared" si="22"/>
        <v>0</v>
      </c>
      <c r="H23" s="51">
        <f t="shared" si="22"/>
        <v>0</v>
      </c>
      <c r="I23" s="51">
        <f t="shared" si="22"/>
        <v>0</v>
      </c>
      <c r="J23" s="51">
        <f t="shared" si="22"/>
        <v>0</v>
      </c>
      <c r="K23" s="51">
        <f t="shared" si="22"/>
        <v>0</v>
      </c>
      <c r="L23" s="51">
        <f t="shared" si="22"/>
        <v>0</v>
      </c>
      <c r="M23" s="51">
        <f t="shared" si="22"/>
        <v>0</v>
      </c>
      <c r="N23" s="51">
        <f t="shared" si="22"/>
        <v>0</v>
      </c>
      <c r="O23" s="51">
        <f t="shared" si="22"/>
        <v>0</v>
      </c>
      <c r="P23" s="51">
        <f t="shared" si="22"/>
        <v>0</v>
      </c>
      <c r="Q23" s="51">
        <f t="shared" si="22"/>
        <v>0</v>
      </c>
      <c r="R23" s="51">
        <f t="shared" si="22"/>
        <v>0</v>
      </c>
      <c r="S23" s="51">
        <f t="shared" si="22"/>
        <v>0</v>
      </c>
      <c r="T23" s="51">
        <f t="shared" si="22"/>
        <v>0</v>
      </c>
      <c r="U23" s="51">
        <f t="shared" si="22"/>
        <v>0</v>
      </c>
      <c r="V23" s="51">
        <f t="shared" si="22"/>
        <v>0</v>
      </c>
      <c r="W23" s="51">
        <f t="shared" si="22"/>
        <v>0</v>
      </c>
      <c r="X23" s="51">
        <f t="shared" si="22"/>
        <v>0</v>
      </c>
      <c r="Y23" s="51">
        <f t="shared" si="22"/>
        <v>0</v>
      </c>
      <c r="Z23" s="1"/>
      <c r="AA23" s="4">
        <v>1</v>
      </c>
      <c r="AB23" s="4">
        <v>18</v>
      </c>
      <c r="AC23" s="4">
        <v>11</v>
      </c>
      <c r="AD23" s="4">
        <v>3</v>
      </c>
      <c r="AE23" s="4">
        <v>1</v>
      </c>
      <c r="AF23" s="4">
        <v>400</v>
      </c>
      <c r="AG23" s="3"/>
      <c r="AH23" s="8">
        <v>18</v>
      </c>
      <c r="AI23" s="8">
        <v>18</v>
      </c>
      <c r="AJ23" s="8" t="s">
        <v>27</v>
      </c>
      <c r="AK23" s="8">
        <v>400</v>
      </c>
      <c r="AL23" s="8">
        <v>5</v>
      </c>
      <c r="AM23" s="8">
        <v>1.7045454545454499E-3</v>
      </c>
      <c r="AN23" s="8">
        <v>41.159090909090899</v>
      </c>
      <c r="AO23" s="8">
        <v>1</v>
      </c>
      <c r="AP23" s="8">
        <v>100</v>
      </c>
      <c r="AQ23" s="8">
        <v>0.03</v>
      </c>
      <c r="AR23" s="8">
        <v>1</v>
      </c>
      <c r="AS23" s="8">
        <v>1</v>
      </c>
      <c r="AT23" s="8">
        <v>0</v>
      </c>
      <c r="AU23" s="8" t="s">
        <v>28</v>
      </c>
      <c r="AV23" s="3">
        <f>IF(AU22=AU23,AV22,MAX(AV$4:AV22)+1)</f>
        <v>3</v>
      </c>
      <c r="AW23" s="3"/>
      <c r="AX23" s="4">
        <v>18</v>
      </c>
      <c r="AY23" s="4">
        <v>18</v>
      </c>
      <c r="AZ23" s="19">
        <v>-19</v>
      </c>
      <c r="BA23" s="19"/>
      <c r="BB23" s="19"/>
      <c r="BC23" s="1"/>
      <c r="BD23" s="3">
        <v>1</v>
      </c>
      <c r="BE23" s="3">
        <v>33</v>
      </c>
      <c r="BF23" s="3">
        <v>1</v>
      </c>
      <c r="BG23" s="3">
        <v>28</v>
      </c>
      <c r="BH23" s="49" t="str">
        <f t="shared" si="3"/>
        <v>1,33</v>
      </c>
      <c r="BI23" s="1"/>
      <c r="BJ23" s="13">
        <f t="shared" si="1"/>
        <v>19</v>
      </c>
      <c r="BK23" s="10">
        <f t="shared" si="5"/>
        <v>1</v>
      </c>
      <c r="BL23" s="10">
        <f t="shared" si="6"/>
        <v>19</v>
      </c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</row>
    <row r="24" spans="1:88" x14ac:dyDescent="0.25">
      <c r="A24" s="1"/>
      <c r="B24" s="18"/>
      <c r="C24" s="51">
        <f t="shared" ref="C24:Y24" si="23">IF(ISNUMBER(MATCH(C67,$BH$5:$BH$4000,0)),$BH$4,$BH$3)</f>
        <v>0</v>
      </c>
      <c r="D24" s="51">
        <f t="shared" si="23"/>
        <v>0</v>
      </c>
      <c r="E24" s="51">
        <f t="shared" si="23"/>
        <v>0</v>
      </c>
      <c r="F24" s="51">
        <f t="shared" si="23"/>
        <v>0</v>
      </c>
      <c r="G24" s="51">
        <f t="shared" si="23"/>
        <v>0</v>
      </c>
      <c r="H24" s="51">
        <f t="shared" si="23"/>
        <v>0</v>
      </c>
      <c r="I24" s="51">
        <f t="shared" si="23"/>
        <v>0</v>
      </c>
      <c r="J24" s="51">
        <f t="shared" si="23"/>
        <v>0</v>
      </c>
      <c r="K24" s="51">
        <f t="shared" si="23"/>
        <v>0</v>
      </c>
      <c r="L24" s="51">
        <f t="shared" si="23"/>
        <v>0</v>
      </c>
      <c r="M24" s="51">
        <f t="shared" si="23"/>
        <v>0</v>
      </c>
      <c r="N24" s="51">
        <f t="shared" si="23"/>
        <v>0</v>
      </c>
      <c r="O24" s="51">
        <f t="shared" si="23"/>
        <v>0</v>
      </c>
      <c r="P24" s="51">
        <f t="shared" si="23"/>
        <v>0</v>
      </c>
      <c r="Q24" s="51">
        <f t="shared" si="23"/>
        <v>0</v>
      </c>
      <c r="R24" s="51">
        <f t="shared" si="23"/>
        <v>0</v>
      </c>
      <c r="S24" s="51">
        <f t="shared" si="23"/>
        <v>0</v>
      </c>
      <c r="T24" s="51">
        <f t="shared" si="23"/>
        <v>0</v>
      </c>
      <c r="U24" s="51">
        <f t="shared" si="23"/>
        <v>0</v>
      </c>
      <c r="V24" s="51">
        <f t="shared" si="23"/>
        <v>0</v>
      </c>
      <c r="W24" s="51">
        <f t="shared" si="23"/>
        <v>0</v>
      </c>
      <c r="X24" s="51">
        <f t="shared" si="23"/>
        <v>0</v>
      </c>
      <c r="Y24" s="51">
        <f t="shared" si="23"/>
        <v>0</v>
      </c>
      <c r="Z24" s="1"/>
      <c r="AA24" s="4">
        <v>1</v>
      </c>
      <c r="AB24" s="4">
        <v>19</v>
      </c>
      <c r="AC24" s="4">
        <v>11</v>
      </c>
      <c r="AD24" s="4">
        <v>3</v>
      </c>
      <c r="AE24" s="4">
        <v>2</v>
      </c>
      <c r="AF24" s="4">
        <v>200</v>
      </c>
      <c r="AG24" s="3"/>
      <c r="AH24" s="8">
        <v>19</v>
      </c>
      <c r="AI24" s="8">
        <v>19</v>
      </c>
      <c r="AJ24" s="8" t="s">
        <v>29</v>
      </c>
      <c r="AK24" s="8">
        <v>200</v>
      </c>
      <c r="AL24" s="8">
        <v>5</v>
      </c>
      <c r="AM24" s="8">
        <v>1.7045454545454499E-3</v>
      </c>
      <c r="AN24" s="8">
        <v>40.647727272727202</v>
      </c>
      <c r="AO24" s="8">
        <v>1</v>
      </c>
      <c r="AP24" s="8">
        <v>100</v>
      </c>
      <c r="AQ24" s="8">
        <v>0.03</v>
      </c>
      <c r="AR24" s="8">
        <v>2</v>
      </c>
      <c r="AS24" s="8">
        <v>1</v>
      </c>
      <c r="AT24" s="8">
        <v>0</v>
      </c>
      <c r="AU24" s="8" t="s">
        <v>28</v>
      </c>
      <c r="AV24" s="3">
        <f>IF(AU23=AU24,AV23,MAX(AV$4:AV23)+1)</f>
        <v>3</v>
      </c>
      <c r="AW24" s="3"/>
      <c r="AX24" s="4">
        <v>19</v>
      </c>
      <c r="AY24" s="4">
        <v>19</v>
      </c>
      <c r="AZ24" s="19">
        <v>18</v>
      </c>
      <c r="BA24" s="19">
        <v>-20</v>
      </c>
      <c r="BB24" s="19"/>
      <c r="BC24" s="1"/>
      <c r="BD24" s="3">
        <v>1</v>
      </c>
      <c r="BE24" s="3">
        <v>33</v>
      </c>
      <c r="BF24" s="3">
        <v>2</v>
      </c>
      <c r="BG24" s="3">
        <v>28</v>
      </c>
      <c r="BH24" s="49" t="str">
        <f t="shared" si="3"/>
        <v>2,33</v>
      </c>
      <c r="BI24" s="1"/>
      <c r="BJ24" s="13">
        <f t="shared" si="1"/>
        <v>20</v>
      </c>
      <c r="BK24" s="10">
        <f t="shared" si="5"/>
        <v>1</v>
      </c>
      <c r="BL24" s="10">
        <f t="shared" si="6"/>
        <v>20</v>
      </c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</row>
    <row r="25" spans="1:88" x14ac:dyDescent="0.25">
      <c r="A25" s="1"/>
      <c r="B25" s="18"/>
      <c r="C25" s="51">
        <f t="shared" ref="C25:Y25" si="24">IF(ISNUMBER(MATCH(C68,$BH$5:$BH$4000,0)),$BH$4,$BH$3)</f>
        <v>0</v>
      </c>
      <c r="D25" s="51">
        <f t="shared" si="24"/>
        <v>0</v>
      </c>
      <c r="E25" s="51">
        <f t="shared" si="24"/>
        <v>0</v>
      </c>
      <c r="F25" s="51">
        <f t="shared" si="24"/>
        <v>0</v>
      </c>
      <c r="G25" s="51">
        <f t="shared" si="24"/>
        <v>0</v>
      </c>
      <c r="H25" s="51">
        <f t="shared" si="24"/>
        <v>0</v>
      </c>
      <c r="I25" s="51">
        <f t="shared" si="24"/>
        <v>0</v>
      </c>
      <c r="J25" s="51">
        <f t="shared" si="24"/>
        <v>0</v>
      </c>
      <c r="K25" s="51">
        <f t="shared" si="24"/>
        <v>0</v>
      </c>
      <c r="L25" s="51">
        <f t="shared" si="24"/>
        <v>0</v>
      </c>
      <c r="M25" s="51">
        <f t="shared" si="24"/>
        <v>0</v>
      </c>
      <c r="N25" s="51">
        <f t="shared" si="24"/>
        <v>0</v>
      </c>
      <c r="O25" s="51">
        <f t="shared" si="24"/>
        <v>0</v>
      </c>
      <c r="P25" s="51">
        <f t="shared" si="24"/>
        <v>0</v>
      </c>
      <c r="Q25" s="51">
        <f t="shared" si="24"/>
        <v>0</v>
      </c>
      <c r="R25" s="51">
        <f t="shared" si="24"/>
        <v>0</v>
      </c>
      <c r="S25" s="51">
        <f t="shared" si="24"/>
        <v>0</v>
      </c>
      <c r="T25" s="51">
        <f t="shared" si="24"/>
        <v>0</v>
      </c>
      <c r="U25" s="51">
        <f t="shared" si="24"/>
        <v>0</v>
      </c>
      <c r="V25" s="51">
        <f t="shared" si="24"/>
        <v>0</v>
      </c>
      <c r="W25" s="51">
        <f t="shared" si="24"/>
        <v>0</v>
      </c>
      <c r="X25" s="51">
        <f t="shared" si="24"/>
        <v>0</v>
      </c>
      <c r="Y25" s="51">
        <f t="shared" si="24"/>
        <v>0</v>
      </c>
      <c r="Z25" s="1"/>
      <c r="AA25" s="4">
        <v>1</v>
      </c>
      <c r="AB25" s="4">
        <v>19</v>
      </c>
      <c r="AC25" s="4">
        <v>12</v>
      </c>
      <c r="AD25" s="4">
        <v>3</v>
      </c>
      <c r="AE25" s="4">
        <v>3</v>
      </c>
      <c r="AF25" s="4">
        <v>200</v>
      </c>
      <c r="AG25" s="3"/>
      <c r="AH25" s="8">
        <v>20</v>
      </c>
      <c r="AI25" s="8">
        <v>20</v>
      </c>
      <c r="AJ25" s="8" t="s">
        <v>30</v>
      </c>
      <c r="AK25" s="8">
        <v>200</v>
      </c>
      <c r="AL25" s="8">
        <v>5</v>
      </c>
      <c r="AM25" s="8">
        <v>1.7045454545454499E-3</v>
      </c>
      <c r="AN25" s="8">
        <v>40.306818181818102</v>
      </c>
      <c r="AO25" s="8">
        <v>1</v>
      </c>
      <c r="AP25" s="8">
        <v>100</v>
      </c>
      <c r="AQ25" s="8">
        <v>0.03</v>
      </c>
      <c r="AR25" s="8">
        <v>2</v>
      </c>
      <c r="AS25" s="8">
        <v>1</v>
      </c>
      <c r="AT25" s="8">
        <v>0</v>
      </c>
      <c r="AU25" s="8" t="s">
        <v>28</v>
      </c>
      <c r="AV25" s="3">
        <f>IF(AU24=AU25,AV24,MAX(AV$4:AV24)+1)</f>
        <v>3</v>
      </c>
      <c r="AW25" s="3"/>
      <c r="AX25" s="4">
        <v>20</v>
      </c>
      <c r="AY25" s="4">
        <v>20</v>
      </c>
      <c r="AZ25" s="19">
        <v>19</v>
      </c>
      <c r="BA25" s="19">
        <v>-21</v>
      </c>
      <c r="BB25" s="19"/>
      <c r="BC25" s="1"/>
      <c r="BD25" s="3">
        <v>1</v>
      </c>
      <c r="BE25" s="3">
        <v>33</v>
      </c>
      <c r="BF25" s="3">
        <v>3</v>
      </c>
      <c r="BG25" s="3">
        <v>28</v>
      </c>
      <c r="BH25" s="49" t="str">
        <f t="shared" si="3"/>
        <v>3,33</v>
      </c>
      <c r="BI25" s="1"/>
      <c r="BJ25" s="13">
        <f t="shared" si="1"/>
        <v>21</v>
      </c>
      <c r="BK25" s="10">
        <f t="shared" si="5"/>
        <v>1</v>
      </c>
      <c r="BL25" s="10">
        <f t="shared" si="6"/>
        <v>21</v>
      </c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</row>
    <row r="26" spans="1:88" x14ac:dyDescent="0.25">
      <c r="A26" s="1"/>
      <c r="B26" s="18"/>
      <c r="C26" s="51">
        <f t="shared" ref="C26:Y26" si="25">IF(ISNUMBER(MATCH(C69,$BH$5:$BH$4000,0)),$BH$4,$BH$3)</f>
        <v>0</v>
      </c>
      <c r="D26" s="51">
        <f t="shared" si="25"/>
        <v>0</v>
      </c>
      <c r="E26" s="51">
        <f t="shared" si="25"/>
        <v>0</v>
      </c>
      <c r="F26" s="51">
        <f t="shared" si="25"/>
        <v>0</v>
      </c>
      <c r="G26" s="51">
        <f t="shared" si="25"/>
        <v>0</v>
      </c>
      <c r="H26" s="51">
        <f t="shared" si="25"/>
        <v>0</v>
      </c>
      <c r="I26" s="51">
        <f t="shared" si="25"/>
        <v>0</v>
      </c>
      <c r="J26" s="51">
        <f t="shared" si="25"/>
        <v>0</v>
      </c>
      <c r="K26" s="51">
        <f t="shared" si="25"/>
        <v>0</v>
      </c>
      <c r="L26" s="51">
        <f t="shared" si="25"/>
        <v>0</v>
      </c>
      <c r="M26" s="51">
        <f t="shared" si="25"/>
        <v>0</v>
      </c>
      <c r="N26" s="51">
        <f t="shared" si="25"/>
        <v>0</v>
      </c>
      <c r="O26" s="51">
        <f t="shared" si="25"/>
        <v>0</v>
      </c>
      <c r="P26" s="51">
        <f t="shared" si="25"/>
        <v>0</v>
      </c>
      <c r="Q26" s="51">
        <f t="shared" si="25"/>
        <v>0</v>
      </c>
      <c r="R26" s="51">
        <f t="shared" si="25"/>
        <v>0</v>
      </c>
      <c r="S26" s="51">
        <f t="shared" si="25"/>
        <v>0</v>
      </c>
      <c r="T26" s="51">
        <f t="shared" si="25"/>
        <v>0</v>
      </c>
      <c r="U26" s="51">
        <f t="shared" si="25"/>
        <v>0</v>
      </c>
      <c r="V26" s="51">
        <f t="shared" si="25"/>
        <v>0</v>
      </c>
      <c r="W26" s="51">
        <f t="shared" si="25"/>
        <v>0</v>
      </c>
      <c r="X26" s="51">
        <f t="shared" si="25"/>
        <v>0</v>
      </c>
      <c r="Y26" s="51">
        <f t="shared" si="25"/>
        <v>0</v>
      </c>
      <c r="Z26" s="1"/>
      <c r="AA26" s="4">
        <v>1</v>
      </c>
      <c r="AB26" s="4">
        <v>20</v>
      </c>
      <c r="AC26" s="4">
        <v>12</v>
      </c>
      <c r="AD26" s="4">
        <v>3</v>
      </c>
      <c r="AE26" s="4">
        <v>4</v>
      </c>
      <c r="AF26" s="4">
        <v>400</v>
      </c>
      <c r="AG26" s="3"/>
      <c r="AH26" s="8">
        <v>21</v>
      </c>
      <c r="AI26" s="8">
        <v>21</v>
      </c>
      <c r="AJ26" s="8" t="s">
        <v>31</v>
      </c>
      <c r="AK26" s="8">
        <v>400</v>
      </c>
      <c r="AL26" s="8">
        <v>5</v>
      </c>
      <c r="AM26" s="8">
        <v>1.7045454545454499E-3</v>
      </c>
      <c r="AN26" s="8">
        <v>39.795454545454497</v>
      </c>
      <c r="AO26" s="8">
        <v>1</v>
      </c>
      <c r="AP26" s="8">
        <v>100</v>
      </c>
      <c r="AQ26" s="8">
        <v>0.03</v>
      </c>
      <c r="AR26" s="8">
        <v>2</v>
      </c>
      <c r="AS26" s="8">
        <v>1</v>
      </c>
      <c r="AT26" s="8">
        <v>0</v>
      </c>
      <c r="AU26" s="8" t="s">
        <v>28</v>
      </c>
      <c r="AV26" s="3">
        <f>IF(AU25=AU26,AV25,MAX(AV$4:AV25)+1)</f>
        <v>3</v>
      </c>
      <c r="AW26" s="3"/>
      <c r="AX26" s="4">
        <v>21</v>
      </c>
      <c r="AY26" s="4">
        <v>21</v>
      </c>
      <c r="AZ26" s="19">
        <v>20</v>
      </c>
      <c r="BA26" s="19">
        <v>-22</v>
      </c>
      <c r="BB26" s="19"/>
      <c r="BC26" s="1"/>
      <c r="BD26" s="3">
        <v>1</v>
      </c>
      <c r="BE26" s="3">
        <v>33</v>
      </c>
      <c r="BF26" s="3">
        <v>4</v>
      </c>
      <c r="BG26" s="3">
        <v>28</v>
      </c>
      <c r="BH26" s="49" t="str">
        <f t="shared" si="3"/>
        <v>4,33</v>
      </c>
      <c r="BI26" s="1"/>
      <c r="BJ26" s="13">
        <f t="shared" si="1"/>
        <v>22</v>
      </c>
      <c r="BK26" s="10">
        <f t="shared" si="5"/>
        <v>1</v>
      </c>
      <c r="BL26" s="10">
        <f t="shared" si="6"/>
        <v>22</v>
      </c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</row>
    <row r="27" spans="1:88" x14ac:dyDescent="0.25">
      <c r="A27" s="1"/>
      <c r="B27" s="18"/>
      <c r="C27" s="51">
        <f t="shared" ref="C27:Y27" si="26">IF(ISNUMBER(MATCH(C70,$BH$5:$BH$4000,0)),$BH$4,$BH$3)</f>
        <v>0</v>
      </c>
      <c r="D27" s="51">
        <f t="shared" si="26"/>
        <v>0</v>
      </c>
      <c r="E27" s="51">
        <f t="shared" si="26"/>
        <v>0</v>
      </c>
      <c r="F27" s="51">
        <f t="shared" si="26"/>
        <v>0</v>
      </c>
      <c r="G27" s="51">
        <f t="shared" si="26"/>
        <v>0</v>
      </c>
      <c r="H27" s="51">
        <f t="shared" si="26"/>
        <v>0</v>
      </c>
      <c r="I27" s="51">
        <f t="shared" si="26"/>
        <v>0</v>
      </c>
      <c r="J27" s="51">
        <f t="shared" si="26"/>
        <v>0</v>
      </c>
      <c r="K27" s="51">
        <f t="shared" si="26"/>
        <v>0</v>
      </c>
      <c r="L27" s="51">
        <f t="shared" si="26"/>
        <v>0</v>
      </c>
      <c r="M27" s="51">
        <f t="shared" si="26"/>
        <v>0</v>
      </c>
      <c r="N27" s="51">
        <f t="shared" si="26"/>
        <v>0</v>
      </c>
      <c r="O27" s="51">
        <f t="shared" si="26"/>
        <v>0</v>
      </c>
      <c r="P27" s="51">
        <f t="shared" si="26"/>
        <v>0</v>
      </c>
      <c r="Q27" s="51">
        <f t="shared" si="26"/>
        <v>0</v>
      </c>
      <c r="R27" s="51">
        <f t="shared" si="26"/>
        <v>0</v>
      </c>
      <c r="S27" s="51">
        <f t="shared" si="26"/>
        <v>0</v>
      </c>
      <c r="T27" s="51">
        <f t="shared" si="26"/>
        <v>0</v>
      </c>
      <c r="U27" s="51">
        <f t="shared" si="26"/>
        <v>0</v>
      </c>
      <c r="V27" s="51">
        <f t="shared" si="26"/>
        <v>0</v>
      </c>
      <c r="W27" s="51">
        <f t="shared" si="26"/>
        <v>0</v>
      </c>
      <c r="X27" s="51">
        <f t="shared" si="26"/>
        <v>0</v>
      </c>
      <c r="Y27" s="51">
        <f t="shared" si="26"/>
        <v>0</v>
      </c>
      <c r="Z27" s="1"/>
      <c r="AA27" s="4">
        <v>1</v>
      </c>
      <c r="AB27" s="4">
        <v>21</v>
      </c>
      <c r="AC27" s="4">
        <v>12</v>
      </c>
      <c r="AD27" s="4">
        <v>3</v>
      </c>
      <c r="AE27" s="4">
        <v>5</v>
      </c>
      <c r="AF27" s="4">
        <v>400</v>
      </c>
      <c r="AG27" s="3"/>
      <c r="AH27" s="8">
        <v>22</v>
      </c>
      <c r="AI27" s="8">
        <v>22</v>
      </c>
      <c r="AJ27" s="8" t="s">
        <v>32</v>
      </c>
      <c r="AK27" s="8">
        <v>400</v>
      </c>
      <c r="AL27" s="8">
        <v>5</v>
      </c>
      <c r="AM27" s="8">
        <v>1.7045454545454499E-3</v>
      </c>
      <c r="AN27" s="8">
        <v>39.113636363636303</v>
      </c>
      <c r="AO27" s="8">
        <v>1</v>
      </c>
      <c r="AP27" s="8">
        <v>100</v>
      </c>
      <c r="AQ27" s="8">
        <v>0.03</v>
      </c>
      <c r="AR27" s="8">
        <v>2</v>
      </c>
      <c r="AS27" s="8">
        <v>1</v>
      </c>
      <c r="AT27" s="8">
        <v>0</v>
      </c>
      <c r="AU27" s="8" t="s">
        <v>28</v>
      </c>
      <c r="AV27" s="3">
        <f>IF(AU26=AU27,AV26,MAX(AV$4:AV26)+1)</f>
        <v>3</v>
      </c>
      <c r="AW27" s="3"/>
      <c r="AX27" s="4">
        <v>22</v>
      </c>
      <c r="AY27" s="4">
        <v>22</v>
      </c>
      <c r="AZ27" s="19">
        <v>21</v>
      </c>
      <c r="BA27" s="19">
        <v>-23</v>
      </c>
      <c r="BB27" s="19"/>
      <c r="BC27" s="1"/>
      <c r="BD27" s="3">
        <v>1</v>
      </c>
      <c r="BE27" s="3">
        <v>33</v>
      </c>
      <c r="BF27" s="3">
        <v>5</v>
      </c>
      <c r="BG27" s="3">
        <v>28</v>
      </c>
      <c r="BH27" s="49" t="str">
        <f t="shared" si="3"/>
        <v>5,33</v>
      </c>
      <c r="BI27" s="1"/>
      <c r="BJ27" s="13">
        <f t="shared" si="1"/>
        <v>23</v>
      </c>
      <c r="BK27" s="10">
        <f t="shared" si="5"/>
        <v>1</v>
      </c>
      <c r="BL27" s="10">
        <f t="shared" si="6"/>
        <v>23</v>
      </c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</row>
    <row r="28" spans="1:88" x14ac:dyDescent="0.25">
      <c r="A28" s="1"/>
      <c r="B28" s="18"/>
      <c r="C28" s="51">
        <f t="shared" ref="C28:Y28" si="27">IF(ISNUMBER(MATCH(C71,$BH$5:$BH$4000,0)),$BH$4,$BH$3)</f>
        <v>0</v>
      </c>
      <c r="D28" s="51">
        <f t="shared" si="27"/>
        <v>0</v>
      </c>
      <c r="E28" s="51">
        <f t="shared" si="27"/>
        <v>0</v>
      </c>
      <c r="F28" s="51">
        <f t="shared" si="27"/>
        <v>0</v>
      </c>
      <c r="G28" s="51">
        <f t="shared" si="27"/>
        <v>0</v>
      </c>
      <c r="H28" s="51">
        <f t="shared" si="27"/>
        <v>0</v>
      </c>
      <c r="I28" s="51">
        <f t="shared" si="27"/>
        <v>0</v>
      </c>
      <c r="J28" s="51">
        <f t="shared" si="27"/>
        <v>0</v>
      </c>
      <c r="K28" s="51">
        <f t="shared" si="27"/>
        <v>0</v>
      </c>
      <c r="L28" s="51">
        <f t="shared" si="27"/>
        <v>0</v>
      </c>
      <c r="M28" s="51">
        <f t="shared" si="27"/>
        <v>0</v>
      </c>
      <c r="N28" s="51">
        <f t="shared" si="27"/>
        <v>0</v>
      </c>
      <c r="O28" s="51">
        <f t="shared" si="27"/>
        <v>0</v>
      </c>
      <c r="P28" s="51">
        <f t="shared" si="27"/>
        <v>0</v>
      </c>
      <c r="Q28" s="51">
        <f t="shared" si="27"/>
        <v>0</v>
      </c>
      <c r="R28" s="51">
        <f t="shared" si="27"/>
        <v>0</v>
      </c>
      <c r="S28" s="51">
        <f t="shared" si="27"/>
        <v>0</v>
      </c>
      <c r="T28" s="51">
        <f t="shared" si="27"/>
        <v>0</v>
      </c>
      <c r="U28" s="51">
        <f t="shared" si="27"/>
        <v>0</v>
      </c>
      <c r="V28" s="51">
        <f t="shared" si="27"/>
        <v>0</v>
      </c>
      <c r="W28" s="51">
        <f t="shared" si="27"/>
        <v>0</v>
      </c>
      <c r="X28" s="51">
        <f t="shared" si="27"/>
        <v>0</v>
      </c>
      <c r="Y28" s="51">
        <f t="shared" si="27"/>
        <v>0</v>
      </c>
      <c r="Z28" s="1"/>
      <c r="AA28" s="4">
        <v>1</v>
      </c>
      <c r="AB28" s="4">
        <v>22</v>
      </c>
      <c r="AC28" s="4">
        <v>13</v>
      </c>
      <c r="AD28" s="4">
        <v>3</v>
      </c>
      <c r="AE28" s="4">
        <v>6</v>
      </c>
      <c r="AF28" s="4">
        <v>400</v>
      </c>
      <c r="AG28" s="3"/>
      <c r="AH28" s="8">
        <v>23</v>
      </c>
      <c r="AI28" s="8">
        <v>23</v>
      </c>
      <c r="AJ28" s="8" t="s">
        <v>33</v>
      </c>
      <c r="AK28" s="8">
        <v>400</v>
      </c>
      <c r="AL28" s="8">
        <v>5</v>
      </c>
      <c r="AM28" s="8">
        <v>1.7045454545454499E-3</v>
      </c>
      <c r="AN28" s="8">
        <v>38.431818181818102</v>
      </c>
      <c r="AO28" s="8">
        <v>1</v>
      </c>
      <c r="AP28" s="8">
        <v>100</v>
      </c>
      <c r="AQ28" s="8">
        <v>0.03</v>
      </c>
      <c r="AR28" s="8">
        <v>2</v>
      </c>
      <c r="AS28" s="8">
        <v>1</v>
      </c>
      <c r="AT28" s="8">
        <v>0</v>
      </c>
      <c r="AU28" s="8" t="s">
        <v>28</v>
      </c>
      <c r="AV28" s="3">
        <f>IF(AU27=AU28,AV27,MAX(AV$4:AV27)+1)</f>
        <v>3</v>
      </c>
      <c r="AW28" s="3"/>
      <c r="AX28" s="4">
        <v>23</v>
      </c>
      <c r="AY28" s="4">
        <v>23</v>
      </c>
      <c r="AZ28" s="19">
        <v>22</v>
      </c>
      <c r="BA28" s="19">
        <v>-24</v>
      </c>
      <c r="BB28" s="19"/>
      <c r="BC28" s="1"/>
      <c r="BD28" s="3">
        <v>1</v>
      </c>
      <c r="BE28" s="3">
        <v>33</v>
      </c>
      <c r="BF28" s="3">
        <v>6</v>
      </c>
      <c r="BG28" s="3">
        <v>28</v>
      </c>
      <c r="BH28" s="49" t="str">
        <f t="shared" si="3"/>
        <v>6,33</v>
      </c>
      <c r="BI28" s="1"/>
      <c r="BJ28" s="13">
        <f t="shared" si="1"/>
        <v>24</v>
      </c>
      <c r="BK28" s="10">
        <f t="shared" si="5"/>
        <v>1</v>
      </c>
      <c r="BL28" s="10">
        <f t="shared" si="6"/>
        <v>24</v>
      </c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</row>
    <row r="29" spans="1:88" x14ac:dyDescent="0.25">
      <c r="A29" s="1"/>
      <c r="B29" s="18"/>
      <c r="C29" s="51">
        <f t="shared" ref="C29:Y29" si="28">IF(ISNUMBER(MATCH(C72,$BH$5:$BH$4000,0)),$BH$4,$BH$3)</f>
        <v>0</v>
      </c>
      <c r="D29" s="51">
        <f t="shared" si="28"/>
        <v>0</v>
      </c>
      <c r="E29" s="51">
        <f t="shared" si="28"/>
        <v>0</v>
      </c>
      <c r="F29" s="51">
        <f t="shared" si="28"/>
        <v>0</v>
      </c>
      <c r="G29" s="51">
        <f t="shared" si="28"/>
        <v>0</v>
      </c>
      <c r="H29" s="51">
        <f t="shared" si="28"/>
        <v>0</v>
      </c>
      <c r="I29" s="51">
        <f t="shared" si="28"/>
        <v>0</v>
      </c>
      <c r="J29" s="51">
        <f t="shared" si="28"/>
        <v>0</v>
      </c>
      <c r="K29" s="51">
        <f t="shared" si="28"/>
        <v>0</v>
      </c>
      <c r="L29" s="51">
        <f t="shared" si="28"/>
        <v>0</v>
      </c>
      <c r="M29" s="51">
        <f t="shared" si="28"/>
        <v>0</v>
      </c>
      <c r="N29" s="51">
        <f t="shared" si="28"/>
        <v>0</v>
      </c>
      <c r="O29" s="51">
        <f t="shared" si="28"/>
        <v>0</v>
      </c>
      <c r="P29" s="51">
        <f t="shared" si="28"/>
        <v>0</v>
      </c>
      <c r="Q29" s="51">
        <f t="shared" si="28"/>
        <v>0</v>
      </c>
      <c r="R29" s="51">
        <f t="shared" si="28"/>
        <v>0</v>
      </c>
      <c r="S29" s="51">
        <f t="shared" si="28"/>
        <v>0</v>
      </c>
      <c r="T29" s="51">
        <f t="shared" si="28"/>
        <v>0</v>
      </c>
      <c r="U29" s="51">
        <f t="shared" si="28"/>
        <v>0</v>
      </c>
      <c r="V29" s="51">
        <f t="shared" si="28"/>
        <v>0</v>
      </c>
      <c r="W29" s="51">
        <f t="shared" si="28"/>
        <v>0</v>
      </c>
      <c r="X29" s="51">
        <f t="shared" si="28"/>
        <v>0</v>
      </c>
      <c r="Y29" s="51">
        <f t="shared" si="28"/>
        <v>0</v>
      </c>
      <c r="Z29" s="1"/>
      <c r="AA29" s="4">
        <v>1</v>
      </c>
      <c r="AB29" s="4">
        <v>23</v>
      </c>
      <c r="AC29" s="4">
        <v>13</v>
      </c>
      <c r="AD29" s="4">
        <v>3</v>
      </c>
      <c r="AE29" s="4">
        <v>7</v>
      </c>
      <c r="AF29" s="4">
        <v>400</v>
      </c>
      <c r="AG29" s="3"/>
      <c r="AH29" s="8">
        <v>24</v>
      </c>
      <c r="AI29" s="8">
        <v>24</v>
      </c>
      <c r="AJ29" s="8" t="s">
        <v>34</v>
      </c>
      <c r="AK29" s="8">
        <v>400</v>
      </c>
      <c r="AL29" s="8">
        <v>5</v>
      </c>
      <c r="AM29" s="8">
        <v>1.7045454545454499E-3</v>
      </c>
      <c r="AN29" s="8">
        <v>37.75</v>
      </c>
      <c r="AO29" s="8">
        <v>1</v>
      </c>
      <c r="AP29" s="8">
        <v>100</v>
      </c>
      <c r="AQ29" s="8">
        <v>0.03</v>
      </c>
      <c r="AR29" s="8">
        <v>2</v>
      </c>
      <c r="AS29" s="8">
        <v>1</v>
      </c>
      <c r="AT29" s="8">
        <v>0</v>
      </c>
      <c r="AU29" s="8" t="s">
        <v>28</v>
      </c>
      <c r="AV29" s="3">
        <f>IF(AU28=AU29,AV28,MAX(AV$4:AV28)+1)</f>
        <v>3</v>
      </c>
      <c r="AW29" s="3"/>
      <c r="AX29" s="4">
        <v>24</v>
      </c>
      <c r="AY29" s="4">
        <v>24</v>
      </c>
      <c r="AZ29" s="19">
        <v>23</v>
      </c>
      <c r="BA29" s="19">
        <v>-25</v>
      </c>
      <c r="BB29" s="19"/>
      <c r="BC29" s="1"/>
      <c r="BD29" s="3">
        <v>1</v>
      </c>
      <c r="BE29" s="3">
        <v>33</v>
      </c>
      <c r="BF29" s="3">
        <v>7</v>
      </c>
      <c r="BG29" s="3">
        <v>28</v>
      </c>
      <c r="BH29" s="49" t="str">
        <f t="shared" si="3"/>
        <v>7,33</v>
      </c>
      <c r="BI29" s="1"/>
      <c r="BJ29" s="13">
        <f t="shared" si="1"/>
        <v>25</v>
      </c>
      <c r="BK29" s="10">
        <f t="shared" si="5"/>
        <v>1</v>
      </c>
      <c r="BL29" s="10">
        <f t="shared" si="6"/>
        <v>25</v>
      </c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</row>
    <row r="30" spans="1:88" x14ac:dyDescent="0.25">
      <c r="A30" s="1"/>
      <c r="B30" s="18"/>
      <c r="C30" s="51">
        <f t="shared" ref="C30:Y30" si="29">IF(ISNUMBER(MATCH(C73,$BH$5:$BH$4000,0)),$BH$4,$BH$3)</f>
        <v>0</v>
      </c>
      <c r="D30" s="51">
        <f t="shared" si="29"/>
        <v>0</v>
      </c>
      <c r="E30" s="51">
        <f t="shared" si="29"/>
        <v>0</v>
      </c>
      <c r="F30" s="51">
        <f t="shared" si="29"/>
        <v>0</v>
      </c>
      <c r="G30" s="51">
        <f t="shared" si="29"/>
        <v>0</v>
      </c>
      <c r="H30" s="51">
        <f t="shared" si="29"/>
        <v>0</v>
      </c>
      <c r="I30" s="51">
        <f t="shared" si="29"/>
        <v>0</v>
      </c>
      <c r="J30" s="51">
        <f t="shared" si="29"/>
        <v>0</v>
      </c>
      <c r="K30" s="51">
        <f t="shared" si="29"/>
        <v>0</v>
      </c>
      <c r="L30" s="51">
        <f t="shared" si="29"/>
        <v>0</v>
      </c>
      <c r="M30" s="51">
        <f t="shared" si="29"/>
        <v>0</v>
      </c>
      <c r="N30" s="51">
        <f t="shared" si="29"/>
        <v>0</v>
      </c>
      <c r="O30" s="51">
        <f t="shared" si="29"/>
        <v>0</v>
      </c>
      <c r="P30" s="51">
        <f t="shared" si="29"/>
        <v>0</v>
      </c>
      <c r="Q30" s="51">
        <f t="shared" si="29"/>
        <v>0</v>
      </c>
      <c r="R30" s="51">
        <f t="shared" si="29"/>
        <v>0</v>
      </c>
      <c r="S30" s="51">
        <f t="shared" si="29"/>
        <v>0</v>
      </c>
      <c r="T30" s="51">
        <f t="shared" si="29"/>
        <v>0</v>
      </c>
      <c r="U30" s="51">
        <f t="shared" si="29"/>
        <v>0</v>
      </c>
      <c r="V30" s="51">
        <f t="shared" si="29"/>
        <v>0</v>
      </c>
      <c r="W30" s="51">
        <f t="shared" si="29"/>
        <v>0</v>
      </c>
      <c r="X30" s="51">
        <f t="shared" si="29"/>
        <v>0</v>
      </c>
      <c r="Y30" s="51">
        <f t="shared" si="29"/>
        <v>0</v>
      </c>
      <c r="Z30" s="1"/>
      <c r="AA30" s="4">
        <v>1</v>
      </c>
      <c r="AB30" s="4">
        <v>24</v>
      </c>
      <c r="AC30" s="4">
        <v>13</v>
      </c>
      <c r="AD30" s="4">
        <v>3</v>
      </c>
      <c r="AE30" s="4">
        <v>8</v>
      </c>
      <c r="AF30" s="4">
        <v>200</v>
      </c>
      <c r="AG30" s="3"/>
      <c r="AH30" s="8">
        <v>25</v>
      </c>
      <c r="AI30" s="8">
        <v>25</v>
      </c>
      <c r="AJ30" s="8" t="s">
        <v>35</v>
      </c>
      <c r="AK30" s="8">
        <v>200</v>
      </c>
      <c r="AL30" s="8">
        <v>5</v>
      </c>
      <c r="AM30" s="8">
        <v>1.7045454545454499E-3</v>
      </c>
      <c r="AN30" s="8">
        <v>37.238636363636303</v>
      </c>
      <c r="AO30" s="8">
        <v>1</v>
      </c>
      <c r="AP30" s="8">
        <v>100</v>
      </c>
      <c r="AQ30" s="8">
        <v>0.03</v>
      </c>
      <c r="AR30" s="8">
        <v>2</v>
      </c>
      <c r="AS30" s="8">
        <v>1</v>
      </c>
      <c r="AT30" s="8">
        <v>0</v>
      </c>
      <c r="AU30" s="8" t="s">
        <v>28</v>
      </c>
      <c r="AV30" s="3">
        <f>IF(AU29=AU30,AV29,MAX(AV$4:AV29)+1)</f>
        <v>3</v>
      </c>
      <c r="AW30" s="3"/>
      <c r="AX30" s="4">
        <v>25</v>
      </c>
      <c r="AY30" s="4">
        <v>25</v>
      </c>
      <c r="AZ30" s="19">
        <v>24</v>
      </c>
      <c r="BA30" s="19">
        <v>-26</v>
      </c>
      <c r="BB30" s="19"/>
      <c r="BC30" s="1"/>
      <c r="BD30" s="3">
        <v>1</v>
      </c>
      <c r="BE30" s="3">
        <v>34</v>
      </c>
      <c r="BF30" s="3">
        <v>8</v>
      </c>
      <c r="BG30" s="3">
        <v>28</v>
      </c>
      <c r="BH30" s="49" t="str">
        <f t="shared" si="3"/>
        <v>8,34</v>
      </c>
      <c r="BI30" s="1"/>
      <c r="BJ30" s="13">
        <f t="shared" si="1"/>
        <v>26</v>
      </c>
      <c r="BK30" s="10">
        <f t="shared" si="5"/>
        <v>1</v>
      </c>
      <c r="BL30" s="10">
        <f t="shared" si="6"/>
        <v>26</v>
      </c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</row>
    <row r="31" spans="1:88" x14ac:dyDescent="0.25">
      <c r="A31" s="1"/>
      <c r="B31" s="18"/>
      <c r="C31" s="51">
        <f t="shared" ref="C31:Y31" si="30">IF(ISNUMBER(MATCH(C74,$BH$5:$BH$4000,0)),$BH$4,$BH$3)</f>
        <v>0</v>
      </c>
      <c r="D31" s="51">
        <f t="shared" si="30"/>
        <v>0</v>
      </c>
      <c r="E31" s="51">
        <f t="shared" si="30"/>
        <v>0</v>
      </c>
      <c r="F31" s="51">
        <f t="shared" si="30"/>
        <v>0</v>
      </c>
      <c r="G31" s="51">
        <f t="shared" si="30"/>
        <v>0</v>
      </c>
      <c r="H31" s="51">
        <f t="shared" si="30"/>
        <v>0</v>
      </c>
      <c r="I31" s="51">
        <f t="shared" si="30"/>
        <v>0</v>
      </c>
      <c r="J31" s="51">
        <f t="shared" si="30"/>
        <v>0</v>
      </c>
      <c r="K31" s="51">
        <f t="shared" si="30"/>
        <v>0</v>
      </c>
      <c r="L31" s="51">
        <f t="shared" si="30"/>
        <v>0</v>
      </c>
      <c r="M31" s="51">
        <f t="shared" si="30"/>
        <v>0</v>
      </c>
      <c r="N31" s="51">
        <f t="shared" si="30"/>
        <v>0</v>
      </c>
      <c r="O31" s="51">
        <f t="shared" si="30"/>
        <v>0</v>
      </c>
      <c r="P31" s="51">
        <f t="shared" si="30"/>
        <v>0</v>
      </c>
      <c r="Q31" s="51">
        <f t="shared" si="30"/>
        <v>0</v>
      </c>
      <c r="R31" s="51">
        <f t="shared" si="30"/>
        <v>0</v>
      </c>
      <c r="S31" s="51">
        <f t="shared" si="30"/>
        <v>0</v>
      </c>
      <c r="T31" s="51">
        <f t="shared" si="30"/>
        <v>0</v>
      </c>
      <c r="U31" s="51">
        <f t="shared" si="30"/>
        <v>0</v>
      </c>
      <c r="V31" s="51">
        <f t="shared" si="30"/>
        <v>0</v>
      </c>
      <c r="W31" s="51">
        <f t="shared" si="30"/>
        <v>0</v>
      </c>
      <c r="X31" s="51">
        <f t="shared" si="30"/>
        <v>0</v>
      </c>
      <c r="Y31" s="51">
        <f t="shared" si="30"/>
        <v>0</v>
      </c>
      <c r="Z31" s="1"/>
      <c r="AA31" s="4">
        <v>1</v>
      </c>
      <c r="AB31" s="4">
        <v>24</v>
      </c>
      <c r="AC31" s="4">
        <v>14</v>
      </c>
      <c r="AD31" s="4">
        <v>3</v>
      </c>
      <c r="AE31" s="4">
        <v>9</v>
      </c>
      <c r="AF31" s="4">
        <v>200</v>
      </c>
      <c r="AG31" s="3"/>
      <c r="AH31" s="8">
        <v>26</v>
      </c>
      <c r="AI31" s="8">
        <v>26</v>
      </c>
      <c r="AJ31" s="8" t="s">
        <v>36</v>
      </c>
      <c r="AK31" s="8">
        <v>200</v>
      </c>
      <c r="AL31" s="8">
        <v>5</v>
      </c>
      <c r="AM31" s="8">
        <v>1.7045454545454499E-3</v>
      </c>
      <c r="AN31" s="8">
        <v>36.897727272727202</v>
      </c>
      <c r="AO31" s="8">
        <v>1</v>
      </c>
      <c r="AP31" s="8">
        <v>100</v>
      </c>
      <c r="AQ31" s="8">
        <v>0.03</v>
      </c>
      <c r="AR31" s="8">
        <v>2</v>
      </c>
      <c r="AS31" s="8">
        <v>1</v>
      </c>
      <c r="AT31" s="8">
        <v>0</v>
      </c>
      <c r="AU31" s="8" t="s">
        <v>28</v>
      </c>
      <c r="AV31" s="3">
        <f>IF(AU30=AU31,AV30,MAX(AV$4:AV30)+1)</f>
        <v>3</v>
      </c>
      <c r="AW31" s="3"/>
      <c r="AX31" s="4">
        <v>26</v>
      </c>
      <c r="AY31" s="4">
        <v>26</v>
      </c>
      <c r="AZ31" s="19">
        <v>25</v>
      </c>
      <c r="BA31" s="19">
        <v>-27</v>
      </c>
      <c r="BB31" s="19"/>
      <c r="BC31" s="1"/>
      <c r="BD31" s="3">
        <v>1</v>
      </c>
      <c r="BE31" s="3">
        <v>34</v>
      </c>
      <c r="BF31" s="3">
        <v>9</v>
      </c>
      <c r="BG31" s="3">
        <v>28</v>
      </c>
      <c r="BH31" s="49" t="str">
        <f t="shared" si="3"/>
        <v>9,34</v>
      </c>
      <c r="BI31" s="1"/>
      <c r="BJ31" s="13">
        <f t="shared" si="1"/>
        <v>27</v>
      </c>
      <c r="BK31" s="10">
        <f t="shared" si="5"/>
        <v>1</v>
      </c>
      <c r="BL31" s="10">
        <f t="shared" si="6"/>
        <v>27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</row>
    <row r="32" spans="1:88" x14ac:dyDescent="0.25">
      <c r="A32" s="1"/>
      <c r="B32" s="18"/>
      <c r="C32" s="51">
        <f t="shared" ref="C32:Y32" si="31">IF(ISNUMBER(MATCH(C75,$BH$5:$BH$4000,0)),$BH$4,$BH$3)</f>
        <v>0</v>
      </c>
      <c r="D32" s="51">
        <f t="shared" si="31"/>
        <v>0</v>
      </c>
      <c r="E32" s="51">
        <f t="shared" si="31"/>
        <v>0</v>
      </c>
      <c r="F32" s="51">
        <f t="shared" si="31"/>
        <v>0</v>
      </c>
      <c r="G32" s="51">
        <f t="shared" si="31"/>
        <v>0</v>
      </c>
      <c r="H32" s="51">
        <f t="shared" si="31"/>
        <v>0</v>
      </c>
      <c r="I32" s="51">
        <f t="shared" si="31"/>
        <v>0</v>
      </c>
      <c r="J32" s="51">
        <f t="shared" si="31"/>
        <v>0</v>
      </c>
      <c r="K32" s="51">
        <f t="shared" si="31"/>
        <v>0</v>
      </c>
      <c r="L32" s="51">
        <f t="shared" si="31"/>
        <v>0</v>
      </c>
      <c r="M32" s="51">
        <f t="shared" si="31"/>
        <v>0</v>
      </c>
      <c r="N32" s="51">
        <f t="shared" si="31"/>
        <v>0</v>
      </c>
      <c r="O32" s="51">
        <f t="shared" si="31"/>
        <v>0</v>
      </c>
      <c r="P32" s="51">
        <f t="shared" si="31"/>
        <v>0</v>
      </c>
      <c r="Q32" s="51">
        <f t="shared" si="31"/>
        <v>0</v>
      </c>
      <c r="R32" s="51">
        <f t="shared" si="31"/>
        <v>0</v>
      </c>
      <c r="S32" s="51">
        <f t="shared" si="31"/>
        <v>0</v>
      </c>
      <c r="T32" s="51">
        <f t="shared" si="31"/>
        <v>0</v>
      </c>
      <c r="U32" s="51">
        <f t="shared" si="31"/>
        <v>0</v>
      </c>
      <c r="V32" s="51">
        <f t="shared" si="31"/>
        <v>0</v>
      </c>
      <c r="W32" s="51">
        <f t="shared" si="31"/>
        <v>0</v>
      </c>
      <c r="X32" s="51">
        <f t="shared" si="31"/>
        <v>0</v>
      </c>
      <c r="Y32" s="51">
        <f t="shared" si="31"/>
        <v>0</v>
      </c>
      <c r="Z32" s="1"/>
      <c r="AA32" s="4">
        <v>1</v>
      </c>
      <c r="AB32" s="4">
        <v>25</v>
      </c>
      <c r="AC32" s="4">
        <v>14</v>
      </c>
      <c r="AD32" s="4">
        <v>3</v>
      </c>
      <c r="AE32" s="4">
        <v>10</v>
      </c>
      <c r="AF32" s="4">
        <v>400</v>
      </c>
      <c r="AG32" s="3"/>
      <c r="AH32" s="8">
        <v>27</v>
      </c>
      <c r="AI32" s="8">
        <v>27</v>
      </c>
      <c r="AJ32" s="8" t="s">
        <v>37</v>
      </c>
      <c r="AK32" s="8">
        <v>400</v>
      </c>
      <c r="AL32" s="8">
        <v>5</v>
      </c>
      <c r="AM32" s="8">
        <v>1.7045454545454499E-3</v>
      </c>
      <c r="AN32" s="8">
        <v>36.386363636363598</v>
      </c>
      <c r="AO32" s="8">
        <v>1</v>
      </c>
      <c r="AP32" s="8">
        <v>100</v>
      </c>
      <c r="AQ32" s="8">
        <v>0.03</v>
      </c>
      <c r="AR32" s="8">
        <v>2</v>
      </c>
      <c r="AS32" s="8">
        <v>1</v>
      </c>
      <c r="AT32" s="8">
        <v>0</v>
      </c>
      <c r="AU32" s="8" t="s">
        <v>28</v>
      </c>
      <c r="AV32" s="3">
        <f>IF(AU31=AU32,AV31,MAX(AV$4:AV31)+1)</f>
        <v>3</v>
      </c>
      <c r="AW32" s="3"/>
      <c r="AX32" s="4">
        <v>27</v>
      </c>
      <c r="AY32" s="4">
        <v>27</v>
      </c>
      <c r="AZ32" s="19">
        <v>26</v>
      </c>
      <c r="BA32" s="19">
        <v>-28</v>
      </c>
      <c r="BB32" s="19"/>
      <c r="BC32" s="1"/>
      <c r="BD32" s="3">
        <v>1</v>
      </c>
      <c r="BE32" s="3">
        <v>34</v>
      </c>
      <c r="BF32" s="3">
        <v>10</v>
      </c>
      <c r="BG32" s="3">
        <v>28</v>
      </c>
      <c r="BH32" s="49" t="str">
        <f t="shared" si="3"/>
        <v>10,34</v>
      </c>
      <c r="BI32" s="1"/>
      <c r="BJ32" s="13">
        <f t="shared" si="1"/>
        <v>28</v>
      </c>
      <c r="BK32" s="10">
        <f t="shared" si="5"/>
        <v>1</v>
      </c>
      <c r="BL32" s="10">
        <f t="shared" si="6"/>
        <v>28</v>
      </c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</row>
    <row r="33" spans="1:88" x14ac:dyDescent="0.25">
      <c r="A33" s="1"/>
      <c r="B33" s="18"/>
      <c r="C33" s="51">
        <f t="shared" ref="C33:Y33" si="32">IF(ISNUMBER(MATCH(C76,$BH$5:$BH$4000,0)),$BH$4,$BH$3)</f>
        <v>0</v>
      </c>
      <c r="D33" s="51">
        <f t="shared" si="32"/>
        <v>0</v>
      </c>
      <c r="E33" s="51">
        <f t="shared" si="32"/>
        <v>0</v>
      </c>
      <c r="F33" s="51">
        <f t="shared" si="32"/>
        <v>0</v>
      </c>
      <c r="G33" s="51">
        <f t="shared" si="32"/>
        <v>0</v>
      </c>
      <c r="H33" s="51">
        <f t="shared" si="32"/>
        <v>0</v>
      </c>
      <c r="I33" s="51">
        <f t="shared" si="32"/>
        <v>0</v>
      </c>
      <c r="J33" s="51">
        <f t="shared" si="32"/>
        <v>0</v>
      </c>
      <c r="K33" s="51">
        <f t="shared" si="32"/>
        <v>0</v>
      </c>
      <c r="L33" s="51">
        <f t="shared" si="32"/>
        <v>0</v>
      </c>
      <c r="M33" s="51">
        <f t="shared" si="32"/>
        <v>0</v>
      </c>
      <c r="N33" s="51">
        <f t="shared" si="32"/>
        <v>0</v>
      </c>
      <c r="O33" s="51">
        <f t="shared" si="32"/>
        <v>0</v>
      </c>
      <c r="P33" s="51">
        <f t="shared" si="32"/>
        <v>0</v>
      </c>
      <c r="Q33" s="51">
        <f t="shared" si="32"/>
        <v>0</v>
      </c>
      <c r="R33" s="51">
        <f t="shared" si="32"/>
        <v>0</v>
      </c>
      <c r="S33" s="51">
        <f t="shared" si="32"/>
        <v>0</v>
      </c>
      <c r="T33" s="51">
        <f t="shared" si="32"/>
        <v>0</v>
      </c>
      <c r="U33" s="51">
        <f t="shared" si="32"/>
        <v>0</v>
      </c>
      <c r="V33" s="51">
        <f t="shared" si="32"/>
        <v>0</v>
      </c>
      <c r="W33" s="51">
        <f t="shared" si="32"/>
        <v>0</v>
      </c>
      <c r="X33" s="51">
        <f t="shared" si="32"/>
        <v>0</v>
      </c>
      <c r="Y33" s="51">
        <f t="shared" si="32"/>
        <v>0</v>
      </c>
      <c r="Z33" s="1"/>
      <c r="AA33" s="4">
        <v>1</v>
      </c>
      <c r="AB33" s="4">
        <v>26</v>
      </c>
      <c r="AC33" s="4">
        <v>14</v>
      </c>
      <c r="AD33" s="4">
        <v>3</v>
      </c>
      <c r="AE33" s="4">
        <v>11</v>
      </c>
      <c r="AF33" s="4">
        <v>400</v>
      </c>
      <c r="AG33" s="3"/>
      <c r="AH33" s="8">
        <v>28</v>
      </c>
      <c r="AI33" s="8">
        <v>28</v>
      </c>
      <c r="AJ33" s="8" t="s">
        <v>38</v>
      </c>
      <c r="AK33" s="8">
        <v>400</v>
      </c>
      <c r="AL33" s="8">
        <v>5</v>
      </c>
      <c r="AM33" s="8">
        <v>1.7045454545454499E-3</v>
      </c>
      <c r="AN33" s="8">
        <v>35.704545454545404</v>
      </c>
      <c r="AO33" s="8">
        <v>1</v>
      </c>
      <c r="AP33" s="8">
        <v>100</v>
      </c>
      <c r="AQ33" s="8">
        <v>0.03</v>
      </c>
      <c r="AR33" s="8">
        <v>2</v>
      </c>
      <c r="AS33" s="8">
        <v>1</v>
      </c>
      <c r="AT33" s="8">
        <v>0</v>
      </c>
      <c r="AU33" s="8" t="s">
        <v>28</v>
      </c>
      <c r="AV33" s="3">
        <f>IF(AU32=AU33,AV32,MAX(AV$4:AV32)+1)</f>
        <v>3</v>
      </c>
      <c r="AW33" s="3"/>
      <c r="AX33" s="4">
        <v>28</v>
      </c>
      <c r="AY33" s="4">
        <v>28</v>
      </c>
      <c r="AZ33" s="19">
        <v>27</v>
      </c>
      <c r="BA33" s="19">
        <v>-29</v>
      </c>
      <c r="BB33" s="19"/>
      <c r="BC33" s="1"/>
      <c r="BD33" s="3">
        <v>1</v>
      </c>
      <c r="BE33" s="3">
        <v>34</v>
      </c>
      <c r="BF33" s="3">
        <v>11</v>
      </c>
      <c r="BG33" s="3">
        <v>28</v>
      </c>
      <c r="BH33" s="49" t="str">
        <f t="shared" si="3"/>
        <v>11,34</v>
      </c>
      <c r="BI33" s="1"/>
      <c r="BJ33" s="13">
        <f t="shared" si="1"/>
        <v>29</v>
      </c>
      <c r="BK33" s="10">
        <f t="shared" si="5"/>
        <v>1</v>
      </c>
      <c r="BL33" s="10">
        <f t="shared" si="6"/>
        <v>29</v>
      </c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</row>
    <row r="34" spans="1:88" x14ac:dyDescent="0.25">
      <c r="A34" s="1"/>
      <c r="B34" s="18"/>
      <c r="C34" s="51">
        <f t="shared" ref="C34:Y34" si="33">IF(ISNUMBER(MATCH(C77,$BH$5:$BH$4000,0)),$BH$4,$BH$3)</f>
        <v>0</v>
      </c>
      <c r="D34" s="51">
        <f t="shared" si="33"/>
        <v>0</v>
      </c>
      <c r="E34" s="51">
        <f t="shared" si="33"/>
        <v>0</v>
      </c>
      <c r="F34" s="51">
        <f t="shared" si="33"/>
        <v>0</v>
      </c>
      <c r="G34" s="51">
        <f t="shared" si="33"/>
        <v>0</v>
      </c>
      <c r="H34" s="51">
        <f t="shared" si="33"/>
        <v>0</v>
      </c>
      <c r="I34" s="51">
        <f t="shared" si="33"/>
        <v>0</v>
      </c>
      <c r="J34" s="51">
        <f t="shared" si="33"/>
        <v>0</v>
      </c>
      <c r="K34" s="51">
        <f t="shared" si="33"/>
        <v>0</v>
      </c>
      <c r="L34" s="51">
        <f t="shared" si="33"/>
        <v>0</v>
      </c>
      <c r="M34" s="51">
        <f t="shared" si="33"/>
        <v>0</v>
      </c>
      <c r="N34" s="51">
        <f t="shared" si="33"/>
        <v>0</v>
      </c>
      <c r="O34" s="51">
        <f t="shared" si="33"/>
        <v>0</v>
      </c>
      <c r="P34" s="51">
        <f t="shared" si="33"/>
        <v>0</v>
      </c>
      <c r="Q34" s="51">
        <f t="shared" si="33"/>
        <v>0</v>
      </c>
      <c r="R34" s="51">
        <f t="shared" si="33"/>
        <v>0</v>
      </c>
      <c r="S34" s="51">
        <f t="shared" si="33"/>
        <v>0</v>
      </c>
      <c r="T34" s="51">
        <f t="shared" si="33"/>
        <v>0</v>
      </c>
      <c r="U34" s="51">
        <f t="shared" si="33"/>
        <v>0</v>
      </c>
      <c r="V34" s="51">
        <f t="shared" si="33"/>
        <v>0</v>
      </c>
      <c r="W34" s="51">
        <f t="shared" si="33"/>
        <v>0</v>
      </c>
      <c r="X34" s="51">
        <f t="shared" si="33"/>
        <v>0</v>
      </c>
      <c r="Y34" s="51">
        <f t="shared" si="33"/>
        <v>0</v>
      </c>
      <c r="Z34" s="1"/>
      <c r="AA34" s="4">
        <v>1</v>
      </c>
      <c r="AB34" s="4">
        <v>27</v>
      </c>
      <c r="AC34" s="4">
        <v>14</v>
      </c>
      <c r="AD34" s="4">
        <v>3</v>
      </c>
      <c r="AE34" s="4">
        <v>12</v>
      </c>
      <c r="AF34" s="4">
        <v>400</v>
      </c>
      <c r="AG34" s="3"/>
      <c r="AH34" s="8">
        <v>29</v>
      </c>
      <c r="AI34" s="8">
        <v>29</v>
      </c>
      <c r="AJ34" s="8" t="s">
        <v>39</v>
      </c>
      <c r="AK34" s="8">
        <v>400</v>
      </c>
      <c r="AL34" s="8">
        <v>5</v>
      </c>
      <c r="AM34" s="8">
        <v>1.7045454545454499E-3</v>
      </c>
      <c r="AN34" s="8">
        <v>35.022727272727202</v>
      </c>
      <c r="AO34" s="8">
        <v>1</v>
      </c>
      <c r="AP34" s="8">
        <v>100</v>
      </c>
      <c r="AQ34" s="8">
        <v>0.03</v>
      </c>
      <c r="AR34" s="8">
        <v>2</v>
      </c>
      <c r="AS34" s="8">
        <v>1</v>
      </c>
      <c r="AT34" s="8">
        <v>0</v>
      </c>
      <c r="AU34" s="8" t="s">
        <v>28</v>
      </c>
      <c r="AV34" s="3">
        <f>IF(AU33=AU34,AV33,MAX(AV$4:AV33)+1)</f>
        <v>3</v>
      </c>
      <c r="AW34" s="3"/>
      <c r="AX34" s="4">
        <v>29</v>
      </c>
      <c r="AY34" s="4">
        <v>29</v>
      </c>
      <c r="AZ34" s="19">
        <v>28</v>
      </c>
      <c r="BA34" s="19">
        <v>-30</v>
      </c>
      <c r="BB34" s="19"/>
      <c r="BC34" s="1"/>
      <c r="BD34" s="3">
        <v>1</v>
      </c>
      <c r="BE34" s="3">
        <v>34</v>
      </c>
      <c r="BF34" s="3">
        <v>12</v>
      </c>
      <c r="BG34" s="3">
        <v>28</v>
      </c>
      <c r="BH34" s="49" t="str">
        <f t="shared" si="3"/>
        <v>12,34</v>
      </c>
      <c r="BI34" s="1"/>
      <c r="BJ34" s="13">
        <f t="shared" si="1"/>
        <v>30</v>
      </c>
      <c r="BK34" s="10">
        <f t="shared" si="5"/>
        <v>1</v>
      </c>
      <c r="BL34" s="10">
        <f t="shared" si="6"/>
        <v>30</v>
      </c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</row>
    <row r="35" spans="1:88" x14ac:dyDescent="0.25">
      <c r="A35" s="1"/>
      <c r="B35" s="18"/>
      <c r="C35" s="51">
        <f t="shared" ref="C35:Y35" si="34">IF(ISNUMBER(MATCH(C78,$BH$5:$BH$4000,0)),$BH$4,$BH$3)</f>
        <v>0</v>
      </c>
      <c r="D35" s="51">
        <f t="shared" si="34"/>
        <v>0</v>
      </c>
      <c r="E35" s="51">
        <f t="shared" si="34"/>
        <v>0</v>
      </c>
      <c r="F35" s="51">
        <f t="shared" si="34"/>
        <v>0</v>
      </c>
      <c r="G35" s="51">
        <f t="shared" si="34"/>
        <v>0</v>
      </c>
      <c r="H35" s="51">
        <f t="shared" si="34"/>
        <v>0</v>
      </c>
      <c r="I35" s="51">
        <f t="shared" si="34"/>
        <v>0</v>
      </c>
      <c r="J35" s="51">
        <f t="shared" si="34"/>
        <v>0</v>
      </c>
      <c r="K35" s="51">
        <f t="shared" si="34"/>
        <v>0</v>
      </c>
      <c r="L35" s="51">
        <f t="shared" si="34"/>
        <v>0</v>
      </c>
      <c r="M35" s="51">
        <f t="shared" si="34"/>
        <v>0</v>
      </c>
      <c r="N35" s="51">
        <f t="shared" si="34"/>
        <v>0</v>
      </c>
      <c r="O35" s="51">
        <f t="shared" si="34"/>
        <v>0</v>
      </c>
      <c r="P35" s="51">
        <f t="shared" si="34"/>
        <v>0</v>
      </c>
      <c r="Q35" s="51">
        <f t="shared" si="34"/>
        <v>0</v>
      </c>
      <c r="R35" s="51">
        <f t="shared" si="34"/>
        <v>0</v>
      </c>
      <c r="S35" s="51">
        <f t="shared" si="34"/>
        <v>0</v>
      </c>
      <c r="T35" s="51">
        <f t="shared" si="34"/>
        <v>0</v>
      </c>
      <c r="U35" s="51">
        <f t="shared" si="34"/>
        <v>0</v>
      </c>
      <c r="V35" s="51">
        <f t="shared" si="34"/>
        <v>0</v>
      </c>
      <c r="W35" s="51">
        <f t="shared" si="34"/>
        <v>0</v>
      </c>
      <c r="X35" s="51">
        <f t="shared" si="34"/>
        <v>0</v>
      </c>
      <c r="Y35" s="51">
        <f t="shared" si="34"/>
        <v>0</v>
      </c>
      <c r="Z35" s="1"/>
      <c r="AA35" s="4">
        <v>1</v>
      </c>
      <c r="AB35" s="4">
        <v>28</v>
      </c>
      <c r="AC35" s="4">
        <v>15</v>
      </c>
      <c r="AD35" s="4">
        <v>3</v>
      </c>
      <c r="AE35" s="4">
        <v>13</v>
      </c>
      <c r="AF35" s="4">
        <v>400</v>
      </c>
      <c r="AG35" s="3"/>
      <c r="AH35" s="8">
        <v>30</v>
      </c>
      <c r="AI35" s="8">
        <v>30</v>
      </c>
      <c r="AJ35" s="8" t="s">
        <v>26</v>
      </c>
      <c r="AK35" s="8">
        <v>400</v>
      </c>
      <c r="AL35" s="8">
        <v>5</v>
      </c>
      <c r="AM35" s="8">
        <v>1.7045454545454499E-3</v>
      </c>
      <c r="AN35" s="8">
        <v>34.340909090909001</v>
      </c>
      <c r="AO35" s="8">
        <v>1</v>
      </c>
      <c r="AP35" s="8">
        <v>100</v>
      </c>
      <c r="AQ35" s="8">
        <v>0.03</v>
      </c>
      <c r="AR35" s="8">
        <v>2</v>
      </c>
      <c r="AS35" s="8">
        <v>1</v>
      </c>
      <c r="AT35" s="8">
        <v>0</v>
      </c>
      <c r="AU35" s="8" t="s">
        <v>28</v>
      </c>
      <c r="AV35" s="3">
        <f>IF(AU34=AU35,AV34,MAX(AV$4:AV34)+1)</f>
        <v>3</v>
      </c>
      <c r="AW35" s="3"/>
      <c r="AX35" s="4">
        <v>30</v>
      </c>
      <c r="AY35" s="4">
        <v>30</v>
      </c>
      <c r="AZ35" s="19">
        <v>29</v>
      </c>
      <c r="BA35" s="19">
        <v>-31</v>
      </c>
      <c r="BB35" s="19"/>
      <c r="BC35" s="1"/>
      <c r="BD35" s="3">
        <v>1</v>
      </c>
      <c r="BE35" s="3">
        <v>34</v>
      </c>
      <c r="BF35" s="3">
        <v>13</v>
      </c>
      <c r="BG35" s="3">
        <v>28</v>
      </c>
      <c r="BH35" s="49" t="str">
        <f t="shared" si="3"/>
        <v>13,34</v>
      </c>
      <c r="BI35" s="1"/>
      <c r="BJ35" s="13">
        <f t="shared" si="1"/>
        <v>31</v>
      </c>
      <c r="BK35" s="10">
        <f t="shared" si="5"/>
        <v>1</v>
      </c>
      <c r="BL35" s="10">
        <f t="shared" si="6"/>
        <v>31</v>
      </c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</row>
    <row r="36" spans="1:88" x14ac:dyDescent="0.25">
      <c r="A36" s="1"/>
      <c r="B36" s="18"/>
      <c r="C36" s="51">
        <f t="shared" ref="C36:Y36" si="35">IF(ISNUMBER(MATCH(C79,$BH$5:$BH$4000,0)),$BH$4,$BH$3)</f>
        <v>0</v>
      </c>
      <c r="D36" s="51">
        <f t="shared" si="35"/>
        <v>0</v>
      </c>
      <c r="E36" s="51">
        <f t="shared" si="35"/>
        <v>0</v>
      </c>
      <c r="F36" s="51">
        <f t="shared" si="35"/>
        <v>0</v>
      </c>
      <c r="G36" s="51">
        <f t="shared" si="35"/>
        <v>0</v>
      </c>
      <c r="H36" s="51">
        <f t="shared" si="35"/>
        <v>0</v>
      </c>
      <c r="I36" s="51">
        <f t="shared" si="35"/>
        <v>0</v>
      </c>
      <c r="J36" s="51">
        <f t="shared" si="35"/>
        <v>0</v>
      </c>
      <c r="K36" s="51">
        <f t="shared" si="35"/>
        <v>0</v>
      </c>
      <c r="L36" s="51">
        <f t="shared" si="35"/>
        <v>0</v>
      </c>
      <c r="M36" s="51">
        <f t="shared" si="35"/>
        <v>0</v>
      </c>
      <c r="N36" s="51">
        <f t="shared" si="35"/>
        <v>0</v>
      </c>
      <c r="O36" s="51">
        <f t="shared" si="35"/>
        <v>0</v>
      </c>
      <c r="P36" s="51">
        <f t="shared" si="35"/>
        <v>0</v>
      </c>
      <c r="Q36" s="51">
        <f t="shared" si="35"/>
        <v>0</v>
      </c>
      <c r="R36" s="51">
        <f t="shared" si="35"/>
        <v>0</v>
      </c>
      <c r="S36" s="51">
        <f t="shared" si="35"/>
        <v>0</v>
      </c>
      <c r="T36" s="51">
        <f t="shared" si="35"/>
        <v>0</v>
      </c>
      <c r="U36" s="51">
        <f t="shared" si="35"/>
        <v>0</v>
      </c>
      <c r="V36" s="51">
        <f t="shared" si="35"/>
        <v>0</v>
      </c>
      <c r="W36" s="51">
        <f t="shared" si="35"/>
        <v>0</v>
      </c>
      <c r="X36" s="51">
        <f t="shared" si="35"/>
        <v>0</v>
      </c>
      <c r="Y36" s="51">
        <f t="shared" si="35"/>
        <v>0</v>
      </c>
      <c r="Z36" s="1"/>
      <c r="AA36" s="4">
        <v>1</v>
      </c>
      <c r="AB36" s="4">
        <v>29</v>
      </c>
      <c r="AC36" s="4">
        <v>15</v>
      </c>
      <c r="AD36" s="4">
        <v>4</v>
      </c>
      <c r="AE36" s="4">
        <v>1</v>
      </c>
      <c r="AF36" s="4">
        <v>400</v>
      </c>
      <c r="AG36" s="3"/>
      <c r="AH36" s="8">
        <v>31</v>
      </c>
      <c r="AI36" s="8">
        <v>31</v>
      </c>
      <c r="AJ36" s="8" t="s">
        <v>40</v>
      </c>
      <c r="AK36" s="8">
        <v>400</v>
      </c>
      <c r="AL36" s="8">
        <v>5</v>
      </c>
      <c r="AM36" s="8">
        <v>2.4285714285714201E-3</v>
      </c>
      <c r="AN36" s="8">
        <v>33.514285714285698</v>
      </c>
      <c r="AO36" s="8">
        <v>1</v>
      </c>
      <c r="AP36" s="8">
        <v>100</v>
      </c>
      <c r="AQ36" s="8">
        <v>0.03</v>
      </c>
      <c r="AR36" s="8">
        <v>3</v>
      </c>
      <c r="AS36" s="8">
        <v>1</v>
      </c>
      <c r="AT36" s="8">
        <v>0</v>
      </c>
      <c r="AU36" s="8" t="s">
        <v>41</v>
      </c>
      <c r="AV36" s="3">
        <f>IF(AU35=AU36,AV35,MAX(AV$4:AV35)+1)</f>
        <v>4</v>
      </c>
      <c r="AW36" s="3"/>
      <c r="AX36" s="4">
        <v>31</v>
      </c>
      <c r="AY36" s="4">
        <v>31</v>
      </c>
      <c r="AZ36" s="19">
        <v>-32</v>
      </c>
      <c r="BA36" s="19">
        <v>17</v>
      </c>
      <c r="BB36" s="19">
        <v>30</v>
      </c>
      <c r="BC36" s="1"/>
      <c r="BD36" s="3">
        <v>1</v>
      </c>
      <c r="BE36" s="3">
        <v>35</v>
      </c>
      <c r="BF36" s="3">
        <v>14</v>
      </c>
      <c r="BG36" s="3">
        <v>28</v>
      </c>
      <c r="BH36" s="49" t="str">
        <f t="shared" si="3"/>
        <v>14,35</v>
      </c>
      <c r="BI36" s="1"/>
      <c r="BJ36" s="13">
        <f t="shared" si="1"/>
        <v>32</v>
      </c>
      <c r="BK36" s="10">
        <f t="shared" si="5"/>
        <v>1</v>
      </c>
      <c r="BL36" s="10">
        <f t="shared" si="6"/>
        <v>32</v>
      </c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</row>
    <row r="37" spans="1:88" x14ac:dyDescent="0.25">
      <c r="A37" s="1"/>
      <c r="B37" s="18"/>
      <c r="C37" s="51">
        <f t="shared" ref="C37:Y37" si="36">IF(ISNUMBER(MATCH(C80,$BH$5:$BH$4000,0)),$BH$4,$BH$3)</f>
        <v>5</v>
      </c>
      <c r="D37" s="51">
        <f t="shared" si="36"/>
        <v>5</v>
      </c>
      <c r="E37" s="51">
        <f t="shared" si="36"/>
        <v>5</v>
      </c>
      <c r="F37" s="51">
        <f t="shared" si="36"/>
        <v>5</v>
      </c>
      <c r="G37" s="51">
        <f t="shared" si="36"/>
        <v>5</v>
      </c>
      <c r="H37" s="51">
        <f t="shared" si="36"/>
        <v>5</v>
      </c>
      <c r="I37" s="51">
        <f t="shared" si="36"/>
        <v>5</v>
      </c>
      <c r="J37" s="51">
        <f t="shared" si="36"/>
        <v>0</v>
      </c>
      <c r="K37" s="51">
        <f t="shared" si="36"/>
        <v>0</v>
      </c>
      <c r="L37" s="51">
        <f t="shared" si="36"/>
        <v>0</v>
      </c>
      <c r="M37" s="51">
        <f t="shared" si="36"/>
        <v>0</v>
      </c>
      <c r="N37" s="51">
        <f t="shared" si="36"/>
        <v>0</v>
      </c>
      <c r="O37" s="51">
        <f t="shared" si="36"/>
        <v>0</v>
      </c>
      <c r="P37" s="51">
        <f t="shared" si="36"/>
        <v>0</v>
      </c>
      <c r="Q37" s="51">
        <f t="shared" si="36"/>
        <v>0</v>
      </c>
      <c r="R37" s="51">
        <f t="shared" si="36"/>
        <v>0</v>
      </c>
      <c r="S37" s="51">
        <f t="shared" si="36"/>
        <v>0</v>
      </c>
      <c r="T37" s="51">
        <f t="shared" si="36"/>
        <v>0</v>
      </c>
      <c r="U37" s="51">
        <f t="shared" si="36"/>
        <v>0</v>
      </c>
      <c r="V37" s="51">
        <f t="shared" si="36"/>
        <v>0</v>
      </c>
      <c r="W37" s="51">
        <f t="shared" si="36"/>
        <v>0</v>
      </c>
      <c r="X37" s="51">
        <f t="shared" si="36"/>
        <v>0</v>
      </c>
      <c r="Y37" s="51">
        <f t="shared" si="36"/>
        <v>0</v>
      </c>
      <c r="Z37" s="1"/>
      <c r="AA37" s="4">
        <v>1</v>
      </c>
      <c r="AB37" s="4">
        <v>30</v>
      </c>
      <c r="AC37" s="4">
        <v>15</v>
      </c>
      <c r="AD37" s="4">
        <v>4</v>
      </c>
      <c r="AE37" s="4">
        <v>2</v>
      </c>
      <c r="AF37" s="4">
        <v>400</v>
      </c>
      <c r="AG37" s="3"/>
      <c r="AH37" s="8">
        <v>32</v>
      </c>
      <c r="AI37" s="8">
        <v>32</v>
      </c>
      <c r="AJ37" s="8" t="s">
        <v>42</v>
      </c>
      <c r="AK37" s="8">
        <v>400</v>
      </c>
      <c r="AL37" s="8">
        <v>5</v>
      </c>
      <c r="AM37" s="8">
        <v>2.4285714285714201E-3</v>
      </c>
      <c r="AN37" s="8">
        <v>32.542857142857102</v>
      </c>
      <c r="AO37" s="8">
        <v>1</v>
      </c>
      <c r="AP37" s="8">
        <v>100</v>
      </c>
      <c r="AQ37" s="8">
        <v>0.03</v>
      </c>
      <c r="AR37" s="8">
        <v>2</v>
      </c>
      <c r="AS37" s="8">
        <v>1</v>
      </c>
      <c r="AT37" s="8">
        <v>0</v>
      </c>
      <c r="AU37" s="8" t="s">
        <v>41</v>
      </c>
      <c r="AV37" s="3">
        <f>IF(AU36=AU37,AV36,MAX(AV$4:AV36)+1)</f>
        <v>4</v>
      </c>
      <c r="AW37" s="3"/>
      <c r="AX37" s="4">
        <v>32</v>
      </c>
      <c r="AY37" s="4">
        <v>32</v>
      </c>
      <c r="AZ37" s="19">
        <v>31</v>
      </c>
      <c r="BA37" s="19">
        <v>-33</v>
      </c>
      <c r="BB37" s="19"/>
      <c r="BC37" s="1"/>
      <c r="BD37" s="3">
        <v>1</v>
      </c>
      <c r="BE37" s="3">
        <v>35</v>
      </c>
      <c r="BF37" s="3">
        <v>16</v>
      </c>
      <c r="BG37" s="3">
        <v>28</v>
      </c>
      <c r="BH37" s="49" t="str">
        <f t="shared" si="3"/>
        <v>16,35</v>
      </c>
      <c r="BI37" s="1"/>
      <c r="BJ37" s="13">
        <f t="shared" ref="BJ37:BJ69" si="37">IF(ROW()-BJ$3&lt;=$BJ$4,ROW()-ROW(BJ$4),"")</f>
        <v>33</v>
      </c>
      <c r="BK37" s="10">
        <f t="shared" si="5"/>
        <v>1</v>
      </c>
      <c r="BL37" s="10">
        <f t="shared" si="6"/>
        <v>33</v>
      </c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</row>
    <row r="38" spans="1:88" x14ac:dyDescent="0.25">
      <c r="A38" s="1"/>
      <c r="B38" s="18"/>
      <c r="C38" s="51">
        <f t="shared" ref="C38:Y38" si="38">IF(ISNUMBER(MATCH(C81,$BH$5:$BH$4000,0)),$BH$4,$BH$3)</f>
        <v>0</v>
      </c>
      <c r="D38" s="51">
        <f t="shared" si="38"/>
        <v>0</v>
      </c>
      <c r="E38" s="51">
        <f t="shared" si="38"/>
        <v>0</v>
      </c>
      <c r="F38" s="51">
        <f t="shared" si="38"/>
        <v>0</v>
      </c>
      <c r="G38" s="51">
        <f t="shared" si="38"/>
        <v>0</v>
      </c>
      <c r="H38" s="51">
        <f t="shared" si="38"/>
        <v>0</v>
      </c>
      <c r="I38" s="51">
        <f t="shared" si="38"/>
        <v>0</v>
      </c>
      <c r="J38" s="51">
        <f t="shared" si="38"/>
        <v>5</v>
      </c>
      <c r="K38" s="51">
        <f t="shared" si="38"/>
        <v>5</v>
      </c>
      <c r="L38" s="51">
        <f t="shared" si="38"/>
        <v>5</v>
      </c>
      <c r="M38" s="51">
        <f t="shared" si="38"/>
        <v>5</v>
      </c>
      <c r="N38" s="51">
        <f t="shared" si="38"/>
        <v>5</v>
      </c>
      <c r="O38" s="51">
        <f t="shared" si="38"/>
        <v>5</v>
      </c>
      <c r="P38" s="51">
        <f t="shared" si="38"/>
        <v>0</v>
      </c>
      <c r="Q38" s="51">
        <f t="shared" si="38"/>
        <v>0</v>
      </c>
      <c r="R38" s="51">
        <f t="shared" si="38"/>
        <v>0</v>
      </c>
      <c r="S38" s="51">
        <f t="shared" si="38"/>
        <v>0</v>
      </c>
      <c r="T38" s="51">
        <f t="shared" si="38"/>
        <v>0</v>
      </c>
      <c r="U38" s="51">
        <f t="shared" si="38"/>
        <v>0</v>
      </c>
      <c r="V38" s="51">
        <f t="shared" si="38"/>
        <v>0</v>
      </c>
      <c r="W38" s="51">
        <f t="shared" si="38"/>
        <v>0</v>
      </c>
      <c r="X38" s="51">
        <f t="shared" si="38"/>
        <v>0</v>
      </c>
      <c r="Y38" s="51">
        <f t="shared" si="38"/>
        <v>0</v>
      </c>
      <c r="Z38" s="1"/>
      <c r="AA38" s="4">
        <v>1</v>
      </c>
      <c r="AB38" s="4">
        <v>31</v>
      </c>
      <c r="AC38" s="4">
        <v>15</v>
      </c>
      <c r="AD38" s="4">
        <v>4</v>
      </c>
      <c r="AE38" s="4">
        <v>3</v>
      </c>
      <c r="AF38" s="4">
        <v>400</v>
      </c>
      <c r="AG38" s="3"/>
      <c r="AH38" s="8">
        <v>33</v>
      </c>
      <c r="AI38" s="8">
        <v>33</v>
      </c>
      <c r="AJ38" s="8" t="s">
        <v>43</v>
      </c>
      <c r="AK38" s="8">
        <v>400</v>
      </c>
      <c r="AL38" s="8">
        <v>5</v>
      </c>
      <c r="AM38" s="8">
        <v>2.4285714285714201E-3</v>
      </c>
      <c r="AN38" s="8">
        <v>31.571428571428498</v>
      </c>
      <c r="AO38" s="8">
        <v>1</v>
      </c>
      <c r="AP38" s="8">
        <v>100</v>
      </c>
      <c r="AQ38" s="8">
        <v>0.03</v>
      </c>
      <c r="AR38" s="8">
        <v>2</v>
      </c>
      <c r="AS38" s="8">
        <v>1</v>
      </c>
      <c r="AT38" s="8">
        <v>0</v>
      </c>
      <c r="AU38" s="8" t="s">
        <v>41</v>
      </c>
      <c r="AV38" s="3">
        <f>IF(AU37=AU38,AV37,MAX(AV$4:AV37)+1)</f>
        <v>4</v>
      </c>
      <c r="AW38" s="3"/>
      <c r="AX38" s="4">
        <v>33</v>
      </c>
      <c r="AY38" s="4">
        <v>33</v>
      </c>
      <c r="AZ38" s="19">
        <v>32</v>
      </c>
      <c r="BA38" s="19">
        <v>-34</v>
      </c>
      <c r="BB38" s="19"/>
      <c r="BC38" s="1"/>
      <c r="BD38" s="3">
        <v>1</v>
      </c>
      <c r="BE38" s="3">
        <v>35</v>
      </c>
      <c r="BF38" s="3">
        <v>17</v>
      </c>
      <c r="BG38" s="3">
        <v>28</v>
      </c>
      <c r="BH38" s="49" t="str">
        <f t="shared" si="3"/>
        <v>17,35</v>
      </c>
      <c r="BI38" s="1"/>
      <c r="BJ38" s="13">
        <f t="shared" si="37"/>
        <v>34</v>
      </c>
      <c r="BK38" s="10">
        <f t="shared" si="5"/>
        <v>1</v>
      </c>
      <c r="BL38" s="10">
        <f t="shared" si="6"/>
        <v>34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</row>
    <row r="39" spans="1:88" x14ac:dyDescent="0.25">
      <c r="A39" s="1"/>
      <c r="B39" s="18"/>
      <c r="C39" s="51">
        <f t="shared" ref="C39:Y39" si="39">IF(ISNUMBER(MATCH(C82,$BH$5:$BH$4000,0)),$BH$4,$BH$3)</f>
        <v>0</v>
      </c>
      <c r="D39" s="51">
        <f t="shared" si="39"/>
        <v>0</v>
      </c>
      <c r="E39" s="51">
        <f t="shared" si="39"/>
        <v>0</v>
      </c>
      <c r="F39" s="51">
        <f t="shared" si="39"/>
        <v>0</v>
      </c>
      <c r="G39" s="51">
        <f t="shared" si="39"/>
        <v>0</v>
      </c>
      <c r="H39" s="51">
        <f t="shared" si="39"/>
        <v>0</v>
      </c>
      <c r="I39" s="51">
        <f t="shared" si="39"/>
        <v>0</v>
      </c>
      <c r="J39" s="51">
        <f t="shared" si="39"/>
        <v>0</v>
      </c>
      <c r="K39" s="51">
        <f t="shared" si="39"/>
        <v>0</v>
      </c>
      <c r="L39" s="51">
        <f t="shared" si="39"/>
        <v>0</v>
      </c>
      <c r="M39" s="51">
        <f t="shared" si="39"/>
        <v>0</v>
      </c>
      <c r="N39" s="51">
        <f t="shared" si="39"/>
        <v>0</v>
      </c>
      <c r="O39" s="51">
        <f t="shared" si="39"/>
        <v>0</v>
      </c>
      <c r="P39" s="51">
        <f t="shared" si="39"/>
        <v>5</v>
      </c>
      <c r="Q39" s="51">
        <f t="shared" si="39"/>
        <v>5</v>
      </c>
      <c r="R39" s="51">
        <f t="shared" si="39"/>
        <v>5</v>
      </c>
      <c r="S39" s="51">
        <f t="shared" si="39"/>
        <v>5</v>
      </c>
      <c r="T39" s="51">
        <f t="shared" si="39"/>
        <v>5</v>
      </c>
      <c r="U39" s="51">
        <f t="shared" si="39"/>
        <v>5</v>
      </c>
      <c r="V39" s="51">
        <f t="shared" si="39"/>
        <v>5</v>
      </c>
      <c r="W39" s="51">
        <f t="shared" si="39"/>
        <v>0</v>
      </c>
      <c r="X39" s="51">
        <f t="shared" si="39"/>
        <v>0</v>
      </c>
      <c r="Y39" s="51">
        <f t="shared" si="39"/>
        <v>0</v>
      </c>
      <c r="Z39" s="1"/>
      <c r="AA39" s="4">
        <v>1</v>
      </c>
      <c r="AB39" s="4">
        <v>32</v>
      </c>
      <c r="AC39" s="4">
        <v>15</v>
      </c>
      <c r="AD39" s="4">
        <v>4</v>
      </c>
      <c r="AE39" s="4">
        <v>4</v>
      </c>
      <c r="AF39" s="4">
        <v>400</v>
      </c>
      <c r="AG39" s="3"/>
      <c r="AH39" s="8">
        <v>34</v>
      </c>
      <c r="AI39" s="8">
        <v>34</v>
      </c>
      <c r="AJ39" s="8" t="s">
        <v>44</v>
      </c>
      <c r="AK39" s="8">
        <v>400</v>
      </c>
      <c r="AL39" s="8">
        <v>5</v>
      </c>
      <c r="AM39" s="8">
        <v>2.4285714285714201E-3</v>
      </c>
      <c r="AN39" s="8">
        <v>30.6</v>
      </c>
      <c r="AO39" s="8">
        <v>1</v>
      </c>
      <c r="AP39" s="8">
        <v>100</v>
      </c>
      <c r="AQ39" s="8">
        <v>0.03</v>
      </c>
      <c r="AR39" s="8">
        <v>2</v>
      </c>
      <c r="AS39" s="8">
        <v>1</v>
      </c>
      <c r="AT39" s="8">
        <v>0</v>
      </c>
      <c r="AU39" s="8" t="s">
        <v>41</v>
      </c>
      <c r="AV39" s="3">
        <f>IF(AU38=AU39,AV38,MAX(AV$4:AV38)+1)</f>
        <v>4</v>
      </c>
      <c r="AW39" s="3"/>
      <c r="AX39" s="4">
        <v>34</v>
      </c>
      <c r="AY39" s="4">
        <v>34</v>
      </c>
      <c r="AZ39" s="19">
        <v>33</v>
      </c>
      <c r="BA39" s="19">
        <v>-35</v>
      </c>
      <c r="BB39" s="19"/>
      <c r="BC39" s="1"/>
      <c r="BD39" s="3">
        <v>1</v>
      </c>
      <c r="BE39" s="3">
        <v>35</v>
      </c>
      <c r="BF39" s="3">
        <v>18</v>
      </c>
      <c r="BG39" s="3">
        <v>28</v>
      </c>
      <c r="BH39" s="49" t="str">
        <f t="shared" si="3"/>
        <v>18,35</v>
      </c>
      <c r="BI39" s="1"/>
      <c r="BJ39" s="13">
        <f t="shared" si="37"/>
        <v>35</v>
      </c>
      <c r="BK39" s="10">
        <f t="shared" si="5"/>
        <v>1</v>
      </c>
      <c r="BL39" s="10">
        <f t="shared" si="6"/>
        <v>35</v>
      </c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</row>
    <row r="40" spans="1:88" x14ac:dyDescent="0.25">
      <c r="A40" s="1"/>
      <c r="B40" s="18"/>
      <c r="C40" s="51">
        <f t="shared" ref="C40:Y40" si="40">IF(ISNUMBER(MATCH(C83,$BH$5:$BH$4000,0)),$BH$4,$BH$3)</f>
        <v>0</v>
      </c>
      <c r="D40" s="51">
        <f t="shared" si="40"/>
        <v>0</v>
      </c>
      <c r="E40" s="51">
        <f t="shared" si="40"/>
        <v>0</v>
      </c>
      <c r="F40" s="51">
        <f t="shared" si="40"/>
        <v>0</v>
      </c>
      <c r="G40" s="51">
        <f t="shared" si="40"/>
        <v>0</v>
      </c>
      <c r="H40" s="51">
        <f t="shared" si="40"/>
        <v>0</v>
      </c>
      <c r="I40" s="51">
        <f t="shared" si="40"/>
        <v>0</v>
      </c>
      <c r="J40" s="51">
        <f t="shared" si="40"/>
        <v>0</v>
      </c>
      <c r="K40" s="51">
        <f t="shared" si="40"/>
        <v>0</v>
      </c>
      <c r="L40" s="51">
        <f t="shared" si="40"/>
        <v>0</v>
      </c>
      <c r="M40" s="51">
        <f t="shared" si="40"/>
        <v>0</v>
      </c>
      <c r="N40" s="51">
        <f t="shared" si="40"/>
        <v>0</v>
      </c>
      <c r="O40" s="51">
        <f t="shared" si="40"/>
        <v>0</v>
      </c>
      <c r="P40" s="51">
        <f t="shared" si="40"/>
        <v>0</v>
      </c>
      <c r="Q40" s="51">
        <f t="shared" si="40"/>
        <v>0</v>
      </c>
      <c r="R40" s="51">
        <f t="shared" si="40"/>
        <v>0</v>
      </c>
      <c r="S40" s="51">
        <f t="shared" si="40"/>
        <v>0</v>
      </c>
      <c r="T40" s="51">
        <f t="shared" si="40"/>
        <v>0</v>
      </c>
      <c r="U40" s="51">
        <f t="shared" si="40"/>
        <v>0</v>
      </c>
      <c r="V40" s="51">
        <f t="shared" si="40"/>
        <v>0</v>
      </c>
      <c r="W40" s="51">
        <f t="shared" si="40"/>
        <v>5</v>
      </c>
      <c r="X40" s="51">
        <f t="shared" si="40"/>
        <v>5</v>
      </c>
      <c r="Y40" s="51">
        <f t="shared" si="40"/>
        <v>5</v>
      </c>
      <c r="Z40" s="1"/>
      <c r="AA40" s="4">
        <v>1</v>
      </c>
      <c r="AB40" s="4">
        <v>33</v>
      </c>
      <c r="AC40" s="4">
        <v>15</v>
      </c>
      <c r="AD40" s="4">
        <v>4</v>
      </c>
      <c r="AE40" s="4">
        <v>5</v>
      </c>
      <c r="AF40" s="4">
        <v>400</v>
      </c>
      <c r="AG40" s="3"/>
      <c r="AH40" s="8">
        <v>35</v>
      </c>
      <c r="AI40" s="8">
        <v>35</v>
      </c>
      <c r="AJ40" s="8" t="s">
        <v>45</v>
      </c>
      <c r="AK40" s="8">
        <v>400</v>
      </c>
      <c r="AL40" s="8">
        <v>5</v>
      </c>
      <c r="AM40" s="8">
        <v>2.4285714285714201E-3</v>
      </c>
      <c r="AN40" s="8">
        <v>29.628571428571401</v>
      </c>
      <c r="AO40" s="8">
        <v>1</v>
      </c>
      <c r="AP40" s="8">
        <v>100</v>
      </c>
      <c r="AQ40" s="8">
        <v>0.03</v>
      </c>
      <c r="AR40" s="8">
        <v>2</v>
      </c>
      <c r="AS40" s="8">
        <v>1</v>
      </c>
      <c r="AT40" s="8">
        <v>0</v>
      </c>
      <c r="AU40" s="8" t="s">
        <v>41</v>
      </c>
      <c r="AV40" s="3">
        <f>IF(AU39=AU40,AV39,MAX(AV$4:AV39)+1)</f>
        <v>4</v>
      </c>
      <c r="AW40" s="3"/>
      <c r="AX40" s="4">
        <v>35</v>
      </c>
      <c r="AY40" s="4">
        <v>35</v>
      </c>
      <c r="AZ40" s="19">
        <v>34</v>
      </c>
      <c r="BA40" s="19">
        <v>-36</v>
      </c>
      <c r="BB40" s="19"/>
      <c r="BC40" s="1"/>
      <c r="BD40" s="3">
        <v>1</v>
      </c>
      <c r="BE40" s="3">
        <v>35</v>
      </c>
      <c r="BF40" s="3">
        <v>19</v>
      </c>
      <c r="BG40" s="3">
        <v>28</v>
      </c>
      <c r="BH40" s="49" t="str">
        <f t="shared" si="3"/>
        <v>19,35</v>
      </c>
      <c r="BI40" s="1"/>
      <c r="BJ40" s="13">
        <f t="shared" si="37"/>
        <v>36</v>
      </c>
      <c r="BK40" s="10">
        <f t="shared" si="5"/>
        <v>1</v>
      </c>
      <c r="BL40" s="10">
        <f t="shared" si="6"/>
        <v>36</v>
      </c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</row>
    <row r="41" spans="1:88" x14ac:dyDescent="0.25">
      <c r="A41" s="1"/>
      <c r="B41" s="1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1"/>
      <c r="AA41" s="4">
        <v>1</v>
      </c>
      <c r="AB41" s="4">
        <v>34</v>
      </c>
      <c r="AC41" s="4">
        <v>15</v>
      </c>
      <c r="AD41" s="4">
        <v>4</v>
      </c>
      <c r="AE41" s="4">
        <v>6</v>
      </c>
      <c r="AF41" s="4">
        <v>400</v>
      </c>
      <c r="AG41" s="3"/>
      <c r="AH41" s="8">
        <v>36</v>
      </c>
      <c r="AI41" s="8">
        <v>36</v>
      </c>
      <c r="AJ41" s="8" t="s">
        <v>46</v>
      </c>
      <c r="AK41" s="8">
        <v>400</v>
      </c>
      <c r="AL41" s="8">
        <v>5</v>
      </c>
      <c r="AM41" s="8">
        <v>2.4285714285714201E-3</v>
      </c>
      <c r="AN41" s="8">
        <v>28.657142857142802</v>
      </c>
      <c r="AO41" s="8">
        <v>1</v>
      </c>
      <c r="AP41" s="8">
        <v>100</v>
      </c>
      <c r="AQ41" s="8">
        <v>0.03</v>
      </c>
      <c r="AR41" s="8">
        <v>2</v>
      </c>
      <c r="AS41" s="8">
        <v>1</v>
      </c>
      <c r="AT41" s="8">
        <v>0</v>
      </c>
      <c r="AU41" s="8" t="s">
        <v>41</v>
      </c>
      <c r="AV41" s="3">
        <f>IF(AU40=AU41,AV40,MAX(AV$4:AV40)+1)</f>
        <v>4</v>
      </c>
      <c r="AW41" s="3"/>
      <c r="AX41" s="4">
        <v>36</v>
      </c>
      <c r="AY41" s="4">
        <v>36</v>
      </c>
      <c r="AZ41" s="19">
        <v>35</v>
      </c>
      <c r="BA41" s="19">
        <v>-37</v>
      </c>
      <c r="BB41" s="19"/>
      <c r="BC41" s="1"/>
      <c r="BD41" s="3">
        <v>1</v>
      </c>
      <c r="BE41" s="3">
        <v>35</v>
      </c>
      <c r="BF41" s="3">
        <v>20</v>
      </c>
      <c r="BG41" s="3">
        <v>28</v>
      </c>
      <c r="BH41" s="49" t="str">
        <f t="shared" si="3"/>
        <v>20,35</v>
      </c>
      <c r="BI41" s="1"/>
      <c r="BJ41" s="13">
        <f t="shared" si="37"/>
        <v>37</v>
      </c>
      <c r="BK41" s="10">
        <f t="shared" si="5"/>
        <v>2</v>
      </c>
      <c r="BL41" s="10">
        <f t="shared" si="6"/>
        <v>1</v>
      </c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</row>
    <row r="42" spans="1:88" x14ac:dyDescent="0.25">
      <c r="A42" s="1"/>
      <c r="B42" s="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1"/>
      <c r="AA42" s="4">
        <v>1</v>
      </c>
      <c r="AB42" s="4">
        <v>35</v>
      </c>
      <c r="AC42" s="4">
        <v>15</v>
      </c>
      <c r="AD42" s="4">
        <v>4</v>
      </c>
      <c r="AE42" s="4">
        <v>7</v>
      </c>
      <c r="AF42" s="4">
        <v>400</v>
      </c>
      <c r="AG42" s="3"/>
      <c r="AH42" s="8">
        <v>37</v>
      </c>
      <c r="AI42" s="8">
        <v>37</v>
      </c>
      <c r="AJ42" s="8" t="s">
        <v>47</v>
      </c>
      <c r="AK42" s="8">
        <v>400</v>
      </c>
      <c r="AL42" s="8">
        <v>5</v>
      </c>
      <c r="AM42" s="8">
        <v>2.4285714285714201E-3</v>
      </c>
      <c r="AN42" s="8">
        <v>27.685714285714202</v>
      </c>
      <c r="AO42" s="8">
        <v>1</v>
      </c>
      <c r="AP42" s="8">
        <v>100</v>
      </c>
      <c r="AQ42" s="8">
        <v>0.03</v>
      </c>
      <c r="AR42" s="8">
        <v>1</v>
      </c>
      <c r="AS42" s="8">
        <v>1</v>
      </c>
      <c r="AT42" s="8">
        <v>0</v>
      </c>
      <c r="AU42" s="8" t="s">
        <v>41</v>
      </c>
      <c r="AV42" s="3">
        <f>IF(AU41=AU42,AV41,MAX(AV$4:AV41)+1)</f>
        <v>4</v>
      </c>
      <c r="AW42" s="3"/>
      <c r="AX42" s="4">
        <v>37</v>
      </c>
      <c r="AY42" s="4">
        <v>37</v>
      </c>
      <c r="AZ42" s="19">
        <v>36</v>
      </c>
      <c r="BA42" s="19"/>
      <c r="BB42" s="19"/>
      <c r="BC42" s="1"/>
      <c r="BD42" s="3">
        <v>1</v>
      </c>
      <c r="BE42" s="3">
        <v>36</v>
      </c>
      <c r="BF42" s="3">
        <v>21</v>
      </c>
      <c r="BG42" s="3">
        <v>28</v>
      </c>
      <c r="BH42" s="49" t="str">
        <f t="shared" si="3"/>
        <v>21,36</v>
      </c>
      <c r="BI42" s="1"/>
      <c r="BJ42" s="13">
        <f t="shared" si="37"/>
        <v>38</v>
      </c>
      <c r="BK42" s="10">
        <f t="shared" si="5"/>
        <v>2</v>
      </c>
      <c r="BL42" s="10">
        <f t="shared" si="6"/>
        <v>2</v>
      </c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</row>
    <row r="43" spans="1:88" x14ac:dyDescent="0.25">
      <c r="A43" s="1"/>
      <c r="B43" s="1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1"/>
      <c r="BD43" s="3">
        <v>1</v>
      </c>
      <c r="BE43" s="3">
        <v>36</v>
      </c>
      <c r="BF43" s="3">
        <v>22</v>
      </c>
      <c r="BG43" s="3">
        <v>28</v>
      </c>
      <c r="BH43" s="49" t="str">
        <f t="shared" si="3"/>
        <v>22,36</v>
      </c>
      <c r="BI43" s="1"/>
      <c r="BJ43" s="13">
        <f t="shared" si="37"/>
        <v>39</v>
      </c>
      <c r="BK43" s="10">
        <f t="shared" si="5"/>
        <v>2</v>
      </c>
      <c r="BL43" s="10">
        <f t="shared" si="6"/>
        <v>3</v>
      </c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</row>
    <row r="44" spans="1:88" x14ac:dyDescent="0.25">
      <c r="A44" s="1"/>
      <c r="B44" s="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1"/>
      <c r="AA44" s="3"/>
      <c r="AB44" s="3"/>
      <c r="AC44" s="3"/>
      <c r="AD44" s="3"/>
      <c r="AE44" s="3"/>
      <c r="AF44" s="3">
        <f>COUNT(C40:Y40)</f>
        <v>23</v>
      </c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1"/>
      <c r="BD44" s="3">
        <v>1</v>
      </c>
      <c r="BE44" s="3">
        <v>36</v>
      </c>
      <c r="BF44" s="3">
        <v>23</v>
      </c>
      <c r="BG44" s="3">
        <v>28</v>
      </c>
      <c r="BH44" s="49" t="str">
        <f t="shared" si="3"/>
        <v>23,36</v>
      </c>
      <c r="BI44" s="1"/>
      <c r="BJ44" s="13">
        <f t="shared" si="37"/>
        <v>40</v>
      </c>
      <c r="BK44" s="10">
        <f t="shared" si="5"/>
        <v>2</v>
      </c>
      <c r="BL44" s="10">
        <f t="shared" si="6"/>
        <v>4</v>
      </c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</row>
    <row r="45" spans="1:88" x14ac:dyDescent="0.25">
      <c r="A45" s="1"/>
      <c r="B45" s="1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1"/>
      <c r="AA45" s="3"/>
      <c r="AB45" s="3"/>
      <c r="AC45" s="3"/>
      <c r="AD45" s="3"/>
      <c r="AE45" s="3"/>
      <c r="AF45" s="3">
        <f>COUNT(Y5:Y40)</f>
        <v>36</v>
      </c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1"/>
      <c r="BD45" s="3">
        <v>2</v>
      </c>
      <c r="BE45" s="3">
        <v>1</v>
      </c>
      <c r="BF45" s="3">
        <v>4</v>
      </c>
      <c r="BG45" s="3">
        <v>50</v>
      </c>
      <c r="BH45" s="49" t="str">
        <f t="shared" si="3"/>
        <v>4,1</v>
      </c>
      <c r="BI45" s="1"/>
      <c r="BJ45" s="13">
        <f t="shared" si="37"/>
        <v>41</v>
      </c>
      <c r="BK45" s="10">
        <f t="shared" si="5"/>
        <v>2</v>
      </c>
      <c r="BL45" s="10">
        <f t="shared" si="6"/>
        <v>5</v>
      </c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</row>
    <row r="46" spans="1:88" x14ac:dyDescent="0.25">
      <c r="A46" s="1"/>
      <c r="B46" s="35">
        <f>COUNT('a1'!#REF!)</f>
        <v>0</v>
      </c>
      <c r="C46" s="35">
        <f t="shared" ref="C46:L46" si="41">IF(ISNUMBER(C47),B46+1,"")</f>
        <v>1</v>
      </c>
      <c r="D46" s="35">
        <f t="shared" si="41"/>
        <v>2</v>
      </c>
      <c r="E46" s="35">
        <f t="shared" si="41"/>
        <v>3</v>
      </c>
      <c r="F46" s="35">
        <f t="shared" si="41"/>
        <v>4</v>
      </c>
      <c r="G46" s="35">
        <f t="shared" si="41"/>
        <v>5</v>
      </c>
      <c r="H46" s="35">
        <f t="shared" si="41"/>
        <v>6</v>
      </c>
      <c r="I46" s="35">
        <f t="shared" si="41"/>
        <v>7</v>
      </c>
      <c r="J46" s="35">
        <f t="shared" si="41"/>
        <v>8</v>
      </c>
      <c r="K46" s="35">
        <f t="shared" si="41"/>
        <v>9</v>
      </c>
      <c r="L46" s="35">
        <f t="shared" si="41"/>
        <v>10</v>
      </c>
      <c r="M46" s="35">
        <f t="shared" ref="M46:Y46" si="42">IF(ISNUMBER(M47),L46+1,"")</f>
        <v>11</v>
      </c>
      <c r="N46" s="35">
        <f t="shared" si="42"/>
        <v>12</v>
      </c>
      <c r="O46" s="35">
        <f t="shared" si="42"/>
        <v>13</v>
      </c>
      <c r="P46" s="35">
        <f t="shared" si="42"/>
        <v>14</v>
      </c>
      <c r="Q46" s="35">
        <f t="shared" si="42"/>
        <v>15</v>
      </c>
      <c r="R46" s="35">
        <f t="shared" si="42"/>
        <v>16</v>
      </c>
      <c r="S46" s="35">
        <f t="shared" si="42"/>
        <v>17</v>
      </c>
      <c r="T46" s="35">
        <f t="shared" si="42"/>
        <v>18</v>
      </c>
      <c r="U46" s="35">
        <f t="shared" si="42"/>
        <v>19</v>
      </c>
      <c r="V46" s="35">
        <f t="shared" si="42"/>
        <v>20</v>
      </c>
      <c r="W46" s="35">
        <f t="shared" si="42"/>
        <v>21</v>
      </c>
      <c r="X46" s="35">
        <f t="shared" si="42"/>
        <v>22</v>
      </c>
      <c r="Y46" s="35">
        <f t="shared" si="42"/>
        <v>23</v>
      </c>
      <c r="Z46" s="1"/>
      <c r="AA46" s="3"/>
      <c r="AB46" s="3"/>
      <c r="AC46" s="3"/>
      <c r="AD46" s="3"/>
      <c r="AE46" s="3"/>
      <c r="AF46" s="3">
        <f>AF45*AF44</f>
        <v>828</v>
      </c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1"/>
      <c r="BD46" s="3">
        <v>2</v>
      </c>
      <c r="BE46" s="3">
        <v>1</v>
      </c>
      <c r="BF46" s="3">
        <v>5</v>
      </c>
      <c r="BG46" s="3">
        <v>50</v>
      </c>
      <c r="BH46" s="49" t="str">
        <f t="shared" si="3"/>
        <v>5,1</v>
      </c>
      <c r="BI46" s="1"/>
      <c r="BJ46" s="13">
        <f t="shared" si="37"/>
        <v>42</v>
      </c>
      <c r="BK46" s="10">
        <f t="shared" si="5"/>
        <v>2</v>
      </c>
      <c r="BL46" s="10">
        <f t="shared" si="6"/>
        <v>6</v>
      </c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</row>
    <row r="47" spans="1:88" x14ac:dyDescent="0.25">
      <c r="A47" s="1"/>
      <c r="B47" s="35">
        <f>COUNT('a1'!#REF!)</f>
        <v>0</v>
      </c>
      <c r="C47" s="35">
        <f>ROW()</f>
        <v>47</v>
      </c>
      <c r="D47" s="35">
        <f>ROW()</f>
        <v>47</v>
      </c>
      <c r="E47" s="35">
        <f>ROW()</f>
        <v>47</v>
      </c>
      <c r="F47" s="35">
        <f>ROW()</f>
        <v>47</v>
      </c>
      <c r="G47" s="35">
        <f>ROW()</f>
        <v>47</v>
      </c>
      <c r="H47" s="35">
        <f>ROW()</f>
        <v>47</v>
      </c>
      <c r="I47" s="35">
        <f>ROW()</f>
        <v>47</v>
      </c>
      <c r="J47" s="35">
        <f>ROW()</f>
        <v>47</v>
      </c>
      <c r="K47" s="35">
        <f>ROW()</f>
        <v>47</v>
      </c>
      <c r="L47" s="35">
        <f>ROW()</f>
        <v>47</v>
      </c>
      <c r="M47" s="35">
        <f>ROW()</f>
        <v>47</v>
      </c>
      <c r="N47" s="35">
        <f>ROW()</f>
        <v>47</v>
      </c>
      <c r="O47" s="35">
        <f>ROW()</f>
        <v>47</v>
      </c>
      <c r="P47" s="35">
        <f>ROW()</f>
        <v>47</v>
      </c>
      <c r="Q47" s="35">
        <f>ROW()</f>
        <v>47</v>
      </c>
      <c r="R47" s="35">
        <f>ROW()</f>
        <v>47</v>
      </c>
      <c r="S47" s="35">
        <f>ROW()</f>
        <v>47</v>
      </c>
      <c r="T47" s="35">
        <f>ROW()</f>
        <v>47</v>
      </c>
      <c r="U47" s="35">
        <f>ROW()</f>
        <v>47</v>
      </c>
      <c r="V47" s="35">
        <f>ROW()</f>
        <v>47</v>
      </c>
      <c r="W47" s="35">
        <f>ROW()</f>
        <v>47</v>
      </c>
      <c r="X47" s="35">
        <f>ROW()</f>
        <v>47</v>
      </c>
      <c r="Y47" s="35">
        <f>ROW()</f>
        <v>47</v>
      </c>
      <c r="Z47" s="1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1"/>
      <c r="BD47" s="3">
        <v>2</v>
      </c>
      <c r="BE47" s="3">
        <v>1</v>
      </c>
      <c r="BF47" s="3">
        <v>6</v>
      </c>
      <c r="BG47" s="3">
        <v>50</v>
      </c>
      <c r="BH47" s="49" t="str">
        <f t="shared" si="3"/>
        <v>6,1</v>
      </c>
      <c r="BI47" s="1"/>
      <c r="BJ47" s="13">
        <f t="shared" si="37"/>
        <v>43</v>
      </c>
      <c r="BK47" s="10">
        <f t="shared" si="5"/>
        <v>2</v>
      </c>
      <c r="BL47" s="10">
        <f t="shared" si="6"/>
        <v>7</v>
      </c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</row>
    <row r="48" spans="1:88" x14ac:dyDescent="0.25">
      <c r="A48" s="1"/>
      <c r="B48" s="35">
        <f>COLUMN()</f>
        <v>2</v>
      </c>
      <c r="C48" s="82" t="str">
        <f t="shared" ref="C48:L62" si="43">_xlfn.CONCAT(COLUMN()-$B48,",",ROW()-C$47)</f>
        <v>1,1</v>
      </c>
      <c r="D48" s="82" t="str">
        <f t="shared" si="43"/>
        <v>2,1</v>
      </c>
      <c r="E48" s="82" t="str">
        <f t="shared" si="43"/>
        <v>3,1</v>
      </c>
      <c r="F48" s="82" t="str">
        <f t="shared" si="43"/>
        <v>4,1</v>
      </c>
      <c r="G48" s="82" t="str">
        <f t="shared" si="43"/>
        <v>5,1</v>
      </c>
      <c r="H48" s="82" t="str">
        <f t="shared" si="43"/>
        <v>6,1</v>
      </c>
      <c r="I48" s="82" t="str">
        <f t="shared" si="43"/>
        <v>7,1</v>
      </c>
      <c r="J48" s="82" t="str">
        <f t="shared" si="43"/>
        <v>8,1</v>
      </c>
      <c r="K48" s="82" t="str">
        <f t="shared" si="43"/>
        <v>9,1</v>
      </c>
      <c r="L48" s="82" t="str">
        <f t="shared" si="43"/>
        <v>10,1</v>
      </c>
      <c r="M48" s="82" t="str">
        <f t="shared" ref="M48:Y63" si="44">_xlfn.CONCAT(COLUMN()-$B48,",",ROW()-M$47)</f>
        <v>11,1</v>
      </c>
      <c r="N48" s="82" t="str">
        <f t="shared" si="44"/>
        <v>12,1</v>
      </c>
      <c r="O48" s="82" t="str">
        <f t="shared" si="44"/>
        <v>13,1</v>
      </c>
      <c r="P48" s="82" t="str">
        <f t="shared" si="44"/>
        <v>14,1</v>
      </c>
      <c r="Q48" s="82" t="str">
        <f t="shared" si="44"/>
        <v>15,1</v>
      </c>
      <c r="R48" s="82" t="str">
        <f t="shared" si="44"/>
        <v>16,1</v>
      </c>
      <c r="S48" s="82" t="str">
        <f t="shared" si="44"/>
        <v>17,1</v>
      </c>
      <c r="T48" s="82" t="str">
        <f t="shared" si="44"/>
        <v>18,1</v>
      </c>
      <c r="U48" s="82" t="str">
        <f t="shared" si="44"/>
        <v>19,1</v>
      </c>
      <c r="V48" s="82" t="str">
        <f t="shared" si="44"/>
        <v>20,1</v>
      </c>
      <c r="W48" s="82" t="str">
        <f t="shared" si="44"/>
        <v>21,1</v>
      </c>
      <c r="X48" s="82" t="str">
        <f t="shared" si="44"/>
        <v>22,1</v>
      </c>
      <c r="Y48" s="82" t="str">
        <f t="shared" si="44"/>
        <v>23,1</v>
      </c>
      <c r="Z48" s="1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1"/>
      <c r="BD48" s="3">
        <v>2</v>
      </c>
      <c r="BE48" s="3">
        <v>1</v>
      </c>
      <c r="BF48" s="3">
        <v>7</v>
      </c>
      <c r="BG48" s="3">
        <v>50</v>
      </c>
      <c r="BH48" s="49" t="str">
        <f t="shared" si="3"/>
        <v>7,1</v>
      </c>
      <c r="BI48" s="1"/>
      <c r="BJ48" s="13">
        <f t="shared" si="37"/>
        <v>44</v>
      </c>
      <c r="BK48" s="10">
        <f t="shared" si="5"/>
        <v>2</v>
      </c>
      <c r="BL48" s="10">
        <f t="shared" si="6"/>
        <v>8</v>
      </c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</row>
    <row r="49" spans="1:88" x14ac:dyDescent="0.25">
      <c r="A49" s="1"/>
      <c r="B49" s="35">
        <f>COLUMN()</f>
        <v>2</v>
      </c>
      <c r="C49" s="82" t="str">
        <f t="shared" si="43"/>
        <v>1,2</v>
      </c>
      <c r="D49" s="82" t="str">
        <f t="shared" si="43"/>
        <v>2,2</v>
      </c>
      <c r="E49" s="82" t="str">
        <f t="shared" si="43"/>
        <v>3,2</v>
      </c>
      <c r="F49" s="82" t="str">
        <f t="shared" si="43"/>
        <v>4,2</v>
      </c>
      <c r="G49" s="82" t="str">
        <f t="shared" si="43"/>
        <v>5,2</v>
      </c>
      <c r="H49" s="82" t="str">
        <f t="shared" si="43"/>
        <v>6,2</v>
      </c>
      <c r="I49" s="82" t="str">
        <f t="shared" si="43"/>
        <v>7,2</v>
      </c>
      <c r="J49" s="82" t="str">
        <f t="shared" si="43"/>
        <v>8,2</v>
      </c>
      <c r="K49" s="82" t="str">
        <f t="shared" si="43"/>
        <v>9,2</v>
      </c>
      <c r="L49" s="82" t="str">
        <f t="shared" si="43"/>
        <v>10,2</v>
      </c>
      <c r="M49" s="82" t="str">
        <f t="shared" si="44"/>
        <v>11,2</v>
      </c>
      <c r="N49" s="82" t="str">
        <f t="shared" si="44"/>
        <v>12,2</v>
      </c>
      <c r="O49" s="82" t="str">
        <f t="shared" si="44"/>
        <v>13,2</v>
      </c>
      <c r="P49" s="82" t="str">
        <f t="shared" si="44"/>
        <v>14,2</v>
      </c>
      <c r="Q49" s="82" t="str">
        <f t="shared" si="44"/>
        <v>15,2</v>
      </c>
      <c r="R49" s="82" t="str">
        <f t="shared" si="44"/>
        <v>16,2</v>
      </c>
      <c r="S49" s="82" t="str">
        <f t="shared" si="44"/>
        <v>17,2</v>
      </c>
      <c r="T49" s="82" t="str">
        <f t="shared" si="44"/>
        <v>18,2</v>
      </c>
      <c r="U49" s="82" t="str">
        <f t="shared" si="44"/>
        <v>19,2</v>
      </c>
      <c r="V49" s="82" t="str">
        <f t="shared" si="44"/>
        <v>20,2</v>
      </c>
      <c r="W49" s="82" t="str">
        <f t="shared" si="44"/>
        <v>21,2</v>
      </c>
      <c r="X49" s="82" t="str">
        <f t="shared" si="44"/>
        <v>22,2</v>
      </c>
      <c r="Y49" s="82" t="str">
        <f t="shared" si="44"/>
        <v>23,2</v>
      </c>
      <c r="Z49" s="1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1"/>
      <c r="BD49" s="3">
        <v>2</v>
      </c>
      <c r="BE49" s="3">
        <v>1</v>
      </c>
      <c r="BF49" s="3">
        <v>8</v>
      </c>
      <c r="BG49" s="3">
        <v>50</v>
      </c>
      <c r="BH49" s="49" t="str">
        <f t="shared" si="3"/>
        <v>8,1</v>
      </c>
      <c r="BI49" s="1"/>
      <c r="BJ49" s="13">
        <f t="shared" si="37"/>
        <v>45</v>
      </c>
      <c r="BK49" s="10">
        <f t="shared" si="5"/>
        <v>2</v>
      </c>
      <c r="BL49" s="10">
        <f t="shared" si="6"/>
        <v>9</v>
      </c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</row>
    <row r="50" spans="1:88" x14ac:dyDescent="0.25">
      <c r="A50" s="1"/>
      <c r="B50" s="35">
        <f>COLUMN()</f>
        <v>2</v>
      </c>
      <c r="C50" s="82" t="str">
        <f t="shared" si="43"/>
        <v>1,3</v>
      </c>
      <c r="D50" s="82" t="str">
        <f t="shared" si="43"/>
        <v>2,3</v>
      </c>
      <c r="E50" s="82" t="str">
        <f t="shared" si="43"/>
        <v>3,3</v>
      </c>
      <c r="F50" s="82" t="str">
        <f t="shared" si="43"/>
        <v>4,3</v>
      </c>
      <c r="G50" s="82" t="str">
        <f t="shared" si="43"/>
        <v>5,3</v>
      </c>
      <c r="H50" s="82" t="str">
        <f t="shared" si="43"/>
        <v>6,3</v>
      </c>
      <c r="I50" s="82" t="str">
        <f t="shared" si="43"/>
        <v>7,3</v>
      </c>
      <c r="J50" s="82" t="str">
        <f t="shared" si="43"/>
        <v>8,3</v>
      </c>
      <c r="K50" s="82" t="str">
        <f t="shared" si="43"/>
        <v>9,3</v>
      </c>
      <c r="L50" s="82" t="str">
        <f t="shared" si="43"/>
        <v>10,3</v>
      </c>
      <c r="M50" s="82" t="str">
        <f t="shared" si="44"/>
        <v>11,3</v>
      </c>
      <c r="N50" s="82" t="str">
        <f t="shared" si="44"/>
        <v>12,3</v>
      </c>
      <c r="O50" s="82" t="str">
        <f t="shared" si="44"/>
        <v>13,3</v>
      </c>
      <c r="P50" s="82" t="str">
        <f t="shared" si="44"/>
        <v>14,3</v>
      </c>
      <c r="Q50" s="82" t="str">
        <f t="shared" si="44"/>
        <v>15,3</v>
      </c>
      <c r="R50" s="82" t="str">
        <f t="shared" si="44"/>
        <v>16,3</v>
      </c>
      <c r="S50" s="82" t="str">
        <f t="shared" si="44"/>
        <v>17,3</v>
      </c>
      <c r="T50" s="82" t="str">
        <f t="shared" si="44"/>
        <v>18,3</v>
      </c>
      <c r="U50" s="82" t="str">
        <f t="shared" si="44"/>
        <v>19,3</v>
      </c>
      <c r="V50" s="82" t="str">
        <f t="shared" si="44"/>
        <v>20,3</v>
      </c>
      <c r="W50" s="82" t="str">
        <f t="shared" si="44"/>
        <v>21,3</v>
      </c>
      <c r="X50" s="82" t="str">
        <f t="shared" si="44"/>
        <v>22,3</v>
      </c>
      <c r="Y50" s="82" t="str">
        <f t="shared" si="44"/>
        <v>23,3</v>
      </c>
      <c r="Z50" s="1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1"/>
      <c r="BD50" s="3">
        <v>2</v>
      </c>
      <c r="BE50" s="3">
        <v>1</v>
      </c>
      <c r="BF50" s="3">
        <v>9</v>
      </c>
      <c r="BG50" s="3">
        <v>50</v>
      </c>
      <c r="BH50" s="49" t="str">
        <f t="shared" si="3"/>
        <v>9,1</v>
      </c>
      <c r="BI50" s="1"/>
      <c r="BJ50" s="13">
        <f t="shared" si="37"/>
        <v>46</v>
      </c>
      <c r="BK50" s="10">
        <f t="shared" si="5"/>
        <v>2</v>
      </c>
      <c r="BL50" s="10">
        <f t="shared" si="6"/>
        <v>10</v>
      </c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</row>
    <row r="51" spans="1:88" x14ac:dyDescent="0.25">
      <c r="A51" s="1"/>
      <c r="B51" s="35">
        <f>COLUMN()</f>
        <v>2</v>
      </c>
      <c r="C51" s="82" t="str">
        <f t="shared" si="43"/>
        <v>1,4</v>
      </c>
      <c r="D51" s="82" t="str">
        <f t="shared" si="43"/>
        <v>2,4</v>
      </c>
      <c r="E51" s="82" t="str">
        <f t="shared" si="43"/>
        <v>3,4</v>
      </c>
      <c r="F51" s="82" t="str">
        <f t="shared" si="43"/>
        <v>4,4</v>
      </c>
      <c r="G51" s="82" t="str">
        <f t="shared" si="43"/>
        <v>5,4</v>
      </c>
      <c r="H51" s="82" t="str">
        <f t="shared" si="43"/>
        <v>6,4</v>
      </c>
      <c r="I51" s="82" t="str">
        <f t="shared" si="43"/>
        <v>7,4</v>
      </c>
      <c r="J51" s="82" t="str">
        <f t="shared" si="43"/>
        <v>8,4</v>
      </c>
      <c r="K51" s="82" t="str">
        <f t="shared" si="43"/>
        <v>9,4</v>
      </c>
      <c r="L51" s="82" t="str">
        <f t="shared" si="43"/>
        <v>10,4</v>
      </c>
      <c r="M51" s="82" t="str">
        <f t="shared" si="44"/>
        <v>11,4</v>
      </c>
      <c r="N51" s="82" t="str">
        <f t="shared" si="44"/>
        <v>12,4</v>
      </c>
      <c r="O51" s="82" t="str">
        <f t="shared" si="44"/>
        <v>13,4</v>
      </c>
      <c r="P51" s="82" t="str">
        <f t="shared" si="44"/>
        <v>14,4</v>
      </c>
      <c r="Q51" s="82" t="str">
        <f t="shared" si="44"/>
        <v>15,4</v>
      </c>
      <c r="R51" s="82" t="str">
        <f t="shared" si="44"/>
        <v>16,4</v>
      </c>
      <c r="S51" s="82" t="str">
        <f t="shared" si="44"/>
        <v>17,4</v>
      </c>
      <c r="T51" s="82" t="str">
        <f t="shared" si="44"/>
        <v>18,4</v>
      </c>
      <c r="U51" s="82" t="str">
        <f t="shared" si="44"/>
        <v>19,4</v>
      </c>
      <c r="V51" s="82" t="str">
        <f t="shared" si="44"/>
        <v>20,4</v>
      </c>
      <c r="W51" s="82" t="str">
        <f t="shared" si="44"/>
        <v>21,4</v>
      </c>
      <c r="X51" s="82" t="str">
        <f t="shared" si="44"/>
        <v>22,4</v>
      </c>
      <c r="Y51" s="82" t="str">
        <f t="shared" si="44"/>
        <v>23,4</v>
      </c>
      <c r="Z51" s="1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1"/>
      <c r="BD51" s="3">
        <v>2</v>
      </c>
      <c r="BE51" s="3">
        <v>1</v>
      </c>
      <c r="BF51" s="3">
        <v>10</v>
      </c>
      <c r="BG51" s="3">
        <v>50</v>
      </c>
      <c r="BH51" s="49" t="str">
        <f t="shared" si="3"/>
        <v>10,1</v>
      </c>
      <c r="BI51" s="1"/>
      <c r="BJ51" s="13">
        <f t="shared" si="37"/>
        <v>47</v>
      </c>
      <c r="BK51" s="10">
        <f t="shared" si="5"/>
        <v>2</v>
      </c>
      <c r="BL51" s="10">
        <f t="shared" si="6"/>
        <v>11</v>
      </c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</row>
    <row r="52" spans="1:88" x14ac:dyDescent="0.25">
      <c r="A52" s="1"/>
      <c r="B52" s="35">
        <f>COLUMN()</f>
        <v>2</v>
      </c>
      <c r="C52" s="82" t="str">
        <f t="shared" si="43"/>
        <v>1,5</v>
      </c>
      <c r="D52" s="82" t="str">
        <f t="shared" si="43"/>
        <v>2,5</v>
      </c>
      <c r="E52" s="82" t="str">
        <f t="shared" si="43"/>
        <v>3,5</v>
      </c>
      <c r="F52" s="82" t="str">
        <f t="shared" si="43"/>
        <v>4,5</v>
      </c>
      <c r="G52" s="82" t="str">
        <f t="shared" si="43"/>
        <v>5,5</v>
      </c>
      <c r="H52" s="82" t="str">
        <f t="shared" si="43"/>
        <v>6,5</v>
      </c>
      <c r="I52" s="82" t="str">
        <f t="shared" si="43"/>
        <v>7,5</v>
      </c>
      <c r="J52" s="82" t="str">
        <f t="shared" si="43"/>
        <v>8,5</v>
      </c>
      <c r="K52" s="82" t="str">
        <f t="shared" si="43"/>
        <v>9,5</v>
      </c>
      <c r="L52" s="82" t="str">
        <f t="shared" si="43"/>
        <v>10,5</v>
      </c>
      <c r="M52" s="82" t="str">
        <f t="shared" si="44"/>
        <v>11,5</v>
      </c>
      <c r="N52" s="82" t="str">
        <f t="shared" si="44"/>
        <v>12,5</v>
      </c>
      <c r="O52" s="82" t="str">
        <f t="shared" si="44"/>
        <v>13,5</v>
      </c>
      <c r="P52" s="82" t="str">
        <f t="shared" si="44"/>
        <v>14,5</v>
      </c>
      <c r="Q52" s="82" t="str">
        <f t="shared" si="44"/>
        <v>15,5</v>
      </c>
      <c r="R52" s="82" t="str">
        <f t="shared" si="44"/>
        <v>16,5</v>
      </c>
      <c r="S52" s="82" t="str">
        <f t="shared" si="44"/>
        <v>17,5</v>
      </c>
      <c r="T52" s="82" t="str">
        <f t="shared" si="44"/>
        <v>18,5</v>
      </c>
      <c r="U52" s="82" t="str">
        <f t="shared" si="44"/>
        <v>19,5</v>
      </c>
      <c r="V52" s="82" t="str">
        <f t="shared" si="44"/>
        <v>20,5</v>
      </c>
      <c r="W52" s="82" t="str">
        <f t="shared" si="44"/>
        <v>21,5</v>
      </c>
      <c r="X52" s="82" t="str">
        <f t="shared" si="44"/>
        <v>22,5</v>
      </c>
      <c r="Y52" s="82" t="str">
        <f t="shared" si="44"/>
        <v>23,5</v>
      </c>
      <c r="Z52" s="1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1"/>
      <c r="BD52" s="3">
        <v>2</v>
      </c>
      <c r="BE52" s="3">
        <v>1</v>
      </c>
      <c r="BF52" s="3">
        <v>11</v>
      </c>
      <c r="BG52" s="3">
        <v>50</v>
      </c>
      <c r="BH52" s="49" t="str">
        <f t="shared" si="3"/>
        <v>11,1</v>
      </c>
      <c r="BI52" s="1"/>
      <c r="BJ52" s="13">
        <f t="shared" si="37"/>
        <v>48</v>
      </c>
      <c r="BK52" s="10">
        <f t="shared" si="5"/>
        <v>2</v>
      </c>
      <c r="BL52" s="10">
        <f t="shared" si="6"/>
        <v>12</v>
      </c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</row>
    <row r="53" spans="1:88" x14ac:dyDescent="0.25">
      <c r="A53" s="1"/>
      <c r="B53" s="35">
        <f>COLUMN()</f>
        <v>2</v>
      </c>
      <c r="C53" s="82" t="str">
        <f t="shared" si="43"/>
        <v>1,6</v>
      </c>
      <c r="D53" s="82" t="str">
        <f t="shared" si="43"/>
        <v>2,6</v>
      </c>
      <c r="E53" s="82" t="str">
        <f t="shared" si="43"/>
        <v>3,6</v>
      </c>
      <c r="F53" s="82" t="str">
        <f t="shared" si="43"/>
        <v>4,6</v>
      </c>
      <c r="G53" s="82" t="str">
        <f t="shared" si="43"/>
        <v>5,6</v>
      </c>
      <c r="H53" s="82" t="str">
        <f t="shared" si="43"/>
        <v>6,6</v>
      </c>
      <c r="I53" s="82" t="str">
        <f t="shared" si="43"/>
        <v>7,6</v>
      </c>
      <c r="J53" s="82" t="str">
        <f t="shared" si="43"/>
        <v>8,6</v>
      </c>
      <c r="K53" s="82" t="str">
        <f t="shared" si="43"/>
        <v>9,6</v>
      </c>
      <c r="L53" s="82" t="str">
        <f t="shared" si="43"/>
        <v>10,6</v>
      </c>
      <c r="M53" s="82" t="str">
        <f t="shared" si="44"/>
        <v>11,6</v>
      </c>
      <c r="N53" s="82" t="str">
        <f t="shared" si="44"/>
        <v>12,6</v>
      </c>
      <c r="O53" s="82" t="str">
        <f t="shared" si="44"/>
        <v>13,6</v>
      </c>
      <c r="P53" s="82" t="str">
        <f t="shared" si="44"/>
        <v>14,6</v>
      </c>
      <c r="Q53" s="82" t="str">
        <f t="shared" si="44"/>
        <v>15,6</v>
      </c>
      <c r="R53" s="82" t="str">
        <f t="shared" si="44"/>
        <v>16,6</v>
      </c>
      <c r="S53" s="82" t="str">
        <f t="shared" si="44"/>
        <v>17,6</v>
      </c>
      <c r="T53" s="82" t="str">
        <f t="shared" si="44"/>
        <v>18,6</v>
      </c>
      <c r="U53" s="82" t="str">
        <f t="shared" si="44"/>
        <v>19,6</v>
      </c>
      <c r="V53" s="82" t="str">
        <f t="shared" si="44"/>
        <v>20,6</v>
      </c>
      <c r="W53" s="82" t="str">
        <f t="shared" si="44"/>
        <v>21,6</v>
      </c>
      <c r="X53" s="82" t="str">
        <f t="shared" si="44"/>
        <v>22,6</v>
      </c>
      <c r="Y53" s="82" t="str">
        <f t="shared" si="44"/>
        <v>23,6</v>
      </c>
      <c r="Z53" s="1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1"/>
      <c r="BD53" s="3">
        <v>2</v>
      </c>
      <c r="BE53" s="3">
        <v>1</v>
      </c>
      <c r="BF53" s="3">
        <v>12</v>
      </c>
      <c r="BG53" s="3">
        <v>50.1</v>
      </c>
      <c r="BH53" s="49" t="str">
        <f t="shared" si="3"/>
        <v>12,1</v>
      </c>
      <c r="BI53" s="1"/>
      <c r="BJ53" s="13">
        <f t="shared" si="37"/>
        <v>49</v>
      </c>
      <c r="BK53" s="10">
        <f t="shared" si="5"/>
        <v>2</v>
      </c>
      <c r="BL53" s="10">
        <f t="shared" si="6"/>
        <v>13</v>
      </c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</row>
    <row r="54" spans="1:88" x14ac:dyDescent="0.25">
      <c r="A54" s="1"/>
      <c r="B54" s="35">
        <f>COLUMN()</f>
        <v>2</v>
      </c>
      <c r="C54" s="82" t="str">
        <f t="shared" si="43"/>
        <v>1,7</v>
      </c>
      <c r="D54" s="82" t="str">
        <f t="shared" si="43"/>
        <v>2,7</v>
      </c>
      <c r="E54" s="82" t="str">
        <f t="shared" si="43"/>
        <v>3,7</v>
      </c>
      <c r="F54" s="82" t="str">
        <f t="shared" si="43"/>
        <v>4,7</v>
      </c>
      <c r="G54" s="82" t="str">
        <f t="shared" si="43"/>
        <v>5,7</v>
      </c>
      <c r="H54" s="82" t="str">
        <f t="shared" si="43"/>
        <v>6,7</v>
      </c>
      <c r="I54" s="82" t="str">
        <f t="shared" si="43"/>
        <v>7,7</v>
      </c>
      <c r="J54" s="82" t="str">
        <f t="shared" si="43"/>
        <v>8,7</v>
      </c>
      <c r="K54" s="82" t="str">
        <f t="shared" si="43"/>
        <v>9,7</v>
      </c>
      <c r="L54" s="82" t="str">
        <f t="shared" si="43"/>
        <v>10,7</v>
      </c>
      <c r="M54" s="82" t="str">
        <f t="shared" si="44"/>
        <v>11,7</v>
      </c>
      <c r="N54" s="82" t="str">
        <f t="shared" si="44"/>
        <v>12,7</v>
      </c>
      <c r="O54" s="82" t="str">
        <f t="shared" si="44"/>
        <v>13,7</v>
      </c>
      <c r="P54" s="82" t="str">
        <f t="shared" si="44"/>
        <v>14,7</v>
      </c>
      <c r="Q54" s="82" t="str">
        <f t="shared" si="44"/>
        <v>15,7</v>
      </c>
      <c r="R54" s="82" t="str">
        <f t="shared" si="44"/>
        <v>16,7</v>
      </c>
      <c r="S54" s="82" t="str">
        <f t="shared" si="44"/>
        <v>17,7</v>
      </c>
      <c r="T54" s="82" t="str">
        <f t="shared" si="44"/>
        <v>18,7</v>
      </c>
      <c r="U54" s="82" t="str">
        <f t="shared" si="44"/>
        <v>19,7</v>
      </c>
      <c r="V54" s="82" t="str">
        <f t="shared" si="44"/>
        <v>20,7</v>
      </c>
      <c r="W54" s="82" t="str">
        <f t="shared" si="44"/>
        <v>21,7</v>
      </c>
      <c r="X54" s="82" t="str">
        <f t="shared" si="44"/>
        <v>22,7</v>
      </c>
      <c r="Y54" s="82" t="str">
        <f t="shared" si="44"/>
        <v>23,7</v>
      </c>
      <c r="Z54" s="1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1"/>
      <c r="BD54" s="3">
        <v>2</v>
      </c>
      <c r="BE54" s="3">
        <v>1</v>
      </c>
      <c r="BF54" s="3">
        <v>13</v>
      </c>
      <c r="BG54" s="3">
        <v>50.15</v>
      </c>
      <c r="BH54" s="49" t="str">
        <f t="shared" si="3"/>
        <v>13,1</v>
      </c>
      <c r="BI54" s="1"/>
      <c r="BJ54" s="13">
        <f t="shared" si="37"/>
        <v>50</v>
      </c>
      <c r="BK54" s="10">
        <f t="shared" si="5"/>
        <v>2</v>
      </c>
      <c r="BL54" s="10">
        <f t="shared" si="6"/>
        <v>14</v>
      </c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</row>
    <row r="55" spans="1:88" x14ac:dyDescent="0.25">
      <c r="A55" s="1"/>
      <c r="B55" s="35">
        <f>COLUMN()</f>
        <v>2</v>
      </c>
      <c r="C55" s="82" t="str">
        <f t="shared" si="43"/>
        <v>1,8</v>
      </c>
      <c r="D55" s="82" t="str">
        <f t="shared" si="43"/>
        <v>2,8</v>
      </c>
      <c r="E55" s="82" t="str">
        <f t="shared" si="43"/>
        <v>3,8</v>
      </c>
      <c r="F55" s="82" t="str">
        <f t="shared" si="43"/>
        <v>4,8</v>
      </c>
      <c r="G55" s="82" t="str">
        <f t="shared" si="43"/>
        <v>5,8</v>
      </c>
      <c r="H55" s="82" t="str">
        <f t="shared" si="43"/>
        <v>6,8</v>
      </c>
      <c r="I55" s="82" t="str">
        <f t="shared" si="43"/>
        <v>7,8</v>
      </c>
      <c r="J55" s="82" t="str">
        <f t="shared" si="43"/>
        <v>8,8</v>
      </c>
      <c r="K55" s="82" t="str">
        <f t="shared" si="43"/>
        <v>9,8</v>
      </c>
      <c r="L55" s="82" t="str">
        <f t="shared" si="43"/>
        <v>10,8</v>
      </c>
      <c r="M55" s="82" t="str">
        <f t="shared" si="44"/>
        <v>11,8</v>
      </c>
      <c r="N55" s="82" t="str">
        <f t="shared" si="44"/>
        <v>12,8</v>
      </c>
      <c r="O55" s="82" t="str">
        <f t="shared" si="44"/>
        <v>13,8</v>
      </c>
      <c r="P55" s="82" t="str">
        <f t="shared" si="44"/>
        <v>14,8</v>
      </c>
      <c r="Q55" s="82" t="str">
        <f t="shared" si="44"/>
        <v>15,8</v>
      </c>
      <c r="R55" s="82" t="str">
        <f t="shared" si="44"/>
        <v>16,8</v>
      </c>
      <c r="S55" s="82" t="str">
        <f t="shared" si="44"/>
        <v>17,8</v>
      </c>
      <c r="T55" s="82" t="str">
        <f t="shared" si="44"/>
        <v>18,8</v>
      </c>
      <c r="U55" s="82" t="str">
        <f t="shared" si="44"/>
        <v>19,8</v>
      </c>
      <c r="V55" s="82" t="str">
        <f t="shared" si="44"/>
        <v>20,8</v>
      </c>
      <c r="W55" s="82" t="str">
        <f t="shared" si="44"/>
        <v>21,8</v>
      </c>
      <c r="X55" s="82" t="str">
        <f t="shared" si="44"/>
        <v>22,8</v>
      </c>
      <c r="Y55" s="82" t="str">
        <f t="shared" si="44"/>
        <v>23,8</v>
      </c>
      <c r="Z55" s="1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1"/>
      <c r="BD55" s="3">
        <v>2</v>
      </c>
      <c r="BE55" s="3">
        <v>1</v>
      </c>
      <c r="BF55" s="3">
        <v>14</v>
      </c>
      <c r="BG55" s="3">
        <v>50.15</v>
      </c>
      <c r="BH55" s="49" t="str">
        <f t="shared" si="3"/>
        <v>14,1</v>
      </c>
      <c r="BI55" s="1"/>
      <c r="BJ55" s="13">
        <f t="shared" si="37"/>
        <v>51</v>
      </c>
      <c r="BK55" s="10">
        <f t="shared" si="5"/>
        <v>2</v>
      </c>
      <c r="BL55" s="10">
        <f t="shared" si="6"/>
        <v>15</v>
      </c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</row>
    <row r="56" spans="1:88" x14ac:dyDescent="0.25">
      <c r="A56" s="1"/>
      <c r="B56" s="35">
        <f>COLUMN()</f>
        <v>2</v>
      </c>
      <c r="C56" s="82" t="str">
        <f t="shared" si="43"/>
        <v>1,9</v>
      </c>
      <c r="D56" s="82" t="str">
        <f t="shared" si="43"/>
        <v>2,9</v>
      </c>
      <c r="E56" s="82" t="str">
        <f t="shared" si="43"/>
        <v>3,9</v>
      </c>
      <c r="F56" s="82" t="str">
        <f t="shared" si="43"/>
        <v>4,9</v>
      </c>
      <c r="G56" s="82" t="str">
        <f t="shared" si="43"/>
        <v>5,9</v>
      </c>
      <c r="H56" s="82" t="str">
        <f t="shared" si="43"/>
        <v>6,9</v>
      </c>
      <c r="I56" s="82" t="str">
        <f t="shared" si="43"/>
        <v>7,9</v>
      </c>
      <c r="J56" s="82" t="str">
        <f t="shared" si="43"/>
        <v>8,9</v>
      </c>
      <c r="K56" s="82" t="str">
        <f t="shared" si="43"/>
        <v>9,9</v>
      </c>
      <c r="L56" s="82" t="str">
        <f t="shared" si="43"/>
        <v>10,9</v>
      </c>
      <c r="M56" s="82" t="str">
        <f t="shared" si="44"/>
        <v>11,9</v>
      </c>
      <c r="N56" s="82" t="str">
        <f t="shared" si="44"/>
        <v>12,9</v>
      </c>
      <c r="O56" s="82" t="str">
        <f t="shared" si="44"/>
        <v>13,9</v>
      </c>
      <c r="P56" s="82" t="str">
        <f t="shared" si="44"/>
        <v>14,9</v>
      </c>
      <c r="Q56" s="82" t="str">
        <f t="shared" si="44"/>
        <v>15,9</v>
      </c>
      <c r="R56" s="82" t="str">
        <f t="shared" si="44"/>
        <v>16,9</v>
      </c>
      <c r="S56" s="82" t="str">
        <f t="shared" si="44"/>
        <v>17,9</v>
      </c>
      <c r="T56" s="82" t="str">
        <f t="shared" si="44"/>
        <v>18,9</v>
      </c>
      <c r="U56" s="82" t="str">
        <f t="shared" si="44"/>
        <v>19,9</v>
      </c>
      <c r="V56" s="82" t="str">
        <f t="shared" si="44"/>
        <v>20,9</v>
      </c>
      <c r="W56" s="82" t="str">
        <f t="shared" si="44"/>
        <v>21,9</v>
      </c>
      <c r="X56" s="82" t="str">
        <f t="shared" si="44"/>
        <v>22,9</v>
      </c>
      <c r="Y56" s="82" t="str">
        <f t="shared" si="44"/>
        <v>23,9</v>
      </c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1"/>
      <c r="BD56" s="3">
        <v>2</v>
      </c>
      <c r="BE56" s="3">
        <v>1</v>
      </c>
      <c r="BF56" s="3">
        <v>15</v>
      </c>
      <c r="BG56" s="3">
        <v>50.1</v>
      </c>
      <c r="BH56" s="49" t="str">
        <f t="shared" si="3"/>
        <v>15,1</v>
      </c>
      <c r="BI56" s="1"/>
      <c r="BJ56" s="13">
        <f t="shared" si="37"/>
        <v>52</v>
      </c>
      <c r="BK56" s="10">
        <f t="shared" si="5"/>
        <v>2</v>
      </c>
      <c r="BL56" s="10">
        <f t="shared" si="6"/>
        <v>16</v>
      </c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25">
      <c r="A57" s="1"/>
      <c r="B57" s="35">
        <f>COLUMN()</f>
        <v>2</v>
      </c>
      <c r="C57" s="82" t="str">
        <f t="shared" si="43"/>
        <v>1,10</v>
      </c>
      <c r="D57" s="82" t="str">
        <f t="shared" si="43"/>
        <v>2,10</v>
      </c>
      <c r="E57" s="82" t="str">
        <f t="shared" si="43"/>
        <v>3,10</v>
      </c>
      <c r="F57" s="82" t="str">
        <f t="shared" si="43"/>
        <v>4,10</v>
      </c>
      <c r="G57" s="82" t="str">
        <f t="shared" si="43"/>
        <v>5,10</v>
      </c>
      <c r="H57" s="82" t="str">
        <f t="shared" si="43"/>
        <v>6,10</v>
      </c>
      <c r="I57" s="82" t="str">
        <f t="shared" si="43"/>
        <v>7,10</v>
      </c>
      <c r="J57" s="82" t="str">
        <f t="shared" si="43"/>
        <v>8,10</v>
      </c>
      <c r="K57" s="82" t="str">
        <f t="shared" si="43"/>
        <v>9,10</v>
      </c>
      <c r="L57" s="82" t="str">
        <f t="shared" si="43"/>
        <v>10,10</v>
      </c>
      <c r="M57" s="82" t="str">
        <f t="shared" si="44"/>
        <v>11,10</v>
      </c>
      <c r="N57" s="82" t="str">
        <f t="shared" si="44"/>
        <v>12,10</v>
      </c>
      <c r="O57" s="82" t="str">
        <f t="shared" si="44"/>
        <v>13,10</v>
      </c>
      <c r="P57" s="82" t="str">
        <f t="shared" si="44"/>
        <v>14,10</v>
      </c>
      <c r="Q57" s="82" t="str">
        <f t="shared" si="44"/>
        <v>15,10</v>
      </c>
      <c r="R57" s="82" t="str">
        <f t="shared" si="44"/>
        <v>16,10</v>
      </c>
      <c r="S57" s="82" t="str">
        <f t="shared" si="44"/>
        <v>17,10</v>
      </c>
      <c r="T57" s="82" t="str">
        <f t="shared" si="44"/>
        <v>18,10</v>
      </c>
      <c r="U57" s="82" t="str">
        <f t="shared" si="44"/>
        <v>19,10</v>
      </c>
      <c r="V57" s="82" t="str">
        <f t="shared" si="44"/>
        <v>20,10</v>
      </c>
      <c r="W57" s="82" t="str">
        <f t="shared" si="44"/>
        <v>21,10</v>
      </c>
      <c r="X57" s="82" t="str">
        <f t="shared" si="44"/>
        <v>22,10</v>
      </c>
      <c r="Y57" s="82" t="str">
        <f t="shared" si="44"/>
        <v>23,10</v>
      </c>
      <c r="Z57" s="1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1"/>
      <c r="BD57" s="3">
        <v>2</v>
      </c>
      <c r="BE57" s="3">
        <v>1</v>
      </c>
      <c r="BF57" s="3">
        <v>16</v>
      </c>
      <c r="BG57" s="3">
        <v>50</v>
      </c>
      <c r="BH57" s="49" t="str">
        <f t="shared" si="3"/>
        <v>16,1</v>
      </c>
      <c r="BI57" s="1"/>
      <c r="BJ57" s="13">
        <f t="shared" si="37"/>
        <v>53</v>
      </c>
      <c r="BK57" s="10">
        <f t="shared" si="5"/>
        <v>2</v>
      </c>
      <c r="BL57" s="10">
        <f t="shared" si="6"/>
        <v>17</v>
      </c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25">
      <c r="A58" s="1"/>
      <c r="B58" s="35">
        <f>COLUMN()</f>
        <v>2</v>
      </c>
      <c r="C58" s="82" t="str">
        <f t="shared" si="43"/>
        <v>1,11</v>
      </c>
      <c r="D58" s="82" t="str">
        <f t="shared" si="43"/>
        <v>2,11</v>
      </c>
      <c r="E58" s="82" t="str">
        <f t="shared" si="43"/>
        <v>3,11</v>
      </c>
      <c r="F58" s="82" t="str">
        <f t="shared" si="43"/>
        <v>4,11</v>
      </c>
      <c r="G58" s="82" t="str">
        <f t="shared" si="43"/>
        <v>5,11</v>
      </c>
      <c r="H58" s="82" t="str">
        <f t="shared" si="43"/>
        <v>6,11</v>
      </c>
      <c r="I58" s="82" t="str">
        <f t="shared" si="43"/>
        <v>7,11</v>
      </c>
      <c r="J58" s="82" t="str">
        <f t="shared" si="43"/>
        <v>8,11</v>
      </c>
      <c r="K58" s="82" t="str">
        <f t="shared" si="43"/>
        <v>9,11</v>
      </c>
      <c r="L58" s="82" t="str">
        <f t="shared" si="43"/>
        <v>10,11</v>
      </c>
      <c r="M58" s="82" t="str">
        <f t="shared" si="44"/>
        <v>11,11</v>
      </c>
      <c r="N58" s="82" t="str">
        <f t="shared" si="44"/>
        <v>12,11</v>
      </c>
      <c r="O58" s="82" t="str">
        <f t="shared" si="44"/>
        <v>13,11</v>
      </c>
      <c r="P58" s="82" t="str">
        <f t="shared" si="44"/>
        <v>14,11</v>
      </c>
      <c r="Q58" s="82" t="str">
        <f t="shared" si="44"/>
        <v>15,11</v>
      </c>
      <c r="R58" s="82" t="str">
        <f t="shared" si="44"/>
        <v>16,11</v>
      </c>
      <c r="S58" s="82" t="str">
        <f t="shared" si="44"/>
        <v>17,11</v>
      </c>
      <c r="T58" s="82" t="str">
        <f t="shared" si="44"/>
        <v>18,11</v>
      </c>
      <c r="U58" s="82" t="str">
        <f t="shared" si="44"/>
        <v>19,11</v>
      </c>
      <c r="V58" s="82" t="str">
        <f t="shared" si="44"/>
        <v>20,11</v>
      </c>
      <c r="W58" s="82" t="str">
        <f t="shared" si="44"/>
        <v>21,11</v>
      </c>
      <c r="X58" s="82" t="str">
        <f t="shared" si="44"/>
        <v>22,11</v>
      </c>
      <c r="Y58" s="82" t="str">
        <f t="shared" si="44"/>
        <v>23,11</v>
      </c>
      <c r="Z58" s="1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1"/>
      <c r="BD58" s="3">
        <v>2</v>
      </c>
      <c r="BE58" s="3">
        <v>1</v>
      </c>
      <c r="BF58" s="3">
        <v>17</v>
      </c>
      <c r="BG58" s="3">
        <v>50</v>
      </c>
      <c r="BH58" s="49" t="str">
        <f t="shared" si="3"/>
        <v>17,1</v>
      </c>
      <c r="BI58" s="1"/>
      <c r="BJ58" s="13">
        <f t="shared" si="37"/>
        <v>54</v>
      </c>
      <c r="BK58" s="10">
        <f t="shared" si="5"/>
        <v>2</v>
      </c>
      <c r="BL58" s="10">
        <f t="shared" si="6"/>
        <v>18</v>
      </c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</row>
    <row r="59" spans="1:88" x14ac:dyDescent="0.25">
      <c r="A59" s="1"/>
      <c r="B59" s="35">
        <f>COLUMN()</f>
        <v>2</v>
      </c>
      <c r="C59" s="82" t="str">
        <f t="shared" si="43"/>
        <v>1,12</v>
      </c>
      <c r="D59" s="82" t="str">
        <f t="shared" si="43"/>
        <v>2,12</v>
      </c>
      <c r="E59" s="82" t="str">
        <f t="shared" si="43"/>
        <v>3,12</v>
      </c>
      <c r="F59" s="82" t="str">
        <f t="shared" si="43"/>
        <v>4,12</v>
      </c>
      <c r="G59" s="82" t="str">
        <f t="shared" si="43"/>
        <v>5,12</v>
      </c>
      <c r="H59" s="82" t="str">
        <f t="shared" si="43"/>
        <v>6,12</v>
      </c>
      <c r="I59" s="82" t="str">
        <f t="shared" si="43"/>
        <v>7,12</v>
      </c>
      <c r="J59" s="82" t="str">
        <f t="shared" si="43"/>
        <v>8,12</v>
      </c>
      <c r="K59" s="82" t="str">
        <f t="shared" si="43"/>
        <v>9,12</v>
      </c>
      <c r="L59" s="82" t="str">
        <f t="shared" si="43"/>
        <v>10,12</v>
      </c>
      <c r="M59" s="82" t="str">
        <f t="shared" si="44"/>
        <v>11,12</v>
      </c>
      <c r="N59" s="82" t="str">
        <f t="shared" si="44"/>
        <v>12,12</v>
      </c>
      <c r="O59" s="82" t="str">
        <f t="shared" si="44"/>
        <v>13,12</v>
      </c>
      <c r="P59" s="82" t="str">
        <f t="shared" si="44"/>
        <v>14,12</v>
      </c>
      <c r="Q59" s="82" t="str">
        <f t="shared" si="44"/>
        <v>15,12</v>
      </c>
      <c r="R59" s="82" t="str">
        <f t="shared" si="44"/>
        <v>16,12</v>
      </c>
      <c r="S59" s="82" t="str">
        <f t="shared" si="44"/>
        <v>17,12</v>
      </c>
      <c r="T59" s="82" t="str">
        <f t="shared" si="44"/>
        <v>18,12</v>
      </c>
      <c r="U59" s="82" t="str">
        <f t="shared" si="44"/>
        <v>19,12</v>
      </c>
      <c r="V59" s="82" t="str">
        <f t="shared" si="44"/>
        <v>20,12</v>
      </c>
      <c r="W59" s="82" t="str">
        <f t="shared" si="44"/>
        <v>21,12</v>
      </c>
      <c r="X59" s="82" t="str">
        <f t="shared" si="44"/>
        <v>22,12</v>
      </c>
      <c r="Y59" s="82" t="str">
        <f t="shared" si="44"/>
        <v>23,12</v>
      </c>
      <c r="Z59" s="1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1"/>
      <c r="BD59" s="3">
        <v>2</v>
      </c>
      <c r="BE59" s="3">
        <v>1</v>
      </c>
      <c r="BF59" s="3">
        <v>18</v>
      </c>
      <c r="BG59" s="3">
        <v>50</v>
      </c>
      <c r="BH59" s="49" t="str">
        <f t="shared" si="3"/>
        <v>18,1</v>
      </c>
      <c r="BI59" s="1"/>
      <c r="BJ59" s="13">
        <f t="shared" si="37"/>
        <v>55</v>
      </c>
      <c r="BK59" s="10">
        <f t="shared" si="5"/>
        <v>2</v>
      </c>
      <c r="BL59" s="10">
        <f t="shared" si="6"/>
        <v>19</v>
      </c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</row>
    <row r="60" spans="1:88" x14ac:dyDescent="0.25">
      <c r="A60" s="1"/>
      <c r="B60" s="35">
        <f>COLUMN()</f>
        <v>2</v>
      </c>
      <c r="C60" s="82" t="str">
        <f t="shared" si="43"/>
        <v>1,13</v>
      </c>
      <c r="D60" s="82" t="str">
        <f t="shared" si="43"/>
        <v>2,13</v>
      </c>
      <c r="E60" s="82" t="str">
        <f t="shared" si="43"/>
        <v>3,13</v>
      </c>
      <c r="F60" s="82" t="str">
        <f t="shared" si="43"/>
        <v>4,13</v>
      </c>
      <c r="G60" s="82" t="str">
        <f t="shared" si="43"/>
        <v>5,13</v>
      </c>
      <c r="H60" s="82" t="str">
        <f t="shared" si="43"/>
        <v>6,13</v>
      </c>
      <c r="I60" s="82" t="str">
        <f t="shared" si="43"/>
        <v>7,13</v>
      </c>
      <c r="J60" s="82" t="str">
        <f t="shared" si="43"/>
        <v>8,13</v>
      </c>
      <c r="K60" s="82" t="str">
        <f t="shared" si="43"/>
        <v>9,13</v>
      </c>
      <c r="L60" s="82" t="str">
        <f t="shared" si="43"/>
        <v>10,13</v>
      </c>
      <c r="M60" s="82" t="str">
        <f t="shared" si="44"/>
        <v>11,13</v>
      </c>
      <c r="N60" s="82" t="str">
        <f t="shared" si="44"/>
        <v>12,13</v>
      </c>
      <c r="O60" s="82" t="str">
        <f t="shared" si="44"/>
        <v>13,13</v>
      </c>
      <c r="P60" s="82" t="str">
        <f t="shared" si="44"/>
        <v>14,13</v>
      </c>
      <c r="Q60" s="82" t="str">
        <f t="shared" si="44"/>
        <v>15,13</v>
      </c>
      <c r="R60" s="82" t="str">
        <f t="shared" si="44"/>
        <v>16,13</v>
      </c>
      <c r="S60" s="82" t="str">
        <f t="shared" si="44"/>
        <v>17,13</v>
      </c>
      <c r="T60" s="82" t="str">
        <f t="shared" si="44"/>
        <v>18,13</v>
      </c>
      <c r="U60" s="82" t="str">
        <f t="shared" si="44"/>
        <v>19,13</v>
      </c>
      <c r="V60" s="82" t="str">
        <f t="shared" si="44"/>
        <v>20,13</v>
      </c>
      <c r="W60" s="82" t="str">
        <f t="shared" si="44"/>
        <v>21,13</v>
      </c>
      <c r="X60" s="82" t="str">
        <f t="shared" si="44"/>
        <v>22,13</v>
      </c>
      <c r="Y60" s="82" t="str">
        <f t="shared" si="44"/>
        <v>23,13</v>
      </c>
      <c r="Z60" s="1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1"/>
      <c r="BD60" s="3">
        <v>2</v>
      </c>
      <c r="BE60" s="3">
        <v>1</v>
      </c>
      <c r="BF60" s="3">
        <v>19</v>
      </c>
      <c r="BG60" s="3">
        <v>50</v>
      </c>
      <c r="BH60" s="49" t="str">
        <f t="shared" si="3"/>
        <v>19,1</v>
      </c>
      <c r="BI60" s="1"/>
      <c r="BJ60" s="13">
        <f t="shared" si="37"/>
        <v>56</v>
      </c>
      <c r="BK60" s="10">
        <f t="shared" si="5"/>
        <v>2</v>
      </c>
      <c r="BL60" s="10">
        <f t="shared" si="6"/>
        <v>20</v>
      </c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</row>
    <row r="61" spans="1:88" x14ac:dyDescent="0.25">
      <c r="A61" s="1"/>
      <c r="B61" s="35">
        <f>COLUMN()</f>
        <v>2</v>
      </c>
      <c r="C61" s="82" t="str">
        <f t="shared" si="43"/>
        <v>1,14</v>
      </c>
      <c r="D61" s="82" t="str">
        <f t="shared" si="43"/>
        <v>2,14</v>
      </c>
      <c r="E61" s="82" t="str">
        <f t="shared" si="43"/>
        <v>3,14</v>
      </c>
      <c r="F61" s="82" t="str">
        <f t="shared" si="43"/>
        <v>4,14</v>
      </c>
      <c r="G61" s="82" t="str">
        <f t="shared" si="43"/>
        <v>5,14</v>
      </c>
      <c r="H61" s="82" t="str">
        <f t="shared" si="43"/>
        <v>6,14</v>
      </c>
      <c r="I61" s="82" t="str">
        <f t="shared" si="43"/>
        <v>7,14</v>
      </c>
      <c r="J61" s="82" t="str">
        <f t="shared" si="43"/>
        <v>8,14</v>
      </c>
      <c r="K61" s="82" t="str">
        <f t="shared" si="43"/>
        <v>9,14</v>
      </c>
      <c r="L61" s="82" t="str">
        <f t="shared" si="43"/>
        <v>10,14</v>
      </c>
      <c r="M61" s="82" t="str">
        <f t="shared" si="44"/>
        <v>11,14</v>
      </c>
      <c r="N61" s="82" t="str">
        <f t="shared" si="44"/>
        <v>12,14</v>
      </c>
      <c r="O61" s="82" t="str">
        <f t="shared" si="44"/>
        <v>13,14</v>
      </c>
      <c r="P61" s="82" t="str">
        <f t="shared" si="44"/>
        <v>14,14</v>
      </c>
      <c r="Q61" s="82" t="str">
        <f t="shared" si="44"/>
        <v>15,14</v>
      </c>
      <c r="R61" s="82" t="str">
        <f t="shared" si="44"/>
        <v>16,14</v>
      </c>
      <c r="S61" s="82" t="str">
        <f t="shared" si="44"/>
        <v>17,14</v>
      </c>
      <c r="T61" s="82" t="str">
        <f t="shared" si="44"/>
        <v>18,14</v>
      </c>
      <c r="U61" s="82" t="str">
        <f t="shared" si="44"/>
        <v>19,14</v>
      </c>
      <c r="V61" s="82" t="str">
        <f t="shared" si="44"/>
        <v>20,14</v>
      </c>
      <c r="W61" s="82" t="str">
        <f t="shared" si="44"/>
        <v>21,14</v>
      </c>
      <c r="X61" s="82" t="str">
        <f t="shared" si="44"/>
        <v>22,14</v>
      </c>
      <c r="Y61" s="82" t="str">
        <f t="shared" si="44"/>
        <v>23,14</v>
      </c>
      <c r="Z61" s="1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1"/>
      <c r="BD61" s="3">
        <v>2</v>
      </c>
      <c r="BE61" s="3">
        <v>1</v>
      </c>
      <c r="BF61" s="3">
        <v>20</v>
      </c>
      <c r="BG61" s="3">
        <v>50</v>
      </c>
      <c r="BH61" s="49" t="str">
        <f t="shared" si="3"/>
        <v>20,1</v>
      </c>
      <c r="BI61" s="1"/>
      <c r="BJ61" s="13">
        <f t="shared" si="37"/>
        <v>57</v>
      </c>
      <c r="BK61" s="10">
        <f t="shared" si="5"/>
        <v>2</v>
      </c>
      <c r="BL61" s="10">
        <f t="shared" si="6"/>
        <v>21</v>
      </c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</row>
    <row r="62" spans="1:88" x14ac:dyDescent="0.25">
      <c r="A62" s="1"/>
      <c r="B62" s="35">
        <f>COLUMN()</f>
        <v>2</v>
      </c>
      <c r="C62" s="82" t="str">
        <f t="shared" si="43"/>
        <v>1,15</v>
      </c>
      <c r="D62" s="82" t="str">
        <f t="shared" si="43"/>
        <v>2,15</v>
      </c>
      <c r="E62" s="82" t="str">
        <f t="shared" si="43"/>
        <v>3,15</v>
      </c>
      <c r="F62" s="82" t="str">
        <f t="shared" si="43"/>
        <v>4,15</v>
      </c>
      <c r="G62" s="82" t="str">
        <f t="shared" si="43"/>
        <v>5,15</v>
      </c>
      <c r="H62" s="82" t="str">
        <f t="shared" si="43"/>
        <v>6,15</v>
      </c>
      <c r="I62" s="82" t="str">
        <f t="shared" si="43"/>
        <v>7,15</v>
      </c>
      <c r="J62" s="82" t="str">
        <f t="shared" si="43"/>
        <v>8,15</v>
      </c>
      <c r="K62" s="82" t="str">
        <f t="shared" si="43"/>
        <v>9,15</v>
      </c>
      <c r="L62" s="82" t="str">
        <f t="shared" si="43"/>
        <v>10,15</v>
      </c>
      <c r="M62" s="82" t="str">
        <f t="shared" si="44"/>
        <v>11,15</v>
      </c>
      <c r="N62" s="82" t="str">
        <f t="shared" si="44"/>
        <v>12,15</v>
      </c>
      <c r="O62" s="82" t="str">
        <f t="shared" si="44"/>
        <v>13,15</v>
      </c>
      <c r="P62" s="82" t="str">
        <f t="shared" si="44"/>
        <v>14,15</v>
      </c>
      <c r="Q62" s="82" t="str">
        <f t="shared" si="44"/>
        <v>15,15</v>
      </c>
      <c r="R62" s="82" t="str">
        <f t="shared" si="44"/>
        <v>16,15</v>
      </c>
      <c r="S62" s="82" t="str">
        <f t="shared" si="44"/>
        <v>17,15</v>
      </c>
      <c r="T62" s="82" t="str">
        <f t="shared" si="44"/>
        <v>18,15</v>
      </c>
      <c r="U62" s="82" t="str">
        <f t="shared" si="44"/>
        <v>19,15</v>
      </c>
      <c r="V62" s="82" t="str">
        <f t="shared" si="44"/>
        <v>20,15</v>
      </c>
      <c r="W62" s="82" t="str">
        <f t="shared" si="44"/>
        <v>21,15</v>
      </c>
      <c r="X62" s="82" t="str">
        <f t="shared" si="44"/>
        <v>22,15</v>
      </c>
      <c r="Y62" s="82" t="str">
        <f t="shared" si="44"/>
        <v>23,15</v>
      </c>
      <c r="Z62" s="1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1"/>
      <c r="BD62" s="3">
        <v>2</v>
      </c>
      <c r="BE62" s="3">
        <v>1</v>
      </c>
      <c r="BF62" s="3">
        <v>21</v>
      </c>
      <c r="BG62" s="3">
        <v>50</v>
      </c>
      <c r="BH62" s="49" t="str">
        <f t="shared" si="3"/>
        <v>21,1</v>
      </c>
      <c r="BI62" s="1"/>
      <c r="BJ62" s="13">
        <f t="shared" si="37"/>
        <v>58</v>
      </c>
      <c r="BK62" s="10">
        <f t="shared" si="5"/>
        <v>2</v>
      </c>
      <c r="BL62" s="10">
        <f t="shared" si="6"/>
        <v>22</v>
      </c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</row>
    <row r="63" spans="1:88" x14ac:dyDescent="0.25">
      <c r="A63" s="1"/>
      <c r="B63" s="35">
        <f>COLUMN()</f>
        <v>2</v>
      </c>
      <c r="C63" s="82" t="str">
        <f t="shared" ref="C63:R83" si="45">_xlfn.CONCAT(COLUMN()-$B63,",",ROW()-C$47)</f>
        <v>1,16</v>
      </c>
      <c r="D63" s="82" t="str">
        <f t="shared" si="45"/>
        <v>2,16</v>
      </c>
      <c r="E63" s="82" t="str">
        <f t="shared" si="45"/>
        <v>3,16</v>
      </c>
      <c r="F63" s="82" t="str">
        <f t="shared" si="45"/>
        <v>4,16</v>
      </c>
      <c r="G63" s="82" t="str">
        <f t="shared" si="45"/>
        <v>5,16</v>
      </c>
      <c r="H63" s="82" t="str">
        <f t="shared" si="45"/>
        <v>6,16</v>
      </c>
      <c r="I63" s="82" t="str">
        <f t="shared" si="45"/>
        <v>7,16</v>
      </c>
      <c r="J63" s="82" t="str">
        <f t="shared" si="45"/>
        <v>8,16</v>
      </c>
      <c r="K63" s="82" t="str">
        <f t="shared" si="45"/>
        <v>9,16</v>
      </c>
      <c r="L63" s="82" t="str">
        <f t="shared" si="45"/>
        <v>10,16</v>
      </c>
      <c r="M63" s="82" t="str">
        <f t="shared" si="45"/>
        <v>11,16</v>
      </c>
      <c r="N63" s="82" t="str">
        <f t="shared" si="45"/>
        <v>12,16</v>
      </c>
      <c r="O63" s="82" t="str">
        <f t="shared" si="45"/>
        <v>13,16</v>
      </c>
      <c r="P63" s="82" t="str">
        <f t="shared" si="45"/>
        <v>14,16</v>
      </c>
      <c r="Q63" s="82" t="str">
        <f t="shared" si="45"/>
        <v>15,16</v>
      </c>
      <c r="R63" s="82" t="str">
        <f t="shared" si="45"/>
        <v>16,16</v>
      </c>
      <c r="S63" s="82" t="str">
        <f t="shared" si="44"/>
        <v>17,16</v>
      </c>
      <c r="T63" s="82" t="str">
        <f t="shared" si="44"/>
        <v>18,16</v>
      </c>
      <c r="U63" s="82" t="str">
        <f t="shared" si="44"/>
        <v>19,16</v>
      </c>
      <c r="V63" s="82" t="str">
        <f t="shared" si="44"/>
        <v>20,16</v>
      </c>
      <c r="W63" s="82" t="str">
        <f t="shared" si="44"/>
        <v>21,16</v>
      </c>
      <c r="X63" s="82" t="str">
        <f t="shared" si="44"/>
        <v>22,16</v>
      </c>
      <c r="Y63" s="82" t="str">
        <f t="shared" si="44"/>
        <v>23,16</v>
      </c>
      <c r="Z63" s="1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1"/>
      <c r="BD63" s="3">
        <v>2</v>
      </c>
      <c r="BE63" s="3">
        <v>33</v>
      </c>
      <c r="BF63" s="3">
        <v>1</v>
      </c>
      <c r="BG63" s="3">
        <v>28</v>
      </c>
      <c r="BH63" s="49" t="str">
        <f t="shared" si="3"/>
        <v>1,33</v>
      </c>
      <c r="BI63" s="1"/>
      <c r="BJ63" s="13">
        <f t="shared" si="37"/>
        <v>59</v>
      </c>
      <c r="BK63" s="10">
        <f t="shared" si="5"/>
        <v>2</v>
      </c>
      <c r="BL63" s="10">
        <f t="shared" si="6"/>
        <v>23</v>
      </c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25">
      <c r="A64" s="1"/>
      <c r="B64" s="35">
        <f>COLUMN()</f>
        <v>2</v>
      </c>
      <c r="C64" s="82" t="str">
        <f t="shared" si="45"/>
        <v>1,17</v>
      </c>
      <c r="D64" s="82" t="str">
        <f t="shared" si="45"/>
        <v>2,17</v>
      </c>
      <c r="E64" s="82" t="str">
        <f t="shared" si="45"/>
        <v>3,17</v>
      </c>
      <c r="F64" s="82" t="str">
        <f t="shared" si="45"/>
        <v>4,17</v>
      </c>
      <c r="G64" s="82" t="str">
        <f t="shared" si="45"/>
        <v>5,17</v>
      </c>
      <c r="H64" s="82" t="str">
        <f t="shared" si="45"/>
        <v>6,17</v>
      </c>
      <c r="I64" s="82" t="str">
        <f t="shared" si="45"/>
        <v>7,17</v>
      </c>
      <c r="J64" s="82" t="str">
        <f t="shared" si="45"/>
        <v>8,17</v>
      </c>
      <c r="K64" s="82" t="str">
        <f t="shared" si="45"/>
        <v>9,17</v>
      </c>
      <c r="L64" s="82" t="str">
        <f t="shared" si="45"/>
        <v>10,17</v>
      </c>
      <c r="M64" s="82" t="str">
        <f t="shared" ref="M64:Y79" si="46">_xlfn.CONCAT(COLUMN()-$B64,",",ROW()-M$47)</f>
        <v>11,17</v>
      </c>
      <c r="N64" s="82" t="str">
        <f t="shared" si="46"/>
        <v>12,17</v>
      </c>
      <c r="O64" s="82" t="str">
        <f t="shared" si="46"/>
        <v>13,17</v>
      </c>
      <c r="P64" s="82" t="str">
        <f t="shared" si="46"/>
        <v>14,17</v>
      </c>
      <c r="Q64" s="82" t="str">
        <f t="shared" si="46"/>
        <v>15,17</v>
      </c>
      <c r="R64" s="82" t="str">
        <f t="shared" si="46"/>
        <v>16,17</v>
      </c>
      <c r="S64" s="82" t="str">
        <f t="shared" si="46"/>
        <v>17,17</v>
      </c>
      <c r="T64" s="82" t="str">
        <f t="shared" si="46"/>
        <v>18,17</v>
      </c>
      <c r="U64" s="82" t="str">
        <f t="shared" si="46"/>
        <v>19,17</v>
      </c>
      <c r="V64" s="82" t="str">
        <f t="shared" si="46"/>
        <v>20,17</v>
      </c>
      <c r="W64" s="82" t="str">
        <f t="shared" si="46"/>
        <v>21,17</v>
      </c>
      <c r="X64" s="82" t="str">
        <f t="shared" si="46"/>
        <v>22,17</v>
      </c>
      <c r="Y64" s="82" t="str">
        <f t="shared" si="46"/>
        <v>23,17</v>
      </c>
      <c r="Z64" s="1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1"/>
      <c r="BD64" s="3">
        <v>2</v>
      </c>
      <c r="BE64" s="3">
        <v>33</v>
      </c>
      <c r="BF64" s="3">
        <v>2</v>
      </c>
      <c r="BG64" s="3">
        <v>28</v>
      </c>
      <c r="BH64" s="49" t="str">
        <f t="shared" si="3"/>
        <v>2,33</v>
      </c>
      <c r="BI64" s="1"/>
      <c r="BJ64" s="13">
        <f t="shared" si="37"/>
        <v>60</v>
      </c>
      <c r="BK64" s="10">
        <f t="shared" si="5"/>
        <v>2</v>
      </c>
      <c r="BL64" s="10">
        <f t="shared" si="6"/>
        <v>24</v>
      </c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</row>
    <row r="65" spans="1:88" x14ac:dyDescent="0.25">
      <c r="A65" s="1"/>
      <c r="B65" s="35">
        <f>COLUMN()</f>
        <v>2</v>
      </c>
      <c r="C65" s="82" t="str">
        <f t="shared" si="45"/>
        <v>1,18</v>
      </c>
      <c r="D65" s="82" t="str">
        <f t="shared" si="45"/>
        <v>2,18</v>
      </c>
      <c r="E65" s="82" t="str">
        <f t="shared" si="45"/>
        <v>3,18</v>
      </c>
      <c r="F65" s="82" t="str">
        <f t="shared" si="45"/>
        <v>4,18</v>
      </c>
      <c r="G65" s="82" t="str">
        <f t="shared" si="45"/>
        <v>5,18</v>
      </c>
      <c r="H65" s="82" t="str">
        <f t="shared" si="45"/>
        <v>6,18</v>
      </c>
      <c r="I65" s="82" t="str">
        <f t="shared" si="45"/>
        <v>7,18</v>
      </c>
      <c r="J65" s="82" t="str">
        <f t="shared" si="45"/>
        <v>8,18</v>
      </c>
      <c r="K65" s="82" t="str">
        <f t="shared" si="45"/>
        <v>9,18</v>
      </c>
      <c r="L65" s="82" t="str">
        <f t="shared" si="45"/>
        <v>10,18</v>
      </c>
      <c r="M65" s="82" t="str">
        <f t="shared" si="46"/>
        <v>11,18</v>
      </c>
      <c r="N65" s="82" t="str">
        <f t="shared" si="46"/>
        <v>12,18</v>
      </c>
      <c r="O65" s="82" t="str">
        <f t="shared" si="46"/>
        <v>13,18</v>
      </c>
      <c r="P65" s="82" t="str">
        <f t="shared" si="46"/>
        <v>14,18</v>
      </c>
      <c r="Q65" s="82" t="str">
        <f t="shared" si="46"/>
        <v>15,18</v>
      </c>
      <c r="R65" s="82" t="str">
        <f t="shared" si="46"/>
        <v>16,18</v>
      </c>
      <c r="S65" s="82" t="str">
        <f t="shared" si="46"/>
        <v>17,18</v>
      </c>
      <c r="T65" s="82" t="str">
        <f t="shared" si="46"/>
        <v>18,18</v>
      </c>
      <c r="U65" s="82" t="str">
        <f t="shared" si="46"/>
        <v>19,18</v>
      </c>
      <c r="V65" s="82" t="str">
        <f t="shared" si="46"/>
        <v>20,18</v>
      </c>
      <c r="W65" s="82" t="str">
        <f t="shared" si="46"/>
        <v>21,18</v>
      </c>
      <c r="X65" s="82" t="str">
        <f t="shared" si="46"/>
        <v>22,18</v>
      </c>
      <c r="Y65" s="82" t="str">
        <f t="shared" si="46"/>
        <v>23,18</v>
      </c>
      <c r="Z65" s="1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1"/>
      <c r="BD65" s="3">
        <v>2</v>
      </c>
      <c r="BE65" s="3">
        <v>33</v>
      </c>
      <c r="BF65" s="3">
        <v>3</v>
      </c>
      <c r="BG65" s="3">
        <v>28</v>
      </c>
      <c r="BH65" s="49" t="str">
        <f t="shared" si="3"/>
        <v>3,33</v>
      </c>
      <c r="BI65" s="1"/>
      <c r="BJ65" s="13">
        <f t="shared" si="37"/>
        <v>61</v>
      </c>
      <c r="BK65" s="10">
        <f t="shared" si="5"/>
        <v>2</v>
      </c>
      <c r="BL65" s="10">
        <f t="shared" si="6"/>
        <v>25</v>
      </c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</row>
    <row r="66" spans="1:88" x14ac:dyDescent="0.25">
      <c r="A66" s="1"/>
      <c r="B66" s="35">
        <f>COLUMN()</f>
        <v>2</v>
      </c>
      <c r="C66" s="82" t="str">
        <f t="shared" si="45"/>
        <v>1,19</v>
      </c>
      <c r="D66" s="82" t="str">
        <f t="shared" si="45"/>
        <v>2,19</v>
      </c>
      <c r="E66" s="82" t="str">
        <f t="shared" si="45"/>
        <v>3,19</v>
      </c>
      <c r="F66" s="82" t="str">
        <f t="shared" si="45"/>
        <v>4,19</v>
      </c>
      <c r="G66" s="82" t="str">
        <f t="shared" si="45"/>
        <v>5,19</v>
      </c>
      <c r="H66" s="82" t="str">
        <f t="shared" si="45"/>
        <v>6,19</v>
      </c>
      <c r="I66" s="82" t="str">
        <f t="shared" si="45"/>
        <v>7,19</v>
      </c>
      <c r="J66" s="82" t="str">
        <f t="shared" si="45"/>
        <v>8,19</v>
      </c>
      <c r="K66" s="82" t="str">
        <f t="shared" si="45"/>
        <v>9,19</v>
      </c>
      <c r="L66" s="82" t="str">
        <f t="shared" si="45"/>
        <v>10,19</v>
      </c>
      <c r="M66" s="82" t="str">
        <f t="shared" si="46"/>
        <v>11,19</v>
      </c>
      <c r="N66" s="82" t="str">
        <f t="shared" si="46"/>
        <v>12,19</v>
      </c>
      <c r="O66" s="82" t="str">
        <f t="shared" si="46"/>
        <v>13,19</v>
      </c>
      <c r="P66" s="82" t="str">
        <f t="shared" si="46"/>
        <v>14,19</v>
      </c>
      <c r="Q66" s="82" t="str">
        <f t="shared" si="46"/>
        <v>15,19</v>
      </c>
      <c r="R66" s="82" t="str">
        <f t="shared" si="46"/>
        <v>16,19</v>
      </c>
      <c r="S66" s="82" t="str">
        <f t="shared" si="46"/>
        <v>17,19</v>
      </c>
      <c r="T66" s="82" t="str">
        <f t="shared" si="46"/>
        <v>18,19</v>
      </c>
      <c r="U66" s="82" t="str">
        <f t="shared" si="46"/>
        <v>19,19</v>
      </c>
      <c r="V66" s="82" t="str">
        <f t="shared" si="46"/>
        <v>20,19</v>
      </c>
      <c r="W66" s="82" t="str">
        <f t="shared" si="46"/>
        <v>21,19</v>
      </c>
      <c r="X66" s="82" t="str">
        <f t="shared" si="46"/>
        <v>22,19</v>
      </c>
      <c r="Y66" s="82" t="str">
        <f t="shared" si="46"/>
        <v>23,19</v>
      </c>
      <c r="Z66" s="1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1"/>
      <c r="BD66" s="3">
        <v>2</v>
      </c>
      <c r="BE66" s="3">
        <v>33</v>
      </c>
      <c r="BF66" s="3">
        <v>4</v>
      </c>
      <c r="BG66" s="3">
        <v>28</v>
      </c>
      <c r="BH66" s="49" t="str">
        <f t="shared" si="3"/>
        <v>4,33</v>
      </c>
      <c r="BI66" s="1"/>
      <c r="BJ66" s="13">
        <f t="shared" si="37"/>
        <v>62</v>
      </c>
      <c r="BK66" s="10">
        <f t="shared" si="5"/>
        <v>2</v>
      </c>
      <c r="BL66" s="10">
        <f t="shared" si="6"/>
        <v>26</v>
      </c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</row>
    <row r="67" spans="1:88" x14ac:dyDescent="0.25">
      <c r="A67" s="1"/>
      <c r="B67" s="35">
        <f>COLUMN()</f>
        <v>2</v>
      </c>
      <c r="C67" s="82" t="str">
        <f t="shared" si="45"/>
        <v>1,20</v>
      </c>
      <c r="D67" s="82" t="str">
        <f t="shared" si="45"/>
        <v>2,20</v>
      </c>
      <c r="E67" s="82" t="str">
        <f t="shared" si="45"/>
        <v>3,20</v>
      </c>
      <c r="F67" s="82" t="str">
        <f t="shared" si="45"/>
        <v>4,20</v>
      </c>
      <c r="G67" s="82" t="str">
        <f t="shared" si="45"/>
        <v>5,20</v>
      </c>
      <c r="H67" s="82" t="str">
        <f t="shared" si="45"/>
        <v>6,20</v>
      </c>
      <c r="I67" s="82" t="str">
        <f t="shared" si="45"/>
        <v>7,20</v>
      </c>
      <c r="J67" s="82" t="str">
        <f t="shared" si="45"/>
        <v>8,20</v>
      </c>
      <c r="K67" s="82" t="str">
        <f t="shared" si="45"/>
        <v>9,20</v>
      </c>
      <c r="L67" s="82" t="str">
        <f t="shared" si="45"/>
        <v>10,20</v>
      </c>
      <c r="M67" s="82" t="str">
        <f t="shared" si="46"/>
        <v>11,20</v>
      </c>
      <c r="N67" s="82" t="str">
        <f t="shared" si="46"/>
        <v>12,20</v>
      </c>
      <c r="O67" s="82" t="str">
        <f t="shared" si="46"/>
        <v>13,20</v>
      </c>
      <c r="P67" s="82" t="str">
        <f t="shared" si="46"/>
        <v>14,20</v>
      </c>
      <c r="Q67" s="82" t="str">
        <f t="shared" si="46"/>
        <v>15,20</v>
      </c>
      <c r="R67" s="82" t="str">
        <f t="shared" si="46"/>
        <v>16,20</v>
      </c>
      <c r="S67" s="82" t="str">
        <f t="shared" si="46"/>
        <v>17,20</v>
      </c>
      <c r="T67" s="82" t="str">
        <f t="shared" si="46"/>
        <v>18,20</v>
      </c>
      <c r="U67" s="82" t="str">
        <f t="shared" si="46"/>
        <v>19,20</v>
      </c>
      <c r="V67" s="82" t="str">
        <f t="shared" si="46"/>
        <v>20,20</v>
      </c>
      <c r="W67" s="82" t="str">
        <f t="shared" si="46"/>
        <v>21,20</v>
      </c>
      <c r="X67" s="82" t="str">
        <f t="shared" si="46"/>
        <v>22,20</v>
      </c>
      <c r="Y67" s="82" t="str">
        <f t="shared" si="46"/>
        <v>23,20</v>
      </c>
      <c r="Z67" s="1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1"/>
      <c r="BD67" s="3">
        <v>2</v>
      </c>
      <c r="BE67" s="3">
        <v>33</v>
      </c>
      <c r="BF67" s="3">
        <v>5</v>
      </c>
      <c r="BG67" s="3">
        <v>28</v>
      </c>
      <c r="BH67" s="49" t="str">
        <f t="shared" si="3"/>
        <v>5,33</v>
      </c>
      <c r="BI67" s="1"/>
      <c r="BJ67" s="13">
        <f t="shared" si="37"/>
        <v>63</v>
      </c>
      <c r="BK67" s="10">
        <f t="shared" si="5"/>
        <v>2</v>
      </c>
      <c r="BL67" s="10">
        <f t="shared" si="6"/>
        <v>27</v>
      </c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</row>
    <row r="68" spans="1:88" x14ac:dyDescent="0.25">
      <c r="A68" s="1"/>
      <c r="B68" s="35">
        <f>COLUMN()</f>
        <v>2</v>
      </c>
      <c r="C68" s="82" t="str">
        <f t="shared" si="45"/>
        <v>1,21</v>
      </c>
      <c r="D68" s="82" t="str">
        <f t="shared" si="45"/>
        <v>2,21</v>
      </c>
      <c r="E68" s="82" t="str">
        <f t="shared" si="45"/>
        <v>3,21</v>
      </c>
      <c r="F68" s="82" t="str">
        <f t="shared" si="45"/>
        <v>4,21</v>
      </c>
      <c r="G68" s="82" t="str">
        <f t="shared" si="45"/>
        <v>5,21</v>
      </c>
      <c r="H68" s="82" t="str">
        <f t="shared" si="45"/>
        <v>6,21</v>
      </c>
      <c r="I68" s="82" t="str">
        <f t="shared" si="45"/>
        <v>7,21</v>
      </c>
      <c r="J68" s="82" t="str">
        <f t="shared" si="45"/>
        <v>8,21</v>
      </c>
      <c r="K68" s="82" t="str">
        <f t="shared" si="45"/>
        <v>9,21</v>
      </c>
      <c r="L68" s="82" t="str">
        <f t="shared" si="45"/>
        <v>10,21</v>
      </c>
      <c r="M68" s="82" t="str">
        <f t="shared" si="46"/>
        <v>11,21</v>
      </c>
      <c r="N68" s="82" t="str">
        <f t="shared" si="46"/>
        <v>12,21</v>
      </c>
      <c r="O68" s="82" t="str">
        <f t="shared" si="46"/>
        <v>13,21</v>
      </c>
      <c r="P68" s="82" t="str">
        <f t="shared" si="46"/>
        <v>14,21</v>
      </c>
      <c r="Q68" s="82" t="str">
        <f t="shared" si="46"/>
        <v>15,21</v>
      </c>
      <c r="R68" s="82" t="str">
        <f t="shared" si="46"/>
        <v>16,21</v>
      </c>
      <c r="S68" s="82" t="str">
        <f t="shared" si="46"/>
        <v>17,21</v>
      </c>
      <c r="T68" s="82" t="str">
        <f t="shared" si="46"/>
        <v>18,21</v>
      </c>
      <c r="U68" s="82" t="str">
        <f t="shared" si="46"/>
        <v>19,21</v>
      </c>
      <c r="V68" s="82" t="str">
        <f t="shared" si="46"/>
        <v>20,21</v>
      </c>
      <c r="W68" s="82" t="str">
        <f t="shared" si="46"/>
        <v>21,21</v>
      </c>
      <c r="X68" s="82" t="str">
        <f t="shared" si="46"/>
        <v>22,21</v>
      </c>
      <c r="Y68" s="82" t="str">
        <f t="shared" si="46"/>
        <v>23,21</v>
      </c>
      <c r="Z68" s="1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1"/>
      <c r="BD68" s="3">
        <v>2</v>
      </c>
      <c r="BE68" s="3">
        <v>33</v>
      </c>
      <c r="BF68" s="3">
        <v>6</v>
      </c>
      <c r="BG68" s="3">
        <v>28</v>
      </c>
      <c r="BH68" s="49" t="str">
        <f t="shared" si="3"/>
        <v>6,33</v>
      </c>
      <c r="BI68" s="1"/>
      <c r="BJ68" s="13">
        <f t="shared" si="37"/>
        <v>64</v>
      </c>
      <c r="BK68" s="10">
        <f t="shared" si="5"/>
        <v>2</v>
      </c>
      <c r="BL68" s="10">
        <f t="shared" si="6"/>
        <v>28</v>
      </c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</row>
    <row r="69" spans="1:88" x14ac:dyDescent="0.25">
      <c r="A69" s="1"/>
      <c r="B69" s="35">
        <f>COLUMN()</f>
        <v>2</v>
      </c>
      <c r="C69" s="82" t="str">
        <f t="shared" si="45"/>
        <v>1,22</v>
      </c>
      <c r="D69" s="82" t="str">
        <f t="shared" si="45"/>
        <v>2,22</v>
      </c>
      <c r="E69" s="82" t="str">
        <f t="shared" si="45"/>
        <v>3,22</v>
      </c>
      <c r="F69" s="82" t="str">
        <f t="shared" si="45"/>
        <v>4,22</v>
      </c>
      <c r="G69" s="82" t="str">
        <f t="shared" si="45"/>
        <v>5,22</v>
      </c>
      <c r="H69" s="82" t="str">
        <f t="shared" si="45"/>
        <v>6,22</v>
      </c>
      <c r="I69" s="82" t="str">
        <f t="shared" si="45"/>
        <v>7,22</v>
      </c>
      <c r="J69" s="82" t="str">
        <f t="shared" si="45"/>
        <v>8,22</v>
      </c>
      <c r="K69" s="82" t="str">
        <f t="shared" si="45"/>
        <v>9,22</v>
      </c>
      <c r="L69" s="82" t="str">
        <f t="shared" si="45"/>
        <v>10,22</v>
      </c>
      <c r="M69" s="82" t="str">
        <f t="shared" si="46"/>
        <v>11,22</v>
      </c>
      <c r="N69" s="82" t="str">
        <f t="shared" si="46"/>
        <v>12,22</v>
      </c>
      <c r="O69" s="82" t="str">
        <f t="shared" si="46"/>
        <v>13,22</v>
      </c>
      <c r="P69" s="82" t="str">
        <f t="shared" si="46"/>
        <v>14,22</v>
      </c>
      <c r="Q69" s="82" t="str">
        <f t="shared" si="46"/>
        <v>15,22</v>
      </c>
      <c r="R69" s="82" t="str">
        <f t="shared" si="46"/>
        <v>16,22</v>
      </c>
      <c r="S69" s="82" t="str">
        <f t="shared" si="46"/>
        <v>17,22</v>
      </c>
      <c r="T69" s="82" t="str">
        <f t="shared" si="46"/>
        <v>18,22</v>
      </c>
      <c r="U69" s="82" t="str">
        <f t="shared" si="46"/>
        <v>19,22</v>
      </c>
      <c r="V69" s="82" t="str">
        <f t="shared" si="46"/>
        <v>20,22</v>
      </c>
      <c r="W69" s="82" t="str">
        <f t="shared" si="46"/>
        <v>21,22</v>
      </c>
      <c r="X69" s="82" t="str">
        <f t="shared" si="46"/>
        <v>22,22</v>
      </c>
      <c r="Y69" s="82" t="str">
        <f t="shared" si="46"/>
        <v>23,22</v>
      </c>
      <c r="Z69" s="1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1"/>
      <c r="BD69" s="3">
        <v>2</v>
      </c>
      <c r="BE69" s="3">
        <v>33</v>
      </c>
      <c r="BF69" s="3">
        <v>7</v>
      </c>
      <c r="BG69" s="3">
        <v>28</v>
      </c>
      <c r="BH69" s="49" t="str">
        <f t="shared" si="3"/>
        <v>7,33</v>
      </c>
      <c r="BI69" s="1"/>
      <c r="BJ69" s="13">
        <f t="shared" si="37"/>
        <v>65</v>
      </c>
      <c r="BK69" s="10">
        <f t="shared" si="5"/>
        <v>2</v>
      </c>
      <c r="BL69" s="10">
        <f t="shared" si="6"/>
        <v>29</v>
      </c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</row>
    <row r="70" spans="1:88" x14ac:dyDescent="0.25">
      <c r="A70" s="1"/>
      <c r="B70" s="35">
        <f>COLUMN()</f>
        <v>2</v>
      </c>
      <c r="C70" s="82" t="str">
        <f t="shared" si="45"/>
        <v>1,23</v>
      </c>
      <c r="D70" s="82" t="str">
        <f t="shared" si="45"/>
        <v>2,23</v>
      </c>
      <c r="E70" s="82" t="str">
        <f t="shared" si="45"/>
        <v>3,23</v>
      </c>
      <c r="F70" s="82" t="str">
        <f t="shared" si="45"/>
        <v>4,23</v>
      </c>
      <c r="G70" s="82" t="str">
        <f t="shared" si="45"/>
        <v>5,23</v>
      </c>
      <c r="H70" s="82" t="str">
        <f t="shared" si="45"/>
        <v>6,23</v>
      </c>
      <c r="I70" s="82" t="str">
        <f t="shared" si="45"/>
        <v>7,23</v>
      </c>
      <c r="J70" s="82" t="str">
        <f t="shared" si="45"/>
        <v>8,23</v>
      </c>
      <c r="K70" s="82" t="str">
        <f t="shared" si="45"/>
        <v>9,23</v>
      </c>
      <c r="L70" s="82" t="str">
        <f t="shared" si="45"/>
        <v>10,23</v>
      </c>
      <c r="M70" s="82" t="str">
        <f t="shared" si="46"/>
        <v>11,23</v>
      </c>
      <c r="N70" s="82" t="str">
        <f t="shared" si="46"/>
        <v>12,23</v>
      </c>
      <c r="O70" s="82" t="str">
        <f t="shared" si="46"/>
        <v>13,23</v>
      </c>
      <c r="P70" s="82" t="str">
        <f t="shared" si="46"/>
        <v>14,23</v>
      </c>
      <c r="Q70" s="82" t="str">
        <f t="shared" si="46"/>
        <v>15,23</v>
      </c>
      <c r="R70" s="82" t="str">
        <f t="shared" si="46"/>
        <v>16,23</v>
      </c>
      <c r="S70" s="82" t="str">
        <f t="shared" si="46"/>
        <v>17,23</v>
      </c>
      <c r="T70" s="82" t="str">
        <f t="shared" si="46"/>
        <v>18,23</v>
      </c>
      <c r="U70" s="82" t="str">
        <f t="shared" si="46"/>
        <v>19,23</v>
      </c>
      <c r="V70" s="82" t="str">
        <f t="shared" si="46"/>
        <v>20,23</v>
      </c>
      <c r="W70" s="82" t="str">
        <f t="shared" si="46"/>
        <v>21,23</v>
      </c>
      <c r="X70" s="82" t="str">
        <f t="shared" si="46"/>
        <v>22,23</v>
      </c>
      <c r="Y70" s="82" t="str">
        <f t="shared" si="46"/>
        <v>23,23</v>
      </c>
      <c r="Z70" s="1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1"/>
      <c r="BD70" s="3">
        <v>2</v>
      </c>
      <c r="BE70" s="3">
        <v>34</v>
      </c>
      <c r="BF70" s="3">
        <v>8</v>
      </c>
      <c r="BG70" s="3">
        <v>28</v>
      </c>
      <c r="BH70" s="49" t="str">
        <f t="shared" ref="BH70:BH133" si="47">_xlfn.CONCAT(BF70,",",BE70)</f>
        <v>8,34</v>
      </c>
      <c r="BI70" s="1"/>
      <c r="BJ70" s="13">
        <f t="shared" ref="BJ70:BJ133" si="48">IF(ROW()-BJ$3&lt;=$BJ$4,ROW()-ROW(BJ$4),"")</f>
        <v>66</v>
      </c>
      <c r="BK70" s="10">
        <f t="shared" si="5"/>
        <v>2</v>
      </c>
      <c r="BL70" s="10">
        <f t="shared" si="6"/>
        <v>30</v>
      </c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</row>
    <row r="71" spans="1:88" x14ac:dyDescent="0.25">
      <c r="A71" s="1"/>
      <c r="B71" s="35">
        <f>COLUMN()</f>
        <v>2</v>
      </c>
      <c r="C71" s="82" t="str">
        <f t="shared" si="45"/>
        <v>1,24</v>
      </c>
      <c r="D71" s="82" t="str">
        <f t="shared" si="45"/>
        <v>2,24</v>
      </c>
      <c r="E71" s="82" t="str">
        <f t="shared" si="45"/>
        <v>3,24</v>
      </c>
      <c r="F71" s="82" t="str">
        <f t="shared" si="45"/>
        <v>4,24</v>
      </c>
      <c r="G71" s="82" t="str">
        <f t="shared" si="45"/>
        <v>5,24</v>
      </c>
      <c r="H71" s="82" t="str">
        <f t="shared" si="45"/>
        <v>6,24</v>
      </c>
      <c r="I71" s="82" t="str">
        <f t="shared" si="45"/>
        <v>7,24</v>
      </c>
      <c r="J71" s="82" t="str">
        <f t="shared" si="45"/>
        <v>8,24</v>
      </c>
      <c r="K71" s="82" t="str">
        <f t="shared" si="45"/>
        <v>9,24</v>
      </c>
      <c r="L71" s="82" t="str">
        <f t="shared" si="45"/>
        <v>10,24</v>
      </c>
      <c r="M71" s="82" t="str">
        <f t="shared" si="46"/>
        <v>11,24</v>
      </c>
      <c r="N71" s="82" t="str">
        <f t="shared" si="46"/>
        <v>12,24</v>
      </c>
      <c r="O71" s="82" t="str">
        <f t="shared" si="46"/>
        <v>13,24</v>
      </c>
      <c r="P71" s="82" t="str">
        <f t="shared" si="46"/>
        <v>14,24</v>
      </c>
      <c r="Q71" s="82" t="str">
        <f t="shared" si="46"/>
        <v>15,24</v>
      </c>
      <c r="R71" s="82" t="str">
        <f t="shared" si="46"/>
        <v>16,24</v>
      </c>
      <c r="S71" s="82" t="str">
        <f t="shared" si="46"/>
        <v>17,24</v>
      </c>
      <c r="T71" s="82" t="str">
        <f t="shared" si="46"/>
        <v>18,24</v>
      </c>
      <c r="U71" s="82" t="str">
        <f t="shared" si="46"/>
        <v>19,24</v>
      </c>
      <c r="V71" s="82" t="str">
        <f t="shared" si="46"/>
        <v>20,24</v>
      </c>
      <c r="W71" s="82" t="str">
        <f t="shared" si="46"/>
        <v>21,24</v>
      </c>
      <c r="X71" s="82" t="str">
        <f t="shared" si="46"/>
        <v>22,24</v>
      </c>
      <c r="Y71" s="82" t="str">
        <f t="shared" si="46"/>
        <v>23,24</v>
      </c>
      <c r="Z71" s="1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1"/>
      <c r="BD71" s="3">
        <v>2</v>
      </c>
      <c r="BE71" s="3">
        <v>34</v>
      </c>
      <c r="BF71" s="3">
        <v>9</v>
      </c>
      <c r="BG71" s="3">
        <v>28</v>
      </c>
      <c r="BH71" s="49" t="str">
        <f t="shared" si="47"/>
        <v>9,34</v>
      </c>
      <c r="BI71" s="1"/>
      <c r="BJ71" s="13">
        <f t="shared" si="48"/>
        <v>67</v>
      </c>
      <c r="BK71" s="10">
        <f t="shared" ref="BK71:BK134" si="49">IF(ISNUMBER(BJ71),INT(BJ70/$BL$4)+1,"")</f>
        <v>2</v>
      </c>
      <c r="BL71" s="10">
        <f t="shared" ref="BL71:BL134" si="50">IF(ISNUMBER(BJ71),IF(BK70&lt;&gt;BK71,1,BL70+1),"")</f>
        <v>31</v>
      </c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</row>
    <row r="72" spans="1:88" x14ac:dyDescent="0.25">
      <c r="A72" s="1"/>
      <c r="B72" s="35">
        <f>COLUMN()</f>
        <v>2</v>
      </c>
      <c r="C72" s="82" t="str">
        <f t="shared" si="45"/>
        <v>1,25</v>
      </c>
      <c r="D72" s="82" t="str">
        <f t="shared" si="45"/>
        <v>2,25</v>
      </c>
      <c r="E72" s="82" t="str">
        <f t="shared" si="45"/>
        <v>3,25</v>
      </c>
      <c r="F72" s="82" t="str">
        <f t="shared" si="45"/>
        <v>4,25</v>
      </c>
      <c r="G72" s="82" t="str">
        <f t="shared" si="45"/>
        <v>5,25</v>
      </c>
      <c r="H72" s="82" t="str">
        <f t="shared" si="45"/>
        <v>6,25</v>
      </c>
      <c r="I72" s="82" t="str">
        <f t="shared" si="45"/>
        <v>7,25</v>
      </c>
      <c r="J72" s="82" t="str">
        <f t="shared" si="45"/>
        <v>8,25</v>
      </c>
      <c r="K72" s="82" t="str">
        <f t="shared" si="45"/>
        <v>9,25</v>
      </c>
      <c r="L72" s="82" t="str">
        <f t="shared" si="45"/>
        <v>10,25</v>
      </c>
      <c r="M72" s="82" t="str">
        <f t="shared" si="46"/>
        <v>11,25</v>
      </c>
      <c r="N72" s="82" t="str">
        <f t="shared" si="46"/>
        <v>12,25</v>
      </c>
      <c r="O72" s="82" t="str">
        <f t="shared" si="46"/>
        <v>13,25</v>
      </c>
      <c r="P72" s="82" t="str">
        <f t="shared" si="46"/>
        <v>14,25</v>
      </c>
      <c r="Q72" s="82" t="str">
        <f t="shared" si="46"/>
        <v>15,25</v>
      </c>
      <c r="R72" s="82" t="str">
        <f t="shared" si="46"/>
        <v>16,25</v>
      </c>
      <c r="S72" s="82" t="str">
        <f t="shared" si="46"/>
        <v>17,25</v>
      </c>
      <c r="T72" s="82" t="str">
        <f t="shared" si="46"/>
        <v>18,25</v>
      </c>
      <c r="U72" s="82" t="str">
        <f t="shared" si="46"/>
        <v>19,25</v>
      </c>
      <c r="V72" s="82" t="str">
        <f t="shared" si="46"/>
        <v>20,25</v>
      </c>
      <c r="W72" s="82" t="str">
        <f t="shared" si="46"/>
        <v>21,25</v>
      </c>
      <c r="X72" s="82" t="str">
        <f t="shared" si="46"/>
        <v>22,25</v>
      </c>
      <c r="Y72" s="82" t="str">
        <f t="shared" si="46"/>
        <v>23,25</v>
      </c>
      <c r="Z72" s="1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1"/>
      <c r="BD72" s="3">
        <v>2</v>
      </c>
      <c r="BE72" s="3">
        <v>34</v>
      </c>
      <c r="BF72" s="3">
        <v>10</v>
      </c>
      <c r="BG72" s="3">
        <v>28</v>
      </c>
      <c r="BH72" s="49" t="str">
        <f t="shared" si="47"/>
        <v>10,34</v>
      </c>
      <c r="BI72" s="1"/>
      <c r="BJ72" s="13">
        <f t="shared" si="48"/>
        <v>68</v>
      </c>
      <c r="BK72" s="10">
        <f t="shared" si="49"/>
        <v>2</v>
      </c>
      <c r="BL72" s="10">
        <f t="shared" si="50"/>
        <v>32</v>
      </c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</row>
    <row r="73" spans="1:88" x14ac:dyDescent="0.25">
      <c r="A73" s="1"/>
      <c r="B73" s="35">
        <f>COLUMN()</f>
        <v>2</v>
      </c>
      <c r="C73" s="82" t="str">
        <f t="shared" si="45"/>
        <v>1,26</v>
      </c>
      <c r="D73" s="82" t="str">
        <f t="shared" si="45"/>
        <v>2,26</v>
      </c>
      <c r="E73" s="82" t="str">
        <f t="shared" si="45"/>
        <v>3,26</v>
      </c>
      <c r="F73" s="82" t="str">
        <f t="shared" si="45"/>
        <v>4,26</v>
      </c>
      <c r="G73" s="82" t="str">
        <f t="shared" si="45"/>
        <v>5,26</v>
      </c>
      <c r="H73" s="82" t="str">
        <f t="shared" si="45"/>
        <v>6,26</v>
      </c>
      <c r="I73" s="82" t="str">
        <f t="shared" si="45"/>
        <v>7,26</v>
      </c>
      <c r="J73" s="82" t="str">
        <f t="shared" si="45"/>
        <v>8,26</v>
      </c>
      <c r="K73" s="82" t="str">
        <f t="shared" si="45"/>
        <v>9,26</v>
      </c>
      <c r="L73" s="82" t="str">
        <f t="shared" si="45"/>
        <v>10,26</v>
      </c>
      <c r="M73" s="82" t="str">
        <f t="shared" si="46"/>
        <v>11,26</v>
      </c>
      <c r="N73" s="82" t="str">
        <f t="shared" si="46"/>
        <v>12,26</v>
      </c>
      <c r="O73" s="82" t="str">
        <f t="shared" si="46"/>
        <v>13,26</v>
      </c>
      <c r="P73" s="82" t="str">
        <f t="shared" si="46"/>
        <v>14,26</v>
      </c>
      <c r="Q73" s="82" t="str">
        <f t="shared" si="46"/>
        <v>15,26</v>
      </c>
      <c r="R73" s="82" t="str">
        <f t="shared" si="46"/>
        <v>16,26</v>
      </c>
      <c r="S73" s="82" t="str">
        <f t="shared" si="46"/>
        <v>17,26</v>
      </c>
      <c r="T73" s="82" t="str">
        <f t="shared" si="46"/>
        <v>18,26</v>
      </c>
      <c r="U73" s="82" t="str">
        <f t="shared" si="46"/>
        <v>19,26</v>
      </c>
      <c r="V73" s="82" t="str">
        <f t="shared" si="46"/>
        <v>20,26</v>
      </c>
      <c r="W73" s="82" t="str">
        <f t="shared" si="46"/>
        <v>21,26</v>
      </c>
      <c r="X73" s="82" t="str">
        <f t="shared" si="46"/>
        <v>22,26</v>
      </c>
      <c r="Y73" s="82" t="str">
        <f t="shared" si="46"/>
        <v>23,26</v>
      </c>
      <c r="Z73" s="1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1"/>
      <c r="BD73" s="3">
        <v>2</v>
      </c>
      <c r="BE73" s="3">
        <v>34</v>
      </c>
      <c r="BF73" s="3">
        <v>11</v>
      </c>
      <c r="BG73" s="3">
        <v>28</v>
      </c>
      <c r="BH73" s="49" t="str">
        <f t="shared" si="47"/>
        <v>11,34</v>
      </c>
      <c r="BI73" s="1"/>
      <c r="BJ73" s="13">
        <f t="shared" si="48"/>
        <v>69</v>
      </c>
      <c r="BK73" s="10">
        <f t="shared" si="49"/>
        <v>2</v>
      </c>
      <c r="BL73" s="10">
        <f t="shared" si="50"/>
        <v>33</v>
      </c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</row>
    <row r="74" spans="1:88" x14ac:dyDescent="0.25">
      <c r="A74" s="1"/>
      <c r="B74" s="35">
        <f>COLUMN()</f>
        <v>2</v>
      </c>
      <c r="C74" s="82" t="str">
        <f t="shared" si="45"/>
        <v>1,27</v>
      </c>
      <c r="D74" s="82" t="str">
        <f t="shared" si="45"/>
        <v>2,27</v>
      </c>
      <c r="E74" s="82" t="str">
        <f t="shared" si="45"/>
        <v>3,27</v>
      </c>
      <c r="F74" s="82" t="str">
        <f t="shared" si="45"/>
        <v>4,27</v>
      </c>
      <c r="G74" s="82" t="str">
        <f t="shared" si="45"/>
        <v>5,27</v>
      </c>
      <c r="H74" s="82" t="str">
        <f t="shared" si="45"/>
        <v>6,27</v>
      </c>
      <c r="I74" s="82" t="str">
        <f t="shared" si="45"/>
        <v>7,27</v>
      </c>
      <c r="J74" s="82" t="str">
        <f t="shared" si="45"/>
        <v>8,27</v>
      </c>
      <c r="K74" s="82" t="str">
        <f t="shared" si="45"/>
        <v>9,27</v>
      </c>
      <c r="L74" s="82" t="str">
        <f t="shared" si="45"/>
        <v>10,27</v>
      </c>
      <c r="M74" s="82" t="str">
        <f t="shared" si="46"/>
        <v>11,27</v>
      </c>
      <c r="N74" s="82" t="str">
        <f t="shared" si="46"/>
        <v>12,27</v>
      </c>
      <c r="O74" s="82" t="str">
        <f t="shared" si="46"/>
        <v>13,27</v>
      </c>
      <c r="P74" s="82" t="str">
        <f t="shared" si="46"/>
        <v>14,27</v>
      </c>
      <c r="Q74" s="82" t="str">
        <f t="shared" si="46"/>
        <v>15,27</v>
      </c>
      <c r="R74" s="82" t="str">
        <f t="shared" si="46"/>
        <v>16,27</v>
      </c>
      <c r="S74" s="82" t="str">
        <f t="shared" si="46"/>
        <v>17,27</v>
      </c>
      <c r="T74" s="82" t="str">
        <f t="shared" si="46"/>
        <v>18,27</v>
      </c>
      <c r="U74" s="82" t="str">
        <f t="shared" si="46"/>
        <v>19,27</v>
      </c>
      <c r="V74" s="82" t="str">
        <f t="shared" si="46"/>
        <v>20,27</v>
      </c>
      <c r="W74" s="82" t="str">
        <f t="shared" si="46"/>
        <v>21,27</v>
      </c>
      <c r="X74" s="82" t="str">
        <f t="shared" si="46"/>
        <v>22,27</v>
      </c>
      <c r="Y74" s="82" t="str">
        <f t="shared" si="46"/>
        <v>23,27</v>
      </c>
      <c r="Z74" s="1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1"/>
      <c r="BD74" s="3">
        <v>2</v>
      </c>
      <c r="BE74" s="3">
        <v>34</v>
      </c>
      <c r="BF74" s="3">
        <v>12</v>
      </c>
      <c r="BG74" s="3">
        <v>28</v>
      </c>
      <c r="BH74" s="49" t="str">
        <f t="shared" si="47"/>
        <v>12,34</v>
      </c>
      <c r="BI74" s="1"/>
      <c r="BJ74" s="13">
        <f t="shared" si="48"/>
        <v>70</v>
      </c>
      <c r="BK74" s="10">
        <f t="shared" si="49"/>
        <v>2</v>
      </c>
      <c r="BL74" s="10">
        <f t="shared" si="50"/>
        <v>34</v>
      </c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</row>
    <row r="75" spans="1:88" x14ac:dyDescent="0.25">
      <c r="A75" s="1"/>
      <c r="B75" s="35">
        <f>COLUMN()</f>
        <v>2</v>
      </c>
      <c r="C75" s="82" t="str">
        <f t="shared" si="45"/>
        <v>1,28</v>
      </c>
      <c r="D75" s="82" t="str">
        <f t="shared" si="45"/>
        <v>2,28</v>
      </c>
      <c r="E75" s="82" t="str">
        <f t="shared" si="45"/>
        <v>3,28</v>
      </c>
      <c r="F75" s="82" t="str">
        <f t="shared" si="45"/>
        <v>4,28</v>
      </c>
      <c r="G75" s="82" t="str">
        <f t="shared" si="45"/>
        <v>5,28</v>
      </c>
      <c r="H75" s="82" t="str">
        <f t="shared" si="45"/>
        <v>6,28</v>
      </c>
      <c r="I75" s="82" t="str">
        <f t="shared" si="45"/>
        <v>7,28</v>
      </c>
      <c r="J75" s="82" t="str">
        <f t="shared" si="45"/>
        <v>8,28</v>
      </c>
      <c r="K75" s="82" t="str">
        <f t="shared" si="45"/>
        <v>9,28</v>
      </c>
      <c r="L75" s="82" t="str">
        <f t="shared" si="45"/>
        <v>10,28</v>
      </c>
      <c r="M75" s="82" t="str">
        <f t="shared" si="46"/>
        <v>11,28</v>
      </c>
      <c r="N75" s="82" t="str">
        <f t="shared" si="46"/>
        <v>12,28</v>
      </c>
      <c r="O75" s="82" t="str">
        <f t="shared" si="46"/>
        <v>13,28</v>
      </c>
      <c r="P75" s="82" t="str">
        <f t="shared" si="46"/>
        <v>14,28</v>
      </c>
      <c r="Q75" s="82" t="str">
        <f t="shared" si="46"/>
        <v>15,28</v>
      </c>
      <c r="R75" s="82" t="str">
        <f t="shared" si="46"/>
        <v>16,28</v>
      </c>
      <c r="S75" s="82" t="str">
        <f t="shared" si="46"/>
        <v>17,28</v>
      </c>
      <c r="T75" s="82" t="str">
        <f t="shared" si="46"/>
        <v>18,28</v>
      </c>
      <c r="U75" s="82" t="str">
        <f t="shared" si="46"/>
        <v>19,28</v>
      </c>
      <c r="V75" s="82" t="str">
        <f t="shared" si="46"/>
        <v>20,28</v>
      </c>
      <c r="W75" s="82" t="str">
        <f t="shared" si="46"/>
        <v>21,28</v>
      </c>
      <c r="X75" s="82" t="str">
        <f t="shared" si="46"/>
        <v>22,28</v>
      </c>
      <c r="Y75" s="82" t="str">
        <f t="shared" si="46"/>
        <v>23,28</v>
      </c>
      <c r="Z75" s="1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1"/>
      <c r="BD75" s="3">
        <v>2</v>
      </c>
      <c r="BE75" s="3">
        <v>34</v>
      </c>
      <c r="BF75" s="3">
        <v>13</v>
      </c>
      <c r="BG75" s="3">
        <v>28</v>
      </c>
      <c r="BH75" s="49" t="str">
        <f t="shared" si="47"/>
        <v>13,34</v>
      </c>
      <c r="BI75" s="1"/>
      <c r="BJ75" s="13">
        <f t="shared" si="48"/>
        <v>71</v>
      </c>
      <c r="BK75" s="10">
        <f t="shared" si="49"/>
        <v>2</v>
      </c>
      <c r="BL75" s="10">
        <f t="shared" si="50"/>
        <v>35</v>
      </c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</row>
    <row r="76" spans="1:88" x14ac:dyDescent="0.25">
      <c r="A76" s="1"/>
      <c r="B76" s="35">
        <f>COLUMN()</f>
        <v>2</v>
      </c>
      <c r="C76" s="82" t="str">
        <f t="shared" si="45"/>
        <v>1,29</v>
      </c>
      <c r="D76" s="82" t="str">
        <f t="shared" si="45"/>
        <v>2,29</v>
      </c>
      <c r="E76" s="82" t="str">
        <f t="shared" si="45"/>
        <v>3,29</v>
      </c>
      <c r="F76" s="82" t="str">
        <f t="shared" si="45"/>
        <v>4,29</v>
      </c>
      <c r="G76" s="82" t="str">
        <f t="shared" si="45"/>
        <v>5,29</v>
      </c>
      <c r="H76" s="82" t="str">
        <f t="shared" si="45"/>
        <v>6,29</v>
      </c>
      <c r="I76" s="82" t="str">
        <f t="shared" si="45"/>
        <v>7,29</v>
      </c>
      <c r="J76" s="82" t="str">
        <f t="shared" si="45"/>
        <v>8,29</v>
      </c>
      <c r="K76" s="82" t="str">
        <f t="shared" si="45"/>
        <v>9,29</v>
      </c>
      <c r="L76" s="82" t="str">
        <f t="shared" si="45"/>
        <v>10,29</v>
      </c>
      <c r="M76" s="82" t="str">
        <f t="shared" si="46"/>
        <v>11,29</v>
      </c>
      <c r="N76" s="82" t="str">
        <f t="shared" si="46"/>
        <v>12,29</v>
      </c>
      <c r="O76" s="82" t="str">
        <f t="shared" si="46"/>
        <v>13,29</v>
      </c>
      <c r="P76" s="82" t="str">
        <f t="shared" si="46"/>
        <v>14,29</v>
      </c>
      <c r="Q76" s="82" t="str">
        <f t="shared" si="46"/>
        <v>15,29</v>
      </c>
      <c r="R76" s="82" t="str">
        <f t="shared" si="46"/>
        <v>16,29</v>
      </c>
      <c r="S76" s="82" t="str">
        <f t="shared" si="46"/>
        <v>17,29</v>
      </c>
      <c r="T76" s="82" t="str">
        <f t="shared" si="46"/>
        <v>18,29</v>
      </c>
      <c r="U76" s="82" t="str">
        <f t="shared" si="46"/>
        <v>19,29</v>
      </c>
      <c r="V76" s="82" t="str">
        <f t="shared" si="46"/>
        <v>20,29</v>
      </c>
      <c r="W76" s="82" t="str">
        <f t="shared" si="46"/>
        <v>21,29</v>
      </c>
      <c r="X76" s="82" t="str">
        <f t="shared" si="46"/>
        <v>22,29</v>
      </c>
      <c r="Y76" s="82" t="str">
        <f t="shared" si="46"/>
        <v>23,29</v>
      </c>
      <c r="Z76" s="1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1"/>
      <c r="BD76" s="3">
        <v>2</v>
      </c>
      <c r="BE76" s="3">
        <v>35</v>
      </c>
      <c r="BF76" s="3">
        <v>14</v>
      </c>
      <c r="BG76" s="3">
        <v>28</v>
      </c>
      <c r="BH76" s="49" t="str">
        <f t="shared" si="47"/>
        <v>14,35</v>
      </c>
      <c r="BI76" s="1"/>
      <c r="BJ76" s="13">
        <f t="shared" si="48"/>
        <v>72</v>
      </c>
      <c r="BK76" s="10">
        <f t="shared" si="49"/>
        <v>2</v>
      </c>
      <c r="BL76" s="10">
        <f t="shared" si="50"/>
        <v>36</v>
      </c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</row>
    <row r="77" spans="1:88" x14ac:dyDescent="0.25">
      <c r="A77" s="1"/>
      <c r="B77" s="35">
        <f>COLUMN()</f>
        <v>2</v>
      </c>
      <c r="C77" s="82" t="str">
        <f t="shared" si="45"/>
        <v>1,30</v>
      </c>
      <c r="D77" s="82" t="str">
        <f t="shared" si="45"/>
        <v>2,30</v>
      </c>
      <c r="E77" s="82" t="str">
        <f t="shared" si="45"/>
        <v>3,30</v>
      </c>
      <c r="F77" s="82" t="str">
        <f t="shared" si="45"/>
        <v>4,30</v>
      </c>
      <c r="G77" s="82" t="str">
        <f t="shared" si="45"/>
        <v>5,30</v>
      </c>
      <c r="H77" s="82" t="str">
        <f t="shared" si="45"/>
        <v>6,30</v>
      </c>
      <c r="I77" s="82" t="str">
        <f t="shared" si="45"/>
        <v>7,30</v>
      </c>
      <c r="J77" s="82" t="str">
        <f t="shared" si="45"/>
        <v>8,30</v>
      </c>
      <c r="K77" s="82" t="str">
        <f t="shared" si="45"/>
        <v>9,30</v>
      </c>
      <c r="L77" s="82" t="str">
        <f t="shared" si="45"/>
        <v>10,30</v>
      </c>
      <c r="M77" s="82" t="str">
        <f t="shared" si="46"/>
        <v>11,30</v>
      </c>
      <c r="N77" s="82" t="str">
        <f t="shared" si="46"/>
        <v>12,30</v>
      </c>
      <c r="O77" s="82" t="str">
        <f t="shared" si="46"/>
        <v>13,30</v>
      </c>
      <c r="P77" s="82" t="str">
        <f t="shared" si="46"/>
        <v>14,30</v>
      </c>
      <c r="Q77" s="82" t="str">
        <f t="shared" si="46"/>
        <v>15,30</v>
      </c>
      <c r="R77" s="82" t="str">
        <f t="shared" si="46"/>
        <v>16,30</v>
      </c>
      <c r="S77" s="82" t="str">
        <f t="shared" si="46"/>
        <v>17,30</v>
      </c>
      <c r="T77" s="82" t="str">
        <f t="shared" si="46"/>
        <v>18,30</v>
      </c>
      <c r="U77" s="82" t="str">
        <f t="shared" si="46"/>
        <v>19,30</v>
      </c>
      <c r="V77" s="82" t="str">
        <f t="shared" si="46"/>
        <v>20,30</v>
      </c>
      <c r="W77" s="82" t="str">
        <f t="shared" si="46"/>
        <v>21,30</v>
      </c>
      <c r="X77" s="82" t="str">
        <f t="shared" si="46"/>
        <v>22,30</v>
      </c>
      <c r="Y77" s="82" t="str">
        <f t="shared" si="46"/>
        <v>23,30</v>
      </c>
      <c r="Z77" s="1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1"/>
      <c r="BD77" s="3">
        <v>2</v>
      </c>
      <c r="BE77" s="3">
        <v>35</v>
      </c>
      <c r="BF77" s="3">
        <v>16</v>
      </c>
      <c r="BG77" s="3">
        <v>28</v>
      </c>
      <c r="BH77" s="49" t="str">
        <f t="shared" si="47"/>
        <v>16,35</v>
      </c>
      <c r="BI77" s="1"/>
      <c r="BJ77" s="13">
        <f t="shared" si="48"/>
        <v>73</v>
      </c>
      <c r="BK77" s="10">
        <f t="shared" si="49"/>
        <v>3</v>
      </c>
      <c r="BL77" s="10">
        <f t="shared" si="50"/>
        <v>1</v>
      </c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</row>
    <row r="78" spans="1:88" x14ac:dyDescent="0.25">
      <c r="A78" s="1"/>
      <c r="B78" s="35">
        <f>COLUMN()</f>
        <v>2</v>
      </c>
      <c r="C78" s="82" t="str">
        <f t="shared" si="45"/>
        <v>1,31</v>
      </c>
      <c r="D78" s="82" t="str">
        <f t="shared" si="45"/>
        <v>2,31</v>
      </c>
      <c r="E78" s="82" t="str">
        <f t="shared" si="45"/>
        <v>3,31</v>
      </c>
      <c r="F78" s="82" t="str">
        <f t="shared" si="45"/>
        <v>4,31</v>
      </c>
      <c r="G78" s="82" t="str">
        <f t="shared" si="45"/>
        <v>5,31</v>
      </c>
      <c r="H78" s="82" t="str">
        <f t="shared" si="45"/>
        <v>6,31</v>
      </c>
      <c r="I78" s="82" t="str">
        <f t="shared" si="45"/>
        <v>7,31</v>
      </c>
      <c r="J78" s="82" t="str">
        <f t="shared" si="45"/>
        <v>8,31</v>
      </c>
      <c r="K78" s="82" t="str">
        <f t="shared" si="45"/>
        <v>9,31</v>
      </c>
      <c r="L78" s="82" t="str">
        <f t="shared" si="45"/>
        <v>10,31</v>
      </c>
      <c r="M78" s="82" t="str">
        <f t="shared" si="46"/>
        <v>11,31</v>
      </c>
      <c r="N78" s="82" t="str">
        <f t="shared" si="46"/>
        <v>12,31</v>
      </c>
      <c r="O78" s="82" t="str">
        <f t="shared" si="46"/>
        <v>13,31</v>
      </c>
      <c r="P78" s="82" t="str">
        <f t="shared" si="46"/>
        <v>14,31</v>
      </c>
      <c r="Q78" s="82" t="str">
        <f t="shared" si="46"/>
        <v>15,31</v>
      </c>
      <c r="R78" s="82" t="str">
        <f t="shared" si="46"/>
        <v>16,31</v>
      </c>
      <c r="S78" s="82" t="str">
        <f t="shared" si="46"/>
        <v>17,31</v>
      </c>
      <c r="T78" s="82" t="str">
        <f t="shared" si="46"/>
        <v>18,31</v>
      </c>
      <c r="U78" s="82" t="str">
        <f t="shared" si="46"/>
        <v>19,31</v>
      </c>
      <c r="V78" s="82" t="str">
        <f t="shared" si="46"/>
        <v>20,31</v>
      </c>
      <c r="W78" s="82" t="str">
        <f t="shared" si="46"/>
        <v>21,31</v>
      </c>
      <c r="X78" s="82" t="str">
        <f t="shared" si="46"/>
        <v>22,31</v>
      </c>
      <c r="Y78" s="82" t="str">
        <f t="shared" si="46"/>
        <v>23,31</v>
      </c>
      <c r="Z78" s="1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1"/>
      <c r="BD78" s="3">
        <v>2</v>
      </c>
      <c r="BE78" s="3">
        <v>35</v>
      </c>
      <c r="BF78" s="3">
        <v>17</v>
      </c>
      <c r="BG78" s="3">
        <v>28</v>
      </c>
      <c r="BH78" s="49" t="str">
        <f t="shared" si="47"/>
        <v>17,35</v>
      </c>
      <c r="BI78" s="1"/>
      <c r="BJ78" s="13">
        <f t="shared" si="48"/>
        <v>74</v>
      </c>
      <c r="BK78" s="10">
        <f t="shared" si="49"/>
        <v>3</v>
      </c>
      <c r="BL78" s="10">
        <f t="shared" si="50"/>
        <v>2</v>
      </c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</row>
    <row r="79" spans="1:88" x14ac:dyDescent="0.25">
      <c r="A79" s="1"/>
      <c r="B79" s="35">
        <f>COLUMN()</f>
        <v>2</v>
      </c>
      <c r="C79" s="82" t="str">
        <f t="shared" si="45"/>
        <v>1,32</v>
      </c>
      <c r="D79" s="82" t="str">
        <f t="shared" si="45"/>
        <v>2,32</v>
      </c>
      <c r="E79" s="82" t="str">
        <f t="shared" si="45"/>
        <v>3,32</v>
      </c>
      <c r="F79" s="82" t="str">
        <f t="shared" si="45"/>
        <v>4,32</v>
      </c>
      <c r="G79" s="82" t="str">
        <f t="shared" si="45"/>
        <v>5,32</v>
      </c>
      <c r="H79" s="82" t="str">
        <f t="shared" si="45"/>
        <v>6,32</v>
      </c>
      <c r="I79" s="82" t="str">
        <f t="shared" si="45"/>
        <v>7,32</v>
      </c>
      <c r="J79" s="82" t="str">
        <f t="shared" si="45"/>
        <v>8,32</v>
      </c>
      <c r="K79" s="82" t="str">
        <f t="shared" si="45"/>
        <v>9,32</v>
      </c>
      <c r="L79" s="82" t="str">
        <f t="shared" si="45"/>
        <v>10,32</v>
      </c>
      <c r="M79" s="82" t="str">
        <f t="shared" si="46"/>
        <v>11,32</v>
      </c>
      <c r="N79" s="82" t="str">
        <f t="shared" si="46"/>
        <v>12,32</v>
      </c>
      <c r="O79" s="82" t="str">
        <f t="shared" si="46"/>
        <v>13,32</v>
      </c>
      <c r="P79" s="82" t="str">
        <f t="shared" si="46"/>
        <v>14,32</v>
      </c>
      <c r="Q79" s="82" t="str">
        <f t="shared" si="46"/>
        <v>15,32</v>
      </c>
      <c r="R79" s="82" t="str">
        <f t="shared" si="46"/>
        <v>16,32</v>
      </c>
      <c r="S79" s="82" t="str">
        <f t="shared" si="46"/>
        <v>17,32</v>
      </c>
      <c r="T79" s="82" t="str">
        <f t="shared" si="46"/>
        <v>18,32</v>
      </c>
      <c r="U79" s="82" t="str">
        <f t="shared" si="46"/>
        <v>19,32</v>
      </c>
      <c r="V79" s="82" t="str">
        <f t="shared" si="46"/>
        <v>20,32</v>
      </c>
      <c r="W79" s="82" t="str">
        <f t="shared" si="46"/>
        <v>21,32</v>
      </c>
      <c r="X79" s="82" t="str">
        <f t="shared" si="46"/>
        <v>22,32</v>
      </c>
      <c r="Y79" s="82" t="str">
        <f t="shared" si="46"/>
        <v>23,32</v>
      </c>
      <c r="Z79" s="1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1"/>
      <c r="BD79" s="3">
        <v>2</v>
      </c>
      <c r="BE79" s="3">
        <v>35</v>
      </c>
      <c r="BF79" s="3">
        <v>18</v>
      </c>
      <c r="BG79" s="3">
        <v>28</v>
      </c>
      <c r="BH79" s="49" t="str">
        <f t="shared" si="47"/>
        <v>18,35</v>
      </c>
      <c r="BI79" s="1"/>
      <c r="BJ79" s="13">
        <f t="shared" si="48"/>
        <v>75</v>
      </c>
      <c r="BK79" s="10">
        <f t="shared" si="49"/>
        <v>3</v>
      </c>
      <c r="BL79" s="10">
        <f t="shared" si="50"/>
        <v>3</v>
      </c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</row>
    <row r="80" spans="1:88" x14ac:dyDescent="0.25">
      <c r="A80" s="1"/>
      <c r="B80" s="35">
        <f>COLUMN()</f>
        <v>2</v>
      </c>
      <c r="C80" s="82" t="str">
        <f t="shared" si="45"/>
        <v>1,33</v>
      </c>
      <c r="D80" s="82" t="str">
        <f t="shared" si="45"/>
        <v>2,33</v>
      </c>
      <c r="E80" s="82" t="str">
        <f t="shared" si="45"/>
        <v>3,33</v>
      </c>
      <c r="F80" s="82" t="str">
        <f t="shared" si="45"/>
        <v>4,33</v>
      </c>
      <c r="G80" s="82" t="str">
        <f t="shared" si="45"/>
        <v>5,33</v>
      </c>
      <c r="H80" s="82" t="str">
        <f t="shared" si="45"/>
        <v>6,33</v>
      </c>
      <c r="I80" s="82" t="str">
        <f t="shared" si="45"/>
        <v>7,33</v>
      </c>
      <c r="J80" s="82" t="str">
        <f t="shared" si="45"/>
        <v>8,33</v>
      </c>
      <c r="K80" s="82" t="str">
        <f t="shared" si="45"/>
        <v>9,33</v>
      </c>
      <c r="L80" s="82" t="str">
        <f t="shared" si="45"/>
        <v>10,33</v>
      </c>
      <c r="M80" s="82" t="str">
        <f t="shared" ref="M80:Y83" si="51">_xlfn.CONCAT(COLUMN()-$B80,",",ROW()-M$47)</f>
        <v>11,33</v>
      </c>
      <c r="N80" s="82" t="str">
        <f t="shared" si="51"/>
        <v>12,33</v>
      </c>
      <c r="O80" s="82" t="str">
        <f t="shared" si="51"/>
        <v>13,33</v>
      </c>
      <c r="P80" s="82" t="str">
        <f t="shared" si="51"/>
        <v>14,33</v>
      </c>
      <c r="Q80" s="82" t="str">
        <f t="shared" si="51"/>
        <v>15,33</v>
      </c>
      <c r="R80" s="82" t="str">
        <f t="shared" si="51"/>
        <v>16,33</v>
      </c>
      <c r="S80" s="82" t="str">
        <f t="shared" si="51"/>
        <v>17,33</v>
      </c>
      <c r="T80" s="82" t="str">
        <f t="shared" si="51"/>
        <v>18,33</v>
      </c>
      <c r="U80" s="82" t="str">
        <f t="shared" si="51"/>
        <v>19,33</v>
      </c>
      <c r="V80" s="82" t="str">
        <f t="shared" si="51"/>
        <v>20,33</v>
      </c>
      <c r="W80" s="82" t="str">
        <f t="shared" si="51"/>
        <v>21,33</v>
      </c>
      <c r="X80" s="82" t="str">
        <f t="shared" si="51"/>
        <v>22,33</v>
      </c>
      <c r="Y80" s="82" t="str">
        <f t="shared" si="51"/>
        <v>23,33</v>
      </c>
      <c r="Z80" s="1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1"/>
      <c r="BD80" s="3">
        <v>2</v>
      </c>
      <c r="BE80" s="3">
        <v>35</v>
      </c>
      <c r="BF80" s="3">
        <v>19</v>
      </c>
      <c r="BG80" s="3">
        <v>28</v>
      </c>
      <c r="BH80" s="49" t="str">
        <f t="shared" si="47"/>
        <v>19,35</v>
      </c>
      <c r="BI80" s="1"/>
      <c r="BJ80" s="13">
        <f t="shared" si="48"/>
        <v>76</v>
      </c>
      <c r="BK80" s="10">
        <f t="shared" si="49"/>
        <v>3</v>
      </c>
      <c r="BL80" s="10">
        <f t="shared" si="50"/>
        <v>4</v>
      </c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</row>
    <row r="81" spans="1:88" x14ac:dyDescent="0.25">
      <c r="A81" s="1"/>
      <c r="B81" s="35">
        <f>COLUMN()</f>
        <v>2</v>
      </c>
      <c r="C81" s="82" t="str">
        <f t="shared" si="45"/>
        <v>1,34</v>
      </c>
      <c r="D81" s="82" t="str">
        <f t="shared" si="45"/>
        <v>2,34</v>
      </c>
      <c r="E81" s="82" t="str">
        <f t="shared" si="45"/>
        <v>3,34</v>
      </c>
      <c r="F81" s="82" t="str">
        <f t="shared" si="45"/>
        <v>4,34</v>
      </c>
      <c r="G81" s="82" t="str">
        <f t="shared" si="45"/>
        <v>5,34</v>
      </c>
      <c r="H81" s="82" t="str">
        <f t="shared" si="45"/>
        <v>6,34</v>
      </c>
      <c r="I81" s="82" t="str">
        <f t="shared" si="45"/>
        <v>7,34</v>
      </c>
      <c r="J81" s="82" t="str">
        <f t="shared" si="45"/>
        <v>8,34</v>
      </c>
      <c r="K81" s="82" t="str">
        <f t="shared" si="45"/>
        <v>9,34</v>
      </c>
      <c r="L81" s="82" t="str">
        <f t="shared" si="45"/>
        <v>10,34</v>
      </c>
      <c r="M81" s="82" t="str">
        <f t="shared" si="51"/>
        <v>11,34</v>
      </c>
      <c r="N81" s="82" t="str">
        <f t="shared" si="51"/>
        <v>12,34</v>
      </c>
      <c r="O81" s="82" t="str">
        <f t="shared" si="51"/>
        <v>13,34</v>
      </c>
      <c r="P81" s="82" t="str">
        <f t="shared" si="51"/>
        <v>14,34</v>
      </c>
      <c r="Q81" s="82" t="str">
        <f t="shared" si="51"/>
        <v>15,34</v>
      </c>
      <c r="R81" s="82" t="str">
        <f t="shared" si="51"/>
        <v>16,34</v>
      </c>
      <c r="S81" s="82" t="str">
        <f t="shared" si="51"/>
        <v>17,34</v>
      </c>
      <c r="T81" s="82" t="str">
        <f t="shared" si="51"/>
        <v>18,34</v>
      </c>
      <c r="U81" s="82" t="str">
        <f t="shared" si="51"/>
        <v>19,34</v>
      </c>
      <c r="V81" s="82" t="str">
        <f t="shared" si="51"/>
        <v>20,34</v>
      </c>
      <c r="W81" s="82" t="str">
        <f t="shared" si="51"/>
        <v>21,34</v>
      </c>
      <c r="X81" s="82" t="str">
        <f t="shared" si="51"/>
        <v>22,34</v>
      </c>
      <c r="Y81" s="82" t="str">
        <f t="shared" si="51"/>
        <v>23,34</v>
      </c>
      <c r="Z81" s="1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1"/>
      <c r="BD81" s="3">
        <v>2</v>
      </c>
      <c r="BE81" s="3">
        <v>35</v>
      </c>
      <c r="BF81" s="3">
        <v>20</v>
      </c>
      <c r="BG81" s="3">
        <v>28</v>
      </c>
      <c r="BH81" s="49" t="str">
        <f t="shared" si="47"/>
        <v>20,35</v>
      </c>
      <c r="BI81" s="1"/>
      <c r="BJ81" s="13">
        <f t="shared" si="48"/>
        <v>77</v>
      </c>
      <c r="BK81" s="10">
        <f t="shared" si="49"/>
        <v>3</v>
      </c>
      <c r="BL81" s="10">
        <f t="shared" si="50"/>
        <v>5</v>
      </c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</row>
    <row r="82" spans="1:88" x14ac:dyDescent="0.25">
      <c r="A82" s="1"/>
      <c r="B82" s="35">
        <f>COLUMN()</f>
        <v>2</v>
      </c>
      <c r="C82" s="82" t="str">
        <f t="shared" si="45"/>
        <v>1,35</v>
      </c>
      <c r="D82" s="82" t="str">
        <f t="shared" si="45"/>
        <v>2,35</v>
      </c>
      <c r="E82" s="82" t="str">
        <f t="shared" si="45"/>
        <v>3,35</v>
      </c>
      <c r="F82" s="82" t="str">
        <f t="shared" si="45"/>
        <v>4,35</v>
      </c>
      <c r="G82" s="82" t="str">
        <f t="shared" si="45"/>
        <v>5,35</v>
      </c>
      <c r="H82" s="82" t="str">
        <f t="shared" si="45"/>
        <v>6,35</v>
      </c>
      <c r="I82" s="82" t="str">
        <f t="shared" si="45"/>
        <v>7,35</v>
      </c>
      <c r="J82" s="82" t="str">
        <f t="shared" si="45"/>
        <v>8,35</v>
      </c>
      <c r="K82" s="82" t="str">
        <f t="shared" si="45"/>
        <v>9,35</v>
      </c>
      <c r="L82" s="82" t="str">
        <f t="shared" si="45"/>
        <v>10,35</v>
      </c>
      <c r="M82" s="82" t="str">
        <f t="shared" si="51"/>
        <v>11,35</v>
      </c>
      <c r="N82" s="82" t="str">
        <f t="shared" si="51"/>
        <v>12,35</v>
      </c>
      <c r="O82" s="82" t="str">
        <f t="shared" si="51"/>
        <v>13,35</v>
      </c>
      <c r="P82" s="82" t="str">
        <f t="shared" si="51"/>
        <v>14,35</v>
      </c>
      <c r="Q82" s="82" t="str">
        <f t="shared" si="51"/>
        <v>15,35</v>
      </c>
      <c r="R82" s="82" t="str">
        <f t="shared" si="51"/>
        <v>16,35</v>
      </c>
      <c r="S82" s="82" t="str">
        <f t="shared" si="51"/>
        <v>17,35</v>
      </c>
      <c r="T82" s="82" t="str">
        <f t="shared" si="51"/>
        <v>18,35</v>
      </c>
      <c r="U82" s="82" t="str">
        <f t="shared" si="51"/>
        <v>19,35</v>
      </c>
      <c r="V82" s="82" t="str">
        <f t="shared" si="51"/>
        <v>20,35</v>
      </c>
      <c r="W82" s="82" t="str">
        <f t="shared" si="51"/>
        <v>21,35</v>
      </c>
      <c r="X82" s="82" t="str">
        <f t="shared" si="51"/>
        <v>22,35</v>
      </c>
      <c r="Y82" s="82" t="str">
        <f t="shared" si="51"/>
        <v>23,35</v>
      </c>
      <c r="Z82" s="1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1"/>
      <c r="BD82" s="3">
        <v>2</v>
      </c>
      <c r="BE82" s="3">
        <v>36</v>
      </c>
      <c r="BF82" s="3">
        <v>21</v>
      </c>
      <c r="BG82" s="3">
        <v>28</v>
      </c>
      <c r="BH82" s="49" t="str">
        <f t="shared" si="47"/>
        <v>21,36</v>
      </c>
      <c r="BI82" s="1"/>
      <c r="BJ82" s="13">
        <f t="shared" si="48"/>
        <v>78</v>
      </c>
      <c r="BK82" s="10">
        <f t="shared" si="49"/>
        <v>3</v>
      </c>
      <c r="BL82" s="10">
        <f t="shared" si="50"/>
        <v>6</v>
      </c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</row>
    <row r="83" spans="1:88" x14ac:dyDescent="0.25">
      <c r="A83" s="1"/>
      <c r="B83" s="35">
        <f>COLUMN()</f>
        <v>2</v>
      </c>
      <c r="C83" s="82" t="str">
        <f t="shared" si="45"/>
        <v>1,36</v>
      </c>
      <c r="D83" s="82" t="str">
        <f t="shared" si="45"/>
        <v>2,36</v>
      </c>
      <c r="E83" s="82" t="str">
        <f t="shared" si="45"/>
        <v>3,36</v>
      </c>
      <c r="F83" s="82" t="str">
        <f t="shared" si="45"/>
        <v>4,36</v>
      </c>
      <c r="G83" s="82" t="str">
        <f t="shared" si="45"/>
        <v>5,36</v>
      </c>
      <c r="H83" s="82" t="str">
        <f t="shared" si="45"/>
        <v>6,36</v>
      </c>
      <c r="I83" s="82" t="str">
        <f t="shared" si="45"/>
        <v>7,36</v>
      </c>
      <c r="J83" s="82" t="str">
        <f t="shared" si="45"/>
        <v>8,36</v>
      </c>
      <c r="K83" s="82" t="str">
        <f t="shared" si="45"/>
        <v>9,36</v>
      </c>
      <c r="L83" s="82" t="str">
        <f t="shared" si="45"/>
        <v>10,36</v>
      </c>
      <c r="M83" s="82" t="str">
        <f t="shared" si="51"/>
        <v>11,36</v>
      </c>
      <c r="N83" s="82" t="str">
        <f t="shared" si="51"/>
        <v>12,36</v>
      </c>
      <c r="O83" s="82" t="str">
        <f t="shared" si="51"/>
        <v>13,36</v>
      </c>
      <c r="P83" s="82" t="str">
        <f t="shared" si="51"/>
        <v>14,36</v>
      </c>
      <c r="Q83" s="82" t="str">
        <f t="shared" si="51"/>
        <v>15,36</v>
      </c>
      <c r="R83" s="82" t="str">
        <f t="shared" si="51"/>
        <v>16,36</v>
      </c>
      <c r="S83" s="82" t="str">
        <f t="shared" si="51"/>
        <v>17,36</v>
      </c>
      <c r="T83" s="82" t="str">
        <f t="shared" si="51"/>
        <v>18,36</v>
      </c>
      <c r="U83" s="82" t="str">
        <f t="shared" si="51"/>
        <v>19,36</v>
      </c>
      <c r="V83" s="82" t="str">
        <f t="shared" si="51"/>
        <v>20,36</v>
      </c>
      <c r="W83" s="82" t="str">
        <f t="shared" si="51"/>
        <v>21,36</v>
      </c>
      <c r="X83" s="82" t="str">
        <f t="shared" si="51"/>
        <v>22,36</v>
      </c>
      <c r="Y83" s="82" t="str">
        <f t="shared" si="51"/>
        <v>23,36</v>
      </c>
      <c r="Z83" s="1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1"/>
      <c r="BD83" s="3">
        <v>2</v>
      </c>
      <c r="BE83" s="3">
        <v>36</v>
      </c>
      <c r="BF83" s="3">
        <v>22</v>
      </c>
      <c r="BG83" s="3">
        <v>28</v>
      </c>
      <c r="BH83" s="49" t="str">
        <f t="shared" si="47"/>
        <v>22,36</v>
      </c>
      <c r="BI83" s="1"/>
      <c r="BJ83" s="13">
        <f t="shared" si="48"/>
        <v>79</v>
      </c>
      <c r="BK83" s="10">
        <f t="shared" si="49"/>
        <v>3</v>
      </c>
      <c r="BL83" s="10">
        <f t="shared" si="50"/>
        <v>7</v>
      </c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</row>
    <row r="84" spans="1:8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1"/>
      <c r="BD84" s="3">
        <v>2</v>
      </c>
      <c r="BE84" s="3">
        <v>36</v>
      </c>
      <c r="BF84" s="3">
        <v>23</v>
      </c>
      <c r="BG84" s="3">
        <v>28</v>
      </c>
      <c r="BH84" s="49" t="str">
        <f t="shared" si="47"/>
        <v>23,36</v>
      </c>
      <c r="BI84" s="1"/>
      <c r="BJ84" s="13">
        <f t="shared" si="48"/>
        <v>80</v>
      </c>
      <c r="BK84" s="10">
        <f t="shared" si="49"/>
        <v>3</v>
      </c>
      <c r="BL84" s="10">
        <f t="shared" si="50"/>
        <v>8</v>
      </c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</row>
    <row r="85" spans="1:8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1"/>
      <c r="BD85" s="3">
        <v>3</v>
      </c>
      <c r="BE85" s="3">
        <v>1</v>
      </c>
      <c r="BF85" s="3">
        <v>4</v>
      </c>
      <c r="BG85" s="3">
        <v>50</v>
      </c>
      <c r="BH85" s="49" t="str">
        <f t="shared" si="47"/>
        <v>4,1</v>
      </c>
      <c r="BI85" s="1"/>
      <c r="BJ85" s="13">
        <f t="shared" si="48"/>
        <v>81</v>
      </c>
      <c r="BK85" s="10">
        <f t="shared" si="49"/>
        <v>3</v>
      </c>
      <c r="BL85" s="10">
        <f t="shared" si="50"/>
        <v>9</v>
      </c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</row>
    <row r="86" spans="1:8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1"/>
      <c r="BD86" s="3">
        <v>3</v>
      </c>
      <c r="BE86" s="3">
        <v>1</v>
      </c>
      <c r="BF86" s="3">
        <v>5</v>
      </c>
      <c r="BG86" s="3">
        <v>50</v>
      </c>
      <c r="BH86" s="49" t="str">
        <f t="shared" si="47"/>
        <v>5,1</v>
      </c>
      <c r="BI86" s="1"/>
      <c r="BJ86" s="13">
        <f t="shared" si="48"/>
        <v>82</v>
      </c>
      <c r="BK86" s="10">
        <f t="shared" si="49"/>
        <v>3</v>
      </c>
      <c r="BL86" s="10">
        <f t="shared" si="50"/>
        <v>10</v>
      </c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</row>
    <row r="87" spans="1:8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1"/>
      <c r="BD87" s="3">
        <v>3</v>
      </c>
      <c r="BE87" s="3">
        <v>1</v>
      </c>
      <c r="BF87" s="3">
        <v>6</v>
      </c>
      <c r="BG87" s="3">
        <v>50</v>
      </c>
      <c r="BH87" s="49" t="str">
        <f t="shared" si="47"/>
        <v>6,1</v>
      </c>
      <c r="BI87" s="1"/>
      <c r="BJ87" s="13">
        <f t="shared" si="48"/>
        <v>83</v>
      </c>
      <c r="BK87" s="10">
        <f t="shared" si="49"/>
        <v>3</v>
      </c>
      <c r="BL87" s="10">
        <f t="shared" si="50"/>
        <v>11</v>
      </c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</row>
    <row r="88" spans="1:8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1"/>
      <c r="BD88" s="3">
        <v>3</v>
      </c>
      <c r="BE88" s="3">
        <v>1</v>
      </c>
      <c r="BF88" s="3">
        <v>7</v>
      </c>
      <c r="BG88" s="3">
        <v>50</v>
      </c>
      <c r="BH88" s="49" t="str">
        <f t="shared" si="47"/>
        <v>7,1</v>
      </c>
      <c r="BI88" s="1"/>
      <c r="BJ88" s="13">
        <f t="shared" si="48"/>
        <v>84</v>
      </c>
      <c r="BK88" s="10">
        <f t="shared" si="49"/>
        <v>3</v>
      </c>
      <c r="BL88" s="10">
        <f t="shared" si="50"/>
        <v>12</v>
      </c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</row>
    <row r="89" spans="1:8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1"/>
      <c r="BD89" s="3">
        <v>3</v>
      </c>
      <c r="BE89" s="3">
        <v>1</v>
      </c>
      <c r="BF89" s="3">
        <v>8</v>
      </c>
      <c r="BG89" s="3">
        <v>50</v>
      </c>
      <c r="BH89" s="49" t="str">
        <f t="shared" si="47"/>
        <v>8,1</v>
      </c>
      <c r="BI89" s="1"/>
      <c r="BJ89" s="13">
        <f t="shared" si="48"/>
        <v>85</v>
      </c>
      <c r="BK89" s="10">
        <f t="shared" si="49"/>
        <v>3</v>
      </c>
      <c r="BL89" s="10">
        <f t="shared" si="50"/>
        <v>13</v>
      </c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</row>
    <row r="90" spans="1:8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1"/>
      <c r="BD90" s="3">
        <v>3</v>
      </c>
      <c r="BE90" s="3">
        <v>1</v>
      </c>
      <c r="BF90" s="3">
        <v>9</v>
      </c>
      <c r="BG90" s="3">
        <v>50</v>
      </c>
      <c r="BH90" s="49" t="str">
        <f t="shared" si="47"/>
        <v>9,1</v>
      </c>
      <c r="BI90" s="1"/>
      <c r="BJ90" s="13">
        <f t="shared" si="48"/>
        <v>86</v>
      </c>
      <c r="BK90" s="10">
        <f t="shared" si="49"/>
        <v>3</v>
      </c>
      <c r="BL90" s="10">
        <f t="shared" si="50"/>
        <v>14</v>
      </c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</row>
    <row r="91" spans="1:8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1"/>
      <c r="BD91" s="3">
        <v>3</v>
      </c>
      <c r="BE91" s="3">
        <v>1</v>
      </c>
      <c r="BF91" s="3">
        <v>10</v>
      </c>
      <c r="BG91" s="3">
        <v>50</v>
      </c>
      <c r="BH91" s="49" t="str">
        <f t="shared" si="47"/>
        <v>10,1</v>
      </c>
      <c r="BI91" s="1"/>
      <c r="BJ91" s="13">
        <f t="shared" si="48"/>
        <v>87</v>
      </c>
      <c r="BK91" s="10">
        <f t="shared" si="49"/>
        <v>3</v>
      </c>
      <c r="BL91" s="10">
        <f t="shared" si="50"/>
        <v>15</v>
      </c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</row>
    <row r="92" spans="1:8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1"/>
      <c r="BD92" s="3">
        <v>3</v>
      </c>
      <c r="BE92" s="3">
        <v>1</v>
      </c>
      <c r="BF92" s="3">
        <v>11</v>
      </c>
      <c r="BG92" s="3">
        <v>50</v>
      </c>
      <c r="BH92" s="49" t="str">
        <f t="shared" si="47"/>
        <v>11,1</v>
      </c>
      <c r="BI92" s="1"/>
      <c r="BJ92" s="13">
        <f t="shared" si="48"/>
        <v>88</v>
      </c>
      <c r="BK92" s="10">
        <f t="shared" si="49"/>
        <v>3</v>
      </c>
      <c r="BL92" s="10">
        <f t="shared" si="50"/>
        <v>16</v>
      </c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</row>
    <row r="93" spans="1:8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1"/>
      <c r="BD93" s="3">
        <v>3</v>
      </c>
      <c r="BE93" s="3">
        <v>1</v>
      </c>
      <c r="BF93" s="3">
        <v>16</v>
      </c>
      <c r="BG93" s="3">
        <v>50</v>
      </c>
      <c r="BH93" s="49" t="str">
        <f t="shared" si="47"/>
        <v>16,1</v>
      </c>
      <c r="BI93" s="1"/>
      <c r="BJ93" s="13">
        <f t="shared" si="48"/>
        <v>89</v>
      </c>
      <c r="BK93" s="10">
        <f t="shared" si="49"/>
        <v>3</v>
      </c>
      <c r="BL93" s="10">
        <f t="shared" si="50"/>
        <v>17</v>
      </c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</row>
    <row r="94" spans="1:8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1"/>
      <c r="BD94" s="3">
        <v>3</v>
      </c>
      <c r="BE94" s="3">
        <v>1</v>
      </c>
      <c r="BF94" s="3">
        <v>17</v>
      </c>
      <c r="BG94" s="3">
        <v>50</v>
      </c>
      <c r="BH94" s="49" t="str">
        <f t="shared" si="47"/>
        <v>17,1</v>
      </c>
      <c r="BI94" s="1"/>
      <c r="BJ94" s="13">
        <f t="shared" si="48"/>
        <v>90</v>
      </c>
      <c r="BK94" s="10">
        <f t="shared" si="49"/>
        <v>3</v>
      </c>
      <c r="BL94" s="10">
        <f t="shared" si="50"/>
        <v>18</v>
      </c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</row>
    <row r="95" spans="1:8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1"/>
      <c r="BD95" s="3">
        <v>3</v>
      </c>
      <c r="BE95" s="3">
        <v>1</v>
      </c>
      <c r="BF95" s="3">
        <v>18</v>
      </c>
      <c r="BG95" s="3">
        <v>50</v>
      </c>
      <c r="BH95" s="49" t="str">
        <f t="shared" si="47"/>
        <v>18,1</v>
      </c>
      <c r="BI95" s="1"/>
      <c r="BJ95" s="13">
        <f t="shared" si="48"/>
        <v>91</v>
      </c>
      <c r="BK95" s="10">
        <f t="shared" si="49"/>
        <v>3</v>
      </c>
      <c r="BL95" s="10">
        <f t="shared" si="50"/>
        <v>19</v>
      </c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</row>
    <row r="96" spans="1:8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1"/>
      <c r="BD96" s="3">
        <v>3</v>
      </c>
      <c r="BE96" s="3">
        <v>1</v>
      </c>
      <c r="BF96" s="3">
        <v>19</v>
      </c>
      <c r="BG96" s="3">
        <v>50</v>
      </c>
      <c r="BH96" s="49" t="str">
        <f t="shared" si="47"/>
        <v>19,1</v>
      </c>
      <c r="BI96" s="1"/>
      <c r="BJ96" s="13">
        <f t="shared" si="48"/>
        <v>92</v>
      </c>
      <c r="BK96" s="10">
        <f t="shared" si="49"/>
        <v>3</v>
      </c>
      <c r="BL96" s="10">
        <f t="shared" si="50"/>
        <v>20</v>
      </c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</row>
    <row r="97" spans="1:8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1"/>
      <c r="BD97" s="3">
        <v>3</v>
      </c>
      <c r="BE97" s="3">
        <v>1</v>
      </c>
      <c r="BF97" s="3">
        <v>20</v>
      </c>
      <c r="BG97" s="3">
        <v>50</v>
      </c>
      <c r="BH97" s="49" t="str">
        <f t="shared" si="47"/>
        <v>20,1</v>
      </c>
      <c r="BI97" s="1"/>
      <c r="BJ97" s="13">
        <f t="shared" si="48"/>
        <v>93</v>
      </c>
      <c r="BK97" s="10">
        <f t="shared" si="49"/>
        <v>3</v>
      </c>
      <c r="BL97" s="10">
        <f t="shared" si="50"/>
        <v>21</v>
      </c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</row>
    <row r="98" spans="1:8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1"/>
      <c r="BD98" s="3">
        <v>3</v>
      </c>
      <c r="BE98" s="3">
        <v>1</v>
      </c>
      <c r="BF98" s="3">
        <v>21</v>
      </c>
      <c r="BG98" s="3">
        <v>50</v>
      </c>
      <c r="BH98" s="49" t="str">
        <f t="shared" si="47"/>
        <v>21,1</v>
      </c>
      <c r="BI98" s="1"/>
      <c r="BJ98" s="13">
        <f t="shared" si="48"/>
        <v>94</v>
      </c>
      <c r="BK98" s="10">
        <f t="shared" si="49"/>
        <v>3</v>
      </c>
      <c r="BL98" s="10">
        <f t="shared" si="50"/>
        <v>22</v>
      </c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</row>
    <row r="99" spans="1:8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1"/>
      <c r="BD99" s="3">
        <v>3</v>
      </c>
      <c r="BE99" s="3">
        <v>33</v>
      </c>
      <c r="BF99" s="3">
        <v>1</v>
      </c>
      <c r="BG99" s="3">
        <v>28</v>
      </c>
      <c r="BH99" s="49" t="str">
        <f t="shared" si="47"/>
        <v>1,33</v>
      </c>
      <c r="BI99" s="1"/>
      <c r="BJ99" s="13">
        <f t="shared" si="48"/>
        <v>95</v>
      </c>
      <c r="BK99" s="10">
        <f t="shared" si="49"/>
        <v>3</v>
      </c>
      <c r="BL99" s="10">
        <f t="shared" si="50"/>
        <v>23</v>
      </c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</row>
    <row r="100" spans="1:8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1"/>
      <c r="BD100" s="3">
        <v>3</v>
      </c>
      <c r="BE100" s="3">
        <v>33</v>
      </c>
      <c r="BF100" s="3">
        <v>2</v>
      </c>
      <c r="BG100" s="3">
        <v>28</v>
      </c>
      <c r="BH100" s="49" t="str">
        <f t="shared" si="47"/>
        <v>2,33</v>
      </c>
      <c r="BI100" s="1"/>
      <c r="BJ100" s="13">
        <f t="shared" si="48"/>
        <v>96</v>
      </c>
      <c r="BK100" s="10">
        <f t="shared" si="49"/>
        <v>3</v>
      </c>
      <c r="BL100" s="10">
        <f t="shared" si="50"/>
        <v>24</v>
      </c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</row>
    <row r="101" spans="1:8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1"/>
      <c r="BD101" s="3">
        <v>3</v>
      </c>
      <c r="BE101" s="3">
        <v>33</v>
      </c>
      <c r="BF101" s="3">
        <v>3</v>
      </c>
      <c r="BG101" s="3">
        <v>28</v>
      </c>
      <c r="BH101" s="49" t="str">
        <f t="shared" si="47"/>
        <v>3,33</v>
      </c>
      <c r="BI101" s="1"/>
      <c r="BJ101" s="13">
        <f t="shared" si="48"/>
        <v>97</v>
      </c>
      <c r="BK101" s="10">
        <f t="shared" si="49"/>
        <v>3</v>
      </c>
      <c r="BL101" s="10">
        <f t="shared" si="50"/>
        <v>25</v>
      </c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</row>
    <row r="102" spans="1:8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1"/>
      <c r="BD102" s="3">
        <v>3</v>
      </c>
      <c r="BE102" s="3">
        <v>33</v>
      </c>
      <c r="BF102" s="3">
        <v>4</v>
      </c>
      <c r="BG102" s="3">
        <v>28</v>
      </c>
      <c r="BH102" s="49" t="str">
        <f t="shared" si="47"/>
        <v>4,33</v>
      </c>
      <c r="BI102" s="1"/>
      <c r="BJ102" s="13">
        <f t="shared" si="48"/>
        <v>98</v>
      </c>
      <c r="BK102" s="10">
        <f t="shared" si="49"/>
        <v>3</v>
      </c>
      <c r="BL102" s="10">
        <f t="shared" si="50"/>
        <v>26</v>
      </c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</row>
    <row r="103" spans="1:8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1"/>
      <c r="BD103" s="3">
        <v>3</v>
      </c>
      <c r="BE103" s="3">
        <v>33</v>
      </c>
      <c r="BF103" s="3">
        <v>5</v>
      </c>
      <c r="BG103" s="3">
        <v>28</v>
      </c>
      <c r="BH103" s="49" t="str">
        <f t="shared" si="47"/>
        <v>5,33</v>
      </c>
      <c r="BI103" s="1"/>
      <c r="BJ103" s="13">
        <f t="shared" si="48"/>
        <v>99</v>
      </c>
      <c r="BK103" s="10">
        <f t="shared" si="49"/>
        <v>3</v>
      </c>
      <c r="BL103" s="10">
        <f t="shared" si="50"/>
        <v>27</v>
      </c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</row>
    <row r="104" spans="1:8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1"/>
      <c r="BD104" s="3">
        <v>3</v>
      </c>
      <c r="BE104" s="3">
        <v>33</v>
      </c>
      <c r="BF104" s="3">
        <v>6</v>
      </c>
      <c r="BG104" s="3">
        <v>28</v>
      </c>
      <c r="BH104" s="49" t="str">
        <f t="shared" si="47"/>
        <v>6,33</v>
      </c>
      <c r="BI104" s="1"/>
      <c r="BJ104" s="13">
        <f t="shared" si="48"/>
        <v>100</v>
      </c>
      <c r="BK104" s="10">
        <f t="shared" si="49"/>
        <v>3</v>
      </c>
      <c r="BL104" s="10">
        <f t="shared" si="50"/>
        <v>28</v>
      </c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</row>
    <row r="105" spans="1:8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1"/>
      <c r="BD105" s="3">
        <v>3</v>
      </c>
      <c r="BE105" s="3">
        <v>33</v>
      </c>
      <c r="BF105" s="3">
        <v>7</v>
      </c>
      <c r="BG105" s="3">
        <v>28</v>
      </c>
      <c r="BH105" s="49" t="str">
        <f t="shared" si="47"/>
        <v>7,33</v>
      </c>
      <c r="BI105" s="1"/>
      <c r="BJ105" s="13">
        <f t="shared" si="48"/>
        <v>101</v>
      </c>
      <c r="BK105" s="10">
        <f t="shared" si="49"/>
        <v>3</v>
      </c>
      <c r="BL105" s="10">
        <f t="shared" si="50"/>
        <v>29</v>
      </c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</row>
    <row r="106" spans="1:8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1"/>
      <c r="BD106" s="3">
        <v>3</v>
      </c>
      <c r="BE106" s="3">
        <v>34</v>
      </c>
      <c r="BF106" s="3">
        <v>8</v>
      </c>
      <c r="BG106" s="3">
        <v>28</v>
      </c>
      <c r="BH106" s="49" t="str">
        <f t="shared" si="47"/>
        <v>8,34</v>
      </c>
      <c r="BI106" s="1"/>
      <c r="BJ106" s="13">
        <f t="shared" si="48"/>
        <v>102</v>
      </c>
      <c r="BK106" s="10">
        <f t="shared" si="49"/>
        <v>3</v>
      </c>
      <c r="BL106" s="10">
        <f t="shared" si="50"/>
        <v>30</v>
      </c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</row>
    <row r="107" spans="1:8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1"/>
      <c r="BD107" s="3">
        <v>3</v>
      </c>
      <c r="BE107" s="3">
        <v>34</v>
      </c>
      <c r="BF107" s="3">
        <v>9</v>
      </c>
      <c r="BG107" s="3">
        <v>28</v>
      </c>
      <c r="BH107" s="49" t="str">
        <f t="shared" si="47"/>
        <v>9,34</v>
      </c>
      <c r="BI107" s="1"/>
      <c r="BJ107" s="13">
        <f t="shared" si="48"/>
        <v>103</v>
      </c>
      <c r="BK107" s="10">
        <f t="shared" si="49"/>
        <v>3</v>
      </c>
      <c r="BL107" s="10">
        <f t="shared" si="50"/>
        <v>31</v>
      </c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</row>
    <row r="108" spans="1:8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1"/>
      <c r="BD108" s="3">
        <v>3</v>
      </c>
      <c r="BE108" s="3">
        <v>34</v>
      </c>
      <c r="BF108" s="3">
        <v>10</v>
      </c>
      <c r="BG108" s="3">
        <v>28</v>
      </c>
      <c r="BH108" s="49" t="str">
        <f t="shared" si="47"/>
        <v>10,34</v>
      </c>
      <c r="BI108" s="1"/>
      <c r="BJ108" s="13">
        <f t="shared" si="48"/>
        <v>104</v>
      </c>
      <c r="BK108" s="10">
        <f t="shared" si="49"/>
        <v>3</v>
      </c>
      <c r="BL108" s="10">
        <f t="shared" si="50"/>
        <v>32</v>
      </c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</row>
    <row r="109" spans="1:8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1"/>
      <c r="BD109" s="3">
        <v>3</v>
      </c>
      <c r="BE109" s="3">
        <v>34</v>
      </c>
      <c r="BF109" s="3">
        <v>11</v>
      </c>
      <c r="BG109" s="3">
        <v>28</v>
      </c>
      <c r="BH109" s="49" t="str">
        <f t="shared" si="47"/>
        <v>11,34</v>
      </c>
      <c r="BI109" s="1"/>
      <c r="BJ109" s="13">
        <f t="shared" si="48"/>
        <v>105</v>
      </c>
      <c r="BK109" s="10">
        <f t="shared" si="49"/>
        <v>3</v>
      </c>
      <c r="BL109" s="10">
        <f t="shared" si="50"/>
        <v>33</v>
      </c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</row>
    <row r="110" spans="1:8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1"/>
      <c r="BD110" s="3">
        <v>3</v>
      </c>
      <c r="BE110" s="3">
        <v>34</v>
      </c>
      <c r="BF110" s="3">
        <v>12</v>
      </c>
      <c r="BG110" s="3">
        <v>28</v>
      </c>
      <c r="BH110" s="49" t="str">
        <f t="shared" si="47"/>
        <v>12,34</v>
      </c>
      <c r="BI110" s="1"/>
      <c r="BJ110" s="13">
        <f t="shared" si="48"/>
        <v>106</v>
      </c>
      <c r="BK110" s="10">
        <f t="shared" si="49"/>
        <v>3</v>
      </c>
      <c r="BL110" s="10">
        <f t="shared" si="50"/>
        <v>34</v>
      </c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</row>
    <row r="111" spans="1:8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1"/>
      <c r="BD111" s="3">
        <v>3</v>
      </c>
      <c r="BE111" s="3">
        <v>34</v>
      </c>
      <c r="BF111" s="3">
        <v>13</v>
      </c>
      <c r="BG111" s="3">
        <v>28</v>
      </c>
      <c r="BH111" s="49" t="str">
        <f t="shared" si="47"/>
        <v>13,34</v>
      </c>
      <c r="BI111" s="1"/>
      <c r="BJ111" s="13">
        <f t="shared" si="48"/>
        <v>107</v>
      </c>
      <c r="BK111" s="10">
        <f t="shared" si="49"/>
        <v>3</v>
      </c>
      <c r="BL111" s="10">
        <f t="shared" si="50"/>
        <v>35</v>
      </c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</row>
    <row r="112" spans="1:8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1"/>
      <c r="BD112" s="3">
        <v>3</v>
      </c>
      <c r="BE112" s="3">
        <v>35</v>
      </c>
      <c r="BF112" s="3">
        <v>14</v>
      </c>
      <c r="BG112" s="3">
        <v>28</v>
      </c>
      <c r="BH112" s="49" t="str">
        <f t="shared" si="47"/>
        <v>14,35</v>
      </c>
      <c r="BI112" s="1"/>
      <c r="BJ112" s="13">
        <f t="shared" si="48"/>
        <v>108</v>
      </c>
      <c r="BK112" s="10">
        <f t="shared" si="49"/>
        <v>3</v>
      </c>
      <c r="BL112" s="10">
        <f t="shared" si="50"/>
        <v>36</v>
      </c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</row>
    <row r="113" spans="1:8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1"/>
      <c r="BD113" s="3">
        <v>3</v>
      </c>
      <c r="BE113" s="3">
        <v>35</v>
      </c>
      <c r="BF113" s="3">
        <v>15</v>
      </c>
      <c r="BG113" s="3">
        <v>28</v>
      </c>
      <c r="BH113" s="49" t="str">
        <f t="shared" si="47"/>
        <v>15,35</v>
      </c>
      <c r="BI113" s="1"/>
      <c r="BJ113" s="13">
        <f t="shared" si="48"/>
        <v>109</v>
      </c>
      <c r="BK113" s="10">
        <f t="shared" si="49"/>
        <v>4</v>
      </c>
      <c r="BL113" s="10">
        <f t="shared" si="50"/>
        <v>1</v>
      </c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</row>
    <row r="114" spans="1:8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1"/>
      <c r="BD114" s="3">
        <v>3</v>
      </c>
      <c r="BE114" s="3">
        <v>35</v>
      </c>
      <c r="BF114" s="3">
        <v>16</v>
      </c>
      <c r="BG114" s="3">
        <v>28</v>
      </c>
      <c r="BH114" s="49" t="str">
        <f t="shared" si="47"/>
        <v>16,35</v>
      </c>
      <c r="BI114" s="1"/>
      <c r="BJ114" s="13">
        <f t="shared" si="48"/>
        <v>110</v>
      </c>
      <c r="BK114" s="10">
        <f t="shared" si="49"/>
        <v>4</v>
      </c>
      <c r="BL114" s="10">
        <f t="shared" si="50"/>
        <v>2</v>
      </c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</row>
    <row r="115" spans="1:8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1"/>
      <c r="BD115" s="3">
        <v>3</v>
      </c>
      <c r="BE115" s="3">
        <v>35</v>
      </c>
      <c r="BF115" s="3">
        <v>17</v>
      </c>
      <c r="BG115" s="3">
        <v>28</v>
      </c>
      <c r="BH115" s="49" t="str">
        <f t="shared" si="47"/>
        <v>17,35</v>
      </c>
      <c r="BI115" s="1"/>
      <c r="BJ115" s="13">
        <f t="shared" si="48"/>
        <v>111</v>
      </c>
      <c r="BK115" s="10">
        <f t="shared" si="49"/>
        <v>4</v>
      </c>
      <c r="BL115" s="10">
        <f t="shared" si="50"/>
        <v>3</v>
      </c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</row>
    <row r="116" spans="1:8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1"/>
      <c r="BD116" s="3">
        <v>3</v>
      </c>
      <c r="BE116" s="3">
        <v>35</v>
      </c>
      <c r="BF116" s="3">
        <v>18</v>
      </c>
      <c r="BG116" s="3">
        <v>28</v>
      </c>
      <c r="BH116" s="49" t="str">
        <f t="shared" si="47"/>
        <v>18,35</v>
      </c>
      <c r="BI116" s="1"/>
      <c r="BJ116" s="13">
        <f t="shared" si="48"/>
        <v>112</v>
      </c>
      <c r="BK116" s="10">
        <f t="shared" si="49"/>
        <v>4</v>
      </c>
      <c r="BL116" s="10">
        <f t="shared" si="50"/>
        <v>4</v>
      </c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</row>
    <row r="117" spans="1:8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1"/>
      <c r="BD117" s="3">
        <v>3</v>
      </c>
      <c r="BE117" s="3">
        <v>35</v>
      </c>
      <c r="BF117" s="3">
        <v>19</v>
      </c>
      <c r="BG117" s="3">
        <v>28</v>
      </c>
      <c r="BH117" s="49" t="str">
        <f t="shared" si="47"/>
        <v>19,35</v>
      </c>
      <c r="BI117" s="1"/>
      <c r="BJ117" s="13">
        <f t="shared" si="48"/>
        <v>113</v>
      </c>
      <c r="BK117" s="10">
        <f t="shared" si="49"/>
        <v>4</v>
      </c>
      <c r="BL117" s="10">
        <f t="shared" si="50"/>
        <v>5</v>
      </c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</row>
    <row r="118" spans="1:8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1"/>
      <c r="BD118" s="3">
        <v>3</v>
      </c>
      <c r="BE118" s="3">
        <v>35</v>
      </c>
      <c r="BF118" s="3">
        <v>20</v>
      </c>
      <c r="BG118" s="3">
        <v>28</v>
      </c>
      <c r="BH118" s="49" t="str">
        <f t="shared" si="47"/>
        <v>20,35</v>
      </c>
      <c r="BI118" s="1"/>
      <c r="BJ118" s="13">
        <f t="shared" si="48"/>
        <v>114</v>
      </c>
      <c r="BK118" s="10">
        <f t="shared" si="49"/>
        <v>4</v>
      </c>
      <c r="BL118" s="10">
        <f t="shared" si="50"/>
        <v>6</v>
      </c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</row>
    <row r="119" spans="1:8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1"/>
      <c r="BD119" s="3">
        <v>3</v>
      </c>
      <c r="BE119" s="3">
        <v>36</v>
      </c>
      <c r="BF119" s="3">
        <v>21</v>
      </c>
      <c r="BG119" s="3">
        <v>28</v>
      </c>
      <c r="BH119" s="49" t="str">
        <f t="shared" si="47"/>
        <v>21,36</v>
      </c>
      <c r="BI119" s="1"/>
      <c r="BJ119" s="13">
        <f t="shared" si="48"/>
        <v>115</v>
      </c>
      <c r="BK119" s="10">
        <f t="shared" si="49"/>
        <v>4</v>
      </c>
      <c r="BL119" s="10">
        <f t="shared" si="50"/>
        <v>7</v>
      </c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</row>
    <row r="120" spans="1:8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1"/>
      <c r="BD120" s="3">
        <v>3</v>
      </c>
      <c r="BE120" s="3">
        <v>36</v>
      </c>
      <c r="BF120" s="3">
        <v>22</v>
      </c>
      <c r="BG120" s="3">
        <v>28</v>
      </c>
      <c r="BH120" s="49" t="str">
        <f t="shared" si="47"/>
        <v>22,36</v>
      </c>
      <c r="BI120" s="1"/>
      <c r="BJ120" s="13">
        <f t="shared" si="48"/>
        <v>116</v>
      </c>
      <c r="BK120" s="10">
        <f t="shared" si="49"/>
        <v>4</v>
      </c>
      <c r="BL120" s="10">
        <f t="shared" si="50"/>
        <v>8</v>
      </c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</row>
    <row r="121" spans="1:8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1"/>
      <c r="BD121" s="3">
        <v>3</v>
      </c>
      <c r="BE121" s="3">
        <v>36</v>
      </c>
      <c r="BF121" s="3">
        <v>23</v>
      </c>
      <c r="BG121" s="3">
        <v>28</v>
      </c>
      <c r="BH121" s="49" t="str">
        <f t="shared" si="47"/>
        <v>23,36</v>
      </c>
      <c r="BI121" s="1"/>
      <c r="BJ121" s="13">
        <f t="shared" si="48"/>
        <v>117</v>
      </c>
      <c r="BK121" s="10">
        <f t="shared" si="49"/>
        <v>4</v>
      </c>
      <c r="BL121" s="10">
        <f t="shared" si="50"/>
        <v>9</v>
      </c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</row>
    <row r="122" spans="1:8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1"/>
      <c r="BD122" s="3">
        <v>4</v>
      </c>
      <c r="BE122" s="3">
        <v>1</v>
      </c>
      <c r="BF122" s="3">
        <v>4</v>
      </c>
      <c r="BG122" s="3">
        <v>50</v>
      </c>
      <c r="BH122" s="49" t="str">
        <f t="shared" si="47"/>
        <v>4,1</v>
      </c>
      <c r="BI122" s="1"/>
      <c r="BJ122" s="13">
        <f t="shared" si="48"/>
        <v>118</v>
      </c>
      <c r="BK122" s="10">
        <f t="shared" si="49"/>
        <v>4</v>
      </c>
      <c r="BL122" s="10">
        <f t="shared" si="50"/>
        <v>10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</row>
    <row r="123" spans="1:8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1"/>
      <c r="BD123" s="3">
        <v>4</v>
      </c>
      <c r="BE123" s="3">
        <v>1</v>
      </c>
      <c r="BF123" s="3">
        <v>5</v>
      </c>
      <c r="BG123" s="3">
        <v>50</v>
      </c>
      <c r="BH123" s="49" t="str">
        <f t="shared" si="47"/>
        <v>5,1</v>
      </c>
      <c r="BI123" s="1"/>
      <c r="BJ123" s="13">
        <f t="shared" si="48"/>
        <v>119</v>
      </c>
      <c r="BK123" s="10">
        <f t="shared" si="49"/>
        <v>4</v>
      </c>
      <c r="BL123" s="10">
        <f t="shared" si="50"/>
        <v>11</v>
      </c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</row>
    <row r="124" spans="1:8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1"/>
      <c r="BD124" s="3">
        <v>4</v>
      </c>
      <c r="BE124" s="3">
        <v>1</v>
      </c>
      <c r="BF124" s="3">
        <v>6</v>
      </c>
      <c r="BG124" s="3">
        <v>50</v>
      </c>
      <c r="BH124" s="49" t="str">
        <f t="shared" si="47"/>
        <v>6,1</v>
      </c>
      <c r="BI124" s="1"/>
      <c r="BJ124" s="13">
        <f t="shared" si="48"/>
        <v>120</v>
      </c>
      <c r="BK124" s="10">
        <f t="shared" si="49"/>
        <v>4</v>
      </c>
      <c r="BL124" s="10">
        <f t="shared" si="50"/>
        <v>12</v>
      </c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</row>
    <row r="125" spans="1:8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1"/>
      <c r="BD125" s="3">
        <v>4</v>
      </c>
      <c r="BE125" s="3">
        <v>1</v>
      </c>
      <c r="BF125" s="3">
        <v>7</v>
      </c>
      <c r="BG125" s="3">
        <v>50</v>
      </c>
      <c r="BH125" s="49" t="str">
        <f t="shared" si="47"/>
        <v>7,1</v>
      </c>
      <c r="BI125" s="1"/>
      <c r="BJ125" s="13">
        <f t="shared" si="48"/>
        <v>121</v>
      </c>
      <c r="BK125" s="10">
        <f t="shared" si="49"/>
        <v>4</v>
      </c>
      <c r="BL125" s="10">
        <f t="shared" si="50"/>
        <v>13</v>
      </c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</row>
    <row r="126" spans="1:8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1"/>
      <c r="BD126" s="3">
        <v>4</v>
      </c>
      <c r="BE126" s="3">
        <v>1</v>
      </c>
      <c r="BF126" s="3">
        <v>8</v>
      </c>
      <c r="BG126" s="3">
        <v>50</v>
      </c>
      <c r="BH126" s="49" t="str">
        <f t="shared" si="47"/>
        <v>8,1</v>
      </c>
      <c r="BI126" s="1"/>
      <c r="BJ126" s="13">
        <f t="shared" si="48"/>
        <v>122</v>
      </c>
      <c r="BK126" s="10">
        <f t="shared" si="49"/>
        <v>4</v>
      </c>
      <c r="BL126" s="10">
        <f t="shared" si="50"/>
        <v>14</v>
      </c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</row>
    <row r="127" spans="1:8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1"/>
      <c r="BD127" s="3">
        <v>4</v>
      </c>
      <c r="BE127" s="3">
        <v>1</v>
      </c>
      <c r="BF127" s="3">
        <v>9</v>
      </c>
      <c r="BG127" s="3">
        <v>50</v>
      </c>
      <c r="BH127" s="49" t="str">
        <f t="shared" si="47"/>
        <v>9,1</v>
      </c>
      <c r="BI127" s="1"/>
      <c r="BJ127" s="13">
        <f t="shared" si="48"/>
        <v>123</v>
      </c>
      <c r="BK127" s="10">
        <f t="shared" si="49"/>
        <v>4</v>
      </c>
      <c r="BL127" s="10">
        <f t="shared" si="50"/>
        <v>15</v>
      </c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</row>
    <row r="128" spans="1:8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1"/>
      <c r="BD128" s="3">
        <v>4</v>
      </c>
      <c r="BE128" s="3">
        <v>1</v>
      </c>
      <c r="BF128" s="3">
        <v>10</v>
      </c>
      <c r="BG128" s="3">
        <v>50</v>
      </c>
      <c r="BH128" s="49" t="str">
        <f t="shared" si="47"/>
        <v>10,1</v>
      </c>
      <c r="BI128" s="1"/>
      <c r="BJ128" s="13">
        <f t="shared" si="48"/>
        <v>124</v>
      </c>
      <c r="BK128" s="10">
        <f t="shared" si="49"/>
        <v>4</v>
      </c>
      <c r="BL128" s="10">
        <f t="shared" si="50"/>
        <v>16</v>
      </c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</row>
    <row r="129" spans="1:8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1"/>
      <c r="BD129" s="3">
        <v>4</v>
      </c>
      <c r="BE129" s="3">
        <v>1</v>
      </c>
      <c r="BF129" s="3">
        <v>11</v>
      </c>
      <c r="BG129" s="3">
        <v>50</v>
      </c>
      <c r="BH129" s="49" t="str">
        <f t="shared" si="47"/>
        <v>11,1</v>
      </c>
      <c r="BI129" s="1"/>
      <c r="BJ129" s="13">
        <f t="shared" si="48"/>
        <v>125</v>
      </c>
      <c r="BK129" s="10">
        <f t="shared" si="49"/>
        <v>4</v>
      </c>
      <c r="BL129" s="10">
        <f t="shared" si="50"/>
        <v>17</v>
      </c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</row>
    <row r="130" spans="1:8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1"/>
      <c r="BD130" s="3">
        <v>4</v>
      </c>
      <c r="BE130" s="3">
        <v>1</v>
      </c>
      <c r="BF130" s="3">
        <v>12</v>
      </c>
      <c r="BG130" s="3">
        <v>50.09</v>
      </c>
      <c r="BH130" s="49" t="str">
        <f t="shared" si="47"/>
        <v>12,1</v>
      </c>
      <c r="BI130" s="1"/>
      <c r="BJ130" s="13">
        <f t="shared" si="48"/>
        <v>126</v>
      </c>
      <c r="BK130" s="10">
        <f t="shared" si="49"/>
        <v>4</v>
      </c>
      <c r="BL130" s="10">
        <f t="shared" si="50"/>
        <v>18</v>
      </c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</row>
    <row r="131" spans="1:8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1"/>
      <c r="BD131" s="3">
        <v>4</v>
      </c>
      <c r="BE131" s="3">
        <v>1</v>
      </c>
      <c r="BF131" s="3">
        <v>13</v>
      </c>
      <c r="BG131" s="3">
        <v>50.14</v>
      </c>
      <c r="BH131" s="49" t="str">
        <f t="shared" si="47"/>
        <v>13,1</v>
      </c>
      <c r="BI131" s="1"/>
      <c r="BJ131" s="13">
        <f t="shared" si="48"/>
        <v>127</v>
      </c>
      <c r="BK131" s="10">
        <f t="shared" si="49"/>
        <v>4</v>
      </c>
      <c r="BL131" s="10">
        <f t="shared" si="50"/>
        <v>19</v>
      </c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</row>
    <row r="132" spans="1:8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1"/>
      <c r="BD132" s="3">
        <v>4</v>
      </c>
      <c r="BE132" s="3">
        <v>1</v>
      </c>
      <c r="BF132" s="3">
        <v>14</v>
      </c>
      <c r="BG132" s="3">
        <v>50.14</v>
      </c>
      <c r="BH132" s="49" t="str">
        <f t="shared" si="47"/>
        <v>14,1</v>
      </c>
      <c r="BI132" s="1"/>
      <c r="BJ132" s="13">
        <f t="shared" si="48"/>
        <v>128</v>
      </c>
      <c r="BK132" s="10">
        <f t="shared" si="49"/>
        <v>4</v>
      </c>
      <c r="BL132" s="10">
        <f t="shared" si="50"/>
        <v>20</v>
      </c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</row>
    <row r="133" spans="1:8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1"/>
      <c r="BD133" s="3">
        <v>4</v>
      </c>
      <c r="BE133" s="3">
        <v>1</v>
      </c>
      <c r="BF133" s="3">
        <v>15</v>
      </c>
      <c r="BG133" s="3">
        <v>50.09</v>
      </c>
      <c r="BH133" s="49" t="str">
        <f t="shared" si="47"/>
        <v>15,1</v>
      </c>
      <c r="BI133" s="1"/>
      <c r="BJ133" s="13">
        <f t="shared" si="48"/>
        <v>129</v>
      </c>
      <c r="BK133" s="10">
        <f t="shared" si="49"/>
        <v>4</v>
      </c>
      <c r="BL133" s="10">
        <f t="shared" si="50"/>
        <v>21</v>
      </c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</row>
    <row r="134" spans="1:8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1"/>
      <c r="BD134" s="3">
        <v>4</v>
      </c>
      <c r="BE134" s="3">
        <v>1</v>
      </c>
      <c r="BF134" s="3">
        <v>16</v>
      </c>
      <c r="BG134" s="3">
        <v>50</v>
      </c>
      <c r="BH134" s="49" t="str">
        <f t="shared" ref="BH134:BH197" si="52">_xlfn.CONCAT(BF134,",",BE134)</f>
        <v>16,1</v>
      </c>
      <c r="BI134" s="1"/>
      <c r="BJ134" s="13">
        <f t="shared" ref="BJ134:BJ197" si="53">IF(ROW()-BJ$3&lt;=$BJ$4,ROW()-ROW(BJ$4),"")</f>
        <v>130</v>
      </c>
      <c r="BK134" s="10">
        <f t="shared" si="49"/>
        <v>4</v>
      </c>
      <c r="BL134" s="10">
        <f t="shared" si="50"/>
        <v>22</v>
      </c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</row>
    <row r="135" spans="1:8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1"/>
      <c r="BD135" s="3">
        <v>4</v>
      </c>
      <c r="BE135" s="3">
        <v>1</v>
      </c>
      <c r="BF135" s="3">
        <v>17</v>
      </c>
      <c r="BG135" s="3">
        <v>50</v>
      </c>
      <c r="BH135" s="49" t="str">
        <f t="shared" si="52"/>
        <v>17,1</v>
      </c>
      <c r="BI135" s="1"/>
      <c r="BJ135" s="13">
        <f t="shared" si="53"/>
        <v>131</v>
      </c>
      <c r="BK135" s="10">
        <f t="shared" ref="BK135:BK198" si="54">IF(ISNUMBER(BJ135),INT(BJ134/$BL$4)+1,"")</f>
        <v>4</v>
      </c>
      <c r="BL135" s="10">
        <f t="shared" ref="BL135:BL198" si="55">IF(ISNUMBER(BJ135),IF(BK134&lt;&gt;BK135,1,BL134+1),"")</f>
        <v>23</v>
      </c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</row>
    <row r="136" spans="1:8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1"/>
      <c r="BD136" s="3">
        <v>4</v>
      </c>
      <c r="BE136" s="3">
        <v>1</v>
      </c>
      <c r="BF136" s="3">
        <v>18</v>
      </c>
      <c r="BG136" s="3">
        <v>50</v>
      </c>
      <c r="BH136" s="49" t="str">
        <f t="shared" si="52"/>
        <v>18,1</v>
      </c>
      <c r="BI136" s="1"/>
      <c r="BJ136" s="13">
        <f t="shared" si="53"/>
        <v>132</v>
      </c>
      <c r="BK136" s="10">
        <f t="shared" si="54"/>
        <v>4</v>
      </c>
      <c r="BL136" s="10">
        <f t="shared" si="55"/>
        <v>24</v>
      </c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</row>
    <row r="137" spans="1:8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1"/>
      <c r="BD137" s="3">
        <v>4</v>
      </c>
      <c r="BE137" s="3">
        <v>1</v>
      </c>
      <c r="BF137" s="3">
        <v>19</v>
      </c>
      <c r="BG137" s="3">
        <v>50</v>
      </c>
      <c r="BH137" s="49" t="str">
        <f t="shared" si="52"/>
        <v>19,1</v>
      </c>
      <c r="BI137" s="1"/>
      <c r="BJ137" s="13">
        <f t="shared" si="53"/>
        <v>133</v>
      </c>
      <c r="BK137" s="10">
        <f t="shared" si="54"/>
        <v>4</v>
      </c>
      <c r="BL137" s="10">
        <f t="shared" si="55"/>
        <v>25</v>
      </c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</row>
    <row r="138" spans="1:8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1"/>
      <c r="BD138" s="3">
        <v>4</v>
      </c>
      <c r="BE138" s="3">
        <v>1</v>
      </c>
      <c r="BF138" s="3">
        <v>20</v>
      </c>
      <c r="BG138" s="3">
        <v>50</v>
      </c>
      <c r="BH138" s="49" t="str">
        <f t="shared" si="52"/>
        <v>20,1</v>
      </c>
      <c r="BI138" s="1"/>
      <c r="BJ138" s="13">
        <f t="shared" si="53"/>
        <v>134</v>
      </c>
      <c r="BK138" s="10">
        <f t="shared" si="54"/>
        <v>4</v>
      </c>
      <c r="BL138" s="10">
        <f t="shared" si="55"/>
        <v>26</v>
      </c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</row>
    <row r="139" spans="1:8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1"/>
      <c r="BD139" s="3">
        <v>4</v>
      </c>
      <c r="BE139" s="3">
        <v>1</v>
      </c>
      <c r="BF139" s="3">
        <v>21</v>
      </c>
      <c r="BG139" s="3">
        <v>50</v>
      </c>
      <c r="BH139" s="49" t="str">
        <f t="shared" si="52"/>
        <v>21,1</v>
      </c>
      <c r="BI139" s="1"/>
      <c r="BJ139" s="13">
        <f t="shared" si="53"/>
        <v>135</v>
      </c>
      <c r="BK139" s="10">
        <f t="shared" si="54"/>
        <v>4</v>
      </c>
      <c r="BL139" s="10">
        <f t="shared" si="55"/>
        <v>27</v>
      </c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</row>
    <row r="140" spans="1:8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1"/>
      <c r="BD140" s="3">
        <v>4</v>
      </c>
      <c r="BE140" s="3">
        <v>33</v>
      </c>
      <c r="BF140" s="3">
        <v>1</v>
      </c>
      <c r="BG140" s="3">
        <v>28</v>
      </c>
      <c r="BH140" s="49" t="str">
        <f t="shared" si="52"/>
        <v>1,33</v>
      </c>
      <c r="BI140" s="1"/>
      <c r="BJ140" s="13">
        <f t="shared" si="53"/>
        <v>136</v>
      </c>
      <c r="BK140" s="10">
        <f t="shared" si="54"/>
        <v>4</v>
      </c>
      <c r="BL140" s="10">
        <f t="shared" si="55"/>
        <v>28</v>
      </c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</row>
    <row r="141" spans="1:8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1"/>
      <c r="BD141" s="3">
        <v>4</v>
      </c>
      <c r="BE141" s="3">
        <v>33</v>
      </c>
      <c r="BF141" s="3">
        <v>2</v>
      </c>
      <c r="BG141" s="3">
        <v>28</v>
      </c>
      <c r="BH141" s="49" t="str">
        <f t="shared" si="52"/>
        <v>2,33</v>
      </c>
      <c r="BI141" s="1"/>
      <c r="BJ141" s="13">
        <f t="shared" si="53"/>
        <v>137</v>
      </c>
      <c r="BK141" s="10">
        <f t="shared" si="54"/>
        <v>4</v>
      </c>
      <c r="BL141" s="10">
        <f t="shared" si="55"/>
        <v>29</v>
      </c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</row>
    <row r="142" spans="1:8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1"/>
      <c r="BD142" s="3">
        <v>4</v>
      </c>
      <c r="BE142" s="3">
        <v>33</v>
      </c>
      <c r="BF142" s="3">
        <v>3</v>
      </c>
      <c r="BG142" s="3">
        <v>28</v>
      </c>
      <c r="BH142" s="49" t="str">
        <f t="shared" si="52"/>
        <v>3,33</v>
      </c>
      <c r="BI142" s="1"/>
      <c r="BJ142" s="13">
        <f t="shared" si="53"/>
        <v>138</v>
      </c>
      <c r="BK142" s="10">
        <f t="shared" si="54"/>
        <v>4</v>
      </c>
      <c r="BL142" s="10">
        <f t="shared" si="55"/>
        <v>30</v>
      </c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</row>
    <row r="143" spans="1:8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1"/>
      <c r="BD143" s="3">
        <v>4</v>
      </c>
      <c r="BE143" s="3">
        <v>33</v>
      </c>
      <c r="BF143" s="3">
        <v>4</v>
      </c>
      <c r="BG143" s="3">
        <v>28</v>
      </c>
      <c r="BH143" s="49" t="str">
        <f t="shared" si="52"/>
        <v>4,33</v>
      </c>
      <c r="BI143" s="1"/>
      <c r="BJ143" s="13">
        <f t="shared" si="53"/>
        <v>139</v>
      </c>
      <c r="BK143" s="10">
        <f t="shared" si="54"/>
        <v>4</v>
      </c>
      <c r="BL143" s="10">
        <f t="shared" si="55"/>
        <v>31</v>
      </c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</row>
    <row r="144" spans="1:8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1"/>
      <c r="BD144" s="3">
        <v>4</v>
      </c>
      <c r="BE144" s="3">
        <v>33</v>
      </c>
      <c r="BF144" s="3">
        <v>5</v>
      </c>
      <c r="BG144" s="3">
        <v>28</v>
      </c>
      <c r="BH144" s="49" t="str">
        <f t="shared" si="52"/>
        <v>5,33</v>
      </c>
      <c r="BI144" s="1"/>
      <c r="BJ144" s="13">
        <f t="shared" si="53"/>
        <v>140</v>
      </c>
      <c r="BK144" s="10">
        <f t="shared" si="54"/>
        <v>4</v>
      </c>
      <c r="BL144" s="10">
        <f t="shared" si="55"/>
        <v>32</v>
      </c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</row>
    <row r="145" spans="1:8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1"/>
      <c r="BD145" s="3">
        <v>4</v>
      </c>
      <c r="BE145" s="3">
        <v>33</v>
      </c>
      <c r="BF145" s="3">
        <v>6</v>
      </c>
      <c r="BG145" s="3">
        <v>28</v>
      </c>
      <c r="BH145" s="49" t="str">
        <f t="shared" si="52"/>
        <v>6,33</v>
      </c>
      <c r="BI145" s="1"/>
      <c r="BJ145" s="13">
        <f t="shared" si="53"/>
        <v>141</v>
      </c>
      <c r="BK145" s="10">
        <f t="shared" si="54"/>
        <v>4</v>
      </c>
      <c r="BL145" s="10">
        <f t="shared" si="55"/>
        <v>33</v>
      </c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</row>
    <row r="146" spans="1:8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1"/>
      <c r="BD146" s="3">
        <v>4</v>
      </c>
      <c r="BE146" s="3">
        <v>33</v>
      </c>
      <c r="BF146" s="3">
        <v>7</v>
      </c>
      <c r="BG146" s="3">
        <v>28</v>
      </c>
      <c r="BH146" s="49" t="str">
        <f t="shared" si="52"/>
        <v>7,33</v>
      </c>
      <c r="BI146" s="1"/>
      <c r="BJ146" s="13">
        <f t="shared" si="53"/>
        <v>142</v>
      </c>
      <c r="BK146" s="10">
        <f t="shared" si="54"/>
        <v>4</v>
      </c>
      <c r="BL146" s="10">
        <f t="shared" si="55"/>
        <v>34</v>
      </c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</row>
    <row r="147" spans="1:8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1"/>
      <c r="BD147" s="3">
        <v>4</v>
      </c>
      <c r="BE147" s="3">
        <v>34</v>
      </c>
      <c r="BF147" s="3">
        <v>8</v>
      </c>
      <c r="BG147" s="3">
        <v>28</v>
      </c>
      <c r="BH147" s="49" t="str">
        <f t="shared" si="52"/>
        <v>8,34</v>
      </c>
      <c r="BI147" s="1"/>
      <c r="BJ147" s="13">
        <f t="shared" si="53"/>
        <v>143</v>
      </c>
      <c r="BK147" s="10">
        <f t="shared" si="54"/>
        <v>4</v>
      </c>
      <c r="BL147" s="10">
        <f t="shared" si="55"/>
        <v>35</v>
      </c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</row>
    <row r="148" spans="1:8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1"/>
      <c r="BD148" s="3">
        <v>4</v>
      </c>
      <c r="BE148" s="3">
        <v>34</v>
      </c>
      <c r="BF148" s="3">
        <v>9</v>
      </c>
      <c r="BG148" s="3">
        <v>28</v>
      </c>
      <c r="BH148" s="49" t="str">
        <f t="shared" si="52"/>
        <v>9,34</v>
      </c>
      <c r="BI148" s="1"/>
      <c r="BJ148" s="13">
        <f t="shared" si="53"/>
        <v>144</v>
      </c>
      <c r="BK148" s="10">
        <f t="shared" si="54"/>
        <v>4</v>
      </c>
      <c r="BL148" s="10">
        <f t="shared" si="55"/>
        <v>36</v>
      </c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</row>
    <row r="149" spans="1:8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1"/>
      <c r="BD149" s="3">
        <v>4</v>
      </c>
      <c r="BE149" s="3">
        <v>34</v>
      </c>
      <c r="BF149" s="3">
        <v>10</v>
      </c>
      <c r="BG149" s="3">
        <v>28</v>
      </c>
      <c r="BH149" s="49" t="str">
        <f t="shared" si="52"/>
        <v>10,34</v>
      </c>
      <c r="BI149" s="1"/>
      <c r="BJ149" s="13">
        <f t="shared" si="53"/>
        <v>145</v>
      </c>
      <c r="BK149" s="10">
        <f t="shared" si="54"/>
        <v>5</v>
      </c>
      <c r="BL149" s="10">
        <f t="shared" si="55"/>
        <v>1</v>
      </c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</row>
    <row r="150" spans="1:8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1"/>
      <c r="BD150" s="3">
        <v>4</v>
      </c>
      <c r="BE150" s="3">
        <v>34</v>
      </c>
      <c r="BF150" s="3">
        <v>11</v>
      </c>
      <c r="BG150" s="3">
        <v>28</v>
      </c>
      <c r="BH150" s="49" t="str">
        <f t="shared" si="52"/>
        <v>11,34</v>
      </c>
      <c r="BI150" s="1"/>
      <c r="BJ150" s="13">
        <f t="shared" si="53"/>
        <v>146</v>
      </c>
      <c r="BK150" s="10">
        <f t="shared" si="54"/>
        <v>5</v>
      </c>
      <c r="BL150" s="10">
        <f t="shared" si="55"/>
        <v>2</v>
      </c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</row>
    <row r="151" spans="1:8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1"/>
      <c r="BD151" s="3">
        <v>4</v>
      </c>
      <c r="BE151" s="3">
        <v>34</v>
      </c>
      <c r="BF151" s="3">
        <v>12</v>
      </c>
      <c r="BG151" s="3">
        <v>28</v>
      </c>
      <c r="BH151" s="49" t="str">
        <f t="shared" si="52"/>
        <v>12,34</v>
      </c>
      <c r="BI151" s="1"/>
      <c r="BJ151" s="13">
        <f t="shared" si="53"/>
        <v>147</v>
      </c>
      <c r="BK151" s="10">
        <f t="shared" si="54"/>
        <v>5</v>
      </c>
      <c r="BL151" s="10">
        <f t="shared" si="55"/>
        <v>3</v>
      </c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</row>
    <row r="152" spans="1:8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1"/>
      <c r="BD152" s="3">
        <v>4</v>
      </c>
      <c r="BE152" s="3">
        <v>34</v>
      </c>
      <c r="BF152" s="3">
        <v>13</v>
      </c>
      <c r="BG152" s="3">
        <v>28</v>
      </c>
      <c r="BH152" s="49" t="str">
        <f t="shared" si="52"/>
        <v>13,34</v>
      </c>
      <c r="BI152" s="1"/>
      <c r="BJ152" s="13">
        <f t="shared" si="53"/>
        <v>148</v>
      </c>
      <c r="BK152" s="10">
        <f t="shared" si="54"/>
        <v>5</v>
      </c>
      <c r="BL152" s="10">
        <f t="shared" si="55"/>
        <v>4</v>
      </c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</row>
    <row r="153" spans="1:8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1"/>
      <c r="BD153" s="3">
        <v>4</v>
      </c>
      <c r="BE153" s="3">
        <v>35</v>
      </c>
      <c r="BF153" s="3">
        <v>14</v>
      </c>
      <c r="BG153" s="3">
        <v>28</v>
      </c>
      <c r="BH153" s="49" t="str">
        <f t="shared" si="52"/>
        <v>14,35</v>
      </c>
      <c r="BI153" s="1"/>
      <c r="BJ153" s="13">
        <f t="shared" si="53"/>
        <v>149</v>
      </c>
      <c r="BK153" s="10">
        <f t="shared" si="54"/>
        <v>5</v>
      </c>
      <c r="BL153" s="10">
        <f t="shared" si="55"/>
        <v>5</v>
      </c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</row>
    <row r="154" spans="1:8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1"/>
      <c r="BD154" s="3">
        <v>4</v>
      </c>
      <c r="BE154" s="3">
        <v>35</v>
      </c>
      <c r="BF154" s="3">
        <v>15</v>
      </c>
      <c r="BG154" s="3">
        <v>28</v>
      </c>
      <c r="BH154" s="49" t="str">
        <f t="shared" si="52"/>
        <v>15,35</v>
      </c>
      <c r="BI154" s="1"/>
      <c r="BJ154" s="13">
        <f t="shared" si="53"/>
        <v>150</v>
      </c>
      <c r="BK154" s="10">
        <f t="shared" si="54"/>
        <v>5</v>
      </c>
      <c r="BL154" s="10">
        <f t="shared" si="55"/>
        <v>6</v>
      </c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</row>
    <row r="155" spans="1:8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1"/>
      <c r="BD155" s="3">
        <v>4</v>
      </c>
      <c r="BE155" s="3">
        <v>35</v>
      </c>
      <c r="BF155" s="3">
        <v>16</v>
      </c>
      <c r="BG155" s="3">
        <v>28</v>
      </c>
      <c r="BH155" s="49" t="str">
        <f t="shared" si="52"/>
        <v>16,35</v>
      </c>
      <c r="BI155" s="1"/>
      <c r="BJ155" s="13">
        <f t="shared" si="53"/>
        <v>151</v>
      </c>
      <c r="BK155" s="10">
        <f t="shared" si="54"/>
        <v>5</v>
      </c>
      <c r="BL155" s="10">
        <f t="shared" si="55"/>
        <v>7</v>
      </c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</row>
    <row r="156" spans="1:8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1"/>
      <c r="BD156" s="3">
        <v>4</v>
      </c>
      <c r="BE156" s="3">
        <v>35</v>
      </c>
      <c r="BF156" s="3">
        <v>17</v>
      </c>
      <c r="BG156" s="3">
        <v>28</v>
      </c>
      <c r="BH156" s="49" t="str">
        <f t="shared" si="52"/>
        <v>17,35</v>
      </c>
      <c r="BI156" s="1"/>
      <c r="BJ156" s="13">
        <f t="shared" si="53"/>
        <v>152</v>
      </c>
      <c r="BK156" s="10">
        <f t="shared" si="54"/>
        <v>5</v>
      </c>
      <c r="BL156" s="10">
        <f t="shared" si="55"/>
        <v>8</v>
      </c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</row>
    <row r="157" spans="1:8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1"/>
      <c r="BD157" s="3">
        <v>4</v>
      </c>
      <c r="BE157" s="3">
        <v>35</v>
      </c>
      <c r="BF157" s="3">
        <v>18</v>
      </c>
      <c r="BG157" s="3">
        <v>28</v>
      </c>
      <c r="BH157" s="49" t="str">
        <f t="shared" si="52"/>
        <v>18,35</v>
      </c>
      <c r="BI157" s="1"/>
      <c r="BJ157" s="13">
        <f t="shared" si="53"/>
        <v>153</v>
      </c>
      <c r="BK157" s="10">
        <f t="shared" si="54"/>
        <v>5</v>
      </c>
      <c r="BL157" s="10">
        <f t="shared" si="55"/>
        <v>9</v>
      </c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</row>
    <row r="158" spans="1:8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1"/>
      <c r="BD158" s="3">
        <v>4</v>
      </c>
      <c r="BE158" s="3">
        <v>35</v>
      </c>
      <c r="BF158" s="3">
        <v>19</v>
      </c>
      <c r="BG158" s="3">
        <v>28</v>
      </c>
      <c r="BH158" s="49" t="str">
        <f t="shared" si="52"/>
        <v>19,35</v>
      </c>
      <c r="BI158" s="1"/>
      <c r="BJ158" s="13">
        <f t="shared" si="53"/>
        <v>154</v>
      </c>
      <c r="BK158" s="10">
        <f t="shared" si="54"/>
        <v>5</v>
      </c>
      <c r="BL158" s="10">
        <f t="shared" si="55"/>
        <v>10</v>
      </c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</row>
    <row r="159" spans="1:8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1"/>
      <c r="BD159" s="3">
        <v>4</v>
      </c>
      <c r="BE159" s="3">
        <v>35</v>
      </c>
      <c r="BF159" s="3">
        <v>20</v>
      </c>
      <c r="BG159" s="3">
        <v>28</v>
      </c>
      <c r="BH159" s="49" t="str">
        <f t="shared" si="52"/>
        <v>20,35</v>
      </c>
      <c r="BI159" s="1"/>
      <c r="BJ159" s="13">
        <f t="shared" si="53"/>
        <v>155</v>
      </c>
      <c r="BK159" s="10">
        <f t="shared" si="54"/>
        <v>5</v>
      </c>
      <c r="BL159" s="10">
        <f t="shared" si="55"/>
        <v>11</v>
      </c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</row>
    <row r="160" spans="1:8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1"/>
      <c r="BD160" s="3">
        <v>4</v>
      </c>
      <c r="BE160" s="3">
        <v>36</v>
      </c>
      <c r="BF160" s="3">
        <v>21</v>
      </c>
      <c r="BG160" s="3">
        <v>28</v>
      </c>
      <c r="BH160" s="49" t="str">
        <f t="shared" si="52"/>
        <v>21,36</v>
      </c>
      <c r="BI160" s="1"/>
      <c r="BJ160" s="13">
        <f t="shared" si="53"/>
        <v>156</v>
      </c>
      <c r="BK160" s="10">
        <f t="shared" si="54"/>
        <v>5</v>
      </c>
      <c r="BL160" s="10">
        <f t="shared" si="55"/>
        <v>12</v>
      </c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</row>
    <row r="161" spans="1:8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1"/>
      <c r="BD161" s="3">
        <v>4</v>
      </c>
      <c r="BE161" s="3">
        <v>36</v>
      </c>
      <c r="BF161" s="3">
        <v>22</v>
      </c>
      <c r="BG161" s="3">
        <v>28</v>
      </c>
      <c r="BH161" s="49" t="str">
        <f t="shared" si="52"/>
        <v>22,36</v>
      </c>
      <c r="BI161" s="1"/>
      <c r="BJ161" s="13">
        <f t="shared" si="53"/>
        <v>157</v>
      </c>
      <c r="BK161" s="10">
        <f t="shared" si="54"/>
        <v>5</v>
      </c>
      <c r="BL161" s="10">
        <f t="shared" si="55"/>
        <v>13</v>
      </c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</row>
    <row r="162" spans="1:8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1"/>
      <c r="BD162" s="3">
        <v>4</v>
      </c>
      <c r="BE162" s="3">
        <v>36</v>
      </c>
      <c r="BF162" s="3">
        <v>23</v>
      </c>
      <c r="BG162" s="3">
        <v>28</v>
      </c>
      <c r="BH162" s="49" t="str">
        <f t="shared" si="52"/>
        <v>23,36</v>
      </c>
      <c r="BI162" s="1"/>
      <c r="BJ162" s="13">
        <f t="shared" si="53"/>
        <v>158</v>
      </c>
      <c r="BK162" s="10">
        <f t="shared" si="54"/>
        <v>5</v>
      </c>
      <c r="BL162" s="10">
        <f t="shared" si="55"/>
        <v>14</v>
      </c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</row>
    <row r="163" spans="1:8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1"/>
      <c r="BD163" s="3">
        <v>5</v>
      </c>
      <c r="BE163" s="3">
        <v>1</v>
      </c>
      <c r="BF163" s="3">
        <v>4</v>
      </c>
      <c r="BG163" s="3">
        <v>50</v>
      </c>
      <c r="BH163" s="49" t="str">
        <f t="shared" si="52"/>
        <v>4,1</v>
      </c>
      <c r="BI163" s="1"/>
      <c r="BJ163" s="13">
        <f t="shared" si="53"/>
        <v>159</v>
      </c>
      <c r="BK163" s="10">
        <f t="shared" si="54"/>
        <v>5</v>
      </c>
      <c r="BL163" s="10">
        <f t="shared" si="55"/>
        <v>15</v>
      </c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</row>
    <row r="164" spans="1:8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1"/>
      <c r="BD164" s="3">
        <v>5</v>
      </c>
      <c r="BE164" s="3">
        <v>1</v>
      </c>
      <c r="BF164" s="3">
        <v>5</v>
      </c>
      <c r="BG164" s="3">
        <v>50</v>
      </c>
      <c r="BH164" s="49" t="str">
        <f t="shared" si="52"/>
        <v>5,1</v>
      </c>
      <c r="BI164" s="1"/>
      <c r="BJ164" s="13">
        <f t="shared" si="53"/>
        <v>160</v>
      </c>
      <c r="BK164" s="10">
        <f t="shared" si="54"/>
        <v>5</v>
      </c>
      <c r="BL164" s="10">
        <f t="shared" si="55"/>
        <v>16</v>
      </c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</row>
    <row r="165" spans="1:8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1"/>
      <c r="BD165" s="3">
        <v>5</v>
      </c>
      <c r="BE165" s="3">
        <v>1</v>
      </c>
      <c r="BF165" s="3">
        <v>6</v>
      </c>
      <c r="BG165" s="3">
        <v>50</v>
      </c>
      <c r="BH165" s="49" t="str">
        <f t="shared" si="52"/>
        <v>6,1</v>
      </c>
      <c r="BI165" s="1"/>
      <c r="BJ165" s="13">
        <f t="shared" si="53"/>
        <v>161</v>
      </c>
      <c r="BK165" s="10">
        <f t="shared" si="54"/>
        <v>5</v>
      </c>
      <c r="BL165" s="10">
        <f t="shared" si="55"/>
        <v>17</v>
      </c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</row>
    <row r="166" spans="1:8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1"/>
      <c r="BD166" s="3">
        <v>5</v>
      </c>
      <c r="BE166" s="3">
        <v>1</v>
      </c>
      <c r="BF166" s="3">
        <v>7</v>
      </c>
      <c r="BG166" s="3">
        <v>50</v>
      </c>
      <c r="BH166" s="49" t="str">
        <f t="shared" si="52"/>
        <v>7,1</v>
      </c>
      <c r="BI166" s="1"/>
      <c r="BJ166" s="13">
        <f t="shared" si="53"/>
        <v>162</v>
      </c>
      <c r="BK166" s="10">
        <f t="shared" si="54"/>
        <v>5</v>
      </c>
      <c r="BL166" s="10">
        <f t="shared" si="55"/>
        <v>18</v>
      </c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</row>
    <row r="167" spans="1:8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1"/>
      <c r="BD167" s="3">
        <v>5</v>
      </c>
      <c r="BE167" s="3">
        <v>1</v>
      </c>
      <c r="BF167" s="3">
        <v>8</v>
      </c>
      <c r="BG167" s="3">
        <v>50</v>
      </c>
      <c r="BH167" s="49" t="str">
        <f t="shared" si="52"/>
        <v>8,1</v>
      </c>
      <c r="BI167" s="1"/>
      <c r="BJ167" s="13">
        <f t="shared" si="53"/>
        <v>163</v>
      </c>
      <c r="BK167" s="10">
        <f t="shared" si="54"/>
        <v>5</v>
      </c>
      <c r="BL167" s="10">
        <f t="shared" si="55"/>
        <v>19</v>
      </c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</row>
    <row r="168" spans="1:8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1"/>
      <c r="BD168" s="3">
        <v>5</v>
      </c>
      <c r="BE168" s="3">
        <v>1</v>
      </c>
      <c r="BF168" s="3">
        <v>9</v>
      </c>
      <c r="BG168" s="3">
        <v>50</v>
      </c>
      <c r="BH168" s="49" t="str">
        <f t="shared" si="52"/>
        <v>9,1</v>
      </c>
      <c r="BI168" s="1"/>
      <c r="BJ168" s="13">
        <f t="shared" si="53"/>
        <v>164</v>
      </c>
      <c r="BK168" s="10">
        <f t="shared" si="54"/>
        <v>5</v>
      </c>
      <c r="BL168" s="10">
        <f t="shared" si="55"/>
        <v>20</v>
      </c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</row>
    <row r="169" spans="1:8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1"/>
      <c r="BD169" s="3">
        <v>5</v>
      </c>
      <c r="BE169" s="3">
        <v>1</v>
      </c>
      <c r="BF169" s="3">
        <v>10</v>
      </c>
      <c r="BG169" s="3">
        <v>50</v>
      </c>
      <c r="BH169" s="49" t="str">
        <f t="shared" si="52"/>
        <v>10,1</v>
      </c>
      <c r="BI169" s="1"/>
      <c r="BJ169" s="13">
        <f t="shared" si="53"/>
        <v>165</v>
      </c>
      <c r="BK169" s="10">
        <f t="shared" si="54"/>
        <v>5</v>
      </c>
      <c r="BL169" s="10">
        <f t="shared" si="55"/>
        <v>21</v>
      </c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</row>
    <row r="170" spans="1:8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1"/>
      <c r="BD170" s="3">
        <v>5</v>
      </c>
      <c r="BE170" s="3">
        <v>1</v>
      </c>
      <c r="BF170" s="3">
        <v>11</v>
      </c>
      <c r="BG170" s="3">
        <v>50</v>
      </c>
      <c r="BH170" s="49" t="str">
        <f t="shared" si="52"/>
        <v>11,1</v>
      </c>
      <c r="BI170" s="1"/>
      <c r="BJ170" s="13">
        <f t="shared" si="53"/>
        <v>166</v>
      </c>
      <c r="BK170" s="10">
        <f t="shared" si="54"/>
        <v>5</v>
      </c>
      <c r="BL170" s="10">
        <f t="shared" si="55"/>
        <v>22</v>
      </c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</row>
    <row r="171" spans="1:8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1"/>
      <c r="BD171" s="3">
        <v>5</v>
      </c>
      <c r="BE171" s="3">
        <v>1</v>
      </c>
      <c r="BF171" s="3">
        <v>12</v>
      </c>
      <c r="BG171" s="3">
        <v>50.09</v>
      </c>
      <c r="BH171" s="49" t="str">
        <f t="shared" si="52"/>
        <v>12,1</v>
      </c>
      <c r="BI171" s="1"/>
      <c r="BJ171" s="13">
        <f t="shared" si="53"/>
        <v>167</v>
      </c>
      <c r="BK171" s="10">
        <f t="shared" si="54"/>
        <v>5</v>
      </c>
      <c r="BL171" s="10">
        <f t="shared" si="55"/>
        <v>23</v>
      </c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</row>
    <row r="172" spans="1:8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1"/>
      <c r="BD172" s="3">
        <v>5</v>
      </c>
      <c r="BE172" s="3">
        <v>1</v>
      </c>
      <c r="BF172" s="3">
        <v>13</v>
      </c>
      <c r="BG172" s="3">
        <v>50.14</v>
      </c>
      <c r="BH172" s="49" t="str">
        <f t="shared" si="52"/>
        <v>13,1</v>
      </c>
      <c r="BI172" s="1"/>
      <c r="BJ172" s="13">
        <f t="shared" si="53"/>
        <v>168</v>
      </c>
      <c r="BK172" s="10">
        <f t="shared" si="54"/>
        <v>5</v>
      </c>
      <c r="BL172" s="10">
        <f t="shared" si="55"/>
        <v>24</v>
      </c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</row>
    <row r="173" spans="1:8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1"/>
      <c r="BD173" s="3">
        <v>5</v>
      </c>
      <c r="BE173" s="3">
        <v>1</v>
      </c>
      <c r="BF173" s="3">
        <v>14</v>
      </c>
      <c r="BG173" s="3">
        <v>50.14</v>
      </c>
      <c r="BH173" s="49" t="str">
        <f t="shared" si="52"/>
        <v>14,1</v>
      </c>
      <c r="BI173" s="1"/>
      <c r="BJ173" s="13">
        <f t="shared" si="53"/>
        <v>169</v>
      </c>
      <c r="BK173" s="10">
        <f t="shared" si="54"/>
        <v>5</v>
      </c>
      <c r="BL173" s="10">
        <f t="shared" si="55"/>
        <v>25</v>
      </c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</row>
    <row r="174" spans="1:8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1"/>
      <c r="BD174" s="3">
        <v>5</v>
      </c>
      <c r="BE174" s="3">
        <v>1</v>
      </c>
      <c r="BF174" s="3">
        <v>15</v>
      </c>
      <c r="BG174" s="3">
        <v>50.09</v>
      </c>
      <c r="BH174" s="49" t="str">
        <f t="shared" si="52"/>
        <v>15,1</v>
      </c>
      <c r="BI174" s="1"/>
      <c r="BJ174" s="13">
        <f t="shared" si="53"/>
        <v>170</v>
      </c>
      <c r="BK174" s="10">
        <f t="shared" si="54"/>
        <v>5</v>
      </c>
      <c r="BL174" s="10">
        <f t="shared" si="55"/>
        <v>26</v>
      </c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</row>
    <row r="175" spans="1:8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1"/>
      <c r="BD175" s="3">
        <v>5</v>
      </c>
      <c r="BE175" s="3">
        <v>1</v>
      </c>
      <c r="BF175" s="3">
        <v>16</v>
      </c>
      <c r="BG175" s="3">
        <v>50</v>
      </c>
      <c r="BH175" s="49" t="str">
        <f t="shared" si="52"/>
        <v>16,1</v>
      </c>
      <c r="BI175" s="1"/>
      <c r="BJ175" s="13">
        <f t="shared" si="53"/>
        <v>171</v>
      </c>
      <c r="BK175" s="10">
        <f t="shared" si="54"/>
        <v>5</v>
      </c>
      <c r="BL175" s="10">
        <f t="shared" si="55"/>
        <v>27</v>
      </c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</row>
    <row r="176" spans="1:8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1"/>
      <c r="BD176" s="3">
        <v>5</v>
      </c>
      <c r="BE176" s="3">
        <v>1</v>
      </c>
      <c r="BF176" s="3">
        <v>17</v>
      </c>
      <c r="BG176" s="3">
        <v>50</v>
      </c>
      <c r="BH176" s="49" t="str">
        <f t="shared" si="52"/>
        <v>17,1</v>
      </c>
      <c r="BI176" s="1"/>
      <c r="BJ176" s="13">
        <f t="shared" si="53"/>
        <v>172</v>
      </c>
      <c r="BK176" s="10">
        <f t="shared" si="54"/>
        <v>5</v>
      </c>
      <c r="BL176" s="10">
        <f t="shared" si="55"/>
        <v>28</v>
      </c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</row>
    <row r="177" spans="1:8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1"/>
      <c r="BD177" s="3">
        <v>5</v>
      </c>
      <c r="BE177" s="3">
        <v>1</v>
      </c>
      <c r="BF177" s="3">
        <v>18</v>
      </c>
      <c r="BG177" s="3">
        <v>50</v>
      </c>
      <c r="BH177" s="49" t="str">
        <f t="shared" si="52"/>
        <v>18,1</v>
      </c>
      <c r="BI177" s="1"/>
      <c r="BJ177" s="13">
        <f t="shared" si="53"/>
        <v>173</v>
      </c>
      <c r="BK177" s="10">
        <f t="shared" si="54"/>
        <v>5</v>
      </c>
      <c r="BL177" s="10">
        <f t="shared" si="55"/>
        <v>29</v>
      </c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</row>
    <row r="178" spans="1:8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1"/>
      <c r="BD178" s="3">
        <v>5</v>
      </c>
      <c r="BE178" s="3">
        <v>1</v>
      </c>
      <c r="BF178" s="3">
        <v>19</v>
      </c>
      <c r="BG178" s="3">
        <v>50</v>
      </c>
      <c r="BH178" s="49" t="str">
        <f t="shared" si="52"/>
        <v>19,1</v>
      </c>
      <c r="BI178" s="1"/>
      <c r="BJ178" s="13">
        <f t="shared" si="53"/>
        <v>174</v>
      </c>
      <c r="BK178" s="10">
        <f t="shared" si="54"/>
        <v>5</v>
      </c>
      <c r="BL178" s="10">
        <f t="shared" si="55"/>
        <v>30</v>
      </c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</row>
    <row r="179" spans="1:8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1"/>
      <c r="BD179" s="3">
        <v>5</v>
      </c>
      <c r="BE179" s="3">
        <v>1</v>
      </c>
      <c r="BF179" s="3">
        <v>20</v>
      </c>
      <c r="BG179" s="3">
        <v>50</v>
      </c>
      <c r="BH179" s="49" t="str">
        <f t="shared" si="52"/>
        <v>20,1</v>
      </c>
      <c r="BI179" s="1"/>
      <c r="BJ179" s="13">
        <f t="shared" si="53"/>
        <v>175</v>
      </c>
      <c r="BK179" s="10">
        <f t="shared" si="54"/>
        <v>5</v>
      </c>
      <c r="BL179" s="10">
        <f t="shared" si="55"/>
        <v>31</v>
      </c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</row>
    <row r="180" spans="1:8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1"/>
      <c r="BD180" s="3">
        <v>5</v>
      </c>
      <c r="BE180" s="3">
        <v>1</v>
      </c>
      <c r="BF180" s="3">
        <v>21</v>
      </c>
      <c r="BG180" s="3">
        <v>50</v>
      </c>
      <c r="BH180" s="49" t="str">
        <f t="shared" si="52"/>
        <v>21,1</v>
      </c>
      <c r="BI180" s="1"/>
      <c r="BJ180" s="13">
        <f t="shared" si="53"/>
        <v>176</v>
      </c>
      <c r="BK180" s="10">
        <f t="shared" si="54"/>
        <v>5</v>
      </c>
      <c r="BL180" s="10">
        <f t="shared" si="55"/>
        <v>32</v>
      </c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</row>
    <row r="181" spans="1:8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1"/>
      <c r="BD181" s="3">
        <v>5</v>
      </c>
      <c r="BE181" s="3">
        <v>33</v>
      </c>
      <c r="BF181" s="3">
        <v>1</v>
      </c>
      <c r="BG181" s="3">
        <v>28</v>
      </c>
      <c r="BH181" s="49" t="str">
        <f t="shared" si="52"/>
        <v>1,33</v>
      </c>
      <c r="BI181" s="1"/>
      <c r="BJ181" s="13">
        <f t="shared" si="53"/>
        <v>177</v>
      </c>
      <c r="BK181" s="10">
        <f t="shared" si="54"/>
        <v>5</v>
      </c>
      <c r="BL181" s="10">
        <f t="shared" si="55"/>
        <v>33</v>
      </c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</row>
    <row r="182" spans="1:8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1"/>
      <c r="BD182" s="3">
        <v>5</v>
      </c>
      <c r="BE182" s="3">
        <v>33</v>
      </c>
      <c r="BF182" s="3">
        <v>2</v>
      </c>
      <c r="BG182" s="3">
        <v>28</v>
      </c>
      <c r="BH182" s="49" t="str">
        <f t="shared" si="52"/>
        <v>2,33</v>
      </c>
      <c r="BI182" s="1"/>
      <c r="BJ182" s="13">
        <f t="shared" si="53"/>
        <v>178</v>
      </c>
      <c r="BK182" s="10">
        <f t="shared" si="54"/>
        <v>5</v>
      </c>
      <c r="BL182" s="10">
        <f t="shared" si="55"/>
        <v>34</v>
      </c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</row>
    <row r="183" spans="1:8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1"/>
      <c r="BD183" s="3">
        <v>5</v>
      </c>
      <c r="BE183" s="3">
        <v>33</v>
      </c>
      <c r="BF183" s="3">
        <v>3</v>
      </c>
      <c r="BG183" s="3">
        <v>28</v>
      </c>
      <c r="BH183" s="49" t="str">
        <f t="shared" si="52"/>
        <v>3,33</v>
      </c>
      <c r="BI183" s="1"/>
      <c r="BJ183" s="13">
        <f t="shared" si="53"/>
        <v>179</v>
      </c>
      <c r="BK183" s="10">
        <f t="shared" si="54"/>
        <v>5</v>
      </c>
      <c r="BL183" s="10">
        <f t="shared" si="55"/>
        <v>35</v>
      </c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</row>
    <row r="184" spans="1:8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1"/>
      <c r="BD184" s="3">
        <v>5</v>
      </c>
      <c r="BE184" s="3">
        <v>33</v>
      </c>
      <c r="BF184" s="3">
        <v>4</v>
      </c>
      <c r="BG184" s="3">
        <v>28</v>
      </c>
      <c r="BH184" s="49" t="str">
        <f t="shared" si="52"/>
        <v>4,33</v>
      </c>
      <c r="BI184" s="1"/>
      <c r="BJ184" s="13">
        <f t="shared" si="53"/>
        <v>180</v>
      </c>
      <c r="BK184" s="10">
        <f t="shared" si="54"/>
        <v>5</v>
      </c>
      <c r="BL184" s="10">
        <f t="shared" si="55"/>
        <v>36</v>
      </c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</row>
    <row r="185" spans="1:8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1"/>
      <c r="BD185" s="3">
        <v>5</v>
      </c>
      <c r="BE185" s="3">
        <v>33</v>
      </c>
      <c r="BF185" s="3">
        <v>5</v>
      </c>
      <c r="BG185" s="3">
        <v>28</v>
      </c>
      <c r="BH185" s="49" t="str">
        <f t="shared" si="52"/>
        <v>5,33</v>
      </c>
      <c r="BI185" s="1"/>
      <c r="BJ185" s="13">
        <f t="shared" si="53"/>
        <v>181</v>
      </c>
      <c r="BK185" s="10">
        <f t="shared" si="54"/>
        <v>6</v>
      </c>
      <c r="BL185" s="10">
        <f t="shared" si="55"/>
        <v>1</v>
      </c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</row>
    <row r="186" spans="1:8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1"/>
      <c r="BD186" s="3">
        <v>5</v>
      </c>
      <c r="BE186" s="3">
        <v>33</v>
      </c>
      <c r="BF186" s="3">
        <v>6</v>
      </c>
      <c r="BG186" s="3">
        <v>28</v>
      </c>
      <c r="BH186" s="49" t="str">
        <f t="shared" si="52"/>
        <v>6,33</v>
      </c>
      <c r="BI186" s="1"/>
      <c r="BJ186" s="13">
        <f t="shared" si="53"/>
        <v>182</v>
      </c>
      <c r="BK186" s="10">
        <f t="shared" si="54"/>
        <v>6</v>
      </c>
      <c r="BL186" s="10">
        <f t="shared" si="55"/>
        <v>2</v>
      </c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</row>
    <row r="187" spans="1:8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1"/>
      <c r="BD187" s="3">
        <v>5</v>
      </c>
      <c r="BE187" s="3">
        <v>33</v>
      </c>
      <c r="BF187" s="3">
        <v>7</v>
      </c>
      <c r="BG187" s="3">
        <v>28</v>
      </c>
      <c r="BH187" s="49" t="str">
        <f t="shared" si="52"/>
        <v>7,33</v>
      </c>
      <c r="BI187" s="1"/>
      <c r="BJ187" s="13">
        <f t="shared" si="53"/>
        <v>183</v>
      </c>
      <c r="BK187" s="10">
        <f t="shared" si="54"/>
        <v>6</v>
      </c>
      <c r="BL187" s="10">
        <f t="shared" si="55"/>
        <v>3</v>
      </c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</row>
    <row r="188" spans="1:8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1"/>
      <c r="BD188" s="3">
        <v>5</v>
      </c>
      <c r="BE188" s="3">
        <v>34</v>
      </c>
      <c r="BF188" s="3">
        <v>8</v>
      </c>
      <c r="BG188" s="3">
        <v>28</v>
      </c>
      <c r="BH188" s="49" t="str">
        <f t="shared" si="52"/>
        <v>8,34</v>
      </c>
      <c r="BI188" s="1"/>
      <c r="BJ188" s="13">
        <f t="shared" si="53"/>
        <v>184</v>
      </c>
      <c r="BK188" s="10">
        <f t="shared" si="54"/>
        <v>6</v>
      </c>
      <c r="BL188" s="10">
        <f t="shared" si="55"/>
        <v>4</v>
      </c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</row>
    <row r="189" spans="1:8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1"/>
      <c r="BD189" s="3">
        <v>5</v>
      </c>
      <c r="BE189" s="3">
        <v>34</v>
      </c>
      <c r="BF189" s="3">
        <v>9</v>
      </c>
      <c r="BG189" s="3">
        <v>28</v>
      </c>
      <c r="BH189" s="49" t="str">
        <f t="shared" si="52"/>
        <v>9,34</v>
      </c>
      <c r="BI189" s="1"/>
      <c r="BJ189" s="13">
        <f t="shared" si="53"/>
        <v>185</v>
      </c>
      <c r="BK189" s="10">
        <f t="shared" si="54"/>
        <v>6</v>
      </c>
      <c r="BL189" s="10">
        <f t="shared" si="55"/>
        <v>5</v>
      </c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</row>
    <row r="190" spans="1:8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1"/>
      <c r="BD190" s="3">
        <v>5</v>
      </c>
      <c r="BE190" s="3">
        <v>34</v>
      </c>
      <c r="BF190" s="3">
        <v>10</v>
      </c>
      <c r="BG190" s="3">
        <v>28</v>
      </c>
      <c r="BH190" s="49" t="str">
        <f t="shared" si="52"/>
        <v>10,34</v>
      </c>
      <c r="BI190" s="1"/>
      <c r="BJ190" s="13">
        <f t="shared" si="53"/>
        <v>186</v>
      </c>
      <c r="BK190" s="10">
        <f t="shared" si="54"/>
        <v>6</v>
      </c>
      <c r="BL190" s="10">
        <f t="shared" si="55"/>
        <v>6</v>
      </c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</row>
    <row r="191" spans="1:8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1"/>
      <c r="BD191" s="3">
        <v>5</v>
      </c>
      <c r="BE191" s="3">
        <v>34</v>
      </c>
      <c r="BF191" s="3">
        <v>11</v>
      </c>
      <c r="BG191" s="3">
        <v>28</v>
      </c>
      <c r="BH191" s="49" t="str">
        <f t="shared" si="52"/>
        <v>11,34</v>
      </c>
      <c r="BI191" s="1"/>
      <c r="BJ191" s="13">
        <f t="shared" si="53"/>
        <v>187</v>
      </c>
      <c r="BK191" s="10">
        <f t="shared" si="54"/>
        <v>6</v>
      </c>
      <c r="BL191" s="10">
        <f t="shared" si="55"/>
        <v>7</v>
      </c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</row>
    <row r="192" spans="1:8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1"/>
      <c r="BD192" s="3">
        <v>5</v>
      </c>
      <c r="BE192" s="3">
        <v>34</v>
      </c>
      <c r="BF192" s="3">
        <v>12</v>
      </c>
      <c r="BG192" s="3">
        <v>28</v>
      </c>
      <c r="BH192" s="49" t="str">
        <f t="shared" si="52"/>
        <v>12,34</v>
      </c>
      <c r="BI192" s="1"/>
      <c r="BJ192" s="13">
        <f t="shared" si="53"/>
        <v>188</v>
      </c>
      <c r="BK192" s="10">
        <f t="shared" si="54"/>
        <v>6</v>
      </c>
      <c r="BL192" s="10">
        <f t="shared" si="55"/>
        <v>8</v>
      </c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</row>
    <row r="193" spans="1:8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1"/>
      <c r="BD193" s="3">
        <v>5</v>
      </c>
      <c r="BE193" s="3">
        <v>34</v>
      </c>
      <c r="BF193" s="3">
        <v>13</v>
      </c>
      <c r="BG193" s="3">
        <v>28</v>
      </c>
      <c r="BH193" s="49" t="str">
        <f t="shared" si="52"/>
        <v>13,34</v>
      </c>
      <c r="BI193" s="1"/>
      <c r="BJ193" s="13">
        <f t="shared" si="53"/>
        <v>189</v>
      </c>
      <c r="BK193" s="10">
        <f t="shared" si="54"/>
        <v>6</v>
      </c>
      <c r="BL193" s="10">
        <f t="shared" si="55"/>
        <v>9</v>
      </c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</row>
    <row r="194" spans="1:8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1"/>
      <c r="BD194" s="3">
        <v>5</v>
      </c>
      <c r="BE194" s="3">
        <v>35</v>
      </c>
      <c r="BF194" s="3">
        <v>14</v>
      </c>
      <c r="BG194" s="3">
        <v>28</v>
      </c>
      <c r="BH194" s="49" t="str">
        <f t="shared" si="52"/>
        <v>14,35</v>
      </c>
      <c r="BI194" s="1"/>
      <c r="BJ194" s="13">
        <f t="shared" si="53"/>
        <v>190</v>
      </c>
      <c r="BK194" s="10">
        <f t="shared" si="54"/>
        <v>6</v>
      </c>
      <c r="BL194" s="10">
        <f t="shared" si="55"/>
        <v>10</v>
      </c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</row>
    <row r="195" spans="1:8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1"/>
      <c r="BD195" s="3">
        <v>5</v>
      </c>
      <c r="BE195" s="3">
        <v>35</v>
      </c>
      <c r="BF195" s="3">
        <v>15</v>
      </c>
      <c r="BG195" s="3">
        <v>28</v>
      </c>
      <c r="BH195" s="49" t="str">
        <f t="shared" si="52"/>
        <v>15,35</v>
      </c>
      <c r="BI195" s="1"/>
      <c r="BJ195" s="13">
        <f t="shared" si="53"/>
        <v>191</v>
      </c>
      <c r="BK195" s="10">
        <f t="shared" si="54"/>
        <v>6</v>
      </c>
      <c r="BL195" s="10">
        <f t="shared" si="55"/>
        <v>11</v>
      </c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</row>
    <row r="196" spans="1:8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1"/>
      <c r="BD196" s="3">
        <v>5</v>
      </c>
      <c r="BE196" s="3">
        <v>35</v>
      </c>
      <c r="BF196" s="3">
        <v>16</v>
      </c>
      <c r="BG196" s="3">
        <v>28</v>
      </c>
      <c r="BH196" s="49" t="str">
        <f t="shared" si="52"/>
        <v>16,35</v>
      </c>
      <c r="BI196" s="1"/>
      <c r="BJ196" s="13">
        <f t="shared" si="53"/>
        <v>192</v>
      </c>
      <c r="BK196" s="10">
        <f t="shared" si="54"/>
        <v>6</v>
      </c>
      <c r="BL196" s="10">
        <f t="shared" si="55"/>
        <v>12</v>
      </c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</row>
    <row r="197" spans="1:8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1"/>
      <c r="BD197" s="3">
        <v>5</v>
      </c>
      <c r="BE197" s="3">
        <v>35</v>
      </c>
      <c r="BF197" s="3">
        <v>17</v>
      </c>
      <c r="BG197" s="3">
        <v>28</v>
      </c>
      <c r="BH197" s="49" t="str">
        <f t="shared" si="52"/>
        <v>17,35</v>
      </c>
      <c r="BI197" s="1"/>
      <c r="BJ197" s="13">
        <f t="shared" si="53"/>
        <v>193</v>
      </c>
      <c r="BK197" s="10">
        <f t="shared" si="54"/>
        <v>6</v>
      </c>
      <c r="BL197" s="10">
        <f t="shared" si="55"/>
        <v>13</v>
      </c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</row>
    <row r="198" spans="1:8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1"/>
      <c r="BD198" s="3">
        <v>5</v>
      </c>
      <c r="BE198" s="3">
        <v>35</v>
      </c>
      <c r="BF198" s="3">
        <v>18</v>
      </c>
      <c r="BG198" s="3">
        <v>28</v>
      </c>
      <c r="BH198" s="49" t="str">
        <f t="shared" ref="BH198:BH261" si="56">_xlfn.CONCAT(BF198,",",BE198)</f>
        <v>18,35</v>
      </c>
      <c r="BI198" s="1"/>
      <c r="BJ198" s="13">
        <f t="shared" ref="BJ198:BJ261" si="57">IF(ROW()-BJ$3&lt;=$BJ$4,ROW()-ROW(BJ$4),"")</f>
        <v>194</v>
      </c>
      <c r="BK198" s="10">
        <f t="shared" si="54"/>
        <v>6</v>
      </c>
      <c r="BL198" s="10">
        <f t="shared" si="55"/>
        <v>14</v>
      </c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</row>
    <row r="199" spans="1:8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1"/>
      <c r="BD199" s="3">
        <v>5</v>
      </c>
      <c r="BE199" s="3">
        <v>35</v>
      </c>
      <c r="BF199" s="3">
        <v>19</v>
      </c>
      <c r="BG199" s="3">
        <v>28</v>
      </c>
      <c r="BH199" s="49" t="str">
        <f t="shared" si="56"/>
        <v>19,35</v>
      </c>
      <c r="BI199" s="1"/>
      <c r="BJ199" s="13">
        <f t="shared" si="57"/>
        <v>195</v>
      </c>
      <c r="BK199" s="10">
        <f t="shared" ref="BK199:BK262" si="58">IF(ISNUMBER(BJ199),INT(BJ198/$BL$4)+1,"")</f>
        <v>6</v>
      </c>
      <c r="BL199" s="10">
        <f t="shared" ref="BL199:BL262" si="59">IF(ISNUMBER(BJ199),IF(BK198&lt;&gt;BK199,1,BL198+1),"")</f>
        <v>15</v>
      </c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</row>
    <row r="200" spans="1:8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1"/>
      <c r="BD200" s="3">
        <v>5</v>
      </c>
      <c r="BE200" s="3">
        <v>35</v>
      </c>
      <c r="BF200" s="3">
        <v>20</v>
      </c>
      <c r="BG200" s="3">
        <v>28</v>
      </c>
      <c r="BH200" s="49" t="str">
        <f t="shared" si="56"/>
        <v>20,35</v>
      </c>
      <c r="BI200" s="1"/>
      <c r="BJ200" s="13">
        <f t="shared" si="57"/>
        <v>196</v>
      </c>
      <c r="BK200" s="10">
        <f t="shared" si="58"/>
        <v>6</v>
      </c>
      <c r="BL200" s="10">
        <f t="shared" si="59"/>
        <v>16</v>
      </c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</row>
    <row r="201" spans="1:8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1"/>
      <c r="BD201" s="3">
        <v>5</v>
      </c>
      <c r="BE201" s="3">
        <v>36</v>
      </c>
      <c r="BF201" s="3">
        <v>21</v>
      </c>
      <c r="BG201" s="3">
        <v>28</v>
      </c>
      <c r="BH201" s="49" t="str">
        <f t="shared" si="56"/>
        <v>21,36</v>
      </c>
      <c r="BI201" s="1"/>
      <c r="BJ201" s="13">
        <f t="shared" si="57"/>
        <v>197</v>
      </c>
      <c r="BK201" s="10">
        <f t="shared" si="58"/>
        <v>6</v>
      </c>
      <c r="BL201" s="10">
        <f t="shared" si="59"/>
        <v>17</v>
      </c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</row>
    <row r="202" spans="1:8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1"/>
      <c r="BD202" s="3">
        <v>5</v>
      </c>
      <c r="BE202" s="3">
        <v>36</v>
      </c>
      <c r="BF202" s="3">
        <v>22</v>
      </c>
      <c r="BG202" s="3">
        <v>28</v>
      </c>
      <c r="BH202" s="49" t="str">
        <f t="shared" si="56"/>
        <v>22,36</v>
      </c>
      <c r="BI202" s="1"/>
      <c r="BJ202" s="13">
        <f t="shared" si="57"/>
        <v>198</v>
      </c>
      <c r="BK202" s="10">
        <f t="shared" si="58"/>
        <v>6</v>
      </c>
      <c r="BL202" s="10">
        <f t="shared" si="59"/>
        <v>18</v>
      </c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</row>
    <row r="203" spans="1:8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1"/>
      <c r="BD203" s="3">
        <v>5</v>
      </c>
      <c r="BE203" s="3">
        <v>36</v>
      </c>
      <c r="BF203" s="3">
        <v>23</v>
      </c>
      <c r="BG203" s="3">
        <v>28</v>
      </c>
      <c r="BH203" s="49" t="str">
        <f t="shared" si="56"/>
        <v>23,36</v>
      </c>
      <c r="BI203" s="1"/>
      <c r="BJ203" s="13">
        <f t="shared" si="57"/>
        <v>199</v>
      </c>
      <c r="BK203" s="10">
        <f t="shared" si="58"/>
        <v>6</v>
      </c>
      <c r="BL203" s="10">
        <f t="shared" si="59"/>
        <v>19</v>
      </c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</row>
    <row r="204" spans="1:8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1"/>
      <c r="BD204" s="3">
        <v>6</v>
      </c>
      <c r="BE204" s="3">
        <v>1</v>
      </c>
      <c r="BF204" s="3">
        <v>4</v>
      </c>
      <c r="BG204" s="3">
        <v>50</v>
      </c>
      <c r="BH204" s="49" t="str">
        <f t="shared" si="56"/>
        <v>4,1</v>
      </c>
      <c r="BI204" s="1"/>
      <c r="BJ204" s="13">
        <f t="shared" si="57"/>
        <v>200</v>
      </c>
      <c r="BK204" s="10">
        <f t="shared" si="58"/>
        <v>6</v>
      </c>
      <c r="BL204" s="10">
        <f t="shared" si="59"/>
        <v>20</v>
      </c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</row>
    <row r="205" spans="1:8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1"/>
      <c r="BD205" s="3">
        <v>6</v>
      </c>
      <c r="BE205" s="3">
        <v>1</v>
      </c>
      <c r="BF205" s="3">
        <v>5</v>
      </c>
      <c r="BG205" s="3">
        <v>50</v>
      </c>
      <c r="BH205" s="49" t="str">
        <f t="shared" si="56"/>
        <v>5,1</v>
      </c>
      <c r="BI205" s="1"/>
      <c r="BJ205" s="13">
        <f t="shared" si="57"/>
        <v>201</v>
      </c>
      <c r="BK205" s="10">
        <f t="shared" si="58"/>
        <v>6</v>
      </c>
      <c r="BL205" s="10">
        <f t="shared" si="59"/>
        <v>21</v>
      </c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</row>
    <row r="206" spans="1:8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1"/>
      <c r="BD206" s="3">
        <v>6</v>
      </c>
      <c r="BE206" s="3">
        <v>1</v>
      </c>
      <c r="BF206" s="3">
        <v>6</v>
      </c>
      <c r="BG206" s="3">
        <v>50</v>
      </c>
      <c r="BH206" s="49" t="str">
        <f t="shared" si="56"/>
        <v>6,1</v>
      </c>
      <c r="BI206" s="1"/>
      <c r="BJ206" s="13">
        <f t="shared" si="57"/>
        <v>202</v>
      </c>
      <c r="BK206" s="10">
        <f t="shared" si="58"/>
        <v>6</v>
      </c>
      <c r="BL206" s="10">
        <f t="shared" si="59"/>
        <v>22</v>
      </c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</row>
    <row r="207" spans="1:8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1"/>
      <c r="BD207" s="3">
        <v>6</v>
      </c>
      <c r="BE207" s="3">
        <v>1</v>
      </c>
      <c r="BF207" s="3">
        <v>7</v>
      </c>
      <c r="BG207" s="3">
        <v>50</v>
      </c>
      <c r="BH207" s="49" t="str">
        <f t="shared" si="56"/>
        <v>7,1</v>
      </c>
      <c r="BI207" s="1"/>
      <c r="BJ207" s="13">
        <f t="shared" si="57"/>
        <v>203</v>
      </c>
      <c r="BK207" s="10">
        <f t="shared" si="58"/>
        <v>6</v>
      </c>
      <c r="BL207" s="10">
        <f t="shared" si="59"/>
        <v>23</v>
      </c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</row>
    <row r="208" spans="1:8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1"/>
      <c r="BD208" s="3">
        <v>6</v>
      </c>
      <c r="BE208" s="3">
        <v>1</v>
      </c>
      <c r="BF208" s="3">
        <v>8</v>
      </c>
      <c r="BG208" s="3">
        <v>50</v>
      </c>
      <c r="BH208" s="49" t="str">
        <f t="shared" si="56"/>
        <v>8,1</v>
      </c>
      <c r="BI208" s="1"/>
      <c r="BJ208" s="13">
        <f t="shared" si="57"/>
        <v>204</v>
      </c>
      <c r="BK208" s="10">
        <f t="shared" si="58"/>
        <v>6</v>
      </c>
      <c r="BL208" s="10">
        <f t="shared" si="59"/>
        <v>24</v>
      </c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</row>
    <row r="209" spans="1:8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1"/>
      <c r="BD209" s="3">
        <v>6</v>
      </c>
      <c r="BE209" s="3">
        <v>1</v>
      </c>
      <c r="BF209" s="3">
        <v>9</v>
      </c>
      <c r="BG209" s="3">
        <v>50</v>
      </c>
      <c r="BH209" s="49" t="str">
        <f t="shared" si="56"/>
        <v>9,1</v>
      </c>
      <c r="BI209" s="1"/>
      <c r="BJ209" s="13">
        <f t="shared" si="57"/>
        <v>205</v>
      </c>
      <c r="BK209" s="10">
        <f t="shared" si="58"/>
        <v>6</v>
      </c>
      <c r="BL209" s="10">
        <f t="shared" si="59"/>
        <v>25</v>
      </c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</row>
    <row r="210" spans="1:8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1"/>
      <c r="BD210" s="3">
        <v>6</v>
      </c>
      <c r="BE210" s="3">
        <v>1</v>
      </c>
      <c r="BF210" s="3">
        <v>10</v>
      </c>
      <c r="BG210" s="3">
        <v>50</v>
      </c>
      <c r="BH210" s="49" t="str">
        <f t="shared" si="56"/>
        <v>10,1</v>
      </c>
      <c r="BI210" s="1"/>
      <c r="BJ210" s="13">
        <f t="shared" si="57"/>
        <v>206</v>
      </c>
      <c r="BK210" s="10">
        <f t="shared" si="58"/>
        <v>6</v>
      </c>
      <c r="BL210" s="10">
        <f t="shared" si="59"/>
        <v>26</v>
      </c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</row>
    <row r="211" spans="1:8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1"/>
      <c r="BD211" s="3">
        <v>6</v>
      </c>
      <c r="BE211" s="3">
        <v>1</v>
      </c>
      <c r="BF211" s="3">
        <v>11</v>
      </c>
      <c r="BG211" s="3">
        <v>50</v>
      </c>
      <c r="BH211" s="49" t="str">
        <f t="shared" si="56"/>
        <v>11,1</v>
      </c>
      <c r="BI211" s="1"/>
      <c r="BJ211" s="13">
        <f t="shared" si="57"/>
        <v>207</v>
      </c>
      <c r="BK211" s="10">
        <f t="shared" si="58"/>
        <v>6</v>
      </c>
      <c r="BL211" s="10">
        <f t="shared" si="59"/>
        <v>27</v>
      </c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</row>
    <row r="212" spans="1:8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1"/>
      <c r="BD212" s="3">
        <v>6</v>
      </c>
      <c r="BE212" s="3">
        <v>1</v>
      </c>
      <c r="BF212" s="3">
        <v>12</v>
      </c>
      <c r="BG212" s="3">
        <v>50.09</v>
      </c>
      <c r="BH212" s="49" t="str">
        <f t="shared" si="56"/>
        <v>12,1</v>
      </c>
      <c r="BI212" s="1"/>
      <c r="BJ212" s="13">
        <f t="shared" si="57"/>
        <v>208</v>
      </c>
      <c r="BK212" s="10">
        <f t="shared" si="58"/>
        <v>6</v>
      </c>
      <c r="BL212" s="10">
        <f t="shared" si="59"/>
        <v>28</v>
      </c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</row>
    <row r="213" spans="1:8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1"/>
      <c r="BD213" s="3">
        <v>6</v>
      </c>
      <c r="BE213" s="3">
        <v>1</v>
      </c>
      <c r="BF213" s="3">
        <v>13</v>
      </c>
      <c r="BG213" s="3">
        <v>50.14</v>
      </c>
      <c r="BH213" s="49" t="str">
        <f t="shared" si="56"/>
        <v>13,1</v>
      </c>
      <c r="BI213" s="1"/>
      <c r="BJ213" s="13">
        <f t="shared" si="57"/>
        <v>209</v>
      </c>
      <c r="BK213" s="10">
        <f t="shared" si="58"/>
        <v>6</v>
      </c>
      <c r="BL213" s="10">
        <f t="shared" si="59"/>
        <v>29</v>
      </c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</row>
    <row r="214" spans="1:8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1"/>
      <c r="BD214" s="3">
        <v>6</v>
      </c>
      <c r="BE214" s="3">
        <v>1</v>
      </c>
      <c r="BF214" s="3">
        <v>14</v>
      </c>
      <c r="BG214" s="3">
        <v>50.14</v>
      </c>
      <c r="BH214" s="49" t="str">
        <f t="shared" si="56"/>
        <v>14,1</v>
      </c>
      <c r="BI214" s="1"/>
      <c r="BJ214" s="13">
        <f t="shared" si="57"/>
        <v>210</v>
      </c>
      <c r="BK214" s="10">
        <f t="shared" si="58"/>
        <v>6</v>
      </c>
      <c r="BL214" s="10">
        <f t="shared" si="59"/>
        <v>30</v>
      </c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</row>
    <row r="215" spans="1:8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1"/>
      <c r="BD215" s="3">
        <v>6</v>
      </c>
      <c r="BE215" s="3">
        <v>1</v>
      </c>
      <c r="BF215" s="3">
        <v>15</v>
      </c>
      <c r="BG215" s="3">
        <v>50.09</v>
      </c>
      <c r="BH215" s="49" t="str">
        <f t="shared" si="56"/>
        <v>15,1</v>
      </c>
      <c r="BI215" s="1"/>
      <c r="BJ215" s="13">
        <f t="shared" si="57"/>
        <v>211</v>
      </c>
      <c r="BK215" s="10">
        <f t="shared" si="58"/>
        <v>6</v>
      </c>
      <c r="BL215" s="10">
        <f t="shared" si="59"/>
        <v>31</v>
      </c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</row>
    <row r="216" spans="1:8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1"/>
      <c r="BD216" s="3">
        <v>6</v>
      </c>
      <c r="BE216" s="3">
        <v>1</v>
      </c>
      <c r="BF216" s="3">
        <v>16</v>
      </c>
      <c r="BG216" s="3">
        <v>50</v>
      </c>
      <c r="BH216" s="49" t="str">
        <f t="shared" si="56"/>
        <v>16,1</v>
      </c>
      <c r="BI216" s="1"/>
      <c r="BJ216" s="13">
        <f t="shared" si="57"/>
        <v>212</v>
      </c>
      <c r="BK216" s="10">
        <f t="shared" si="58"/>
        <v>6</v>
      </c>
      <c r="BL216" s="10">
        <f t="shared" si="59"/>
        <v>32</v>
      </c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</row>
    <row r="217" spans="1:8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1"/>
      <c r="BD217" s="3">
        <v>6</v>
      </c>
      <c r="BE217" s="3">
        <v>1</v>
      </c>
      <c r="BF217" s="3">
        <v>17</v>
      </c>
      <c r="BG217" s="3">
        <v>50</v>
      </c>
      <c r="BH217" s="49" t="str">
        <f t="shared" si="56"/>
        <v>17,1</v>
      </c>
      <c r="BI217" s="1"/>
      <c r="BJ217" s="13">
        <f t="shared" si="57"/>
        <v>213</v>
      </c>
      <c r="BK217" s="10">
        <f t="shared" si="58"/>
        <v>6</v>
      </c>
      <c r="BL217" s="10">
        <f t="shared" si="59"/>
        <v>33</v>
      </c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</row>
    <row r="218" spans="1:8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1"/>
      <c r="BD218" s="3">
        <v>6</v>
      </c>
      <c r="BE218" s="3">
        <v>1</v>
      </c>
      <c r="BF218" s="3">
        <v>18</v>
      </c>
      <c r="BG218" s="3">
        <v>50</v>
      </c>
      <c r="BH218" s="49" t="str">
        <f t="shared" si="56"/>
        <v>18,1</v>
      </c>
      <c r="BI218" s="1"/>
      <c r="BJ218" s="13">
        <f t="shared" si="57"/>
        <v>214</v>
      </c>
      <c r="BK218" s="10">
        <f t="shared" si="58"/>
        <v>6</v>
      </c>
      <c r="BL218" s="10">
        <f t="shared" si="59"/>
        <v>34</v>
      </c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</row>
    <row r="219" spans="1:8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1"/>
      <c r="BD219" s="3">
        <v>6</v>
      </c>
      <c r="BE219" s="3">
        <v>1</v>
      </c>
      <c r="BF219" s="3">
        <v>19</v>
      </c>
      <c r="BG219" s="3">
        <v>50</v>
      </c>
      <c r="BH219" s="49" t="str">
        <f t="shared" si="56"/>
        <v>19,1</v>
      </c>
      <c r="BI219" s="1"/>
      <c r="BJ219" s="13">
        <f t="shared" si="57"/>
        <v>215</v>
      </c>
      <c r="BK219" s="10">
        <f t="shared" si="58"/>
        <v>6</v>
      </c>
      <c r="BL219" s="10">
        <f t="shared" si="59"/>
        <v>35</v>
      </c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</row>
    <row r="220" spans="1:8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1"/>
      <c r="BD220" s="3">
        <v>6</v>
      </c>
      <c r="BE220" s="3">
        <v>1</v>
      </c>
      <c r="BF220" s="3">
        <v>20</v>
      </c>
      <c r="BG220" s="3">
        <v>50</v>
      </c>
      <c r="BH220" s="49" t="str">
        <f t="shared" si="56"/>
        <v>20,1</v>
      </c>
      <c r="BI220" s="1"/>
      <c r="BJ220" s="13">
        <f t="shared" si="57"/>
        <v>216</v>
      </c>
      <c r="BK220" s="10">
        <f t="shared" si="58"/>
        <v>6</v>
      </c>
      <c r="BL220" s="10">
        <f t="shared" si="59"/>
        <v>36</v>
      </c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</row>
    <row r="221" spans="1:8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1"/>
      <c r="BD221" s="3">
        <v>6</v>
      </c>
      <c r="BE221" s="3">
        <v>1</v>
      </c>
      <c r="BF221" s="3">
        <v>21</v>
      </c>
      <c r="BG221" s="3">
        <v>50</v>
      </c>
      <c r="BH221" s="49" t="str">
        <f t="shared" si="56"/>
        <v>21,1</v>
      </c>
      <c r="BI221" s="1"/>
      <c r="BJ221" s="13">
        <f t="shared" si="57"/>
        <v>217</v>
      </c>
      <c r="BK221" s="10">
        <f t="shared" si="58"/>
        <v>7</v>
      </c>
      <c r="BL221" s="10">
        <f t="shared" si="59"/>
        <v>1</v>
      </c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</row>
    <row r="222" spans="1:8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1"/>
      <c r="BD222" s="3">
        <v>6</v>
      </c>
      <c r="BE222" s="3">
        <v>33</v>
      </c>
      <c r="BF222" s="3">
        <v>1</v>
      </c>
      <c r="BG222" s="3">
        <v>28</v>
      </c>
      <c r="BH222" s="49" t="str">
        <f t="shared" si="56"/>
        <v>1,33</v>
      </c>
      <c r="BI222" s="1"/>
      <c r="BJ222" s="13">
        <f t="shared" si="57"/>
        <v>218</v>
      </c>
      <c r="BK222" s="10">
        <f t="shared" si="58"/>
        <v>7</v>
      </c>
      <c r="BL222" s="10">
        <f t="shared" si="59"/>
        <v>2</v>
      </c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</row>
    <row r="223" spans="1:8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1"/>
      <c r="BD223" s="3">
        <v>6</v>
      </c>
      <c r="BE223" s="3">
        <v>33</v>
      </c>
      <c r="BF223" s="3">
        <v>2</v>
      </c>
      <c r="BG223" s="3">
        <v>28</v>
      </c>
      <c r="BH223" s="49" t="str">
        <f t="shared" si="56"/>
        <v>2,33</v>
      </c>
      <c r="BI223" s="1"/>
      <c r="BJ223" s="13">
        <f t="shared" si="57"/>
        <v>219</v>
      </c>
      <c r="BK223" s="10">
        <f t="shared" si="58"/>
        <v>7</v>
      </c>
      <c r="BL223" s="10">
        <f t="shared" si="59"/>
        <v>3</v>
      </c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</row>
    <row r="224" spans="1:8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1"/>
      <c r="BD224" s="3">
        <v>6</v>
      </c>
      <c r="BE224" s="3">
        <v>33</v>
      </c>
      <c r="BF224" s="3">
        <v>3</v>
      </c>
      <c r="BG224" s="3">
        <v>28</v>
      </c>
      <c r="BH224" s="49" t="str">
        <f t="shared" si="56"/>
        <v>3,33</v>
      </c>
      <c r="BI224" s="1"/>
      <c r="BJ224" s="13">
        <f t="shared" si="57"/>
        <v>220</v>
      </c>
      <c r="BK224" s="10">
        <f t="shared" si="58"/>
        <v>7</v>
      </c>
      <c r="BL224" s="10">
        <f t="shared" si="59"/>
        <v>4</v>
      </c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</row>
    <row r="225" spans="1:8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1"/>
      <c r="BD225" s="3">
        <v>6</v>
      </c>
      <c r="BE225" s="3">
        <v>33</v>
      </c>
      <c r="BF225" s="3">
        <v>4</v>
      </c>
      <c r="BG225" s="3">
        <v>28</v>
      </c>
      <c r="BH225" s="49" t="str">
        <f t="shared" si="56"/>
        <v>4,33</v>
      </c>
      <c r="BI225" s="1"/>
      <c r="BJ225" s="13">
        <f t="shared" si="57"/>
        <v>221</v>
      </c>
      <c r="BK225" s="10">
        <f t="shared" si="58"/>
        <v>7</v>
      </c>
      <c r="BL225" s="10">
        <f t="shared" si="59"/>
        <v>5</v>
      </c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</row>
    <row r="226" spans="1:8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1"/>
      <c r="BD226" s="3">
        <v>6</v>
      </c>
      <c r="BE226" s="3">
        <v>33</v>
      </c>
      <c r="BF226" s="3">
        <v>5</v>
      </c>
      <c r="BG226" s="3">
        <v>28</v>
      </c>
      <c r="BH226" s="49" t="str">
        <f t="shared" si="56"/>
        <v>5,33</v>
      </c>
      <c r="BI226" s="1"/>
      <c r="BJ226" s="13">
        <f t="shared" si="57"/>
        <v>222</v>
      </c>
      <c r="BK226" s="10">
        <f t="shared" si="58"/>
        <v>7</v>
      </c>
      <c r="BL226" s="10">
        <f t="shared" si="59"/>
        <v>6</v>
      </c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</row>
    <row r="227" spans="1:8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1"/>
      <c r="BD227" s="3">
        <v>6</v>
      </c>
      <c r="BE227" s="3">
        <v>33</v>
      </c>
      <c r="BF227" s="3">
        <v>6</v>
      </c>
      <c r="BG227" s="3">
        <v>28</v>
      </c>
      <c r="BH227" s="49" t="str">
        <f t="shared" si="56"/>
        <v>6,33</v>
      </c>
      <c r="BI227" s="1"/>
      <c r="BJ227" s="13">
        <f t="shared" si="57"/>
        <v>223</v>
      </c>
      <c r="BK227" s="10">
        <f t="shared" si="58"/>
        <v>7</v>
      </c>
      <c r="BL227" s="10">
        <f t="shared" si="59"/>
        <v>7</v>
      </c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</row>
    <row r="228" spans="1:8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1"/>
      <c r="BD228" s="3">
        <v>6</v>
      </c>
      <c r="BE228" s="3">
        <v>33</v>
      </c>
      <c r="BF228" s="3">
        <v>7</v>
      </c>
      <c r="BG228" s="3">
        <v>28</v>
      </c>
      <c r="BH228" s="49" t="str">
        <f t="shared" si="56"/>
        <v>7,33</v>
      </c>
      <c r="BI228" s="1"/>
      <c r="BJ228" s="13">
        <f t="shared" si="57"/>
        <v>224</v>
      </c>
      <c r="BK228" s="10">
        <f t="shared" si="58"/>
        <v>7</v>
      </c>
      <c r="BL228" s="10">
        <f t="shared" si="59"/>
        <v>8</v>
      </c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</row>
    <row r="229" spans="1:8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1"/>
      <c r="BD229" s="3">
        <v>6</v>
      </c>
      <c r="BE229" s="3">
        <v>34</v>
      </c>
      <c r="BF229" s="3">
        <v>8</v>
      </c>
      <c r="BG229" s="3">
        <v>28</v>
      </c>
      <c r="BH229" s="49" t="str">
        <f t="shared" si="56"/>
        <v>8,34</v>
      </c>
      <c r="BI229" s="1"/>
      <c r="BJ229" s="13">
        <f t="shared" si="57"/>
        <v>225</v>
      </c>
      <c r="BK229" s="10">
        <f t="shared" si="58"/>
        <v>7</v>
      </c>
      <c r="BL229" s="10">
        <f t="shared" si="59"/>
        <v>9</v>
      </c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</row>
    <row r="230" spans="1:8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1"/>
      <c r="BD230" s="3">
        <v>6</v>
      </c>
      <c r="BE230" s="3">
        <v>34</v>
      </c>
      <c r="BF230" s="3">
        <v>9</v>
      </c>
      <c r="BG230" s="3">
        <v>28</v>
      </c>
      <c r="BH230" s="49" t="str">
        <f t="shared" si="56"/>
        <v>9,34</v>
      </c>
      <c r="BI230" s="1"/>
      <c r="BJ230" s="13">
        <f t="shared" si="57"/>
        <v>226</v>
      </c>
      <c r="BK230" s="10">
        <f t="shared" si="58"/>
        <v>7</v>
      </c>
      <c r="BL230" s="10">
        <f t="shared" si="59"/>
        <v>10</v>
      </c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</row>
    <row r="231" spans="1:8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1"/>
      <c r="BD231" s="3">
        <v>6</v>
      </c>
      <c r="BE231" s="3">
        <v>34</v>
      </c>
      <c r="BF231" s="3">
        <v>10</v>
      </c>
      <c r="BG231" s="3">
        <v>28</v>
      </c>
      <c r="BH231" s="49" t="str">
        <f t="shared" si="56"/>
        <v>10,34</v>
      </c>
      <c r="BI231" s="1"/>
      <c r="BJ231" s="13">
        <f t="shared" si="57"/>
        <v>227</v>
      </c>
      <c r="BK231" s="10">
        <f t="shared" si="58"/>
        <v>7</v>
      </c>
      <c r="BL231" s="10">
        <f t="shared" si="59"/>
        <v>11</v>
      </c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</row>
    <row r="232" spans="1:8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1"/>
      <c r="BD232" s="3">
        <v>6</v>
      </c>
      <c r="BE232" s="3">
        <v>34</v>
      </c>
      <c r="BF232" s="3">
        <v>11</v>
      </c>
      <c r="BG232" s="3">
        <v>28</v>
      </c>
      <c r="BH232" s="49" t="str">
        <f t="shared" si="56"/>
        <v>11,34</v>
      </c>
      <c r="BI232" s="1"/>
      <c r="BJ232" s="13">
        <f t="shared" si="57"/>
        <v>228</v>
      </c>
      <c r="BK232" s="10">
        <f t="shared" si="58"/>
        <v>7</v>
      </c>
      <c r="BL232" s="10">
        <f t="shared" si="59"/>
        <v>12</v>
      </c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</row>
    <row r="233" spans="1:8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1"/>
      <c r="BD233" s="3">
        <v>6</v>
      </c>
      <c r="BE233" s="3">
        <v>34</v>
      </c>
      <c r="BF233" s="3">
        <v>12</v>
      </c>
      <c r="BG233" s="3">
        <v>28</v>
      </c>
      <c r="BH233" s="49" t="str">
        <f t="shared" si="56"/>
        <v>12,34</v>
      </c>
      <c r="BI233" s="1"/>
      <c r="BJ233" s="13">
        <f t="shared" si="57"/>
        <v>229</v>
      </c>
      <c r="BK233" s="10">
        <f t="shared" si="58"/>
        <v>7</v>
      </c>
      <c r="BL233" s="10">
        <f t="shared" si="59"/>
        <v>13</v>
      </c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</row>
    <row r="234" spans="1:8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1"/>
      <c r="BD234" s="3">
        <v>6</v>
      </c>
      <c r="BE234" s="3">
        <v>34</v>
      </c>
      <c r="BF234" s="3">
        <v>13</v>
      </c>
      <c r="BG234" s="3">
        <v>28</v>
      </c>
      <c r="BH234" s="49" t="str">
        <f t="shared" si="56"/>
        <v>13,34</v>
      </c>
      <c r="BI234" s="1"/>
      <c r="BJ234" s="13">
        <f t="shared" si="57"/>
        <v>230</v>
      </c>
      <c r="BK234" s="10">
        <f t="shared" si="58"/>
        <v>7</v>
      </c>
      <c r="BL234" s="10">
        <f t="shared" si="59"/>
        <v>14</v>
      </c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</row>
    <row r="235" spans="1:8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1"/>
      <c r="BD235" s="3">
        <v>6</v>
      </c>
      <c r="BE235" s="3">
        <v>35</v>
      </c>
      <c r="BF235" s="3">
        <v>14</v>
      </c>
      <c r="BG235" s="3">
        <v>28</v>
      </c>
      <c r="BH235" s="49" t="str">
        <f t="shared" si="56"/>
        <v>14,35</v>
      </c>
      <c r="BI235" s="1"/>
      <c r="BJ235" s="13">
        <f t="shared" si="57"/>
        <v>231</v>
      </c>
      <c r="BK235" s="10">
        <f t="shared" si="58"/>
        <v>7</v>
      </c>
      <c r="BL235" s="10">
        <f t="shared" si="59"/>
        <v>15</v>
      </c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</row>
    <row r="236" spans="1:8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1"/>
      <c r="BD236" s="3">
        <v>6</v>
      </c>
      <c r="BE236" s="3">
        <v>35</v>
      </c>
      <c r="BF236" s="3">
        <v>15</v>
      </c>
      <c r="BG236" s="3">
        <v>28</v>
      </c>
      <c r="BH236" s="49" t="str">
        <f t="shared" si="56"/>
        <v>15,35</v>
      </c>
      <c r="BI236" s="1"/>
      <c r="BJ236" s="13">
        <f t="shared" si="57"/>
        <v>232</v>
      </c>
      <c r="BK236" s="10">
        <f t="shared" si="58"/>
        <v>7</v>
      </c>
      <c r="BL236" s="10">
        <f t="shared" si="59"/>
        <v>16</v>
      </c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</row>
    <row r="237" spans="1:8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1"/>
      <c r="BD237" s="3">
        <v>6</v>
      </c>
      <c r="BE237" s="3">
        <v>35</v>
      </c>
      <c r="BF237" s="3">
        <v>16</v>
      </c>
      <c r="BG237" s="3">
        <v>28</v>
      </c>
      <c r="BH237" s="49" t="str">
        <f t="shared" si="56"/>
        <v>16,35</v>
      </c>
      <c r="BI237" s="1"/>
      <c r="BJ237" s="13">
        <f t="shared" si="57"/>
        <v>233</v>
      </c>
      <c r="BK237" s="10">
        <f t="shared" si="58"/>
        <v>7</v>
      </c>
      <c r="BL237" s="10">
        <f t="shared" si="59"/>
        <v>17</v>
      </c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</row>
    <row r="238" spans="1:8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1"/>
      <c r="BD238" s="3">
        <v>6</v>
      </c>
      <c r="BE238" s="3">
        <v>35</v>
      </c>
      <c r="BF238" s="3">
        <v>17</v>
      </c>
      <c r="BG238" s="3">
        <v>28</v>
      </c>
      <c r="BH238" s="49" t="str">
        <f t="shared" si="56"/>
        <v>17,35</v>
      </c>
      <c r="BI238" s="1"/>
      <c r="BJ238" s="13">
        <f t="shared" si="57"/>
        <v>234</v>
      </c>
      <c r="BK238" s="10">
        <f t="shared" si="58"/>
        <v>7</v>
      </c>
      <c r="BL238" s="10">
        <f t="shared" si="59"/>
        <v>18</v>
      </c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</row>
    <row r="239" spans="1:8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1"/>
      <c r="BD239" s="3">
        <v>6</v>
      </c>
      <c r="BE239" s="3">
        <v>35</v>
      </c>
      <c r="BF239" s="3">
        <v>18</v>
      </c>
      <c r="BG239" s="3">
        <v>28</v>
      </c>
      <c r="BH239" s="49" t="str">
        <f t="shared" si="56"/>
        <v>18,35</v>
      </c>
      <c r="BI239" s="1"/>
      <c r="BJ239" s="13">
        <f t="shared" si="57"/>
        <v>235</v>
      </c>
      <c r="BK239" s="10">
        <f t="shared" si="58"/>
        <v>7</v>
      </c>
      <c r="BL239" s="10">
        <f t="shared" si="59"/>
        <v>19</v>
      </c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</row>
    <row r="240" spans="1:8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1"/>
      <c r="BD240" s="3">
        <v>6</v>
      </c>
      <c r="BE240" s="3">
        <v>35</v>
      </c>
      <c r="BF240" s="3">
        <v>19</v>
      </c>
      <c r="BG240" s="3">
        <v>28</v>
      </c>
      <c r="BH240" s="49" t="str">
        <f t="shared" si="56"/>
        <v>19,35</v>
      </c>
      <c r="BI240" s="1"/>
      <c r="BJ240" s="13">
        <f t="shared" si="57"/>
        <v>236</v>
      </c>
      <c r="BK240" s="10">
        <f t="shared" si="58"/>
        <v>7</v>
      </c>
      <c r="BL240" s="10">
        <f t="shared" si="59"/>
        <v>20</v>
      </c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</row>
    <row r="241" spans="1:8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1"/>
      <c r="BD241" s="3">
        <v>6</v>
      </c>
      <c r="BE241" s="3">
        <v>35</v>
      </c>
      <c r="BF241" s="3">
        <v>20</v>
      </c>
      <c r="BG241" s="3">
        <v>28</v>
      </c>
      <c r="BH241" s="49" t="str">
        <f t="shared" si="56"/>
        <v>20,35</v>
      </c>
      <c r="BI241" s="1"/>
      <c r="BJ241" s="13">
        <f t="shared" si="57"/>
        <v>237</v>
      </c>
      <c r="BK241" s="10">
        <f t="shared" si="58"/>
        <v>7</v>
      </c>
      <c r="BL241" s="10">
        <f t="shared" si="59"/>
        <v>21</v>
      </c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</row>
    <row r="242" spans="1:8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1"/>
      <c r="BD242" s="3">
        <v>6</v>
      </c>
      <c r="BE242" s="3">
        <v>36</v>
      </c>
      <c r="BF242" s="3">
        <v>21</v>
      </c>
      <c r="BG242" s="3">
        <v>28</v>
      </c>
      <c r="BH242" s="49" t="str">
        <f t="shared" si="56"/>
        <v>21,36</v>
      </c>
      <c r="BI242" s="1"/>
      <c r="BJ242" s="13">
        <f t="shared" si="57"/>
        <v>238</v>
      </c>
      <c r="BK242" s="10">
        <f t="shared" si="58"/>
        <v>7</v>
      </c>
      <c r="BL242" s="10">
        <f t="shared" si="59"/>
        <v>22</v>
      </c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</row>
    <row r="243" spans="1:8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1"/>
      <c r="BD243" s="3">
        <v>6</v>
      </c>
      <c r="BE243" s="3">
        <v>36</v>
      </c>
      <c r="BF243" s="3">
        <v>22</v>
      </c>
      <c r="BG243" s="3">
        <v>28</v>
      </c>
      <c r="BH243" s="49" t="str">
        <f t="shared" si="56"/>
        <v>22,36</v>
      </c>
      <c r="BI243" s="1"/>
      <c r="BJ243" s="13">
        <f t="shared" si="57"/>
        <v>239</v>
      </c>
      <c r="BK243" s="10">
        <f t="shared" si="58"/>
        <v>7</v>
      </c>
      <c r="BL243" s="10">
        <f t="shared" si="59"/>
        <v>23</v>
      </c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</row>
    <row r="244" spans="1:8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1"/>
      <c r="BD244" s="3">
        <v>6</v>
      </c>
      <c r="BE244" s="3">
        <v>36</v>
      </c>
      <c r="BF244" s="3">
        <v>23</v>
      </c>
      <c r="BG244" s="3">
        <v>28</v>
      </c>
      <c r="BH244" s="49" t="str">
        <f t="shared" si="56"/>
        <v>23,36</v>
      </c>
      <c r="BI244" s="1"/>
      <c r="BJ244" s="13">
        <f t="shared" si="57"/>
        <v>240</v>
      </c>
      <c r="BK244" s="10">
        <f t="shared" si="58"/>
        <v>7</v>
      </c>
      <c r="BL244" s="10">
        <f t="shared" si="59"/>
        <v>24</v>
      </c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</row>
    <row r="245" spans="1:8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1"/>
      <c r="BD245" s="3">
        <v>7</v>
      </c>
      <c r="BE245" s="3">
        <v>1</v>
      </c>
      <c r="BF245" s="3">
        <v>4</v>
      </c>
      <c r="BG245" s="3">
        <v>50</v>
      </c>
      <c r="BH245" s="49" t="str">
        <f t="shared" si="56"/>
        <v>4,1</v>
      </c>
      <c r="BI245" s="1"/>
      <c r="BJ245" s="13">
        <f t="shared" si="57"/>
        <v>241</v>
      </c>
      <c r="BK245" s="10">
        <f t="shared" si="58"/>
        <v>7</v>
      </c>
      <c r="BL245" s="10">
        <f t="shared" si="59"/>
        <v>25</v>
      </c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</row>
    <row r="246" spans="1:8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1"/>
      <c r="BD246" s="3">
        <v>7</v>
      </c>
      <c r="BE246" s="3">
        <v>1</v>
      </c>
      <c r="BF246" s="3">
        <v>5</v>
      </c>
      <c r="BG246" s="3">
        <v>50</v>
      </c>
      <c r="BH246" s="49" t="str">
        <f t="shared" si="56"/>
        <v>5,1</v>
      </c>
      <c r="BI246" s="1"/>
      <c r="BJ246" s="13">
        <f t="shared" si="57"/>
        <v>242</v>
      </c>
      <c r="BK246" s="10">
        <f t="shared" si="58"/>
        <v>7</v>
      </c>
      <c r="BL246" s="10">
        <f t="shared" si="59"/>
        <v>26</v>
      </c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</row>
    <row r="247" spans="1:8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1"/>
      <c r="BD247" s="3">
        <v>7</v>
      </c>
      <c r="BE247" s="3">
        <v>1</v>
      </c>
      <c r="BF247" s="3">
        <v>6</v>
      </c>
      <c r="BG247" s="3">
        <v>50</v>
      </c>
      <c r="BH247" s="49" t="str">
        <f t="shared" si="56"/>
        <v>6,1</v>
      </c>
      <c r="BI247" s="1"/>
      <c r="BJ247" s="13">
        <f t="shared" si="57"/>
        <v>243</v>
      </c>
      <c r="BK247" s="10">
        <f t="shared" si="58"/>
        <v>7</v>
      </c>
      <c r="BL247" s="10">
        <f t="shared" si="59"/>
        <v>27</v>
      </c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</row>
    <row r="248" spans="1:8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1"/>
      <c r="BD248" s="3">
        <v>7</v>
      </c>
      <c r="BE248" s="3">
        <v>1</v>
      </c>
      <c r="BF248" s="3">
        <v>7</v>
      </c>
      <c r="BG248" s="3">
        <v>50</v>
      </c>
      <c r="BH248" s="49" t="str">
        <f t="shared" si="56"/>
        <v>7,1</v>
      </c>
      <c r="BI248" s="1"/>
      <c r="BJ248" s="13">
        <f t="shared" si="57"/>
        <v>244</v>
      </c>
      <c r="BK248" s="10">
        <f t="shared" si="58"/>
        <v>7</v>
      </c>
      <c r="BL248" s="10">
        <f t="shared" si="59"/>
        <v>28</v>
      </c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</row>
    <row r="249" spans="1:8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1"/>
      <c r="BD249" s="3">
        <v>7</v>
      </c>
      <c r="BE249" s="3">
        <v>1</v>
      </c>
      <c r="BF249" s="3">
        <v>8</v>
      </c>
      <c r="BG249" s="3">
        <v>50</v>
      </c>
      <c r="BH249" s="49" t="str">
        <f t="shared" si="56"/>
        <v>8,1</v>
      </c>
      <c r="BI249" s="1"/>
      <c r="BJ249" s="13">
        <f t="shared" si="57"/>
        <v>245</v>
      </c>
      <c r="BK249" s="10">
        <f t="shared" si="58"/>
        <v>7</v>
      </c>
      <c r="BL249" s="10">
        <f t="shared" si="59"/>
        <v>29</v>
      </c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</row>
    <row r="250" spans="1:8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1"/>
      <c r="BD250" s="3">
        <v>7</v>
      </c>
      <c r="BE250" s="3">
        <v>1</v>
      </c>
      <c r="BF250" s="3">
        <v>9</v>
      </c>
      <c r="BG250" s="3">
        <v>50</v>
      </c>
      <c r="BH250" s="49" t="str">
        <f t="shared" si="56"/>
        <v>9,1</v>
      </c>
      <c r="BI250" s="1"/>
      <c r="BJ250" s="13">
        <f t="shared" si="57"/>
        <v>246</v>
      </c>
      <c r="BK250" s="10">
        <f t="shared" si="58"/>
        <v>7</v>
      </c>
      <c r="BL250" s="10">
        <f t="shared" si="59"/>
        <v>30</v>
      </c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</row>
    <row r="251" spans="1:8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1"/>
      <c r="BD251" s="3">
        <v>7</v>
      </c>
      <c r="BE251" s="3">
        <v>1</v>
      </c>
      <c r="BF251" s="3">
        <v>10</v>
      </c>
      <c r="BG251" s="3">
        <v>50</v>
      </c>
      <c r="BH251" s="49" t="str">
        <f t="shared" si="56"/>
        <v>10,1</v>
      </c>
      <c r="BI251" s="1"/>
      <c r="BJ251" s="13">
        <f t="shared" si="57"/>
        <v>247</v>
      </c>
      <c r="BK251" s="10">
        <f t="shared" si="58"/>
        <v>7</v>
      </c>
      <c r="BL251" s="10">
        <f t="shared" si="59"/>
        <v>31</v>
      </c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</row>
    <row r="252" spans="1:8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1"/>
      <c r="BD252" s="3">
        <v>7</v>
      </c>
      <c r="BE252" s="3">
        <v>1</v>
      </c>
      <c r="BF252" s="3">
        <v>11</v>
      </c>
      <c r="BG252" s="3">
        <v>50</v>
      </c>
      <c r="BH252" s="49" t="str">
        <f t="shared" si="56"/>
        <v>11,1</v>
      </c>
      <c r="BI252" s="1"/>
      <c r="BJ252" s="13">
        <f t="shared" si="57"/>
        <v>248</v>
      </c>
      <c r="BK252" s="10">
        <f t="shared" si="58"/>
        <v>7</v>
      </c>
      <c r="BL252" s="10">
        <f t="shared" si="59"/>
        <v>32</v>
      </c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</row>
    <row r="253" spans="1:8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1"/>
      <c r="BD253" s="3">
        <v>7</v>
      </c>
      <c r="BE253" s="3">
        <v>1</v>
      </c>
      <c r="BF253" s="3">
        <v>12</v>
      </c>
      <c r="BG253" s="3">
        <v>50.09</v>
      </c>
      <c r="BH253" s="49" t="str">
        <f t="shared" si="56"/>
        <v>12,1</v>
      </c>
      <c r="BI253" s="1"/>
      <c r="BJ253" s="13">
        <f t="shared" si="57"/>
        <v>249</v>
      </c>
      <c r="BK253" s="10">
        <f t="shared" si="58"/>
        <v>7</v>
      </c>
      <c r="BL253" s="10">
        <f t="shared" si="59"/>
        <v>33</v>
      </c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</row>
    <row r="254" spans="1:8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1"/>
      <c r="BD254" s="3">
        <v>7</v>
      </c>
      <c r="BE254" s="3">
        <v>1</v>
      </c>
      <c r="BF254" s="3">
        <v>13</v>
      </c>
      <c r="BG254" s="3">
        <v>50.14</v>
      </c>
      <c r="BH254" s="49" t="str">
        <f t="shared" si="56"/>
        <v>13,1</v>
      </c>
      <c r="BI254" s="1"/>
      <c r="BJ254" s="13">
        <f t="shared" si="57"/>
        <v>250</v>
      </c>
      <c r="BK254" s="10">
        <f t="shared" si="58"/>
        <v>7</v>
      </c>
      <c r="BL254" s="10">
        <f t="shared" si="59"/>
        <v>34</v>
      </c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</row>
    <row r="255" spans="1:8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1"/>
      <c r="BD255" s="3">
        <v>7</v>
      </c>
      <c r="BE255" s="3">
        <v>1</v>
      </c>
      <c r="BF255" s="3">
        <v>14</v>
      </c>
      <c r="BG255" s="3">
        <v>50.14</v>
      </c>
      <c r="BH255" s="49" t="str">
        <f t="shared" si="56"/>
        <v>14,1</v>
      </c>
      <c r="BI255" s="1"/>
      <c r="BJ255" s="13">
        <f t="shared" si="57"/>
        <v>251</v>
      </c>
      <c r="BK255" s="10">
        <f t="shared" si="58"/>
        <v>7</v>
      </c>
      <c r="BL255" s="10">
        <f t="shared" si="59"/>
        <v>35</v>
      </c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</row>
    <row r="256" spans="1:8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1"/>
      <c r="BD256" s="3">
        <v>7</v>
      </c>
      <c r="BE256" s="3">
        <v>1</v>
      </c>
      <c r="BF256" s="3">
        <v>15</v>
      </c>
      <c r="BG256" s="3">
        <v>50.09</v>
      </c>
      <c r="BH256" s="49" t="str">
        <f t="shared" si="56"/>
        <v>15,1</v>
      </c>
      <c r="BI256" s="1"/>
      <c r="BJ256" s="13">
        <f t="shared" si="57"/>
        <v>252</v>
      </c>
      <c r="BK256" s="10">
        <f t="shared" si="58"/>
        <v>7</v>
      </c>
      <c r="BL256" s="10">
        <f t="shared" si="59"/>
        <v>36</v>
      </c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</row>
    <row r="257" spans="1:8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1"/>
      <c r="BD257" s="3">
        <v>7</v>
      </c>
      <c r="BE257" s="3">
        <v>1</v>
      </c>
      <c r="BF257" s="3">
        <v>16</v>
      </c>
      <c r="BG257" s="3">
        <v>50</v>
      </c>
      <c r="BH257" s="49" t="str">
        <f t="shared" si="56"/>
        <v>16,1</v>
      </c>
      <c r="BI257" s="1"/>
      <c r="BJ257" s="13">
        <f t="shared" si="57"/>
        <v>253</v>
      </c>
      <c r="BK257" s="10">
        <f t="shared" si="58"/>
        <v>8</v>
      </c>
      <c r="BL257" s="10">
        <f t="shared" si="59"/>
        <v>1</v>
      </c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</row>
    <row r="258" spans="1:8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1"/>
      <c r="BD258" s="3">
        <v>7</v>
      </c>
      <c r="BE258" s="3">
        <v>1</v>
      </c>
      <c r="BF258" s="3">
        <v>17</v>
      </c>
      <c r="BG258" s="3">
        <v>50</v>
      </c>
      <c r="BH258" s="49" t="str">
        <f t="shared" si="56"/>
        <v>17,1</v>
      </c>
      <c r="BI258" s="1"/>
      <c r="BJ258" s="13">
        <f t="shared" si="57"/>
        <v>254</v>
      </c>
      <c r="BK258" s="10">
        <f t="shared" si="58"/>
        <v>8</v>
      </c>
      <c r="BL258" s="10">
        <f t="shared" si="59"/>
        <v>2</v>
      </c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</row>
    <row r="259" spans="1:8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1"/>
      <c r="BD259" s="3">
        <v>7</v>
      </c>
      <c r="BE259" s="3">
        <v>1</v>
      </c>
      <c r="BF259" s="3">
        <v>18</v>
      </c>
      <c r="BG259" s="3">
        <v>50</v>
      </c>
      <c r="BH259" s="49" t="str">
        <f t="shared" si="56"/>
        <v>18,1</v>
      </c>
      <c r="BI259" s="1"/>
      <c r="BJ259" s="13">
        <f t="shared" si="57"/>
        <v>255</v>
      </c>
      <c r="BK259" s="10">
        <f t="shared" si="58"/>
        <v>8</v>
      </c>
      <c r="BL259" s="10">
        <f t="shared" si="59"/>
        <v>3</v>
      </c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</row>
    <row r="260" spans="1:8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1"/>
      <c r="BD260" s="3">
        <v>7</v>
      </c>
      <c r="BE260" s="3">
        <v>1</v>
      </c>
      <c r="BF260" s="3">
        <v>19</v>
      </c>
      <c r="BG260" s="3">
        <v>50</v>
      </c>
      <c r="BH260" s="49" t="str">
        <f t="shared" si="56"/>
        <v>19,1</v>
      </c>
      <c r="BI260" s="1"/>
      <c r="BJ260" s="13">
        <f t="shared" si="57"/>
        <v>256</v>
      </c>
      <c r="BK260" s="10">
        <f t="shared" si="58"/>
        <v>8</v>
      </c>
      <c r="BL260" s="10">
        <f t="shared" si="59"/>
        <v>4</v>
      </c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</row>
    <row r="261" spans="1:8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1"/>
      <c r="BD261" s="3">
        <v>7</v>
      </c>
      <c r="BE261" s="3">
        <v>1</v>
      </c>
      <c r="BF261" s="3">
        <v>20</v>
      </c>
      <c r="BG261" s="3">
        <v>50</v>
      </c>
      <c r="BH261" s="49" t="str">
        <f t="shared" si="56"/>
        <v>20,1</v>
      </c>
      <c r="BI261" s="1"/>
      <c r="BJ261" s="13">
        <f t="shared" si="57"/>
        <v>257</v>
      </c>
      <c r="BK261" s="10">
        <f t="shared" si="58"/>
        <v>8</v>
      </c>
      <c r="BL261" s="10">
        <f t="shared" si="59"/>
        <v>5</v>
      </c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</row>
    <row r="262" spans="1:8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1"/>
      <c r="BD262" s="3">
        <v>7</v>
      </c>
      <c r="BE262" s="3">
        <v>1</v>
      </c>
      <c r="BF262" s="3">
        <v>21</v>
      </c>
      <c r="BG262" s="3">
        <v>50</v>
      </c>
      <c r="BH262" s="49" t="str">
        <f t="shared" ref="BH262:BH325" si="60">_xlfn.CONCAT(BF262,",",BE262)</f>
        <v>21,1</v>
      </c>
      <c r="BI262" s="1"/>
      <c r="BJ262" s="13">
        <f t="shared" ref="BJ262:BJ325" si="61">IF(ROW()-BJ$3&lt;=$BJ$4,ROW()-ROW(BJ$4),"")</f>
        <v>258</v>
      </c>
      <c r="BK262" s="10">
        <f t="shared" si="58"/>
        <v>8</v>
      </c>
      <c r="BL262" s="10">
        <f t="shared" si="59"/>
        <v>6</v>
      </c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</row>
    <row r="263" spans="1:8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1"/>
      <c r="BD263" s="3">
        <v>7</v>
      </c>
      <c r="BE263" s="3">
        <v>33</v>
      </c>
      <c r="BF263" s="3">
        <v>1</v>
      </c>
      <c r="BG263" s="3">
        <v>28</v>
      </c>
      <c r="BH263" s="49" t="str">
        <f t="shared" si="60"/>
        <v>1,33</v>
      </c>
      <c r="BI263" s="1"/>
      <c r="BJ263" s="13">
        <f t="shared" si="61"/>
        <v>259</v>
      </c>
      <c r="BK263" s="10">
        <f t="shared" ref="BK263:BK326" si="62">IF(ISNUMBER(BJ263),INT(BJ262/$BL$4)+1,"")</f>
        <v>8</v>
      </c>
      <c r="BL263" s="10">
        <f t="shared" ref="BL263:BL326" si="63">IF(ISNUMBER(BJ263),IF(BK262&lt;&gt;BK263,1,BL262+1),"")</f>
        <v>7</v>
      </c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</row>
    <row r="264" spans="1:8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1"/>
      <c r="BD264" s="3">
        <v>7</v>
      </c>
      <c r="BE264" s="3">
        <v>33</v>
      </c>
      <c r="BF264" s="3">
        <v>2</v>
      </c>
      <c r="BG264" s="3">
        <v>28</v>
      </c>
      <c r="BH264" s="49" t="str">
        <f t="shared" si="60"/>
        <v>2,33</v>
      </c>
      <c r="BI264" s="1"/>
      <c r="BJ264" s="13">
        <f t="shared" si="61"/>
        <v>260</v>
      </c>
      <c r="BK264" s="10">
        <f t="shared" si="62"/>
        <v>8</v>
      </c>
      <c r="BL264" s="10">
        <f t="shared" si="63"/>
        <v>8</v>
      </c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</row>
    <row r="265" spans="1:8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1"/>
      <c r="BD265" s="3">
        <v>7</v>
      </c>
      <c r="BE265" s="3">
        <v>33</v>
      </c>
      <c r="BF265" s="3">
        <v>3</v>
      </c>
      <c r="BG265" s="3">
        <v>28</v>
      </c>
      <c r="BH265" s="49" t="str">
        <f t="shared" si="60"/>
        <v>3,33</v>
      </c>
      <c r="BI265" s="1"/>
      <c r="BJ265" s="13">
        <f t="shared" si="61"/>
        <v>261</v>
      </c>
      <c r="BK265" s="10">
        <f t="shared" si="62"/>
        <v>8</v>
      </c>
      <c r="BL265" s="10">
        <f t="shared" si="63"/>
        <v>9</v>
      </c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</row>
    <row r="266" spans="1:8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1"/>
      <c r="BD266" s="3">
        <v>7</v>
      </c>
      <c r="BE266" s="3">
        <v>33</v>
      </c>
      <c r="BF266" s="3">
        <v>4</v>
      </c>
      <c r="BG266" s="3">
        <v>28</v>
      </c>
      <c r="BH266" s="49" t="str">
        <f t="shared" si="60"/>
        <v>4,33</v>
      </c>
      <c r="BI266" s="1"/>
      <c r="BJ266" s="13">
        <f t="shared" si="61"/>
        <v>262</v>
      </c>
      <c r="BK266" s="10">
        <f t="shared" si="62"/>
        <v>8</v>
      </c>
      <c r="BL266" s="10">
        <f t="shared" si="63"/>
        <v>10</v>
      </c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</row>
    <row r="267" spans="1:8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1"/>
      <c r="BD267" s="3">
        <v>7</v>
      </c>
      <c r="BE267" s="3">
        <v>33</v>
      </c>
      <c r="BF267" s="3">
        <v>5</v>
      </c>
      <c r="BG267" s="3">
        <v>28</v>
      </c>
      <c r="BH267" s="49" t="str">
        <f t="shared" si="60"/>
        <v>5,33</v>
      </c>
      <c r="BI267" s="1"/>
      <c r="BJ267" s="13">
        <f t="shared" si="61"/>
        <v>263</v>
      </c>
      <c r="BK267" s="10">
        <f t="shared" si="62"/>
        <v>8</v>
      </c>
      <c r="BL267" s="10">
        <f t="shared" si="63"/>
        <v>11</v>
      </c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</row>
    <row r="268" spans="1:8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1"/>
      <c r="BD268" s="3">
        <v>7</v>
      </c>
      <c r="BE268" s="3">
        <v>33</v>
      </c>
      <c r="BF268" s="3">
        <v>6</v>
      </c>
      <c r="BG268" s="3">
        <v>28</v>
      </c>
      <c r="BH268" s="49" t="str">
        <f t="shared" si="60"/>
        <v>6,33</v>
      </c>
      <c r="BI268" s="1"/>
      <c r="BJ268" s="13">
        <f t="shared" si="61"/>
        <v>264</v>
      </c>
      <c r="BK268" s="10">
        <f t="shared" si="62"/>
        <v>8</v>
      </c>
      <c r="BL268" s="10">
        <f t="shared" si="63"/>
        <v>12</v>
      </c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</row>
    <row r="269" spans="1:8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1"/>
      <c r="BD269" s="3">
        <v>7</v>
      </c>
      <c r="BE269" s="3">
        <v>33</v>
      </c>
      <c r="BF269" s="3">
        <v>7</v>
      </c>
      <c r="BG269" s="3">
        <v>28</v>
      </c>
      <c r="BH269" s="49" t="str">
        <f t="shared" si="60"/>
        <v>7,33</v>
      </c>
      <c r="BI269" s="1"/>
      <c r="BJ269" s="13">
        <f t="shared" si="61"/>
        <v>265</v>
      </c>
      <c r="BK269" s="10">
        <f t="shared" si="62"/>
        <v>8</v>
      </c>
      <c r="BL269" s="10">
        <f t="shared" si="63"/>
        <v>13</v>
      </c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</row>
    <row r="270" spans="1:8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1"/>
      <c r="BD270" s="3">
        <v>7</v>
      </c>
      <c r="BE270" s="3">
        <v>34</v>
      </c>
      <c r="BF270" s="3">
        <v>8</v>
      </c>
      <c r="BG270" s="3">
        <v>28</v>
      </c>
      <c r="BH270" s="49" t="str">
        <f t="shared" si="60"/>
        <v>8,34</v>
      </c>
      <c r="BI270" s="1"/>
      <c r="BJ270" s="13">
        <f t="shared" si="61"/>
        <v>266</v>
      </c>
      <c r="BK270" s="10">
        <f t="shared" si="62"/>
        <v>8</v>
      </c>
      <c r="BL270" s="10">
        <f t="shared" si="63"/>
        <v>14</v>
      </c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</row>
    <row r="271" spans="1:8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1"/>
      <c r="BD271" s="3">
        <v>7</v>
      </c>
      <c r="BE271" s="3">
        <v>34</v>
      </c>
      <c r="BF271" s="3">
        <v>9</v>
      </c>
      <c r="BG271" s="3">
        <v>28</v>
      </c>
      <c r="BH271" s="49" t="str">
        <f t="shared" si="60"/>
        <v>9,34</v>
      </c>
      <c r="BI271" s="1"/>
      <c r="BJ271" s="13">
        <f t="shared" si="61"/>
        <v>267</v>
      </c>
      <c r="BK271" s="10">
        <f t="shared" si="62"/>
        <v>8</v>
      </c>
      <c r="BL271" s="10">
        <f t="shared" si="63"/>
        <v>15</v>
      </c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</row>
    <row r="272" spans="1:8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1"/>
      <c r="BD272" s="3">
        <v>7</v>
      </c>
      <c r="BE272" s="3">
        <v>34</v>
      </c>
      <c r="BF272" s="3">
        <v>10</v>
      </c>
      <c r="BG272" s="3">
        <v>28</v>
      </c>
      <c r="BH272" s="49" t="str">
        <f t="shared" si="60"/>
        <v>10,34</v>
      </c>
      <c r="BI272" s="1"/>
      <c r="BJ272" s="13">
        <f t="shared" si="61"/>
        <v>268</v>
      </c>
      <c r="BK272" s="10">
        <f t="shared" si="62"/>
        <v>8</v>
      </c>
      <c r="BL272" s="10">
        <f t="shared" si="63"/>
        <v>16</v>
      </c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</row>
    <row r="273" spans="1:8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1"/>
      <c r="BD273" s="3">
        <v>7</v>
      </c>
      <c r="BE273" s="3">
        <v>34</v>
      </c>
      <c r="BF273" s="3">
        <v>11</v>
      </c>
      <c r="BG273" s="3">
        <v>28</v>
      </c>
      <c r="BH273" s="49" t="str">
        <f t="shared" si="60"/>
        <v>11,34</v>
      </c>
      <c r="BI273" s="1"/>
      <c r="BJ273" s="13">
        <f t="shared" si="61"/>
        <v>269</v>
      </c>
      <c r="BK273" s="10">
        <f t="shared" si="62"/>
        <v>8</v>
      </c>
      <c r="BL273" s="10">
        <f t="shared" si="63"/>
        <v>17</v>
      </c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</row>
    <row r="274" spans="1:8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1"/>
      <c r="BD274" s="3">
        <v>7</v>
      </c>
      <c r="BE274" s="3">
        <v>34</v>
      </c>
      <c r="BF274" s="3">
        <v>12</v>
      </c>
      <c r="BG274" s="3">
        <v>28</v>
      </c>
      <c r="BH274" s="49" t="str">
        <f t="shared" si="60"/>
        <v>12,34</v>
      </c>
      <c r="BI274" s="1"/>
      <c r="BJ274" s="13">
        <f t="shared" si="61"/>
        <v>270</v>
      </c>
      <c r="BK274" s="10">
        <f t="shared" si="62"/>
        <v>8</v>
      </c>
      <c r="BL274" s="10">
        <f t="shared" si="63"/>
        <v>18</v>
      </c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</row>
    <row r="275" spans="1:8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1"/>
      <c r="BD275" s="3">
        <v>7</v>
      </c>
      <c r="BE275" s="3">
        <v>34</v>
      </c>
      <c r="BF275" s="3">
        <v>13</v>
      </c>
      <c r="BG275" s="3">
        <v>28</v>
      </c>
      <c r="BH275" s="49" t="str">
        <f t="shared" si="60"/>
        <v>13,34</v>
      </c>
      <c r="BI275" s="1"/>
      <c r="BJ275" s="13">
        <f t="shared" si="61"/>
        <v>271</v>
      </c>
      <c r="BK275" s="10">
        <f t="shared" si="62"/>
        <v>8</v>
      </c>
      <c r="BL275" s="10">
        <f t="shared" si="63"/>
        <v>19</v>
      </c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</row>
    <row r="276" spans="1:8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1"/>
      <c r="BD276" s="3">
        <v>7</v>
      </c>
      <c r="BE276" s="3">
        <v>35</v>
      </c>
      <c r="BF276" s="3">
        <v>14</v>
      </c>
      <c r="BG276" s="3">
        <v>28</v>
      </c>
      <c r="BH276" s="49" t="str">
        <f t="shared" si="60"/>
        <v>14,35</v>
      </c>
      <c r="BI276" s="1"/>
      <c r="BJ276" s="13">
        <f t="shared" si="61"/>
        <v>272</v>
      </c>
      <c r="BK276" s="10">
        <f t="shared" si="62"/>
        <v>8</v>
      </c>
      <c r="BL276" s="10">
        <f t="shared" si="63"/>
        <v>20</v>
      </c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</row>
    <row r="277" spans="1:8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1"/>
      <c r="BD277" s="3">
        <v>7</v>
      </c>
      <c r="BE277" s="3">
        <v>35</v>
      </c>
      <c r="BF277" s="3">
        <v>15</v>
      </c>
      <c r="BG277" s="3">
        <v>28</v>
      </c>
      <c r="BH277" s="49" t="str">
        <f t="shared" si="60"/>
        <v>15,35</v>
      </c>
      <c r="BI277" s="1"/>
      <c r="BJ277" s="13">
        <f t="shared" si="61"/>
        <v>273</v>
      </c>
      <c r="BK277" s="10">
        <f t="shared" si="62"/>
        <v>8</v>
      </c>
      <c r="BL277" s="10">
        <f t="shared" si="63"/>
        <v>21</v>
      </c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</row>
    <row r="278" spans="1:8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1"/>
      <c r="BD278" s="3">
        <v>7</v>
      </c>
      <c r="BE278" s="3">
        <v>35</v>
      </c>
      <c r="BF278" s="3">
        <v>16</v>
      </c>
      <c r="BG278" s="3">
        <v>28</v>
      </c>
      <c r="BH278" s="49" t="str">
        <f t="shared" si="60"/>
        <v>16,35</v>
      </c>
      <c r="BI278" s="1"/>
      <c r="BJ278" s="13">
        <f t="shared" si="61"/>
        <v>274</v>
      </c>
      <c r="BK278" s="10">
        <f t="shared" si="62"/>
        <v>8</v>
      </c>
      <c r="BL278" s="10">
        <f t="shared" si="63"/>
        <v>22</v>
      </c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</row>
    <row r="279" spans="1:8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1"/>
      <c r="BD279" s="3">
        <v>7</v>
      </c>
      <c r="BE279" s="3">
        <v>35</v>
      </c>
      <c r="BF279" s="3">
        <v>17</v>
      </c>
      <c r="BG279" s="3">
        <v>28</v>
      </c>
      <c r="BH279" s="49" t="str">
        <f t="shared" si="60"/>
        <v>17,35</v>
      </c>
      <c r="BI279" s="1"/>
      <c r="BJ279" s="13">
        <f t="shared" si="61"/>
        <v>275</v>
      </c>
      <c r="BK279" s="10">
        <f t="shared" si="62"/>
        <v>8</v>
      </c>
      <c r="BL279" s="10">
        <f t="shared" si="63"/>
        <v>23</v>
      </c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</row>
    <row r="280" spans="1:8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1"/>
      <c r="BD280" s="3">
        <v>7</v>
      </c>
      <c r="BE280" s="3">
        <v>35</v>
      </c>
      <c r="BF280" s="3">
        <v>18</v>
      </c>
      <c r="BG280" s="3">
        <v>28</v>
      </c>
      <c r="BH280" s="49" t="str">
        <f t="shared" si="60"/>
        <v>18,35</v>
      </c>
      <c r="BI280" s="1"/>
      <c r="BJ280" s="13">
        <f t="shared" si="61"/>
        <v>276</v>
      </c>
      <c r="BK280" s="10">
        <f t="shared" si="62"/>
        <v>8</v>
      </c>
      <c r="BL280" s="10">
        <f t="shared" si="63"/>
        <v>24</v>
      </c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</row>
    <row r="281" spans="1:8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1"/>
      <c r="BD281" s="3">
        <v>7</v>
      </c>
      <c r="BE281" s="3">
        <v>35</v>
      </c>
      <c r="BF281" s="3">
        <v>19</v>
      </c>
      <c r="BG281" s="3">
        <v>28</v>
      </c>
      <c r="BH281" s="49" t="str">
        <f t="shared" si="60"/>
        <v>19,35</v>
      </c>
      <c r="BI281" s="1"/>
      <c r="BJ281" s="13">
        <f t="shared" si="61"/>
        <v>277</v>
      </c>
      <c r="BK281" s="10">
        <f t="shared" si="62"/>
        <v>8</v>
      </c>
      <c r="BL281" s="10">
        <f t="shared" si="63"/>
        <v>25</v>
      </c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</row>
    <row r="282" spans="1:8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1"/>
      <c r="BD282" s="3">
        <v>7</v>
      </c>
      <c r="BE282" s="3">
        <v>35</v>
      </c>
      <c r="BF282" s="3">
        <v>20</v>
      </c>
      <c r="BG282" s="3">
        <v>28</v>
      </c>
      <c r="BH282" s="49" t="str">
        <f t="shared" si="60"/>
        <v>20,35</v>
      </c>
      <c r="BI282" s="1"/>
      <c r="BJ282" s="13">
        <f t="shared" si="61"/>
        <v>278</v>
      </c>
      <c r="BK282" s="10">
        <f t="shared" si="62"/>
        <v>8</v>
      </c>
      <c r="BL282" s="10">
        <f t="shared" si="63"/>
        <v>26</v>
      </c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</row>
    <row r="283" spans="1:8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1"/>
      <c r="BD283" s="3">
        <v>7</v>
      </c>
      <c r="BE283" s="3">
        <v>36</v>
      </c>
      <c r="BF283" s="3">
        <v>21</v>
      </c>
      <c r="BG283" s="3">
        <v>28</v>
      </c>
      <c r="BH283" s="49" t="str">
        <f t="shared" si="60"/>
        <v>21,36</v>
      </c>
      <c r="BI283" s="1"/>
      <c r="BJ283" s="13">
        <f t="shared" si="61"/>
        <v>279</v>
      </c>
      <c r="BK283" s="10">
        <f t="shared" si="62"/>
        <v>8</v>
      </c>
      <c r="BL283" s="10">
        <f t="shared" si="63"/>
        <v>27</v>
      </c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</row>
    <row r="284" spans="1:8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1"/>
      <c r="BD284" s="3">
        <v>7</v>
      </c>
      <c r="BE284" s="3">
        <v>36</v>
      </c>
      <c r="BF284" s="3">
        <v>22</v>
      </c>
      <c r="BG284" s="3">
        <v>28</v>
      </c>
      <c r="BH284" s="49" t="str">
        <f t="shared" si="60"/>
        <v>22,36</v>
      </c>
      <c r="BI284" s="1"/>
      <c r="BJ284" s="13">
        <f t="shared" si="61"/>
        <v>280</v>
      </c>
      <c r="BK284" s="10">
        <f t="shared" si="62"/>
        <v>8</v>
      </c>
      <c r="BL284" s="10">
        <f t="shared" si="63"/>
        <v>28</v>
      </c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</row>
    <row r="285" spans="1:8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1"/>
      <c r="BD285" s="3">
        <v>7</v>
      </c>
      <c r="BE285" s="3">
        <v>36</v>
      </c>
      <c r="BF285" s="3">
        <v>23</v>
      </c>
      <c r="BG285" s="3">
        <v>28</v>
      </c>
      <c r="BH285" s="49" t="str">
        <f t="shared" si="60"/>
        <v>23,36</v>
      </c>
      <c r="BI285" s="1"/>
      <c r="BJ285" s="13">
        <f t="shared" si="61"/>
        <v>281</v>
      </c>
      <c r="BK285" s="10">
        <f t="shared" si="62"/>
        <v>8</v>
      </c>
      <c r="BL285" s="10">
        <f t="shared" si="63"/>
        <v>29</v>
      </c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</row>
    <row r="286" spans="1:8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1"/>
      <c r="BD286" s="3">
        <v>8</v>
      </c>
      <c r="BE286" s="3">
        <v>1</v>
      </c>
      <c r="BF286" s="3">
        <v>4</v>
      </c>
      <c r="BG286" s="3">
        <v>50</v>
      </c>
      <c r="BH286" s="49" t="str">
        <f t="shared" si="60"/>
        <v>4,1</v>
      </c>
      <c r="BI286" s="1"/>
      <c r="BJ286" s="13">
        <f t="shared" si="61"/>
        <v>282</v>
      </c>
      <c r="BK286" s="10">
        <f t="shared" si="62"/>
        <v>8</v>
      </c>
      <c r="BL286" s="10">
        <f t="shared" si="63"/>
        <v>30</v>
      </c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</row>
    <row r="287" spans="1:8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1"/>
      <c r="BD287" s="3">
        <v>8</v>
      </c>
      <c r="BE287" s="3">
        <v>1</v>
      </c>
      <c r="BF287" s="3">
        <v>5</v>
      </c>
      <c r="BG287" s="3">
        <v>50</v>
      </c>
      <c r="BH287" s="49" t="str">
        <f t="shared" si="60"/>
        <v>5,1</v>
      </c>
      <c r="BI287" s="1"/>
      <c r="BJ287" s="13">
        <f t="shared" si="61"/>
        <v>283</v>
      </c>
      <c r="BK287" s="10">
        <f t="shared" si="62"/>
        <v>8</v>
      </c>
      <c r="BL287" s="10">
        <f t="shared" si="63"/>
        <v>31</v>
      </c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</row>
    <row r="288" spans="1:8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1"/>
      <c r="BD288" s="3">
        <v>8</v>
      </c>
      <c r="BE288" s="3">
        <v>1</v>
      </c>
      <c r="BF288" s="3">
        <v>6</v>
      </c>
      <c r="BG288" s="3">
        <v>50</v>
      </c>
      <c r="BH288" s="49" t="str">
        <f t="shared" si="60"/>
        <v>6,1</v>
      </c>
      <c r="BI288" s="1"/>
      <c r="BJ288" s="13">
        <f t="shared" si="61"/>
        <v>284</v>
      </c>
      <c r="BK288" s="10">
        <f t="shared" si="62"/>
        <v>8</v>
      </c>
      <c r="BL288" s="10">
        <f t="shared" si="63"/>
        <v>32</v>
      </c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</row>
    <row r="289" spans="1:8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1"/>
      <c r="BD289" s="3">
        <v>8</v>
      </c>
      <c r="BE289" s="3">
        <v>1</v>
      </c>
      <c r="BF289" s="3">
        <v>7</v>
      </c>
      <c r="BG289" s="3">
        <v>50</v>
      </c>
      <c r="BH289" s="49" t="str">
        <f t="shared" si="60"/>
        <v>7,1</v>
      </c>
      <c r="BI289" s="1"/>
      <c r="BJ289" s="13">
        <f t="shared" si="61"/>
        <v>285</v>
      </c>
      <c r="BK289" s="10">
        <f t="shared" si="62"/>
        <v>8</v>
      </c>
      <c r="BL289" s="10">
        <f t="shared" si="63"/>
        <v>33</v>
      </c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</row>
    <row r="290" spans="1:8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1"/>
      <c r="BD290" s="3">
        <v>8</v>
      </c>
      <c r="BE290" s="3">
        <v>1</v>
      </c>
      <c r="BF290" s="3">
        <v>8</v>
      </c>
      <c r="BG290" s="3">
        <v>50</v>
      </c>
      <c r="BH290" s="49" t="str">
        <f t="shared" si="60"/>
        <v>8,1</v>
      </c>
      <c r="BI290" s="1"/>
      <c r="BJ290" s="13">
        <f t="shared" si="61"/>
        <v>286</v>
      </c>
      <c r="BK290" s="10">
        <f t="shared" si="62"/>
        <v>8</v>
      </c>
      <c r="BL290" s="10">
        <f t="shared" si="63"/>
        <v>34</v>
      </c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</row>
    <row r="291" spans="1:8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1"/>
      <c r="BD291" s="3">
        <v>8</v>
      </c>
      <c r="BE291" s="3">
        <v>1</v>
      </c>
      <c r="BF291" s="3">
        <v>9</v>
      </c>
      <c r="BG291" s="3">
        <v>50</v>
      </c>
      <c r="BH291" s="49" t="str">
        <f t="shared" si="60"/>
        <v>9,1</v>
      </c>
      <c r="BI291" s="1"/>
      <c r="BJ291" s="13">
        <f t="shared" si="61"/>
        <v>287</v>
      </c>
      <c r="BK291" s="10">
        <f t="shared" si="62"/>
        <v>8</v>
      </c>
      <c r="BL291" s="10">
        <f t="shared" si="63"/>
        <v>35</v>
      </c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</row>
    <row r="292" spans="1:8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1"/>
      <c r="BD292" s="3">
        <v>8</v>
      </c>
      <c r="BE292" s="3">
        <v>1</v>
      </c>
      <c r="BF292" s="3">
        <v>10</v>
      </c>
      <c r="BG292" s="3">
        <v>50</v>
      </c>
      <c r="BH292" s="49" t="str">
        <f t="shared" si="60"/>
        <v>10,1</v>
      </c>
      <c r="BI292" s="1"/>
      <c r="BJ292" s="13">
        <f t="shared" si="61"/>
        <v>288</v>
      </c>
      <c r="BK292" s="10">
        <f t="shared" si="62"/>
        <v>8</v>
      </c>
      <c r="BL292" s="10">
        <f t="shared" si="63"/>
        <v>36</v>
      </c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</row>
    <row r="293" spans="1:8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1"/>
      <c r="BD293" s="3">
        <v>8</v>
      </c>
      <c r="BE293" s="3">
        <v>1</v>
      </c>
      <c r="BF293" s="3">
        <v>11</v>
      </c>
      <c r="BG293" s="3">
        <v>50</v>
      </c>
      <c r="BH293" s="49" t="str">
        <f t="shared" si="60"/>
        <v>11,1</v>
      </c>
      <c r="BI293" s="1"/>
      <c r="BJ293" s="13">
        <f t="shared" si="61"/>
        <v>289</v>
      </c>
      <c r="BK293" s="10">
        <f t="shared" si="62"/>
        <v>9</v>
      </c>
      <c r="BL293" s="10">
        <f t="shared" si="63"/>
        <v>1</v>
      </c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</row>
    <row r="294" spans="1:8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1"/>
      <c r="BD294" s="3">
        <v>8</v>
      </c>
      <c r="BE294" s="3">
        <v>1</v>
      </c>
      <c r="BF294" s="3">
        <v>12</v>
      </c>
      <c r="BG294" s="3">
        <v>50.09</v>
      </c>
      <c r="BH294" s="49" t="str">
        <f t="shared" si="60"/>
        <v>12,1</v>
      </c>
      <c r="BI294" s="1"/>
      <c r="BJ294" s="13">
        <f t="shared" si="61"/>
        <v>290</v>
      </c>
      <c r="BK294" s="10">
        <f t="shared" si="62"/>
        <v>9</v>
      </c>
      <c r="BL294" s="10">
        <f t="shared" si="63"/>
        <v>2</v>
      </c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</row>
    <row r="295" spans="1:8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1"/>
      <c r="BD295" s="3">
        <v>8</v>
      </c>
      <c r="BE295" s="3">
        <v>1</v>
      </c>
      <c r="BF295" s="3">
        <v>13</v>
      </c>
      <c r="BG295" s="3">
        <v>50.14</v>
      </c>
      <c r="BH295" s="49" t="str">
        <f t="shared" si="60"/>
        <v>13,1</v>
      </c>
      <c r="BI295" s="1"/>
      <c r="BJ295" s="13">
        <f t="shared" si="61"/>
        <v>291</v>
      </c>
      <c r="BK295" s="10">
        <f t="shared" si="62"/>
        <v>9</v>
      </c>
      <c r="BL295" s="10">
        <f t="shared" si="63"/>
        <v>3</v>
      </c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</row>
    <row r="296" spans="1:8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1"/>
      <c r="BD296" s="3">
        <v>8</v>
      </c>
      <c r="BE296" s="3">
        <v>1</v>
      </c>
      <c r="BF296" s="3">
        <v>14</v>
      </c>
      <c r="BG296" s="3">
        <v>50.14</v>
      </c>
      <c r="BH296" s="49" t="str">
        <f t="shared" si="60"/>
        <v>14,1</v>
      </c>
      <c r="BI296" s="1"/>
      <c r="BJ296" s="13">
        <f t="shared" si="61"/>
        <v>292</v>
      </c>
      <c r="BK296" s="10">
        <f t="shared" si="62"/>
        <v>9</v>
      </c>
      <c r="BL296" s="10">
        <f t="shared" si="63"/>
        <v>4</v>
      </c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</row>
    <row r="297" spans="1:8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1"/>
      <c r="BD297" s="3">
        <v>8</v>
      </c>
      <c r="BE297" s="3">
        <v>1</v>
      </c>
      <c r="BF297" s="3">
        <v>15</v>
      </c>
      <c r="BG297" s="3">
        <v>50.09</v>
      </c>
      <c r="BH297" s="49" t="str">
        <f t="shared" si="60"/>
        <v>15,1</v>
      </c>
      <c r="BI297" s="1"/>
      <c r="BJ297" s="13">
        <f t="shared" si="61"/>
        <v>293</v>
      </c>
      <c r="BK297" s="10">
        <f t="shared" si="62"/>
        <v>9</v>
      </c>
      <c r="BL297" s="10">
        <f t="shared" si="63"/>
        <v>5</v>
      </c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</row>
    <row r="298" spans="1:8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1"/>
      <c r="BD298" s="3">
        <v>8</v>
      </c>
      <c r="BE298" s="3">
        <v>1</v>
      </c>
      <c r="BF298" s="3">
        <v>16</v>
      </c>
      <c r="BG298" s="3">
        <v>50</v>
      </c>
      <c r="BH298" s="49" t="str">
        <f t="shared" si="60"/>
        <v>16,1</v>
      </c>
      <c r="BI298" s="1"/>
      <c r="BJ298" s="13">
        <f t="shared" si="61"/>
        <v>294</v>
      </c>
      <c r="BK298" s="10">
        <f t="shared" si="62"/>
        <v>9</v>
      </c>
      <c r="BL298" s="10">
        <f t="shared" si="63"/>
        <v>6</v>
      </c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</row>
    <row r="299" spans="1:8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1"/>
      <c r="BD299" s="3">
        <v>8</v>
      </c>
      <c r="BE299" s="3">
        <v>1</v>
      </c>
      <c r="BF299" s="3">
        <v>17</v>
      </c>
      <c r="BG299" s="3">
        <v>50</v>
      </c>
      <c r="BH299" s="49" t="str">
        <f t="shared" si="60"/>
        <v>17,1</v>
      </c>
      <c r="BI299" s="1"/>
      <c r="BJ299" s="13">
        <f t="shared" si="61"/>
        <v>295</v>
      </c>
      <c r="BK299" s="10">
        <f t="shared" si="62"/>
        <v>9</v>
      </c>
      <c r="BL299" s="10">
        <f t="shared" si="63"/>
        <v>7</v>
      </c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</row>
    <row r="300" spans="1:8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1"/>
      <c r="BD300" s="3">
        <v>8</v>
      </c>
      <c r="BE300" s="3">
        <v>1</v>
      </c>
      <c r="BF300" s="3">
        <v>18</v>
      </c>
      <c r="BG300" s="3">
        <v>50</v>
      </c>
      <c r="BH300" s="49" t="str">
        <f t="shared" si="60"/>
        <v>18,1</v>
      </c>
      <c r="BI300" s="1"/>
      <c r="BJ300" s="13">
        <f t="shared" si="61"/>
        <v>296</v>
      </c>
      <c r="BK300" s="10">
        <f t="shared" si="62"/>
        <v>9</v>
      </c>
      <c r="BL300" s="10">
        <f t="shared" si="63"/>
        <v>8</v>
      </c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</row>
    <row r="301" spans="1:8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1"/>
      <c r="BD301" s="3">
        <v>8</v>
      </c>
      <c r="BE301" s="3">
        <v>1</v>
      </c>
      <c r="BF301" s="3">
        <v>19</v>
      </c>
      <c r="BG301" s="3">
        <v>50</v>
      </c>
      <c r="BH301" s="49" t="str">
        <f t="shared" si="60"/>
        <v>19,1</v>
      </c>
      <c r="BI301" s="1"/>
      <c r="BJ301" s="13">
        <f t="shared" si="61"/>
        <v>297</v>
      </c>
      <c r="BK301" s="10">
        <f t="shared" si="62"/>
        <v>9</v>
      </c>
      <c r="BL301" s="10">
        <f t="shared" si="63"/>
        <v>9</v>
      </c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</row>
    <row r="302" spans="1:8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1"/>
      <c r="BD302" s="3">
        <v>8</v>
      </c>
      <c r="BE302" s="3">
        <v>1</v>
      </c>
      <c r="BF302" s="3">
        <v>20</v>
      </c>
      <c r="BG302" s="3">
        <v>50</v>
      </c>
      <c r="BH302" s="49" t="str">
        <f t="shared" si="60"/>
        <v>20,1</v>
      </c>
      <c r="BI302" s="1"/>
      <c r="BJ302" s="13">
        <f t="shared" si="61"/>
        <v>298</v>
      </c>
      <c r="BK302" s="10">
        <f t="shared" si="62"/>
        <v>9</v>
      </c>
      <c r="BL302" s="10">
        <f t="shared" si="63"/>
        <v>10</v>
      </c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</row>
    <row r="303" spans="1:8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1"/>
      <c r="BD303" s="3">
        <v>8</v>
      </c>
      <c r="BE303" s="3">
        <v>1</v>
      </c>
      <c r="BF303" s="3">
        <v>21</v>
      </c>
      <c r="BG303" s="3">
        <v>50</v>
      </c>
      <c r="BH303" s="49" t="str">
        <f t="shared" si="60"/>
        <v>21,1</v>
      </c>
      <c r="BI303" s="1"/>
      <c r="BJ303" s="13">
        <f t="shared" si="61"/>
        <v>299</v>
      </c>
      <c r="BK303" s="10">
        <f t="shared" si="62"/>
        <v>9</v>
      </c>
      <c r="BL303" s="10">
        <f t="shared" si="63"/>
        <v>11</v>
      </c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</row>
    <row r="304" spans="1:8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1"/>
      <c r="BD304" s="3">
        <v>8</v>
      </c>
      <c r="BE304" s="3">
        <v>33</v>
      </c>
      <c r="BF304" s="3">
        <v>1</v>
      </c>
      <c r="BG304" s="3">
        <v>28</v>
      </c>
      <c r="BH304" s="49" t="str">
        <f t="shared" si="60"/>
        <v>1,33</v>
      </c>
      <c r="BI304" s="1"/>
      <c r="BJ304" s="13">
        <f t="shared" si="61"/>
        <v>300</v>
      </c>
      <c r="BK304" s="10">
        <f t="shared" si="62"/>
        <v>9</v>
      </c>
      <c r="BL304" s="10">
        <f t="shared" si="63"/>
        <v>12</v>
      </c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</row>
    <row r="305" spans="1:8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1"/>
      <c r="BD305" s="3">
        <v>8</v>
      </c>
      <c r="BE305" s="3">
        <v>33</v>
      </c>
      <c r="BF305" s="3">
        <v>2</v>
      </c>
      <c r="BG305" s="3">
        <v>28</v>
      </c>
      <c r="BH305" s="49" t="str">
        <f t="shared" si="60"/>
        <v>2,33</v>
      </c>
      <c r="BI305" s="1"/>
      <c r="BJ305" s="13">
        <f t="shared" si="61"/>
        <v>301</v>
      </c>
      <c r="BK305" s="10">
        <f t="shared" si="62"/>
        <v>9</v>
      </c>
      <c r="BL305" s="10">
        <f t="shared" si="63"/>
        <v>13</v>
      </c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</row>
    <row r="306" spans="1:8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1"/>
      <c r="BD306" s="3">
        <v>8</v>
      </c>
      <c r="BE306" s="3">
        <v>33</v>
      </c>
      <c r="BF306" s="3">
        <v>3</v>
      </c>
      <c r="BG306" s="3">
        <v>28</v>
      </c>
      <c r="BH306" s="49" t="str">
        <f t="shared" si="60"/>
        <v>3,33</v>
      </c>
      <c r="BI306" s="1"/>
      <c r="BJ306" s="13">
        <f t="shared" si="61"/>
        <v>302</v>
      </c>
      <c r="BK306" s="10">
        <f t="shared" si="62"/>
        <v>9</v>
      </c>
      <c r="BL306" s="10">
        <f t="shared" si="63"/>
        <v>14</v>
      </c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</row>
    <row r="307" spans="1:8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1"/>
      <c r="BD307" s="3">
        <v>8</v>
      </c>
      <c r="BE307" s="3">
        <v>33</v>
      </c>
      <c r="BF307" s="3">
        <v>4</v>
      </c>
      <c r="BG307" s="3">
        <v>28</v>
      </c>
      <c r="BH307" s="49" t="str">
        <f t="shared" si="60"/>
        <v>4,33</v>
      </c>
      <c r="BI307" s="1"/>
      <c r="BJ307" s="13">
        <f t="shared" si="61"/>
        <v>303</v>
      </c>
      <c r="BK307" s="10">
        <f t="shared" si="62"/>
        <v>9</v>
      </c>
      <c r="BL307" s="10">
        <f t="shared" si="63"/>
        <v>15</v>
      </c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</row>
    <row r="308" spans="1:8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1"/>
      <c r="BD308" s="3">
        <v>8</v>
      </c>
      <c r="BE308" s="3">
        <v>33</v>
      </c>
      <c r="BF308" s="3">
        <v>5</v>
      </c>
      <c r="BG308" s="3">
        <v>28</v>
      </c>
      <c r="BH308" s="49" t="str">
        <f t="shared" si="60"/>
        <v>5,33</v>
      </c>
      <c r="BI308" s="1"/>
      <c r="BJ308" s="13">
        <f t="shared" si="61"/>
        <v>304</v>
      </c>
      <c r="BK308" s="10">
        <f t="shared" si="62"/>
        <v>9</v>
      </c>
      <c r="BL308" s="10">
        <f t="shared" si="63"/>
        <v>16</v>
      </c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</row>
    <row r="309" spans="1:8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1"/>
      <c r="BD309" s="3">
        <v>8</v>
      </c>
      <c r="BE309" s="3">
        <v>33</v>
      </c>
      <c r="BF309" s="3">
        <v>6</v>
      </c>
      <c r="BG309" s="3">
        <v>28</v>
      </c>
      <c r="BH309" s="49" t="str">
        <f t="shared" si="60"/>
        <v>6,33</v>
      </c>
      <c r="BI309" s="1"/>
      <c r="BJ309" s="13">
        <f t="shared" si="61"/>
        <v>305</v>
      </c>
      <c r="BK309" s="10">
        <f t="shared" si="62"/>
        <v>9</v>
      </c>
      <c r="BL309" s="10">
        <f t="shared" si="63"/>
        <v>17</v>
      </c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</row>
    <row r="310" spans="1:8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1"/>
      <c r="BD310" s="3">
        <v>8</v>
      </c>
      <c r="BE310" s="3">
        <v>33</v>
      </c>
      <c r="BF310" s="3">
        <v>7</v>
      </c>
      <c r="BG310" s="3">
        <v>28</v>
      </c>
      <c r="BH310" s="49" t="str">
        <f t="shared" si="60"/>
        <v>7,33</v>
      </c>
      <c r="BI310" s="1"/>
      <c r="BJ310" s="13">
        <f t="shared" si="61"/>
        <v>306</v>
      </c>
      <c r="BK310" s="10">
        <f t="shared" si="62"/>
        <v>9</v>
      </c>
      <c r="BL310" s="10">
        <f t="shared" si="63"/>
        <v>18</v>
      </c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</row>
    <row r="311" spans="1:8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1"/>
      <c r="BD311" s="3">
        <v>8</v>
      </c>
      <c r="BE311" s="3">
        <v>34</v>
      </c>
      <c r="BF311" s="3">
        <v>8</v>
      </c>
      <c r="BG311" s="3">
        <v>28</v>
      </c>
      <c r="BH311" s="49" t="str">
        <f t="shared" si="60"/>
        <v>8,34</v>
      </c>
      <c r="BI311" s="1"/>
      <c r="BJ311" s="13">
        <f t="shared" si="61"/>
        <v>307</v>
      </c>
      <c r="BK311" s="10">
        <f t="shared" si="62"/>
        <v>9</v>
      </c>
      <c r="BL311" s="10">
        <f t="shared" si="63"/>
        <v>19</v>
      </c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</row>
    <row r="312" spans="1:8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1"/>
      <c r="BD312" s="3">
        <v>8</v>
      </c>
      <c r="BE312" s="3">
        <v>34</v>
      </c>
      <c r="BF312" s="3">
        <v>9</v>
      </c>
      <c r="BG312" s="3">
        <v>28</v>
      </c>
      <c r="BH312" s="49" t="str">
        <f t="shared" si="60"/>
        <v>9,34</v>
      </c>
      <c r="BI312" s="1"/>
      <c r="BJ312" s="13">
        <f t="shared" si="61"/>
        <v>308</v>
      </c>
      <c r="BK312" s="10">
        <f t="shared" si="62"/>
        <v>9</v>
      </c>
      <c r="BL312" s="10">
        <f t="shared" si="63"/>
        <v>20</v>
      </c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</row>
    <row r="313" spans="1:8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1"/>
      <c r="BD313" s="3">
        <v>8</v>
      </c>
      <c r="BE313" s="3">
        <v>34</v>
      </c>
      <c r="BF313" s="3">
        <v>10</v>
      </c>
      <c r="BG313" s="3">
        <v>28</v>
      </c>
      <c r="BH313" s="49" t="str">
        <f t="shared" si="60"/>
        <v>10,34</v>
      </c>
      <c r="BI313" s="1"/>
      <c r="BJ313" s="13">
        <f t="shared" si="61"/>
        <v>309</v>
      </c>
      <c r="BK313" s="10">
        <f t="shared" si="62"/>
        <v>9</v>
      </c>
      <c r="BL313" s="10">
        <f t="shared" si="63"/>
        <v>21</v>
      </c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</row>
    <row r="314" spans="1:8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1"/>
      <c r="BD314" s="3">
        <v>8</v>
      </c>
      <c r="BE314" s="3">
        <v>34</v>
      </c>
      <c r="BF314" s="3">
        <v>11</v>
      </c>
      <c r="BG314" s="3">
        <v>28</v>
      </c>
      <c r="BH314" s="49" t="str">
        <f t="shared" si="60"/>
        <v>11,34</v>
      </c>
      <c r="BI314" s="1"/>
      <c r="BJ314" s="13">
        <f t="shared" si="61"/>
        <v>310</v>
      </c>
      <c r="BK314" s="10">
        <f t="shared" si="62"/>
        <v>9</v>
      </c>
      <c r="BL314" s="10">
        <f t="shared" si="63"/>
        <v>22</v>
      </c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</row>
    <row r="315" spans="1:8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1"/>
      <c r="BD315" s="3">
        <v>8</v>
      </c>
      <c r="BE315" s="3">
        <v>34</v>
      </c>
      <c r="BF315" s="3">
        <v>12</v>
      </c>
      <c r="BG315" s="3">
        <v>28</v>
      </c>
      <c r="BH315" s="49" t="str">
        <f t="shared" si="60"/>
        <v>12,34</v>
      </c>
      <c r="BI315" s="1"/>
      <c r="BJ315" s="13">
        <f t="shared" si="61"/>
        <v>311</v>
      </c>
      <c r="BK315" s="10">
        <f t="shared" si="62"/>
        <v>9</v>
      </c>
      <c r="BL315" s="10">
        <f t="shared" si="63"/>
        <v>23</v>
      </c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</row>
    <row r="316" spans="1:8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1"/>
      <c r="BD316" s="3">
        <v>8</v>
      </c>
      <c r="BE316" s="3">
        <v>34</v>
      </c>
      <c r="BF316" s="3">
        <v>13</v>
      </c>
      <c r="BG316" s="3">
        <v>28</v>
      </c>
      <c r="BH316" s="49" t="str">
        <f t="shared" si="60"/>
        <v>13,34</v>
      </c>
      <c r="BI316" s="1"/>
      <c r="BJ316" s="13">
        <f t="shared" si="61"/>
        <v>312</v>
      </c>
      <c r="BK316" s="10">
        <f t="shared" si="62"/>
        <v>9</v>
      </c>
      <c r="BL316" s="10">
        <f t="shared" si="63"/>
        <v>24</v>
      </c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</row>
    <row r="317" spans="1:8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1"/>
      <c r="BD317" s="3">
        <v>8</v>
      </c>
      <c r="BE317" s="3">
        <v>35</v>
      </c>
      <c r="BF317" s="3">
        <v>14</v>
      </c>
      <c r="BG317" s="3">
        <v>28</v>
      </c>
      <c r="BH317" s="49" t="str">
        <f t="shared" si="60"/>
        <v>14,35</v>
      </c>
      <c r="BI317" s="1"/>
      <c r="BJ317" s="13">
        <f t="shared" si="61"/>
        <v>313</v>
      </c>
      <c r="BK317" s="10">
        <f t="shared" si="62"/>
        <v>9</v>
      </c>
      <c r="BL317" s="10">
        <f t="shared" si="63"/>
        <v>25</v>
      </c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</row>
    <row r="318" spans="1:8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1"/>
      <c r="BD318" s="3">
        <v>8</v>
      </c>
      <c r="BE318" s="3">
        <v>35</v>
      </c>
      <c r="BF318" s="3">
        <v>15</v>
      </c>
      <c r="BG318" s="3">
        <v>28</v>
      </c>
      <c r="BH318" s="49" t="str">
        <f t="shared" si="60"/>
        <v>15,35</v>
      </c>
      <c r="BI318" s="1"/>
      <c r="BJ318" s="13">
        <f t="shared" si="61"/>
        <v>314</v>
      </c>
      <c r="BK318" s="10">
        <f t="shared" si="62"/>
        <v>9</v>
      </c>
      <c r="BL318" s="10">
        <f t="shared" si="63"/>
        <v>26</v>
      </c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</row>
    <row r="319" spans="1:8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1"/>
      <c r="BD319" s="3">
        <v>8</v>
      </c>
      <c r="BE319" s="3">
        <v>35</v>
      </c>
      <c r="BF319" s="3">
        <v>16</v>
      </c>
      <c r="BG319" s="3">
        <v>28</v>
      </c>
      <c r="BH319" s="49" t="str">
        <f t="shared" si="60"/>
        <v>16,35</v>
      </c>
      <c r="BI319" s="1"/>
      <c r="BJ319" s="13">
        <f t="shared" si="61"/>
        <v>315</v>
      </c>
      <c r="BK319" s="10">
        <f t="shared" si="62"/>
        <v>9</v>
      </c>
      <c r="BL319" s="10">
        <f t="shared" si="63"/>
        <v>27</v>
      </c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</row>
    <row r="320" spans="1:8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1"/>
      <c r="BD320" s="3">
        <v>8</v>
      </c>
      <c r="BE320" s="3">
        <v>35</v>
      </c>
      <c r="BF320" s="3">
        <v>17</v>
      </c>
      <c r="BG320" s="3">
        <v>28</v>
      </c>
      <c r="BH320" s="49" t="str">
        <f t="shared" si="60"/>
        <v>17,35</v>
      </c>
      <c r="BI320" s="1"/>
      <c r="BJ320" s="13">
        <f t="shared" si="61"/>
        <v>316</v>
      </c>
      <c r="BK320" s="10">
        <f t="shared" si="62"/>
        <v>9</v>
      </c>
      <c r="BL320" s="10">
        <f t="shared" si="63"/>
        <v>28</v>
      </c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</row>
    <row r="321" spans="1:8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1"/>
      <c r="BD321" s="3">
        <v>8</v>
      </c>
      <c r="BE321" s="3">
        <v>35</v>
      </c>
      <c r="BF321" s="3">
        <v>18</v>
      </c>
      <c r="BG321" s="3">
        <v>28</v>
      </c>
      <c r="BH321" s="49" t="str">
        <f t="shared" si="60"/>
        <v>18,35</v>
      </c>
      <c r="BI321" s="1"/>
      <c r="BJ321" s="13">
        <f t="shared" si="61"/>
        <v>317</v>
      </c>
      <c r="BK321" s="10">
        <f t="shared" si="62"/>
        <v>9</v>
      </c>
      <c r="BL321" s="10">
        <f t="shared" si="63"/>
        <v>29</v>
      </c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</row>
    <row r="322" spans="1:8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1"/>
      <c r="BD322" s="3">
        <v>8</v>
      </c>
      <c r="BE322" s="3">
        <v>35</v>
      </c>
      <c r="BF322" s="3">
        <v>19</v>
      </c>
      <c r="BG322" s="3">
        <v>28</v>
      </c>
      <c r="BH322" s="49" t="str">
        <f t="shared" si="60"/>
        <v>19,35</v>
      </c>
      <c r="BI322" s="1"/>
      <c r="BJ322" s="13">
        <f t="shared" si="61"/>
        <v>318</v>
      </c>
      <c r="BK322" s="10">
        <f t="shared" si="62"/>
        <v>9</v>
      </c>
      <c r="BL322" s="10">
        <f t="shared" si="63"/>
        <v>30</v>
      </c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</row>
    <row r="323" spans="1:8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1"/>
      <c r="BD323" s="3">
        <v>8</v>
      </c>
      <c r="BE323" s="3">
        <v>35</v>
      </c>
      <c r="BF323" s="3">
        <v>20</v>
      </c>
      <c r="BG323" s="3">
        <v>28</v>
      </c>
      <c r="BH323" s="49" t="str">
        <f t="shared" si="60"/>
        <v>20,35</v>
      </c>
      <c r="BI323" s="1"/>
      <c r="BJ323" s="13">
        <f t="shared" si="61"/>
        <v>319</v>
      </c>
      <c r="BK323" s="10">
        <f t="shared" si="62"/>
        <v>9</v>
      </c>
      <c r="BL323" s="10">
        <f t="shared" si="63"/>
        <v>31</v>
      </c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</row>
    <row r="324" spans="1:8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1"/>
      <c r="BD324" s="3">
        <v>8</v>
      </c>
      <c r="BE324" s="3">
        <v>36</v>
      </c>
      <c r="BF324" s="3">
        <v>21</v>
      </c>
      <c r="BG324" s="3">
        <v>28</v>
      </c>
      <c r="BH324" s="49" t="str">
        <f t="shared" si="60"/>
        <v>21,36</v>
      </c>
      <c r="BI324" s="1"/>
      <c r="BJ324" s="13">
        <f t="shared" si="61"/>
        <v>320</v>
      </c>
      <c r="BK324" s="10">
        <f t="shared" si="62"/>
        <v>9</v>
      </c>
      <c r="BL324" s="10">
        <f t="shared" si="63"/>
        <v>32</v>
      </c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</row>
    <row r="325" spans="1:8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1"/>
      <c r="BD325" s="3">
        <v>8</v>
      </c>
      <c r="BE325" s="3">
        <v>36</v>
      </c>
      <c r="BF325" s="3">
        <v>22</v>
      </c>
      <c r="BG325" s="3">
        <v>28</v>
      </c>
      <c r="BH325" s="49" t="str">
        <f t="shared" si="60"/>
        <v>22,36</v>
      </c>
      <c r="BI325" s="1"/>
      <c r="BJ325" s="13">
        <f t="shared" si="61"/>
        <v>321</v>
      </c>
      <c r="BK325" s="10">
        <f t="shared" si="62"/>
        <v>9</v>
      </c>
      <c r="BL325" s="10">
        <f t="shared" si="63"/>
        <v>33</v>
      </c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</row>
    <row r="326" spans="1:8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1"/>
      <c r="BD326" s="3">
        <v>8</v>
      </c>
      <c r="BE326" s="3">
        <v>36</v>
      </c>
      <c r="BF326" s="3">
        <v>23</v>
      </c>
      <c r="BG326" s="3">
        <v>28</v>
      </c>
      <c r="BH326" s="49" t="str">
        <f t="shared" ref="BH326" si="64">_xlfn.CONCAT(BF326,",",BE326)</f>
        <v>23,36</v>
      </c>
      <c r="BI326" s="1"/>
      <c r="BJ326" s="13">
        <f t="shared" ref="BJ326:BJ389" si="65">IF(ROW()-BJ$3&lt;=$BJ$4,ROW()-ROW(BJ$4),"")</f>
        <v>322</v>
      </c>
      <c r="BK326" s="10">
        <f t="shared" si="62"/>
        <v>9</v>
      </c>
      <c r="BL326" s="10">
        <f t="shared" si="63"/>
        <v>34</v>
      </c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</row>
    <row r="327" spans="1:8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1"/>
      <c r="BD327" s="3"/>
      <c r="BE327" s="3"/>
      <c r="BF327" s="3"/>
      <c r="BG327" s="3"/>
      <c r="BH327" s="1"/>
      <c r="BI327" s="1"/>
      <c r="BJ327" s="13">
        <f t="shared" si="65"/>
        <v>323</v>
      </c>
      <c r="BK327" s="10">
        <f t="shared" ref="BK327:BK390" si="66">IF(ISNUMBER(BJ327),INT(BJ326/$BL$4)+1,"")</f>
        <v>9</v>
      </c>
      <c r="BL327" s="10">
        <f t="shared" ref="BL327:BL390" si="67">IF(ISNUMBER(BJ327),IF(BK326&lt;&gt;BK327,1,BL326+1),"")</f>
        <v>35</v>
      </c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</row>
    <row r="328" spans="1:8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1"/>
      <c r="BD328" s="3"/>
      <c r="BE328" s="3"/>
      <c r="BF328" s="3"/>
      <c r="BG328" s="3"/>
      <c r="BH328" s="1"/>
      <c r="BI328" s="1"/>
      <c r="BJ328" s="13">
        <f t="shared" si="65"/>
        <v>324</v>
      </c>
      <c r="BK328" s="10">
        <f t="shared" si="66"/>
        <v>9</v>
      </c>
      <c r="BL328" s="10">
        <f t="shared" si="67"/>
        <v>36</v>
      </c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</row>
    <row r="329" spans="1:8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1"/>
      <c r="BD329" s="3"/>
      <c r="BE329" s="3"/>
      <c r="BF329" s="3"/>
      <c r="BG329" s="3"/>
      <c r="BH329" s="1"/>
      <c r="BI329" s="1"/>
      <c r="BJ329" s="13">
        <f t="shared" si="65"/>
        <v>325</v>
      </c>
      <c r="BK329" s="10">
        <f t="shared" si="66"/>
        <v>10</v>
      </c>
      <c r="BL329" s="10">
        <f t="shared" si="67"/>
        <v>1</v>
      </c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</row>
    <row r="330" spans="1:8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1"/>
      <c r="BD330" s="3"/>
      <c r="BE330" s="3"/>
      <c r="BF330" s="3"/>
      <c r="BG330" s="3"/>
      <c r="BH330" s="1"/>
      <c r="BI330" s="1"/>
      <c r="BJ330" s="13">
        <f t="shared" si="65"/>
        <v>326</v>
      </c>
      <c r="BK330" s="10">
        <f t="shared" si="66"/>
        <v>10</v>
      </c>
      <c r="BL330" s="10">
        <f t="shared" si="67"/>
        <v>2</v>
      </c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</row>
    <row r="331" spans="1:8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1"/>
      <c r="BD331" s="3"/>
      <c r="BE331" s="3"/>
      <c r="BF331" s="3"/>
      <c r="BG331" s="3"/>
      <c r="BH331" s="1"/>
      <c r="BI331" s="1"/>
      <c r="BJ331" s="13">
        <f t="shared" si="65"/>
        <v>327</v>
      </c>
      <c r="BK331" s="10">
        <f t="shared" si="66"/>
        <v>10</v>
      </c>
      <c r="BL331" s="10">
        <f t="shared" si="67"/>
        <v>3</v>
      </c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</row>
    <row r="332" spans="1:8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1"/>
      <c r="BD332" s="3"/>
      <c r="BE332" s="3"/>
      <c r="BF332" s="3"/>
      <c r="BG332" s="3"/>
      <c r="BH332" s="1"/>
      <c r="BI332" s="1"/>
      <c r="BJ332" s="13">
        <f t="shared" si="65"/>
        <v>328</v>
      </c>
      <c r="BK332" s="10">
        <f t="shared" si="66"/>
        <v>10</v>
      </c>
      <c r="BL332" s="10">
        <f t="shared" si="67"/>
        <v>4</v>
      </c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</row>
    <row r="333" spans="1:8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1"/>
      <c r="BD333" s="3"/>
      <c r="BE333" s="3"/>
      <c r="BF333" s="3"/>
      <c r="BG333" s="3"/>
      <c r="BH333" s="1"/>
      <c r="BI333" s="1"/>
      <c r="BJ333" s="13">
        <f t="shared" si="65"/>
        <v>329</v>
      </c>
      <c r="BK333" s="10">
        <f t="shared" si="66"/>
        <v>10</v>
      </c>
      <c r="BL333" s="10">
        <f t="shared" si="67"/>
        <v>5</v>
      </c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</row>
    <row r="334" spans="1:8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1"/>
      <c r="BD334" s="3"/>
      <c r="BE334" s="3"/>
      <c r="BF334" s="3"/>
      <c r="BG334" s="3"/>
      <c r="BH334" s="1"/>
      <c r="BI334" s="1"/>
      <c r="BJ334" s="13">
        <f t="shared" si="65"/>
        <v>330</v>
      </c>
      <c r="BK334" s="10">
        <f t="shared" si="66"/>
        <v>10</v>
      </c>
      <c r="BL334" s="10">
        <f t="shared" si="67"/>
        <v>6</v>
      </c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</row>
    <row r="335" spans="1:8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1"/>
      <c r="BD335" s="3"/>
      <c r="BE335" s="3"/>
      <c r="BF335" s="3"/>
      <c r="BG335" s="3"/>
      <c r="BH335" s="1"/>
      <c r="BI335" s="1"/>
      <c r="BJ335" s="13">
        <f t="shared" si="65"/>
        <v>331</v>
      </c>
      <c r="BK335" s="10">
        <f t="shared" si="66"/>
        <v>10</v>
      </c>
      <c r="BL335" s="10">
        <f t="shared" si="67"/>
        <v>7</v>
      </c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</row>
    <row r="336" spans="1:8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1"/>
      <c r="BD336" s="3"/>
      <c r="BE336" s="3"/>
      <c r="BF336" s="3"/>
      <c r="BG336" s="3"/>
      <c r="BH336" s="1"/>
      <c r="BI336" s="1"/>
      <c r="BJ336" s="13">
        <f t="shared" si="65"/>
        <v>332</v>
      </c>
      <c r="BK336" s="10">
        <f t="shared" si="66"/>
        <v>10</v>
      </c>
      <c r="BL336" s="10">
        <f t="shared" si="67"/>
        <v>8</v>
      </c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</row>
    <row r="337" spans="1:8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1"/>
      <c r="BD337" s="3"/>
      <c r="BE337" s="3"/>
      <c r="BF337" s="3"/>
      <c r="BG337" s="3"/>
      <c r="BH337" s="1"/>
      <c r="BI337" s="1"/>
      <c r="BJ337" s="13">
        <f t="shared" si="65"/>
        <v>333</v>
      </c>
      <c r="BK337" s="10">
        <f t="shared" si="66"/>
        <v>10</v>
      </c>
      <c r="BL337" s="10">
        <f t="shared" si="67"/>
        <v>9</v>
      </c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</row>
    <row r="338" spans="1:8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1"/>
      <c r="BD338" s="3"/>
      <c r="BE338" s="3"/>
      <c r="BF338" s="3"/>
      <c r="BG338" s="3"/>
      <c r="BH338" s="1"/>
      <c r="BI338" s="1"/>
      <c r="BJ338" s="13">
        <f t="shared" si="65"/>
        <v>334</v>
      </c>
      <c r="BK338" s="10">
        <f t="shared" si="66"/>
        <v>10</v>
      </c>
      <c r="BL338" s="10">
        <f t="shared" si="67"/>
        <v>10</v>
      </c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</row>
    <row r="339" spans="1:8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1"/>
      <c r="BD339" s="3"/>
      <c r="BE339" s="3"/>
      <c r="BF339" s="3"/>
      <c r="BG339" s="3"/>
      <c r="BH339" s="1"/>
      <c r="BI339" s="1"/>
      <c r="BJ339" s="13">
        <f t="shared" si="65"/>
        <v>335</v>
      </c>
      <c r="BK339" s="10">
        <f t="shared" si="66"/>
        <v>10</v>
      </c>
      <c r="BL339" s="10">
        <f t="shared" si="67"/>
        <v>11</v>
      </c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</row>
    <row r="340" spans="1:8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1"/>
      <c r="BD340" s="3"/>
      <c r="BE340" s="3"/>
      <c r="BF340" s="3"/>
      <c r="BG340" s="3"/>
      <c r="BH340" s="1"/>
      <c r="BI340" s="1"/>
      <c r="BJ340" s="13">
        <f t="shared" si="65"/>
        <v>336</v>
      </c>
      <c r="BK340" s="10">
        <f t="shared" si="66"/>
        <v>10</v>
      </c>
      <c r="BL340" s="10">
        <f t="shared" si="67"/>
        <v>12</v>
      </c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</row>
    <row r="341" spans="1:8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1"/>
      <c r="BD341" s="3"/>
      <c r="BE341" s="3"/>
      <c r="BF341" s="3"/>
      <c r="BG341" s="3"/>
      <c r="BH341" s="1"/>
      <c r="BI341" s="1"/>
      <c r="BJ341" s="13">
        <f t="shared" si="65"/>
        <v>337</v>
      </c>
      <c r="BK341" s="10">
        <f t="shared" si="66"/>
        <v>10</v>
      </c>
      <c r="BL341" s="10">
        <f t="shared" si="67"/>
        <v>13</v>
      </c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</row>
    <row r="342" spans="1:8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1"/>
      <c r="BD342" s="3"/>
      <c r="BE342" s="3"/>
      <c r="BF342" s="3"/>
      <c r="BG342" s="3"/>
      <c r="BH342" s="1"/>
      <c r="BI342" s="1"/>
      <c r="BJ342" s="13">
        <f t="shared" si="65"/>
        <v>338</v>
      </c>
      <c r="BK342" s="10">
        <f t="shared" si="66"/>
        <v>10</v>
      </c>
      <c r="BL342" s="10">
        <f t="shared" si="67"/>
        <v>14</v>
      </c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</row>
    <row r="343" spans="1:8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1"/>
      <c r="BD343" s="3"/>
      <c r="BE343" s="3"/>
      <c r="BF343" s="3"/>
      <c r="BG343" s="3"/>
      <c r="BH343" s="1"/>
      <c r="BI343" s="1"/>
      <c r="BJ343" s="13">
        <f t="shared" si="65"/>
        <v>339</v>
      </c>
      <c r="BK343" s="10">
        <f t="shared" si="66"/>
        <v>10</v>
      </c>
      <c r="BL343" s="10">
        <f t="shared" si="67"/>
        <v>15</v>
      </c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</row>
    <row r="344" spans="1:8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1"/>
      <c r="BD344" s="3"/>
      <c r="BE344" s="3"/>
      <c r="BF344" s="3"/>
      <c r="BG344" s="3"/>
      <c r="BH344" s="1"/>
      <c r="BI344" s="1"/>
      <c r="BJ344" s="13">
        <f t="shared" si="65"/>
        <v>340</v>
      </c>
      <c r="BK344" s="10">
        <f t="shared" si="66"/>
        <v>10</v>
      </c>
      <c r="BL344" s="10">
        <f t="shared" si="67"/>
        <v>16</v>
      </c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</row>
    <row r="345" spans="1:8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1"/>
      <c r="BD345" s="3"/>
      <c r="BE345" s="3"/>
      <c r="BF345" s="3"/>
      <c r="BG345" s="3"/>
      <c r="BH345" s="1"/>
      <c r="BI345" s="1"/>
      <c r="BJ345" s="13">
        <f t="shared" si="65"/>
        <v>341</v>
      </c>
      <c r="BK345" s="10">
        <f t="shared" si="66"/>
        <v>10</v>
      </c>
      <c r="BL345" s="10">
        <f t="shared" si="67"/>
        <v>17</v>
      </c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</row>
    <row r="346" spans="1:8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1"/>
      <c r="BD346" s="3"/>
      <c r="BE346" s="3"/>
      <c r="BF346" s="3"/>
      <c r="BG346" s="3"/>
      <c r="BH346" s="1"/>
      <c r="BI346" s="1"/>
      <c r="BJ346" s="13">
        <f t="shared" si="65"/>
        <v>342</v>
      </c>
      <c r="BK346" s="10">
        <f t="shared" si="66"/>
        <v>10</v>
      </c>
      <c r="BL346" s="10">
        <f t="shared" si="67"/>
        <v>18</v>
      </c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</row>
    <row r="347" spans="1:8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1"/>
      <c r="BD347" s="3"/>
      <c r="BE347" s="3"/>
      <c r="BF347" s="3"/>
      <c r="BG347" s="3"/>
      <c r="BH347" s="1"/>
      <c r="BI347" s="1"/>
      <c r="BJ347" s="13">
        <f t="shared" si="65"/>
        <v>343</v>
      </c>
      <c r="BK347" s="10">
        <f t="shared" si="66"/>
        <v>10</v>
      </c>
      <c r="BL347" s="10">
        <f t="shared" si="67"/>
        <v>19</v>
      </c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</row>
    <row r="348" spans="1:8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1"/>
      <c r="BD348" s="3"/>
      <c r="BE348" s="3"/>
      <c r="BF348" s="3"/>
      <c r="BG348" s="3"/>
      <c r="BH348" s="1"/>
      <c r="BI348" s="1"/>
      <c r="BJ348" s="13">
        <f t="shared" si="65"/>
        <v>344</v>
      </c>
      <c r="BK348" s="10">
        <f t="shared" si="66"/>
        <v>10</v>
      </c>
      <c r="BL348" s="10">
        <f t="shared" si="67"/>
        <v>20</v>
      </c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</row>
    <row r="349" spans="1:8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1"/>
      <c r="BD349" s="3"/>
      <c r="BE349" s="3"/>
      <c r="BF349" s="3"/>
      <c r="BG349" s="3"/>
      <c r="BH349" s="1"/>
      <c r="BI349" s="1"/>
      <c r="BJ349" s="13">
        <f t="shared" si="65"/>
        <v>345</v>
      </c>
      <c r="BK349" s="10">
        <f t="shared" si="66"/>
        <v>10</v>
      </c>
      <c r="BL349" s="10">
        <f t="shared" si="67"/>
        <v>21</v>
      </c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</row>
    <row r="350" spans="1:8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1"/>
      <c r="BD350" s="3"/>
      <c r="BE350" s="3"/>
      <c r="BF350" s="3"/>
      <c r="BG350" s="3"/>
      <c r="BH350" s="1"/>
      <c r="BI350" s="1"/>
      <c r="BJ350" s="13">
        <f t="shared" si="65"/>
        <v>346</v>
      </c>
      <c r="BK350" s="10">
        <f t="shared" si="66"/>
        <v>10</v>
      </c>
      <c r="BL350" s="10">
        <f t="shared" si="67"/>
        <v>22</v>
      </c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</row>
    <row r="351" spans="1:8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1"/>
      <c r="BD351" s="3"/>
      <c r="BE351" s="3"/>
      <c r="BF351" s="3"/>
      <c r="BG351" s="3"/>
      <c r="BH351" s="1"/>
      <c r="BI351" s="1"/>
      <c r="BJ351" s="13">
        <f t="shared" si="65"/>
        <v>347</v>
      </c>
      <c r="BK351" s="10">
        <f t="shared" si="66"/>
        <v>10</v>
      </c>
      <c r="BL351" s="10">
        <f t="shared" si="67"/>
        <v>23</v>
      </c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</row>
    <row r="352" spans="1:8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1"/>
      <c r="BD352" s="3"/>
      <c r="BE352" s="3"/>
      <c r="BF352" s="3"/>
      <c r="BG352" s="3"/>
      <c r="BH352" s="1"/>
      <c r="BI352" s="1"/>
      <c r="BJ352" s="13">
        <f t="shared" si="65"/>
        <v>348</v>
      </c>
      <c r="BK352" s="10">
        <f t="shared" si="66"/>
        <v>10</v>
      </c>
      <c r="BL352" s="10">
        <f t="shared" si="67"/>
        <v>24</v>
      </c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</row>
    <row r="353" spans="1:8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1"/>
      <c r="BD353" s="3"/>
      <c r="BE353" s="3"/>
      <c r="BF353" s="3"/>
      <c r="BG353" s="3"/>
      <c r="BH353" s="1"/>
      <c r="BI353" s="1"/>
      <c r="BJ353" s="13">
        <f t="shared" si="65"/>
        <v>349</v>
      </c>
      <c r="BK353" s="10">
        <f t="shared" si="66"/>
        <v>10</v>
      </c>
      <c r="BL353" s="10">
        <f t="shared" si="67"/>
        <v>25</v>
      </c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</row>
    <row r="354" spans="1:8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1"/>
      <c r="BD354" s="3"/>
      <c r="BE354" s="3"/>
      <c r="BF354" s="3"/>
      <c r="BG354" s="3"/>
      <c r="BH354" s="1"/>
      <c r="BI354" s="1"/>
      <c r="BJ354" s="13">
        <f t="shared" si="65"/>
        <v>350</v>
      </c>
      <c r="BK354" s="10">
        <f t="shared" si="66"/>
        <v>10</v>
      </c>
      <c r="BL354" s="10">
        <f t="shared" si="67"/>
        <v>26</v>
      </c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</row>
    <row r="355" spans="1:8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1"/>
      <c r="BD355" s="3"/>
      <c r="BE355" s="3"/>
      <c r="BF355" s="3"/>
      <c r="BG355" s="3"/>
      <c r="BH355" s="1"/>
      <c r="BI355" s="1"/>
      <c r="BJ355" s="13">
        <f t="shared" si="65"/>
        <v>351</v>
      </c>
      <c r="BK355" s="10">
        <f t="shared" si="66"/>
        <v>10</v>
      </c>
      <c r="BL355" s="10">
        <f t="shared" si="67"/>
        <v>27</v>
      </c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</row>
    <row r="356" spans="1:8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1"/>
      <c r="BD356" s="3"/>
      <c r="BE356" s="3"/>
      <c r="BF356" s="3"/>
      <c r="BG356" s="3"/>
      <c r="BH356" s="1"/>
      <c r="BI356" s="1"/>
      <c r="BJ356" s="13">
        <f t="shared" si="65"/>
        <v>352</v>
      </c>
      <c r="BK356" s="10">
        <f t="shared" si="66"/>
        <v>10</v>
      </c>
      <c r="BL356" s="10">
        <f t="shared" si="67"/>
        <v>28</v>
      </c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</row>
    <row r="357" spans="1:8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1"/>
      <c r="BD357" s="3"/>
      <c r="BE357" s="3"/>
      <c r="BF357" s="3"/>
      <c r="BG357" s="3"/>
      <c r="BH357" s="1"/>
      <c r="BI357" s="1"/>
      <c r="BJ357" s="13">
        <f t="shared" si="65"/>
        <v>353</v>
      </c>
      <c r="BK357" s="10">
        <f t="shared" si="66"/>
        <v>10</v>
      </c>
      <c r="BL357" s="10">
        <f t="shared" si="67"/>
        <v>29</v>
      </c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</row>
    <row r="358" spans="1:8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1"/>
      <c r="BD358" s="3"/>
      <c r="BE358" s="3"/>
      <c r="BF358" s="3"/>
      <c r="BG358" s="3"/>
      <c r="BH358" s="1"/>
      <c r="BI358" s="1"/>
      <c r="BJ358" s="13">
        <f t="shared" si="65"/>
        <v>354</v>
      </c>
      <c r="BK358" s="10">
        <f t="shared" si="66"/>
        <v>10</v>
      </c>
      <c r="BL358" s="10">
        <f t="shared" si="67"/>
        <v>30</v>
      </c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</row>
    <row r="359" spans="1:8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1"/>
      <c r="BD359" s="3"/>
      <c r="BE359" s="3"/>
      <c r="BF359" s="3"/>
      <c r="BG359" s="3"/>
      <c r="BH359" s="1"/>
      <c r="BI359" s="1"/>
      <c r="BJ359" s="13">
        <f t="shared" si="65"/>
        <v>355</v>
      </c>
      <c r="BK359" s="10">
        <f t="shared" si="66"/>
        <v>10</v>
      </c>
      <c r="BL359" s="10">
        <f t="shared" si="67"/>
        <v>31</v>
      </c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</row>
    <row r="360" spans="1:8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1"/>
      <c r="BD360" s="3"/>
      <c r="BE360" s="3"/>
      <c r="BF360" s="3"/>
      <c r="BG360" s="3"/>
      <c r="BH360" s="1"/>
      <c r="BI360" s="1"/>
      <c r="BJ360" s="13">
        <f t="shared" si="65"/>
        <v>356</v>
      </c>
      <c r="BK360" s="10">
        <f t="shared" si="66"/>
        <v>10</v>
      </c>
      <c r="BL360" s="10">
        <f t="shared" si="67"/>
        <v>32</v>
      </c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</row>
    <row r="361" spans="1:8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1"/>
      <c r="BD361" s="3"/>
      <c r="BE361" s="3"/>
      <c r="BF361" s="3"/>
      <c r="BG361" s="3"/>
      <c r="BH361" s="1"/>
      <c r="BI361" s="1"/>
      <c r="BJ361" s="13">
        <f t="shared" si="65"/>
        <v>357</v>
      </c>
      <c r="BK361" s="10">
        <f t="shared" si="66"/>
        <v>10</v>
      </c>
      <c r="BL361" s="10">
        <f t="shared" si="67"/>
        <v>33</v>
      </c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</row>
    <row r="362" spans="1:8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1"/>
      <c r="BD362" s="3"/>
      <c r="BE362" s="3"/>
      <c r="BF362" s="3"/>
      <c r="BG362" s="3"/>
      <c r="BH362" s="1"/>
      <c r="BI362" s="1"/>
      <c r="BJ362" s="13">
        <f t="shared" si="65"/>
        <v>358</v>
      </c>
      <c r="BK362" s="10">
        <f t="shared" si="66"/>
        <v>10</v>
      </c>
      <c r="BL362" s="10">
        <f t="shared" si="67"/>
        <v>34</v>
      </c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</row>
    <row r="363" spans="1:8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1"/>
      <c r="BD363" s="3"/>
      <c r="BE363" s="3"/>
      <c r="BF363" s="3"/>
      <c r="BG363" s="3"/>
      <c r="BH363" s="1"/>
      <c r="BI363" s="1"/>
      <c r="BJ363" s="13">
        <f t="shared" si="65"/>
        <v>359</v>
      </c>
      <c r="BK363" s="10">
        <f t="shared" si="66"/>
        <v>10</v>
      </c>
      <c r="BL363" s="10">
        <f t="shared" si="67"/>
        <v>35</v>
      </c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</row>
    <row r="364" spans="1:8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1"/>
      <c r="BD364" s="3"/>
      <c r="BE364" s="3"/>
      <c r="BF364" s="3"/>
      <c r="BG364" s="3"/>
      <c r="BH364" s="1"/>
      <c r="BI364" s="1"/>
      <c r="BJ364" s="13">
        <f t="shared" si="65"/>
        <v>360</v>
      </c>
      <c r="BK364" s="10">
        <f t="shared" si="66"/>
        <v>10</v>
      </c>
      <c r="BL364" s="10">
        <f t="shared" si="67"/>
        <v>36</v>
      </c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</row>
    <row r="365" spans="1:8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1"/>
      <c r="BD365" s="3"/>
      <c r="BE365" s="3"/>
      <c r="BF365" s="3"/>
      <c r="BG365" s="3"/>
      <c r="BH365" s="1"/>
      <c r="BI365" s="1"/>
      <c r="BJ365" s="13">
        <f t="shared" si="65"/>
        <v>361</v>
      </c>
      <c r="BK365" s="10">
        <f t="shared" si="66"/>
        <v>11</v>
      </c>
      <c r="BL365" s="10">
        <f t="shared" si="67"/>
        <v>1</v>
      </c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</row>
    <row r="366" spans="1:8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1"/>
      <c r="BD366" s="3"/>
      <c r="BE366" s="3"/>
      <c r="BF366" s="3"/>
      <c r="BG366" s="3"/>
      <c r="BH366" s="1"/>
      <c r="BI366" s="1"/>
      <c r="BJ366" s="13">
        <f t="shared" si="65"/>
        <v>362</v>
      </c>
      <c r="BK366" s="10">
        <f t="shared" si="66"/>
        <v>11</v>
      </c>
      <c r="BL366" s="10">
        <f t="shared" si="67"/>
        <v>2</v>
      </c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</row>
    <row r="367" spans="1:8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1"/>
      <c r="BD367" s="3"/>
      <c r="BE367" s="3"/>
      <c r="BF367" s="3"/>
      <c r="BG367" s="3"/>
      <c r="BH367" s="1"/>
      <c r="BI367" s="1"/>
      <c r="BJ367" s="13">
        <f t="shared" si="65"/>
        <v>363</v>
      </c>
      <c r="BK367" s="10">
        <f t="shared" si="66"/>
        <v>11</v>
      </c>
      <c r="BL367" s="10">
        <f t="shared" si="67"/>
        <v>3</v>
      </c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</row>
    <row r="368" spans="1:8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1"/>
      <c r="BD368" s="3"/>
      <c r="BE368" s="3"/>
      <c r="BF368" s="3"/>
      <c r="BG368" s="3"/>
      <c r="BH368" s="1"/>
      <c r="BI368" s="1"/>
      <c r="BJ368" s="13">
        <f t="shared" si="65"/>
        <v>364</v>
      </c>
      <c r="BK368" s="10">
        <f t="shared" si="66"/>
        <v>11</v>
      </c>
      <c r="BL368" s="10">
        <f t="shared" si="67"/>
        <v>4</v>
      </c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</row>
    <row r="369" spans="1:8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1"/>
      <c r="BD369" s="3"/>
      <c r="BE369" s="3"/>
      <c r="BF369" s="3"/>
      <c r="BG369" s="3"/>
      <c r="BH369" s="1"/>
      <c r="BI369" s="1"/>
      <c r="BJ369" s="13">
        <f t="shared" si="65"/>
        <v>365</v>
      </c>
      <c r="BK369" s="10">
        <f t="shared" si="66"/>
        <v>11</v>
      </c>
      <c r="BL369" s="10">
        <f t="shared" si="67"/>
        <v>5</v>
      </c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</row>
    <row r="370" spans="1:8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1"/>
      <c r="BD370" s="3"/>
      <c r="BE370" s="3"/>
      <c r="BF370" s="3"/>
      <c r="BG370" s="3"/>
      <c r="BH370" s="1"/>
      <c r="BI370" s="1"/>
      <c r="BJ370" s="13">
        <f t="shared" si="65"/>
        <v>366</v>
      </c>
      <c r="BK370" s="10">
        <f t="shared" si="66"/>
        <v>11</v>
      </c>
      <c r="BL370" s="10">
        <f t="shared" si="67"/>
        <v>6</v>
      </c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</row>
    <row r="371" spans="1:8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1"/>
      <c r="BD371" s="3"/>
      <c r="BE371" s="3"/>
      <c r="BF371" s="3"/>
      <c r="BG371" s="3"/>
      <c r="BH371" s="1"/>
      <c r="BI371" s="1"/>
      <c r="BJ371" s="13">
        <f t="shared" si="65"/>
        <v>367</v>
      </c>
      <c r="BK371" s="10">
        <f t="shared" si="66"/>
        <v>11</v>
      </c>
      <c r="BL371" s="10">
        <f t="shared" si="67"/>
        <v>7</v>
      </c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</row>
    <row r="372" spans="1:8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1"/>
      <c r="BD372" s="3"/>
      <c r="BE372" s="3"/>
      <c r="BF372" s="3"/>
      <c r="BG372" s="3"/>
      <c r="BH372" s="1"/>
      <c r="BI372" s="1"/>
      <c r="BJ372" s="13">
        <f t="shared" si="65"/>
        <v>368</v>
      </c>
      <c r="BK372" s="10">
        <f t="shared" si="66"/>
        <v>11</v>
      </c>
      <c r="BL372" s="10">
        <f t="shared" si="67"/>
        <v>8</v>
      </c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</row>
    <row r="373" spans="1:8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1"/>
      <c r="BD373" s="3"/>
      <c r="BE373" s="3"/>
      <c r="BF373" s="3"/>
      <c r="BG373" s="3"/>
      <c r="BH373" s="1"/>
      <c r="BI373" s="1"/>
      <c r="BJ373" s="13">
        <f t="shared" si="65"/>
        <v>369</v>
      </c>
      <c r="BK373" s="10">
        <f t="shared" si="66"/>
        <v>11</v>
      </c>
      <c r="BL373" s="10">
        <f t="shared" si="67"/>
        <v>9</v>
      </c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</row>
    <row r="374" spans="1:8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1"/>
      <c r="BD374" s="3"/>
      <c r="BE374" s="3"/>
      <c r="BF374" s="3"/>
      <c r="BG374" s="3"/>
      <c r="BH374" s="1"/>
      <c r="BI374" s="1"/>
      <c r="BJ374" s="13">
        <f t="shared" si="65"/>
        <v>370</v>
      </c>
      <c r="BK374" s="10">
        <f t="shared" si="66"/>
        <v>11</v>
      </c>
      <c r="BL374" s="10">
        <f t="shared" si="67"/>
        <v>10</v>
      </c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</row>
    <row r="375" spans="1:8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1"/>
      <c r="BD375" s="3"/>
      <c r="BE375" s="3"/>
      <c r="BF375" s="3"/>
      <c r="BG375" s="3"/>
      <c r="BH375" s="1"/>
      <c r="BI375" s="1"/>
      <c r="BJ375" s="13">
        <f t="shared" si="65"/>
        <v>371</v>
      </c>
      <c r="BK375" s="10">
        <f t="shared" si="66"/>
        <v>11</v>
      </c>
      <c r="BL375" s="10">
        <f t="shared" si="67"/>
        <v>11</v>
      </c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</row>
    <row r="376" spans="1:8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1"/>
      <c r="BD376" s="3"/>
      <c r="BE376" s="3"/>
      <c r="BF376" s="3"/>
      <c r="BG376" s="3"/>
      <c r="BH376" s="1"/>
      <c r="BI376" s="1"/>
      <c r="BJ376" s="13">
        <f t="shared" si="65"/>
        <v>372</v>
      </c>
      <c r="BK376" s="10">
        <f t="shared" si="66"/>
        <v>11</v>
      </c>
      <c r="BL376" s="10">
        <f t="shared" si="67"/>
        <v>12</v>
      </c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</row>
    <row r="377" spans="1:8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1"/>
      <c r="BD377" s="3"/>
      <c r="BE377" s="3"/>
      <c r="BF377" s="3"/>
      <c r="BG377" s="3"/>
      <c r="BH377" s="1"/>
      <c r="BI377" s="1"/>
      <c r="BJ377" s="13">
        <f t="shared" si="65"/>
        <v>373</v>
      </c>
      <c r="BK377" s="10">
        <f t="shared" si="66"/>
        <v>11</v>
      </c>
      <c r="BL377" s="10">
        <f t="shared" si="67"/>
        <v>13</v>
      </c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</row>
    <row r="378" spans="1:8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1"/>
      <c r="BD378" s="3"/>
      <c r="BE378" s="3"/>
      <c r="BF378" s="3"/>
      <c r="BG378" s="3"/>
      <c r="BH378" s="1"/>
      <c r="BI378" s="1"/>
      <c r="BJ378" s="13">
        <f t="shared" si="65"/>
        <v>374</v>
      </c>
      <c r="BK378" s="10">
        <f t="shared" si="66"/>
        <v>11</v>
      </c>
      <c r="BL378" s="10">
        <f t="shared" si="67"/>
        <v>14</v>
      </c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</row>
    <row r="379" spans="1:8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1"/>
      <c r="BD379" s="3"/>
      <c r="BE379" s="3"/>
      <c r="BF379" s="3"/>
      <c r="BG379" s="3"/>
      <c r="BH379" s="1"/>
      <c r="BI379" s="1"/>
      <c r="BJ379" s="13">
        <f t="shared" si="65"/>
        <v>375</v>
      </c>
      <c r="BK379" s="10">
        <f t="shared" si="66"/>
        <v>11</v>
      </c>
      <c r="BL379" s="10">
        <f t="shared" si="67"/>
        <v>15</v>
      </c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</row>
    <row r="380" spans="1:8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1"/>
      <c r="BD380" s="3"/>
      <c r="BE380" s="3"/>
      <c r="BF380" s="3"/>
      <c r="BG380" s="3"/>
      <c r="BH380" s="1"/>
      <c r="BI380" s="1"/>
      <c r="BJ380" s="13">
        <f t="shared" si="65"/>
        <v>376</v>
      </c>
      <c r="BK380" s="10">
        <f t="shared" si="66"/>
        <v>11</v>
      </c>
      <c r="BL380" s="10">
        <f t="shared" si="67"/>
        <v>16</v>
      </c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</row>
    <row r="381" spans="1:8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1"/>
      <c r="BD381" s="3"/>
      <c r="BE381" s="3"/>
      <c r="BF381" s="3"/>
      <c r="BG381" s="3"/>
      <c r="BH381" s="1"/>
      <c r="BI381" s="1"/>
      <c r="BJ381" s="13">
        <f t="shared" si="65"/>
        <v>377</v>
      </c>
      <c r="BK381" s="10">
        <f t="shared" si="66"/>
        <v>11</v>
      </c>
      <c r="BL381" s="10">
        <f t="shared" si="67"/>
        <v>17</v>
      </c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</row>
    <row r="382" spans="1:8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1"/>
      <c r="BD382" s="3"/>
      <c r="BE382" s="3"/>
      <c r="BF382" s="3"/>
      <c r="BG382" s="3"/>
      <c r="BH382" s="1"/>
      <c r="BI382" s="1"/>
      <c r="BJ382" s="13">
        <f t="shared" si="65"/>
        <v>378</v>
      </c>
      <c r="BK382" s="10">
        <f t="shared" si="66"/>
        <v>11</v>
      </c>
      <c r="BL382" s="10">
        <f t="shared" si="67"/>
        <v>18</v>
      </c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</row>
    <row r="383" spans="1:8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1"/>
      <c r="BD383" s="3"/>
      <c r="BE383" s="3"/>
      <c r="BF383" s="3"/>
      <c r="BG383" s="3"/>
      <c r="BH383" s="1"/>
      <c r="BI383" s="1"/>
      <c r="BJ383" s="13">
        <f t="shared" si="65"/>
        <v>379</v>
      </c>
      <c r="BK383" s="10">
        <f t="shared" si="66"/>
        <v>11</v>
      </c>
      <c r="BL383" s="10">
        <f t="shared" si="67"/>
        <v>19</v>
      </c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</row>
    <row r="384" spans="1:8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1"/>
      <c r="BD384" s="3"/>
      <c r="BE384" s="3"/>
      <c r="BF384" s="3"/>
      <c r="BG384" s="3"/>
      <c r="BH384" s="1"/>
      <c r="BI384" s="1"/>
      <c r="BJ384" s="13">
        <f t="shared" si="65"/>
        <v>380</v>
      </c>
      <c r="BK384" s="10">
        <f t="shared" si="66"/>
        <v>11</v>
      </c>
      <c r="BL384" s="10">
        <f t="shared" si="67"/>
        <v>20</v>
      </c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</row>
    <row r="385" spans="1:8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1"/>
      <c r="BD385" s="3"/>
      <c r="BE385" s="3"/>
      <c r="BF385" s="3"/>
      <c r="BG385" s="3"/>
      <c r="BH385" s="1"/>
      <c r="BI385" s="1"/>
      <c r="BJ385" s="13">
        <f t="shared" si="65"/>
        <v>381</v>
      </c>
      <c r="BK385" s="10">
        <f t="shared" si="66"/>
        <v>11</v>
      </c>
      <c r="BL385" s="10">
        <f t="shared" si="67"/>
        <v>21</v>
      </c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</row>
    <row r="386" spans="1:8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1"/>
      <c r="BD386" s="3"/>
      <c r="BE386" s="3"/>
      <c r="BF386" s="3"/>
      <c r="BG386" s="3"/>
      <c r="BH386" s="1"/>
      <c r="BI386" s="1"/>
      <c r="BJ386" s="13">
        <f t="shared" si="65"/>
        <v>382</v>
      </c>
      <c r="BK386" s="10">
        <f t="shared" si="66"/>
        <v>11</v>
      </c>
      <c r="BL386" s="10">
        <f t="shared" si="67"/>
        <v>22</v>
      </c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</row>
    <row r="387" spans="1:8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1"/>
      <c r="BD387" s="3"/>
      <c r="BE387" s="3"/>
      <c r="BF387" s="3"/>
      <c r="BG387" s="3"/>
      <c r="BH387" s="1"/>
      <c r="BI387" s="1"/>
      <c r="BJ387" s="13">
        <f t="shared" si="65"/>
        <v>383</v>
      </c>
      <c r="BK387" s="10">
        <f t="shared" si="66"/>
        <v>11</v>
      </c>
      <c r="BL387" s="10">
        <f t="shared" si="67"/>
        <v>23</v>
      </c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</row>
    <row r="388" spans="1:8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1"/>
      <c r="BD388" s="3"/>
      <c r="BE388" s="3"/>
      <c r="BF388" s="3"/>
      <c r="BG388" s="3"/>
      <c r="BH388" s="1"/>
      <c r="BI388" s="1"/>
      <c r="BJ388" s="13">
        <f t="shared" si="65"/>
        <v>384</v>
      </c>
      <c r="BK388" s="10">
        <f t="shared" si="66"/>
        <v>11</v>
      </c>
      <c r="BL388" s="10">
        <f t="shared" si="67"/>
        <v>24</v>
      </c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</row>
    <row r="389" spans="1:8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1"/>
      <c r="BD389" s="3"/>
      <c r="BE389" s="3"/>
      <c r="BF389" s="3"/>
      <c r="BG389" s="3"/>
      <c r="BI389" s="1"/>
      <c r="BJ389" s="13">
        <f t="shared" si="65"/>
        <v>385</v>
      </c>
      <c r="BK389" s="10">
        <f t="shared" si="66"/>
        <v>11</v>
      </c>
      <c r="BL389" s="10">
        <f t="shared" si="67"/>
        <v>25</v>
      </c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</row>
    <row r="390" spans="1:88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BD390" s="3"/>
      <c r="BE390" s="3"/>
      <c r="BF390" s="3"/>
      <c r="BG390" s="3"/>
      <c r="BJ390" s="13">
        <f t="shared" ref="BJ390:BJ453" si="68">IF(ROW()-BJ$3&lt;=$BJ$4,ROW()-ROW(BJ$4),"")</f>
        <v>386</v>
      </c>
      <c r="BK390" s="10">
        <f t="shared" si="66"/>
        <v>11</v>
      </c>
      <c r="BL390" s="10">
        <f t="shared" si="67"/>
        <v>26</v>
      </c>
    </row>
    <row r="391" spans="1:88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BJ391" s="13">
        <f t="shared" si="68"/>
        <v>387</v>
      </c>
      <c r="BK391" s="10">
        <f t="shared" ref="BK391:BK454" si="69">IF(ISNUMBER(BJ391),INT(BJ390/$BL$4)+1,"")</f>
        <v>11</v>
      </c>
      <c r="BL391" s="10">
        <f t="shared" ref="BL391:BL454" si="70">IF(ISNUMBER(BJ391),IF(BK390&lt;&gt;BK391,1,BL390+1),"")</f>
        <v>27</v>
      </c>
    </row>
    <row r="392" spans="1:88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BJ392" s="13">
        <f t="shared" si="68"/>
        <v>388</v>
      </c>
      <c r="BK392" s="10">
        <f t="shared" si="69"/>
        <v>11</v>
      </c>
      <c r="BL392" s="10">
        <f t="shared" si="70"/>
        <v>28</v>
      </c>
    </row>
    <row r="393" spans="1:88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BJ393" s="13">
        <f t="shared" si="68"/>
        <v>389</v>
      </c>
      <c r="BK393" s="10">
        <f t="shared" si="69"/>
        <v>11</v>
      </c>
      <c r="BL393" s="10">
        <f t="shared" si="70"/>
        <v>29</v>
      </c>
    </row>
    <row r="394" spans="1:88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BJ394" s="13">
        <f t="shared" si="68"/>
        <v>390</v>
      </c>
      <c r="BK394" s="10">
        <f t="shared" si="69"/>
        <v>11</v>
      </c>
      <c r="BL394" s="10">
        <f t="shared" si="70"/>
        <v>30</v>
      </c>
    </row>
    <row r="395" spans="1:88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BJ395" s="13">
        <f t="shared" si="68"/>
        <v>391</v>
      </c>
      <c r="BK395" s="10">
        <f t="shared" si="69"/>
        <v>11</v>
      </c>
      <c r="BL395" s="10">
        <f t="shared" si="70"/>
        <v>31</v>
      </c>
    </row>
    <row r="396" spans="1:88" x14ac:dyDescent="0.25">
      <c r="BJ396" s="13">
        <f t="shared" si="68"/>
        <v>392</v>
      </c>
      <c r="BK396" s="10">
        <f t="shared" si="69"/>
        <v>11</v>
      </c>
      <c r="BL396" s="10">
        <f t="shared" si="70"/>
        <v>32</v>
      </c>
    </row>
    <row r="397" spans="1:88" x14ac:dyDescent="0.25">
      <c r="BJ397" s="13">
        <f t="shared" si="68"/>
        <v>393</v>
      </c>
      <c r="BK397" s="10">
        <f t="shared" si="69"/>
        <v>11</v>
      </c>
      <c r="BL397" s="10">
        <f t="shared" si="70"/>
        <v>33</v>
      </c>
    </row>
    <row r="398" spans="1:88" x14ac:dyDescent="0.25">
      <c r="BJ398" s="13">
        <f t="shared" si="68"/>
        <v>394</v>
      </c>
      <c r="BK398" s="10">
        <f t="shared" si="69"/>
        <v>11</v>
      </c>
      <c r="BL398" s="10">
        <f t="shared" si="70"/>
        <v>34</v>
      </c>
    </row>
    <row r="399" spans="1:88" x14ac:dyDescent="0.25">
      <c r="BJ399" s="13">
        <f t="shared" si="68"/>
        <v>395</v>
      </c>
      <c r="BK399" s="10">
        <f t="shared" si="69"/>
        <v>11</v>
      </c>
      <c r="BL399" s="10">
        <f t="shared" si="70"/>
        <v>35</v>
      </c>
    </row>
    <row r="400" spans="1:88" x14ac:dyDescent="0.25">
      <c r="BJ400" s="13">
        <f t="shared" si="68"/>
        <v>396</v>
      </c>
      <c r="BK400" s="10">
        <f t="shared" si="69"/>
        <v>11</v>
      </c>
      <c r="BL400" s="10">
        <f t="shared" si="70"/>
        <v>36</v>
      </c>
    </row>
    <row r="401" spans="62:64" x14ac:dyDescent="0.25">
      <c r="BJ401" s="13">
        <f t="shared" si="68"/>
        <v>397</v>
      </c>
      <c r="BK401" s="10">
        <f t="shared" si="69"/>
        <v>12</v>
      </c>
      <c r="BL401" s="10">
        <f t="shared" si="70"/>
        <v>1</v>
      </c>
    </row>
    <row r="402" spans="62:64" x14ac:dyDescent="0.25">
      <c r="BJ402" s="13">
        <f t="shared" si="68"/>
        <v>398</v>
      </c>
      <c r="BK402" s="10">
        <f t="shared" si="69"/>
        <v>12</v>
      </c>
      <c r="BL402" s="10">
        <f t="shared" si="70"/>
        <v>2</v>
      </c>
    </row>
    <row r="403" spans="62:64" x14ac:dyDescent="0.25">
      <c r="BJ403" s="13">
        <f t="shared" si="68"/>
        <v>399</v>
      </c>
      <c r="BK403" s="10">
        <f t="shared" si="69"/>
        <v>12</v>
      </c>
      <c r="BL403" s="10">
        <f t="shared" si="70"/>
        <v>3</v>
      </c>
    </row>
    <row r="404" spans="62:64" x14ac:dyDescent="0.25">
      <c r="BJ404" s="13">
        <f t="shared" si="68"/>
        <v>400</v>
      </c>
      <c r="BK404" s="10">
        <f t="shared" si="69"/>
        <v>12</v>
      </c>
      <c r="BL404" s="10">
        <f t="shared" si="70"/>
        <v>4</v>
      </c>
    </row>
    <row r="405" spans="62:64" x14ac:dyDescent="0.25">
      <c r="BJ405" s="13">
        <f t="shared" si="68"/>
        <v>401</v>
      </c>
      <c r="BK405" s="10">
        <f t="shared" si="69"/>
        <v>12</v>
      </c>
      <c r="BL405" s="10">
        <f t="shared" si="70"/>
        <v>5</v>
      </c>
    </row>
    <row r="406" spans="62:64" x14ac:dyDescent="0.25">
      <c r="BJ406" s="13">
        <f t="shared" si="68"/>
        <v>402</v>
      </c>
      <c r="BK406" s="10">
        <f t="shared" si="69"/>
        <v>12</v>
      </c>
      <c r="BL406" s="10">
        <f t="shared" si="70"/>
        <v>6</v>
      </c>
    </row>
    <row r="407" spans="62:64" x14ac:dyDescent="0.25">
      <c r="BJ407" s="13">
        <f t="shared" si="68"/>
        <v>403</v>
      </c>
      <c r="BK407" s="10">
        <f t="shared" si="69"/>
        <v>12</v>
      </c>
      <c r="BL407" s="10">
        <f t="shared" si="70"/>
        <v>7</v>
      </c>
    </row>
    <row r="408" spans="62:64" x14ac:dyDescent="0.25">
      <c r="BJ408" s="13">
        <f t="shared" si="68"/>
        <v>404</v>
      </c>
      <c r="BK408" s="10">
        <f t="shared" si="69"/>
        <v>12</v>
      </c>
      <c r="BL408" s="10">
        <f t="shared" si="70"/>
        <v>8</v>
      </c>
    </row>
    <row r="409" spans="62:64" x14ac:dyDescent="0.25">
      <c r="BJ409" s="13">
        <f t="shared" si="68"/>
        <v>405</v>
      </c>
      <c r="BK409" s="10">
        <f t="shared" si="69"/>
        <v>12</v>
      </c>
      <c r="BL409" s="10">
        <f t="shared" si="70"/>
        <v>9</v>
      </c>
    </row>
    <row r="410" spans="62:64" x14ac:dyDescent="0.25">
      <c r="BJ410" s="13">
        <f t="shared" si="68"/>
        <v>406</v>
      </c>
      <c r="BK410" s="10">
        <f t="shared" si="69"/>
        <v>12</v>
      </c>
      <c r="BL410" s="10">
        <f t="shared" si="70"/>
        <v>10</v>
      </c>
    </row>
    <row r="411" spans="62:64" x14ac:dyDescent="0.25">
      <c r="BJ411" s="13">
        <f t="shared" si="68"/>
        <v>407</v>
      </c>
      <c r="BK411" s="10">
        <f t="shared" si="69"/>
        <v>12</v>
      </c>
      <c r="BL411" s="10">
        <f t="shared" si="70"/>
        <v>11</v>
      </c>
    </row>
    <row r="412" spans="62:64" x14ac:dyDescent="0.25">
      <c r="BJ412" s="13">
        <f t="shared" si="68"/>
        <v>408</v>
      </c>
      <c r="BK412" s="10">
        <f t="shared" si="69"/>
        <v>12</v>
      </c>
      <c r="BL412" s="10">
        <f t="shared" si="70"/>
        <v>12</v>
      </c>
    </row>
    <row r="413" spans="62:64" x14ac:dyDescent="0.25">
      <c r="BJ413" s="13">
        <f t="shared" si="68"/>
        <v>409</v>
      </c>
      <c r="BK413" s="10">
        <f t="shared" si="69"/>
        <v>12</v>
      </c>
      <c r="BL413" s="10">
        <f t="shared" si="70"/>
        <v>13</v>
      </c>
    </row>
    <row r="414" spans="62:64" x14ac:dyDescent="0.25">
      <c r="BJ414" s="13">
        <f t="shared" si="68"/>
        <v>410</v>
      </c>
      <c r="BK414" s="10">
        <f t="shared" si="69"/>
        <v>12</v>
      </c>
      <c r="BL414" s="10">
        <f t="shared" si="70"/>
        <v>14</v>
      </c>
    </row>
    <row r="415" spans="62:64" x14ac:dyDescent="0.25">
      <c r="BJ415" s="13">
        <f t="shared" si="68"/>
        <v>411</v>
      </c>
      <c r="BK415" s="10">
        <f t="shared" si="69"/>
        <v>12</v>
      </c>
      <c r="BL415" s="10">
        <f t="shared" si="70"/>
        <v>15</v>
      </c>
    </row>
    <row r="416" spans="62:64" x14ac:dyDescent="0.25">
      <c r="BJ416" s="13">
        <f t="shared" si="68"/>
        <v>412</v>
      </c>
      <c r="BK416" s="10">
        <f t="shared" si="69"/>
        <v>12</v>
      </c>
      <c r="BL416" s="10">
        <f t="shared" si="70"/>
        <v>16</v>
      </c>
    </row>
    <row r="417" spans="62:64" x14ac:dyDescent="0.25">
      <c r="BJ417" s="13">
        <f t="shared" si="68"/>
        <v>413</v>
      </c>
      <c r="BK417" s="10">
        <f t="shared" si="69"/>
        <v>12</v>
      </c>
      <c r="BL417" s="10">
        <f t="shared" si="70"/>
        <v>17</v>
      </c>
    </row>
    <row r="418" spans="62:64" x14ac:dyDescent="0.25">
      <c r="BJ418" s="13">
        <f t="shared" si="68"/>
        <v>414</v>
      </c>
      <c r="BK418" s="10">
        <f t="shared" si="69"/>
        <v>12</v>
      </c>
      <c r="BL418" s="10">
        <f t="shared" si="70"/>
        <v>18</v>
      </c>
    </row>
    <row r="419" spans="62:64" x14ac:dyDescent="0.25">
      <c r="BJ419" s="13">
        <f t="shared" si="68"/>
        <v>415</v>
      </c>
      <c r="BK419" s="10">
        <f t="shared" si="69"/>
        <v>12</v>
      </c>
      <c r="BL419" s="10">
        <f t="shared" si="70"/>
        <v>19</v>
      </c>
    </row>
    <row r="420" spans="62:64" x14ac:dyDescent="0.25">
      <c r="BJ420" s="13">
        <f t="shared" si="68"/>
        <v>416</v>
      </c>
      <c r="BK420" s="10">
        <f t="shared" si="69"/>
        <v>12</v>
      </c>
      <c r="BL420" s="10">
        <f t="shared" si="70"/>
        <v>20</v>
      </c>
    </row>
    <row r="421" spans="62:64" x14ac:dyDescent="0.25">
      <c r="BJ421" s="13">
        <f t="shared" si="68"/>
        <v>417</v>
      </c>
      <c r="BK421" s="10">
        <f t="shared" si="69"/>
        <v>12</v>
      </c>
      <c r="BL421" s="10">
        <f t="shared" si="70"/>
        <v>21</v>
      </c>
    </row>
    <row r="422" spans="62:64" x14ac:dyDescent="0.25">
      <c r="BJ422" s="13">
        <f t="shared" si="68"/>
        <v>418</v>
      </c>
      <c r="BK422" s="10">
        <f t="shared" si="69"/>
        <v>12</v>
      </c>
      <c r="BL422" s="10">
        <f t="shared" si="70"/>
        <v>22</v>
      </c>
    </row>
    <row r="423" spans="62:64" x14ac:dyDescent="0.25">
      <c r="BJ423" s="13">
        <f t="shared" si="68"/>
        <v>419</v>
      </c>
      <c r="BK423" s="10">
        <f t="shared" si="69"/>
        <v>12</v>
      </c>
      <c r="BL423" s="10">
        <f t="shared" si="70"/>
        <v>23</v>
      </c>
    </row>
    <row r="424" spans="62:64" x14ac:dyDescent="0.25">
      <c r="BJ424" s="13">
        <f t="shared" si="68"/>
        <v>420</v>
      </c>
      <c r="BK424" s="10">
        <f t="shared" si="69"/>
        <v>12</v>
      </c>
      <c r="BL424" s="10">
        <f t="shared" si="70"/>
        <v>24</v>
      </c>
    </row>
    <row r="425" spans="62:64" x14ac:dyDescent="0.25">
      <c r="BJ425" s="13">
        <f t="shared" si="68"/>
        <v>421</v>
      </c>
      <c r="BK425" s="10">
        <f t="shared" si="69"/>
        <v>12</v>
      </c>
      <c r="BL425" s="10">
        <f t="shared" si="70"/>
        <v>25</v>
      </c>
    </row>
    <row r="426" spans="62:64" x14ac:dyDescent="0.25">
      <c r="BJ426" s="13">
        <f t="shared" si="68"/>
        <v>422</v>
      </c>
      <c r="BK426" s="10">
        <f t="shared" si="69"/>
        <v>12</v>
      </c>
      <c r="BL426" s="10">
        <f t="shared" si="70"/>
        <v>26</v>
      </c>
    </row>
    <row r="427" spans="62:64" x14ac:dyDescent="0.25">
      <c r="BJ427" s="13">
        <f t="shared" si="68"/>
        <v>423</v>
      </c>
      <c r="BK427" s="10">
        <f t="shared" si="69"/>
        <v>12</v>
      </c>
      <c r="BL427" s="10">
        <f t="shared" si="70"/>
        <v>27</v>
      </c>
    </row>
    <row r="428" spans="62:64" x14ac:dyDescent="0.25">
      <c r="BJ428" s="13">
        <f t="shared" si="68"/>
        <v>424</v>
      </c>
      <c r="BK428" s="10">
        <f t="shared" si="69"/>
        <v>12</v>
      </c>
      <c r="BL428" s="10">
        <f t="shared" si="70"/>
        <v>28</v>
      </c>
    </row>
    <row r="429" spans="62:64" x14ac:dyDescent="0.25">
      <c r="BJ429" s="13">
        <f t="shared" si="68"/>
        <v>425</v>
      </c>
      <c r="BK429" s="10">
        <f t="shared" si="69"/>
        <v>12</v>
      </c>
      <c r="BL429" s="10">
        <f t="shared" si="70"/>
        <v>29</v>
      </c>
    </row>
    <row r="430" spans="62:64" x14ac:dyDescent="0.25">
      <c r="BJ430" s="13">
        <f t="shared" si="68"/>
        <v>426</v>
      </c>
      <c r="BK430" s="10">
        <f t="shared" si="69"/>
        <v>12</v>
      </c>
      <c r="BL430" s="10">
        <f t="shared" si="70"/>
        <v>30</v>
      </c>
    </row>
    <row r="431" spans="62:64" x14ac:dyDescent="0.25">
      <c r="BJ431" s="13">
        <f t="shared" si="68"/>
        <v>427</v>
      </c>
      <c r="BK431" s="10">
        <f t="shared" si="69"/>
        <v>12</v>
      </c>
      <c r="BL431" s="10">
        <f t="shared" si="70"/>
        <v>31</v>
      </c>
    </row>
    <row r="432" spans="62:64" x14ac:dyDescent="0.25">
      <c r="BJ432" s="13">
        <f t="shared" si="68"/>
        <v>428</v>
      </c>
      <c r="BK432" s="10">
        <f t="shared" si="69"/>
        <v>12</v>
      </c>
      <c r="BL432" s="10">
        <f t="shared" si="70"/>
        <v>32</v>
      </c>
    </row>
    <row r="433" spans="62:64" x14ac:dyDescent="0.25">
      <c r="BJ433" s="13">
        <f t="shared" si="68"/>
        <v>429</v>
      </c>
      <c r="BK433" s="10">
        <f t="shared" si="69"/>
        <v>12</v>
      </c>
      <c r="BL433" s="10">
        <f t="shared" si="70"/>
        <v>33</v>
      </c>
    </row>
    <row r="434" spans="62:64" x14ac:dyDescent="0.25">
      <c r="BJ434" s="13">
        <f t="shared" si="68"/>
        <v>430</v>
      </c>
      <c r="BK434" s="10">
        <f t="shared" si="69"/>
        <v>12</v>
      </c>
      <c r="BL434" s="10">
        <f t="shared" si="70"/>
        <v>34</v>
      </c>
    </row>
    <row r="435" spans="62:64" x14ac:dyDescent="0.25">
      <c r="BJ435" s="13">
        <f t="shared" si="68"/>
        <v>431</v>
      </c>
      <c r="BK435" s="10">
        <f t="shared" si="69"/>
        <v>12</v>
      </c>
      <c r="BL435" s="10">
        <f t="shared" si="70"/>
        <v>35</v>
      </c>
    </row>
    <row r="436" spans="62:64" x14ac:dyDescent="0.25">
      <c r="BJ436" s="13">
        <f t="shared" si="68"/>
        <v>432</v>
      </c>
      <c r="BK436" s="10">
        <f t="shared" si="69"/>
        <v>12</v>
      </c>
      <c r="BL436" s="10">
        <f t="shared" si="70"/>
        <v>36</v>
      </c>
    </row>
    <row r="437" spans="62:64" x14ac:dyDescent="0.25">
      <c r="BJ437" s="13">
        <f t="shared" si="68"/>
        <v>433</v>
      </c>
      <c r="BK437" s="10">
        <f t="shared" si="69"/>
        <v>13</v>
      </c>
      <c r="BL437" s="10">
        <f t="shared" si="70"/>
        <v>1</v>
      </c>
    </row>
    <row r="438" spans="62:64" x14ac:dyDescent="0.25">
      <c r="BJ438" s="13">
        <f t="shared" si="68"/>
        <v>434</v>
      </c>
      <c r="BK438" s="10">
        <f t="shared" si="69"/>
        <v>13</v>
      </c>
      <c r="BL438" s="10">
        <f t="shared" si="70"/>
        <v>2</v>
      </c>
    </row>
    <row r="439" spans="62:64" x14ac:dyDescent="0.25">
      <c r="BJ439" s="13">
        <f t="shared" si="68"/>
        <v>435</v>
      </c>
      <c r="BK439" s="10">
        <f t="shared" si="69"/>
        <v>13</v>
      </c>
      <c r="BL439" s="10">
        <f t="shared" si="70"/>
        <v>3</v>
      </c>
    </row>
    <row r="440" spans="62:64" x14ac:dyDescent="0.25">
      <c r="BJ440" s="13">
        <f t="shared" si="68"/>
        <v>436</v>
      </c>
      <c r="BK440" s="10">
        <f t="shared" si="69"/>
        <v>13</v>
      </c>
      <c r="BL440" s="10">
        <f t="shared" si="70"/>
        <v>4</v>
      </c>
    </row>
    <row r="441" spans="62:64" x14ac:dyDescent="0.25">
      <c r="BJ441" s="13">
        <f t="shared" si="68"/>
        <v>437</v>
      </c>
      <c r="BK441" s="10">
        <f t="shared" si="69"/>
        <v>13</v>
      </c>
      <c r="BL441" s="10">
        <f t="shared" si="70"/>
        <v>5</v>
      </c>
    </row>
    <row r="442" spans="62:64" x14ac:dyDescent="0.25">
      <c r="BJ442" s="13">
        <f t="shared" si="68"/>
        <v>438</v>
      </c>
      <c r="BK442" s="10">
        <f t="shared" si="69"/>
        <v>13</v>
      </c>
      <c r="BL442" s="10">
        <f t="shared" si="70"/>
        <v>6</v>
      </c>
    </row>
    <row r="443" spans="62:64" x14ac:dyDescent="0.25">
      <c r="BJ443" s="13">
        <f t="shared" si="68"/>
        <v>439</v>
      </c>
      <c r="BK443" s="10">
        <f t="shared" si="69"/>
        <v>13</v>
      </c>
      <c r="BL443" s="10">
        <f t="shared" si="70"/>
        <v>7</v>
      </c>
    </row>
    <row r="444" spans="62:64" x14ac:dyDescent="0.25">
      <c r="BJ444" s="13">
        <f t="shared" si="68"/>
        <v>440</v>
      </c>
      <c r="BK444" s="10">
        <f t="shared" si="69"/>
        <v>13</v>
      </c>
      <c r="BL444" s="10">
        <f t="shared" si="70"/>
        <v>8</v>
      </c>
    </row>
    <row r="445" spans="62:64" x14ac:dyDescent="0.25">
      <c r="BJ445" s="13">
        <f t="shared" si="68"/>
        <v>441</v>
      </c>
      <c r="BK445" s="10">
        <f t="shared" si="69"/>
        <v>13</v>
      </c>
      <c r="BL445" s="10">
        <f t="shared" si="70"/>
        <v>9</v>
      </c>
    </row>
    <row r="446" spans="62:64" x14ac:dyDescent="0.25">
      <c r="BJ446" s="13">
        <f t="shared" si="68"/>
        <v>442</v>
      </c>
      <c r="BK446" s="10">
        <f t="shared" si="69"/>
        <v>13</v>
      </c>
      <c r="BL446" s="10">
        <f t="shared" si="70"/>
        <v>10</v>
      </c>
    </row>
    <row r="447" spans="62:64" x14ac:dyDescent="0.25">
      <c r="BJ447" s="13">
        <f t="shared" si="68"/>
        <v>443</v>
      </c>
      <c r="BK447" s="10">
        <f t="shared" si="69"/>
        <v>13</v>
      </c>
      <c r="BL447" s="10">
        <f t="shared" si="70"/>
        <v>11</v>
      </c>
    </row>
    <row r="448" spans="62:64" x14ac:dyDescent="0.25">
      <c r="BJ448" s="13">
        <f t="shared" si="68"/>
        <v>444</v>
      </c>
      <c r="BK448" s="10">
        <f t="shared" si="69"/>
        <v>13</v>
      </c>
      <c r="BL448" s="10">
        <f t="shared" si="70"/>
        <v>12</v>
      </c>
    </row>
    <row r="449" spans="62:64" x14ac:dyDescent="0.25">
      <c r="BJ449" s="13">
        <f t="shared" si="68"/>
        <v>445</v>
      </c>
      <c r="BK449" s="10">
        <f t="shared" si="69"/>
        <v>13</v>
      </c>
      <c r="BL449" s="10">
        <f t="shared" si="70"/>
        <v>13</v>
      </c>
    </row>
    <row r="450" spans="62:64" x14ac:dyDescent="0.25">
      <c r="BJ450" s="13">
        <f t="shared" si="68"/>
        <v>446</v>
      </c>
      <c r="BK450" s="10">
        <f t="shared" si="69"/>
        <v>13</v>
      </c>
      <c r="BL450" s="10">
        <f t="shared" si="70"/>
        <v>14</v>
      </c>
    </row>
    <row r="451" spans="62:64" x14ac:dyDescent="0.25">
      <c r="BJ451" s="13">
        <f t="shared" si="68"/>
        <v>447</v>
      </c>
      <c r="BK451" s="10">
        <f t="shared" si="69"/>
        <v>13</v>
      </c>
      <c r="BL451" s="10">
        <f t="shared" si="70"/>
        <v>15</v>
      </c>
    </row>
    <row r="452" spans="62:64" x14ac:dyDescent="0.25">
      <c r="BJ452" s="13">
        <f t="shared" si="68"/>
        <v>448</v>
      </c>
      <c r="BK452" s="10">
        <f t="shared" si="69"/>
        <v>13</v>
      </c>
      <c r="BL452" s="10">
        <f t="shared" si="70"/>
        <v>16</v>
      </c>
    </row>
    <row r="453" spans="62:64" x14ac:dyDescent="0.25">
      <c r="BJ453" s="13">
        <f t="shared" si="68"/>
        <v>449</v>
      </c>
      <c r="BK453" s="10">
        <f t="shared" si="69"/>
        <v>13</v>
      </c>
      <c r="BL453" s="10">
        <f t="shared" si="70"/>
        <v>17</v>
      </c>
    </row>
    <row r="454" spans="62:64" x14ac:dyDescent="0.25">
      <c r="BJ454" s="13">
        <f t="shared" ref="BJ454:BJ517" si="71">IF(ROW()-BJ$3&lt;=$BJ$4,ROW()-ROW(BJ$4),"")</f>
        <v>450</v>
      </c>
      <c r="BK454" s="10">
        <f t="shared" si="69"/>
        <v>13</v>
      </c>
      <c r="BL454" s="10">
        <f t="shared" si="70"/>
        <v>18</v>
      </c>
    </row>
    <row r="455" spans="62:64" x14ac:dyDescent="0.25">
      <c r="BJ455" s="13">
        <f t="shared" si="71"/>
        <v>451</v>
      </c>
      <c r="BK455" s="10">
        <f t="shared" ref="BK455:BK518" si="72">IF(ISNUMBER(BJ455),INT(BJ454/$BL$4)+1,"")</f>
        <v>13</v>
      </c>
      <c r="BL455" s="10">
        <f t="shared" ref="BL455:BL518" si="73">IF(ISNUMBER(BJ455),IF(BK454&lt;&gt;BK455,1,BL454+1),"")</f>
        <v>19</v>
      </c>
    </row>
    <row r="456" spans="62:64" x14ac:dyDescent="0.25">
      <c r="BJ456" s="13">
        <f t="shared" si="71"/>
        <v>452</v>
      </c>
      <c r="BK456" s="10">
        <f t="shared" si="72"/>
        <v>13</v>
      </c>
      <c r="BL456" s="10">
        <f t="shared" si="73"/>
        <v>20</v>
      </c>
    </row>
    <row r="457" spans="62:64" x14ac:dyDescent="0.25">
      <c r="BJ457" s="13">
        <f t="shared" si="71"/>
        <v>453</v>
      </c>
      <c r="BK457" s="10">
        <f t="shared" si="72"/>
        <v>13</v>
      </c>
      <c r="BL457" s="10">
        <f t="shared" si="73"/>
        <v>21</v>
      </c>
    </row>
    <row r="458" spans="62:64" x14ac:dyDescent="0.25">
      <c r="BJ458" s="13">
        <f t="shared" si="71"/>
        <v>454</v>
      </c>
      <c r="BK458" s="10">
        <f t="shared" si="72"/>
        <v>13</v>
      </c>
      <c r="BL458" s="10">
        <f t="shared" si="73"/>
        <v>22</v>
      </c>
    </row>
    <row r="459" spans="62:64" x14ac:dyDescent="0.25">
      <c r="BJ459" s="13">
        <f t="shared" si="71"/>
        <v>455</v>
      </c>
      <c r="BK459" s="10">
        <f t="shared" si="72"/>
        <v>13</v>
      </c>
      <c r="BL459" s="10">
        <f t="shared" si="73"/>
        <v>23</v>
      </c>
    </row>
    <row r="460" spans="62:64" x14ac:dyDescent="0.25">
      <c r="BJ460" s="13">
        <f t="shared" si="71"/>
        <v>456</v>
      </c>
      <c r="BK460" s="10">
        <f t="shared" si="72"/>
        <v>13</v>
      </c>
      <c r="BL460" s="10">
        <f t="shared" si="73"/>
        <v>24</v>
      </c>
    </row>
    <row r="461" spans="62:64" x14ac:dyDescent="0.25">
      <c r="BJ461" s="13">
        <f t="shared" si="71"/>
        <v>457</v>
      </c>
      <c r="BK461" s="10">
        <f t="shared" si="72"/>
        <v>13</v>
      </c>
      <c r="BL461" s="10">
        <f t="shared" si="73"/>
        <v>25</v>
      </c>
    </row>
    <row r="462" spans="62:64" x14ac:dyDescent="0.25">
      <c r="BJ462" s="13">
        <f t="shared" si="71"/>
        <v>458</v>
      </c>
      <c r="BK462" s="10">
        <f t="shared" si="72"/>
        <v>13</v>
      </c>
      <c r="BL462" s="10">
        <f t="shared" si="73"/>
        <v>26</v>
      </c>
    </row>
    <row r="463" spans="62:64" x14ac:dyDescent="0.25">
      <c r="BJ463" s="13">
        <f t="shared" si="71"/>
        <v>459</v>
      </c>
      <c r="BK463" s="10">
        <f t="shared" si="72"/>
        <v>13</v>
      </c>
      <c r="BL463" s="10">
        <f t="shared" si="73"/>
        <v>27</v>
      </c>
    </row>
    <row r="464" spans="62:64" x14ac:dyDescent="0.25">
      <c r="BJ464" s="13">
        <f t="shared" si="71"/>
        <v>460</v>
      </c>
      <c r="BK464" s="10">
        <f t="shared" si="72"/>
        <v>13</v>
      </c>
      <c r="BL464" s="10">
        <f t="shared" si="73"/>
        <v>28</v>
      </c>
    </row>
    <row r="465" spans="62:64" x14ac:dyDescent="0.25">
      <c r="BJ465" s="13">
        <f t="shared" si="71"/>
        <v>461</v>
      </c>
      <c r="BK465" s="10">
        <f t="shared" si="72"/>
        <v>13</v>
      </c>
      <c r="BL465" s="10">
        <f t="shared" si="73"/>
        <v>29</v>
      </c>
    </row>
    <row r="466" spans="62:64" x14ac:dyDescent="0.25">
      <c r="BJ466" s="13">
        <f t="shared" si="71"/>
        <v>462</v>
      </c>
      <c r="BK466" s="10">
        <f t="shared" si="72"/>
        <v>13</v>
      </c>
      <c r="BL466" s="10">
        <f t="shared" si="73"/>
        <v>30</v>
      </c>
    </row>
    <row r="467" spans="62:64" x14ac:dyDescent="0.25">
      <c r="BJ467" s="13">
        <f t="shared" si="71"/>
        <v>463</v>
      </c>
      <c r="BK467" s="10">
        <f t="shared" si="72"/>
        <v>13</v>
      </c>
      <c r="BL467" s="10">
        <f t="shared" si="73"/>
        <v>31</v>
      </c>
    </row>
    <row r="468" spans="62:64" x14ac:dyDescent="0.25">
      <c r="BJ468" s="13">
        <f t="shared" si="71"/>
        <v>464</v>
      </c>
      <c r="BK468" s="10">
        <f t="shared" si="72"/>
        <v>13</v>
      </c>
      <c r="BL468" s="10">
        <f t="shared" si="73"/>
        <v>32</v>
      </c>
    </row>
    <row r="469" spans="62:64" x14ac:dyDescent="0.25">
      <c r="BJ469" s="13">
        <f t="shared" si="71"/>
        <v>465</v>
      </c>
      <c r="BK469" s="10">
        <f t="shared" si="72"/>
        <v>13</v>
      </c>
      <c r="BL469" s="10">
        <f t="shared" si="73"/>
        <v>33</v>
      </c>
    </row>
    <row r="470" spans="62:64" x14ac:dyDescent="0.25">
      <c r="BJ470" s="13">
        <f t="shared" si="71"/>
        <v>466</v>
      </c>
      <c r="BK470" s="10">
        <f t="shared" si="72"/>
        <v>13</v>
      </c>
      <c r="BL470" s="10">
        <f t="shared" si="73"/>
        <v>34</v>
      </c>
    </row>
    <row r="471" spans="62:64" x14ac:dyDescent="0.25">
      <c r="BJ471" s="13">
        <f t="shared" si="71"/>
        <v>467</v>
      </c>
      <c r="BK471" s="10">
        <f t="shared" si="72"/>
        <v>13</v>
      </c>
      <c r="BL471" s="10">
        <f t="shared" si="73"/>
        <v>35</v>
      </c>
    </row>
    <row r="472" spans="62:64" x14ac:dyDescent="0.25">
      <c r="BJ472" s="13">
        <f t="shared" si="71"/>
        <v>468</v>
      </c>
      <c r="BK472" s="10">
        <f t="shared" si="72"/>
        <v>13</v>
      </c>
      <c r="BL472" s="10">
        <f t="shared" si="73"/>
        <v>36</v>
      </c>
    </row>
    <row r="473" spans="62:64" x14ac:dyDescent="0.25">
      <c r="BJ473" s="13">
        <f t="shared" si="71"/>
        <v>469</v>
      </c>
      <c r="BK473" s="10">
        <f t="shared" si="72"/>
        <v>14</v>
      </c>
      <c r="BL473" s="10">
        <f t="shared" si="73"/>
        <v>1</v>
      </c>
    </row>
    <row r="474" spans="62:64" x14ac:dyDescent="0.25">
      <c r="BJ474" s="13">
        <f t="shared" si="71"/>
        <v>470</v>
      </c>
      <c r="BK474" s="10">
        <f t="shared" si="72"/>
        <v>14</v>
      </c>
      <c r="BL474" s="10">
        <f t="shared" si="73"/>
        <v>2</v>
      </c>
    </row>
    <row r="475" spans="62:64" x14ac:dyDescent="0.25">
      <c r="BJ475" s="13">
        <f t="shared" si="71"/>
        <v>471</v>
      </c>
      <c r="BK475" s="10">
        <f t="shared" si="72"/>
        <v>14</v>
      </c>
      <c r="BL475" s="10">
        <f t="shared" si="73"/>
        <v>3</v>
      </c>
    </row>
    <row r="476" spans="62:64" x14ac:dyDescent="0.25">
      <c r="BJ476" s="13">
        <f t="shared" si="71"/>
        <v>472</v>
      </c>
      <c r="BK476" s="10">
        <f t="shared" si="72"/>
        <v>14</v>
      </c>
      <c r="BL476" s="10">
        <f t="shared" si="73"/>
        <v>4</v>
      </c>
    </row>
    <row r="477" spans="62:64" x14ac:dyDescent="0.25">
      <c r="BJ477" s="13">
        <f t="shared" si="71"/>
        <v>473</v>
      </c>
      <c r="BK477" s="10">
        <f t="shared" si="72"/>
        <v>14</v>
      </c>
      <c r="BL477" s="10">
        <f t="shared" si="73"/>
        <v>5</v>
      </c>
    </row>
    <row r="478" spans="62:64" x14ac:dyDescent="0.25">
      <c r="BJ478" s="13">
        <f t="shared" si="71"/>
        <v>474</v>
      </c>
      <c r="BK478" s="10">
        <f t="shared" si="72"/>
        <v>14</v>
      </c>
      <c r="BL478" s="10">
        <f t="shared" si="73"/>
        <v>6</v>
      </c>
    </row>
    <row r="479" spans="62:64" x14ac:dyDescent="0.25">
      <c r="BJ479" s="13">
        <f t="shared" si="71"/>
        <v>475</v>
      </c>
      <c r="BK479" s="10">
        <f t="shared" si="72"/>
        <v>14</v>
      </c>
      <c r="BL479" s="10">
        <f t="shared" si="73"/>
        <v>7</v>
      </c>
    </row>
    <row r="480" spans="62:64" x14ac:dyDescent="0.25">
      <c r="BJ480" s="13">
        <f t="shared" si="71"/>
        <v>476</v>
      </c>
      <c r="BK480" s="10">
        <f t="shared" si="72"/>
        <v>14</v>
      </c>
      <c r="BL480" s="10">
        <f t="shared" si="73"/>
        <v>8</v>
      </c>
    </row>
    <row r="481" spans="62:64" x14ac:dyDescent="0.25">
      <c r="BJ481" s="13">
        <f t="shared" si="71"/>
        <v>477</v>
      </c>
      <c r="BK481" s="10">
        <f t="shared" si="72"/>
        <v>14</v>
      </c>
      <c r="BL481" s="10">
        <f t="shared" si="73"/>
        <v>9</v>
      </c>
    </row>
    <row r="482" spans="62:64" x14ac:dyDescent="0.25">
      <c r="BJ482" s="13">
        <f t="shared" si="71"/>
        <v>478</v>
      </c>
      <c r="BK482" s="10">
        <f t="shared" si="72"/>
        <v>14</v>
      </c>
      <c r="BL482" s="10">
        <f t="shared" si="73"/>
        <v>10</v>
      </c>
    </row>
    <row r="483" spans="62:64" x14ac:dyDescent="0.25">
      <c r="BJ483" s="13">
        <f t="shared" si="71"/>
        <v>479</v>
      </c>
      <c r="BK483" s="10">
        <f t="shared" si="72"/>
        <v>14</v>
      </c>
      <c r="BL483" s="10">
        <f t="shared" si="73"/>
        <v>11</v>
      </c>
    </row>
    <row r="484" spans="62:64" x14ac:dyDescent="0.25">
      <c r="BJ484" s="13">
        <f t="shared" si="71"/>
        <v>480</v>
      </c>
      <c r="BK484" s="10">
        <f t="shared" si="72"/>
        <v>14</v>
      </c>
      <c r="BL484" s="10">
        <f t="shared" si="73"/>
        <v>12</v>
      </c>
    </row>
    <row r="485" spans="62:64" x14ac:dyDescent="0.25">
      <c r="BJ485" s="13">
        <f t="shared" si="71"/>
        <v>481</v>
      </c>
      <c r="BK485" s="10">
        <f t="shared" si="72"/>
        <v>14</v>
      </c>
      <c r="BL485" s="10">
        <f t="shared" si="73"/>
        <v>13</v>
      </c>
    </row>
    <row r="486" spans="62:64" x14ac:dyDescent="0.25">
      <c r="BJ486" s="13">
        <f t="shared" si="71"/>
        <v>482</v>
      </c>
      <c r="BK486" s="10">
        <f t="shared" si="72"/>
        <v>14</v>
      </c>
      <c r="BL486" s="10">
        <f t="shared" si="73"/>
        <v>14</v>
      </c>
    </row>
    <row r="487" spans="62:64" x14ac:dyDescent="0.25">
      <c r="BJ487" s="13">
        <f t="shared" si="71"/>
        <v>483</v>
      </c>
      <c r="BK487" s="10">
        <f t="shared" si="72"/>
        <v>14</v>
      </c>
      <c r="BL487" s="10">
        <f t="shared" si="73"/>
        <v>15</v>
      </c>
    </row>
    <row r="488" spans="62:64" x14ac:dyDescent="0.25">
      <c r="BJ488" s="13">
        <f t="shared" si="71"/>
        <v>484</v>
      </c>
      <c r="BK488" s="10">
        <f t="shared" si="72"/>
        <v>14</v>
      </c>
      <c r="BL488" s="10">
        <f t="shared" si="73"/>
        <v>16</v>
      </c>
    </row>
    <row r="489" spans="62:64" x14ac:dyDescent="0.25">
      <c r="BJ489" s="13">
        <f t="shared" si="71"/>
        <v>485</v>
      </c>
      <c r="BK489" s="10">
        <f t="shared" si="72"/>
        <v>14</v>
      </c>
      <c r="BL489" s="10">
        <f t="shared" si="73"/>
        <v>17</v>
      </c>
    </row>
    <row r="490" spans="62:64" x14ac:dyDescent="0.25">
      <c r="BJ490" s="13">
        <f t="shared" si="71"/>
        <v>486</v>
      </c>
      <c r="BK490" s="10">
        <f t="shared" si="72"/>
        <v>14</v>
      </c>
      <c r="BL490" s="10">
        <f t="shared" si="73"/>
        <v>18</v>
      </c>
    </row>
    <row r="491" spans="62:64" x14ac:dyDescent="0.25">
      <c r="BJ491" s="13">
        <f t="shared" si="71"/>
        <v>487</v>
      </c>
      <c r="BK491" s="10">
        <f t="shared" si="72"/>
        <v>14</v>
      </c>
      <c r="BL491" s="10">
        <f t="shared" si="73"/>
        <v>19</v>
      </c>
    </row>
    <row r="492" spans="62:64" x14ac:dyDescent="0.25">
      <c r="BJ492" s="13">
        <f t="shared" si="71"/>
        <v>488</v>
      </c>
      <c r="BK492" s="10">
        <f t="shared" si="72"/>
        <v>14</v>
      </c>
      <c r="BL492" s="10">
        <f t="shared" si="73"/>
        <v>20</v>
      </c>
    </row>
    <row r="493" spans="62:64" x14ac:dyDescent="0.25">
      <c r="BJ493" s="13">
        <f t="shared" si="71"/>
        <v>489</v>
      </c>
      <c r="BK493" s="10">
        <f t="shared" si="72"/>
        <v>14</v>
      </c>
      <c r="BL493" s="10">
        <f t="shared" si="73"/>
        <v>21</v>
      </c>
    </row>
    <row r="494" spans="62:64" x14ac:dyDescent="0.25">
      <c r="BJ494" s="13">
        <f t="shared" si="71"/>
        <v>490</v>
      </c>
      <c r="BK494" s="10">
        <f t="shared" si="72"/>
        <v>14</v>
      </c>
      <c r="BL494" s="10">
        <f t="shared" si="73"/>
        <v>22</v>
      </c>
    </row>
    <row r="495" spans="62:64" x14ac:dyDescent="0.25">
      <c r="BJ495" s="13">
        <f t="shared" si="71"/>
        <v>491</v>
      </c>
      <c r="BK495" s="10">
        <f t="shared" si="72"/>
        <v>14</v>
      </c>
      <c r="BL495" s="10">
        <f t="shared" si="73"/>
        <v>23</v>
      </c>
    </row>
    <row r="496" spans="62:64" x14ac:dyDescent="0.25">
      <c r="BJ496" s="13">
        <f t="shared" si="71"/>
        <v>492</v>
      </c>
      <c r="BK496" s="10">
        <f t="shared" si="72"/>
        <v>14</v>
      </c>
      <c r="BL496" s="10">
        <f t="shared" si="73"/>
        <v>24</v>
      </c>
    </row>
    <row r="497" spans="62:64" x14ac:dyDescent="0.25">
      <c r="BJ497" s="13">
        <f t="shared" si="71"/>
        <v>493</v>
      </c>
      <c r="BK497" s="10">
        <f t="shared" si="72"/>
        <v>14</v>
      </c>
      <c r="BL497" s="10">
        <f t="shared" si="73"/>
        <v>25</v>
      </c>
    </row>
    <row r="498" spans="62:64" x14ac:dyDescent="0.25">
      <c r="BJ498" s="13">
        <f t="shared" si="71"/>
        <v>494</v>
      </c>
      <c r="BK498" s="10">
        <f t="shared" si="72"/>
        <v>14</v>
      </c>
      <c r="BL498" s="10">
        <f t="shared" si="73"/>
        <v>26</v>
      </c>
    </row>
    <row r="499" spans="62:64" x14ac:dyDescent="0.25">
      <c r="BJ499" s="13">
        <f t="shared" si="71"/>
        <v>495</v>
      </c>
      <c r="BK499" s="10">
        <f t="shared" si="72"/>
        <v>14</v>
      </c>
      <c r="BL499" s="10">
        <f t="shared" si="73"/>
        <v>27</v>
      </c>
    </row>
    <row r="500" spans="62:64" x14ac:dyDescent="0.25">
      <c r="BJ500" s="13">
        <f t="shared" si="71"/>
        <v>496</v>
      </c>
      <c r="BK500" s="10">
        <f t="shared" si="72"/>
        <v>14</v>
      </c>
      <c r="BL500" s="10">
        <f t="shared" si="73"/>
        <v>28</v>
      </c>
    </row>
    <row r="501" spans="62:64" x14ac:dyDescent="0.25">
      <c r="BJ501" s="13">
        <f t="shared" si="71"/>
        <v>497</v>
      </c>
      <c r="BK501" s="10">
        <f t="shared" si="72"/>
        <v>14</v>
      </c>
      <c r="BL501" s="10">
        <f t="shared" si="73"/>
        <v>29</v>
      </c>
    </row>
    <row r="502" spans="62:64" x14ac:dyDescent="0.25">
      <c r="BJ502" s="13">
        <f t="shared" si="71"/>
        <v>498</v>
      </c>
      <c r="BK502" s="10">
        <f t="shared" si="72"/>
        <v>14</v>
      </c>
      <c r="BL502" s="10">
        <f t="shared" si="73"/>
        <v>30</v>
      </c>
    </row>
    <row r="503" spans="62:64" x14ac:dyDescent="0.25">
      <c r="BJ503" s="13">
        <f t="shared" si="71"/>
        <v>499</v>
      </c>
      <c r="BK503" s="10">
        <f t="shared" si="72"/>
        <v>14</v>
      </c>
      <c r="BL503" s="10">
        <f t="shared" si="73"/>
        <v>31</v>
      </c>
    </row>
    <row r="504" spans="62:64" x14ac:dyDescent="0.25">
      <c r="BJ504" s="13">
        <f t="shared" si="71"/>
        <v>500</v>
      </c>
      <c r="BK504" s="10">
        <f t="shared" si="72"/>
        <v>14</v>
      </c>
      <c r="BL504" s="10">
        <f t="shared" si="73"/>
        <v>32</v>
      </c>
    </row>
    <row r="505" spans="62:64" x14ac:dyDescent="0.25">
      <c r="BJ505" s="13">
        <f t="shared" si="71"/>
        <v>501</v>
      </c>
      <c r="BK505" s="10">
        <f t="shared" si="72"/>
        <v>14</v>
      </c>
      <c r="BL505" s="10">
        <f t="shared" si="73"/>
        <v>33</v>
      </c>
    </row>
    <row r="506" spans="62:64" x14ac:dyDescent="0.25">
      <c r="BJ506" s="13">
        <f t="shared" si="71"/>
        <v>502</v>
      </c>
      <c r="BK506" s="10">
        <f t="shared" si="72"/>
        <v>14</v>
      </c>
      <c r="BL506" s="10">
        <f t="shared" si="73"/>
        <v>34</v>
      </c>
    </row>
    <row r="507" spans="62:64" x14ac:dyDescent="0.25">
      <c r="BJ507" s="13">
        <f t="shared" si="71"/>
        <v>503</v>
      </c>
      <c r="BK507" s="10">
        <f t="shared" si="72"/>
        <v>14</v>
      </c>
      <c r="BL507" s="10">
        <f t="shared" si="73"/>
        <v>35</v>
      </c>
    </row>
    <row r="508" spans="62:64" x14ac:dyDescent="0.25">
      <c r="BJ508" s="13">
        <f t="shared" si="71"/>
        <v>504</v>
      </c>
      <c r="BK508" s="10">
        <f t="shared" si="72"/>
        <v>14</v>
      </c>
      <c r="BL508" s="10">
        <f t="shared" si="73"/>
        <v>36</v>
      </c>
    </row>
    <row r="509" spans="62:64" x14ac:dyDescent="0.25">
      <c r="BJ509" s="13">
        <f t="shared" si="71"/>
        <v>505</v>
      </c>
      <c r="BK509" s="10">
        <f t="shared" si="72"/>
        <v>15</v>
      </c>
      <c r="BL509" s="10">
        <f t="shared" si="73"/>
        <v>1</v>
      </c>
    </row>
    <row r="510" spans="62:64" x14ac:dyDescent="0.25">
      <c r="BJ510" s="13">
        <f t="shared" si="71"/>
        <v>506</v>
      </c>
      <c r="BK510" s="10">
        <f t="shared" si="72"/>
        <v>15</v>
      </c>
      <c r="BL510" s="10">
        <f t="shared" si="73"/>
        <v>2</v>
      </c>
    </row>
    <row r="511" spans="62:64" x14ac:dyDescent="0.25">
      <c r="BJ511" s="13">
        <f t="shared" si="71"/>
        <v>507</v>
      </c>
      <c r="BK511" s="10">
        <f t="shared" si="72"/>
        <v>15</v>
      </c>
      <c r="BL511" s="10">
        <f t="shared" si="73"/>
        <v>3</v>
      </c>
    </row>
    <row r="512" spans="62:64" x14ac:dyDescent="0.25">
      <c r="BJ512" s="13">
        <f t="shared" si="71"/>
        <v>508</v>
      </c>
      <c r="BK512" s="10">
        <f t="shared" si="72"/>
        <v>15</v>
      </c>
      <c r="BL512" s="10">
        <f t="shared" si="73"/>
        <v>4</v>
      </c>
    </row>
    <row r="513" spans="62:64" x14ac:dyDescent="0.25">
      <c r="BJ513" s="13">
        <f t="shared" si="71"/>
        <v>509</v>
      </c>
      <c r="BK513" s="10">
        <f t="shared" si="72"/>
        <v>15</v>
      </c>
      <c r="BL513" s="10">
        <f t="shared" si="73"/>
        <v>5</v>
      </c>
    </row>
    <row r="514" spans="62:64" x14ac:dyDescent="0.25">
      <c r="BJ514" s="13">
        <f t="shared" si="71"/>
        <v>510</v>
      </c>
      <c r="BK514" s="10">
        <f t="shared" si="72"/>
        <v>15</v>
      </c>
      <c r="BL514" s="10">
        <f t="shared" si="73"/>
        <v>6</v>
      </c>
    </row>
    <row r="515" spans="62:64" x14ac:dyDescent="0.25">
      <c r="BJ515" s="13">
        <f t="shared" si="71"/>
        <v>511</v>
      </c>
      <c r="BK515" s="10">
        <f t="shared" si="72"/>
        <v>15</v>
      </c>
      <c r="BL515" s="10">
        <f t="shared" si="73"/>
        <v>7</v>
      </c>
    </row>
    <row r="516" spans="62:64" x14ac:dyDescent="0.25">
      <c r="BJ516" s="13">
        <f t="shared" si="71"/>
        <v>512</v>
      </c>
      <c r="BK516" s="10">
        <f t="shared" si="72"/>
        <v>15</v>
      </c>
      <c r="BL516" s="10">
        <f t="shared" si="73"/>
        <v>8</v>
      </c>
    </row>
    <row r="517" spans="62:64" x14ac:dyDescent="0.25">
      <c r="BJ517" s="13">
        <f t="shared" si="71"/>
        <v>513</v>
      </c>
      <c r="BK517" s="10">
        <f t="shared" si="72"/>
        <v>15</v>
      </c>
      <c r="BL517" s="10">
        <f t="shared" si="73"/>
        <v>9</v>
      </c>
    </row>
    <row r="518" spans="62:64" x14ac:dyDescent="0.25">
      <c r="BJ518" s="13">
        <f t="shared" ref="BJ518:BJ581" si="74">IF(ROW()-BJ$3&lt;=$BJ$4,ROW()-ROW(BJ$4),"")</f>
        <v>514</v>
      </c>
      <c r="BK518" s="10">
        <f t="shared" si="72"/>
        <v>15</v>
      </c>
      <c r="BL518" s="10">
        <f t="shared" si="73"/>
        <v>10</v>
      </c>
    </row>
    <row r="519" spans="62:64" x14ac:dyDescent="0.25">
      <c r="BJ519" s="13">
        <f t="shared" si="74"/>
        <v>515</v>
      </c>
      <c r="BK519" s="10">
        <f t="shared" ref="BK519:BK582" si="75">IF(ISNUMBER(BJ519),INT(BJ518/$BL$4)+1,"")</f>
        <v>15</v>
      </c>
      <c r="BL519" s="10">
        <f t="shared" ref="BL519:BL582" si="76">IF(ISNUMBER(BJ519),IF(BK518&lt;&gt;BK519,1,BL518+1),"")</f>
        <v>11</v>
      </c>
    </row>
    <row r="520" spans="62:64" x14ac:dyDescent="0.25">
      <c r="BJ520" s="13">
        <f t="shared" si="74"/>
        <v>516</v>
      </c>
      <c r="BK520" s="10">
        <f t="shared" si="75"/>
        <v>15</v>
      </c>
      <c r="BL520" s="10">
        <f t="shared" si="76"/>
        <v>12</v>
      </c>
    </row>
    <row r="521" spans="62:64" x14ac:dyDescent="0.25">
      <c r="BJ521" s="13">
        <f t="shared" si="74"/>
        <v>517</v>
      </c>
      <c r="BK521" s="10">
        <f t="shared" si="75"/>
        <v>15</v>
      </c>
      <c r="BL521" s="10">
        <f t="shared" si="76"/>
        <v>13</v>
      </c>
    </row>
    <row r="522" spans="62:64" x14ac:dyDescent="0.25">
      <c r="BJ522" s="13">
        <f t="shared" si="74"/>
        <v>518</v>
      </c>
      <c r="BK522" s="10">
        <f t="shared" si="75"/>
        <v>15</v>
      </c>
      <c r="BL522" s="10">
        <f t="shared" si="76"/>
        <v>14</v>
      </c>
    </row>
    <row r="523" spans="62:64" x14ac:dyDescent="0.25">
      <c r="BJ523" s="13">
        <f t="shared" si="74"/>
        <v>519</v>
      </c>
      <c r="BK523" s="10">
        <f t="shared" si="75"/>
        <v>15</v>
      </c>
      <c r="BL523" s="10">
        <f t="shared" si="76"/>
        <v>15</v>
      </c>
    </row>
    <row r="524" spans="62:64" x14ac:dyDescent="0.25">
      <c r="BJ524" s="13">
        <f t="shared" si="74"/>
        <v>520</v>
      </c>
      <c r="BK524" s="10">
        <f t="shared" si="75"/>
        <v>15</v>
      </c>
      <c r="BL524" s="10">
        <f t="shared" si="76"/>
        <v>16</v>
      </c>
    </row>
    <row r="525" spans="62:64" x14ac:dyDescent="0.25">
      <c r="BJ525" s="13">
        <f t="shared" si="74"/>
        <v>521</v>
      </c>
      <c r="BK525" s="10">
        <f t="shared" si="75"/>
        <v>15</v>
      </c>
      <c r="BL525" s="10">
        <f t="shared" si="76"/>
        <v>17</v>
      </c>
    </row>
    <row r="526" spans="62:64" x14ac:dyDescent="0.25">
      <c r="BJ526" s="13">
        <f t="shared" si="74"/>
        <v>522</v>
      </c>
      <c r="BK526" s="10">
        <f t="shared" si="75"/>
        <v>15</v>
      </c>
      <c r="BL526" s="10">
        <f t="shared" si="76"/>
        <v>18</v>
      </c>
    </row>
    <row r="527" spans="62:64" x14ac:dyDescent="0.25">
      <c r="BJ527" s="13">
        <f t="shared" si="74"/>
        <v>523</v>
      </c>
      <c r="BK527" s="10">
        <f t="shared" si="75"/>
        <v>15</v>
      </c>
      <c r="BL527" s="10">
        <f t="shared" si="76"/>
        <v>19</v>
      </c>
    </row>
    <row r="528" spans="62:64" x14ac:dyDescent="0.25">
      <c r="BJ528" s="13">
        <f t="shared" si="74"/>
        <v>524</v>
      </c>
      <c r="BK528" s="10">
        <f t="shared" si="75"/>
        <v>15</v>
      </c>
      <c r="BL528" s="10">
        <f t="shared" si="76"/>
        <v>20</v>
      </c>
    </row>
    <row r="529" spans="62:64" x14ac:dyDescent="0.25">
      <c r="BJ529" s="13">
        <f t="shared" si="74"/>
        <v>525</v>
      </c>
      <c r="BK529" s="10">
        <f t="shared" si="75"/>
        <v>15</v>
      </c>
      <c r="BL529" s="10">
        <f t="shared" si="76"/>
        <v>21</v>
      </c>
    </row>
    <row r="530" spans="62:64" x14ac:dyDescent="0.25">
      <c r="BJ530" s="13">
        <f t="shared" si="74"/>
        <v>526</v>
      </c>
      <c r="BK530" s="10">
        <f t="shared" si="75"/>
        <v>15</v>
      </c>
      <c r="BL530" s="10">
        <f t="shared" si="76"/>
        <v>22</v>
      </c>
    </row>
    <row r="531" spans="62:64" x14ac:dyDescent="0.25">
      <c r="BJ531" s="13">
        <f t="shared" si="74"/>
        <v>527</v>
      </c>
      <c r="BK531" s="10">
        <f t="shared" si="75"/>
        <v>15</v>
      </c>
      <c r="BL531" s="10">
        <f t="shared" si="76"/>
        <v>23</v>
      </c>
    </row>
    <row r="532" spans="62:64" x14ac:dyDescent="0.25">
      <c r="BJ532" s="13">
        <f t="shared" si="74"/>
        <v>528</v>
      </c>
      <c r="BK532" s="10">
        <f t="shared" si="75"/>
        <v>15</v>
      </c>
      <c r="BL532" s="10">
        <f t="shared" si="76"/>
        <v>24</v>
      </c>
    </row>
    <row r="533" spans="62:64" x14ac:dyDescent="0.25">
      <c r="BJ533" s="13">
        <f t="shared" si="74"/>
        <v>529</v>
      </c>
      <c r="BK533" s="10">
        <f t="shared" si="75"/>
        <v>15</v>
      </c>
      <c r="BL533" s="10">
        <f t="shared" si="76"/>
        <v>25</v>
      </c>
    </row>
    <row r="534" spans="62:64" x14ac:dyDescent="0.25">
      <c r="BJ534" s="13">
        <f t="shared" si="74"/>
        <v>530</v>
      </c>
      <c r="BK534" s="10">
        <f t="shared" si="75"/>
        <v>15</v>
      </c>
      <c r="BL534" s="10">
        <f t="shared" si="76"/>
        <v>26</v>
      </c>
    </row>
    <row r="535" spans="62:64" x14ac:dyDescent="0.25">
      <c r="BJ535" s="13">
        <f t="shared" si="74"/>
        <v>531</v>
      </c>
      <c r="BK535" s="10">
        <f t="shared" si="75"/>
        <v>15</v>
      </c>
      <c r="BL535" s="10">
        <f t="shared" si="76"/>
        <v>27</v>
      </c>
    </row>
    <row r="536" spans="62:64" x14ac:dyDescent="0.25">
      <c r="BJ536" s="13">
        <f t="shared" si="74"/>
        <v>532</v>
      </c>
      <c r="BK536" s="10">
        <f t="shared" si="75"/>
        <v>15</v>
      </c>
      <c r="BL536" s="10">
        <f t="shared" si="76"/>
        <v>28</v>
      </c>
    </row>
    <row r="537" spans="62:64" x14ac:dyDescent="0.25">
      <c r="BJ537" s="13">
        <f t="shared" si="74"/>
        <v>533</v>
      </c>
      <c r="BK537" s="10">
        <f t="shared" si="75"/>
        <v>15</v>
      </c>
      <c r="BL537" s="10">
        <f t="shared" si="76"/>
        <v>29</v>
      </c>
    </row>
    <row r="538" spans="62:64" x14ac:dyDescent="0.25">
      <c r="BJ538" s="13">
        <f t="shared" si="74"/>
        <v>534</v>
      </c>
      <c r="BK538" s="10">
        <f t="shared" si="75"/>
        <v>15</v>
      </c>
      <c r="BL538" s="10">
        <f t="shared" si="76"/>
        <v>30</v>
      </c>
    </row>
    <row r="539" spans="62:64" x14ac:dyDescent="0.25">
      <c r="BJ539" s="13">
        <f t="shared" si="74"/>
        <v>535</v>
      </c>
      <c r="BK539" s="10">
        <f t="shared" si="75"/>
        <v>15</v>
      </c>
      <c r="BL539" s="10">
        <f t="shared" si="76"/>
        <v>31</v>
      </c>
    </row>
    <row r="540" spans="62:64" x14ac:dyDescent="0.25">
      <c r="BJ540" s="13">
        <f t="shared" si="74"/>
        <v>536</v>
      </c>
      <c r="BK540" s="10">
        <f t="shared" si="75"/>
        <v>15</v>
      </c>
      <c r="BL540" s="10">
        <f t="shared" si="76"/>
        <v>32</v>
      </c>
    </row>
    <row r="541" spans="62:64" x14ac:dyDescent="0.25">
      <c r="BJ541" s="13">
        <f t="shared" si="74"/>
        <v>537</v>
      </c>
      <c r="BK541" s="10">
        <f t="shared" si="75"/>
        <v>15</v>
      </c>
      <c r="BL541" s="10">
        <f t="shared" si="76"/>
        <v>33</v>
      </c>
    </row>
    <row r="542" spans="62:64" x14ac:dyDescent="0.25">
      <c r="BJ542" s="13">
        <f t="shared" si="74"/>
        <v>538</v>
      </c>
      <c r="BK542" s="10">
        <f t="shared" si="75"/>
        <v>15</v>
      </c>
      <c r="BL542" s="10">
        <f t="shared" si="76"/>
        <v>34</v>
      </c>
    </row>
    <row r="543" spans="62:64" x14ac:dyDescent="0.25">
      <c r="BJ543" s="13">
        <f t="shared" si="74"/>
        <v>539</v>
      </c>
      <c r="BK543" s="10">
        <f t="shared" si="75"/>
        <v>15</v>
      </c>
      <c r="BL543" s="10">
        <f t="shared" si="76"/>
        <v>35</v>
      </c>
    </row>
    <row r="544" spans="62:64" x14ac:dyDescent="0.25">
      <c r="BJ544" s="13">
        <f t="shared" si="74"/>
        <v>540</v>
      </c>
      <c r="BK544" s="10">
        <f t="shared" si="75"/>
        <v>15</v>
      </c>
      <c r="BL544" s="10">
        <f t="shared" si="76"/>
        <v>36</v>
      </c>
    </row>
    <row r="545" spans="62:64" x14ac:dyDescent="0.25">
      <c r="BJ545" s="13">
        <f t="shared" si="74"/>
        <v>541</v>
      </c>
      <c r="BK545" s="10">
        <f t="shared" si="75"/>
        <v>16</v>
      </c>
      <c r="BL545" s="10">
        <f t="shared" si="76"/>
        <v>1</v>
      </c>
    </row>
    <row r="546" spans="62:64" x14ac:dyDescent="0.25">
      <c r="BJ546" s="13">
        <f t="shared" si="74"/>
        <v>542</v>
      </c>
      <c r="BK546" s="10">
        <f t="shared" si="75"/>
        <v>16</v>
      </c>
      <c r="BL546" s="10">
        <f t="shared" si="76"/>
        <v>2</v>
      </c>
    </row>
    <row r="547" spans="62:64" x14ac:dyDescent="0.25">
      <c r="BJ547" s="13">
        <f t="shared" si="74"/>
        <v>543</v>
      </c>
      <c r="BK547" s="10">
        <f t="shared" si="75"/>
        <v>16</v>
      </c>
      <c r="BL547" s="10">
        <f t="shared" si="76"/>
        <v>3</v>
      </c>
    </row>
    <row r="548" spans="62:64" x14ac:dyDescent="0.25">
      <c r="BJ548" s="13">
        <f t="shared" si="74"/>
        <v>544</v>
      </c>
      <c r="BK548" s="10">
        <f t="shared" si="75"/>
        <v>16</v>
      </c>
      <c r="BL548" s="10">
        <f t="shared" si="76"/>
        <v>4</v>
      </c>
    </row>
    <row r="549" spans="62:64" x14ac:dyDescent="0.25">
      <c r="BJ549" s="13">
        <f t="shared" si="74"/>
        <v>545</v>
      </c>
      <c r="BK549" s="10">
        <f t="shared" si="75"/>
        <v>16</v>
      </c>
      <c r="BL549" s="10">
        <f t="shared" si="76"/>
        <v>5</v>
      </c>
    </row>
    <row r="550" spans="62:64" x14ac:dyDescent="0.25">
      <c r="BJ550" s="13">
        <f t="shared" si="74"/>
        <v>546</v>
      </c>
      <c r="BK550" s="10">
        <f t="shared" si="75"/>
        <v>16</v>
      </c>
      <c r="BL550" s="10">
        <f t="shared" si="76"/>
        <v>6</v>
      </c>
    </row>
    <row r="551" spans="62:64" x14ac:dyDescent="0.25">
      <c r="BJ551" s="13">
        <f t="shared" si="74"/>
        <v>547</v>
      </c>
      <c r="BK551" s="10">
        <f t="shared" si="75"/>
        <v>16</v>
      </c>
      <c r="BL551" s="10">
        <f t="shared" si="76"/>
        <v>7</v>
      </c>
    </row>
    <row r="552" spans="62:64" x14ac:dyDescent="0.25">
      <c r="BJ552" s="13">
        <f t="shared" si="74"/>
        <v>548</v>
      </c>
      <c r="BK552" s="10">
        <f t="shared" si="75"/>
        <v>16</v>
      </c>
      <c r="BL552" s="10">
        <f t="shared" si="76"/>
        <v>8</v>
      </c>
    </row>
    <row r="553" spans="62:64" x14ac:dyDescent="0.25">
      <c r="BJ553" s="13">
        <f t="shared" si="74"/>
        <v>549</v>
      </c>
      <c r="BK553" s="10">
        <f t="shared" si="75"/>
        <v>16</v>
      </c>
      <c r="BL553" s="10">
        <f t="shared" si="76"/>
        <v>9</v>
      </c>
    </row>
    <row r="554" spans="62:64" x14ac:dyDescent="0.25">
      <c r="BJ554" s="13">
        <f t="shared" si="74"/>
        <v>550</v>
      </c>
      <c r="BK554" s="10">
        <f t="shared" si="75"/>
        <v>16</v>
      </c>
      <c r="BL554" s="10">
        <f t="shared" si="76"/>
        <v>10</v>
      </c>
    </row>
    <row r="555" spans="62:64" x14ac:dyDescent="0.25">
      <c r="BJ555" s="13">
        <f t="shared" si="74"/>
        <v>551</v>
      </c>
      <c r="BK555" s="10">
        <f t="shared" si="75"/>
        <v>16</v>
      </c>
      <c r="BL555" s="10">
        <f t="shared" si="76"/>
        <v>11</v>
      </c>
    </row>
    <row r="556" spans="62:64" x14ac:dyDescent="0.25">
      <c r="BJ556" s="13">
        <f t="shared" si="74"/>
        <v>552</v>
      </c>
      <c r="BK556" s="10">
        <f t="shared" si="75"/>
        <v>16</v>
      </c>
      <c r="BL556" s="10">
        <f t="shared" si="76"/>
        <v>12</v>
      </c>
    </row>
    <row r="557" spans="62:64" x14ac:dyDescent="0.25">
      <c r="BJ557" s="13">
        <f t="shared" si="74"/>
        <v>553</v>
      </c>
      <c r="BK557" s="10">
        <f t="shared" si="75"/>
        <v>16</v>
      </c>
      <c r="BL557" s="10">
        <f t="shared" si="76"/>
        <v>13</v>
      </c>
    </row>
    <row r="558" spans="62:64" x14ac:dyDescent="0.25">
      <c r="BJ558" s="13">
        <f t="shared" si="74"/>
        <v>554</v>
      </c>
      <c r="BK558" s="10">
        <f t="shared" si="75"/>
        <v>16</v>
      </c>
      <c r="BL558" s="10">
        <f t="shared" si="76"/>
        <v>14</v>
      </c>
    </row>
    <row r="559" spans="62:64" x14ac:dyDescent="0.25">
      <c r="BJ559" s="13">
        <f t="shared" si="74"/>
        <v>555</v>
      </c>
      <c r="BK559" s="10">
        <f t="shared" si="75"/>
        <v>16</v>
      </c>
      <c r="BL559" s="10">
        <f t="shared" si="76"/>
        <v>15</v>
      </c>
    </row>
    <row r="560" spans="62:64" x14ac:dyDescent="0.25">
      <c r="BJ560" s="13">
        <f t="shared" si="74"/>
        <v>556</v>
      </c>
      <c r="BK560" s="10">
        <f t="shared" si="75"/>
        <v>16</v>
      </c>
      <c r="BL560" s="10">
        <f t="shared" si="76"/>
        <v>16</v>
      </c>
    </row>
    <row r="561" spans="62:64" x14ac:dyDescent="0.25">
      <c r="BJ561" s="13">
        <f t="shared" si="74"/>
        <v>557</v>
      </c>
      <c r="BK561" s="10">
        <f t="shared" si="75"/>
        <v>16</v>
      </c>
      <c r="BL561" s="10">
        <f t="shared" si="76"/>
        <v>17</v>
      </c>
    </row>
    <row r="562" spans="62:64" x14ac:dyDescent="0.25">
      <c r="BJ562" s="13">
        <f t="shared" si="74"/>
        <v>558</v>
      </c>
      <c r="BK562" s="10">
        <f t="shared" si="75"/>
        <v>16</v>
      </c>
      <c r="BL562" s="10">
        <f t="shared" si="76"/>
        <v>18</v>
      </c>
    </row>
    <row r="563" spans="62:64" x14ac:dyDescent="0.25">
      <c r="BJ563" s="13">
        <f t="shared" si="74"/>
        <v>559</v>
      </c>
      <c r="BK563" s="10">
        <f t="shared" si="75"/>
        <v>16</v>
      </c>
      <c r="BL563" s="10">
        <f t="shared" si="76"/>
        <v>19</v>
      </c>
    </row>
    <row r="564" spans="62:64" x14ac:dyDescent="0.25">
      <c r="BJ564" s="13">
        <f t="shared" si="74"/>
        <v>560</v>
      </c>
      <c r="BK564" s="10">
        <f t="shared" si="75"/>
        <v>16</v>
      </c>
      <c r="BL564" s="10">
        <f t="shared" si="76"/>
        <v>20</v>
      </c>
    </row>
    <row r="565" spans="62:64" x14ac:dyDescent="0.25">
      <c r="BJ565" s="13">
        <f t="shared" si="74"/>
        <v>561</v>
      </c>
      <c r="BK565" s="10">
        <f t="shared" si="75"/>
        <v>16</v>
      </c>
      <c r="BL565" s="10">
        <f t="shared" si="76"/>
        <v>21</v>
      </c>
    </row>
    <row r="566" spans="62:64" x14ac:dyDescent="0.25">
      <c r="BJ566" s="13">
        <f t="shared" si="74"/>
        <v>562</v>
      </c>
      <c r="BK566" s="10">
        <f t="shared" si="75"/>
        <v>16</v>
      </c>
      <c r="BL566" s="10">
        <f t="shared" si="76"/>
        <v>22</v>
      </c>
    </row>
    <row r="567" spans="62:64" x14ac:dyDescent="0.25">
      <c r="BJ567" s="13">
        <f t="shared" si="74"/>
        <v>563</v>
      </c>
      <c r="BK567" s="10">
        <f t="shared" si="75"/>
        <v>16</v>
      </c>
      <c r="BL567" s="10">
        <f t="shared" si="76"/>
        <v>23</v>
      </c>
    </row>
    <row r="568" spans="62:64" x14ac:dyDescent="0.25">
      <c r="BJ568" s="13">
        <f t="shared" si="74"/>
        <v>564</v>
      </c>
      <c r="BK568" s="10">
        <f t="shared" si="75"/>
        <v>16</v>
      </c>
      <c r="BL568" s="10">
        <f t="shared" si="76"/>
        <v>24</v>
      </c>
    </row>
    <row r="569" spans="62:64" x14ac:dyDescent="0.25">
      <c r="BJ569" s="13">
        <f t="shared" si="74"/>
        <v>565</v>
      </c>
      <c r="BK569" s="10">
        <f t="shared" si="75"/>
        <v>16</v>
      </c>
      <c r="BL569" s="10">
        <f t="shared" si="76"/>
        <v>25</v>
      </c>
    </row>
    <row r="570" spans="62:64" x14ac:dyDescent="0.25">
      <c r="BJ570" s="13">
        <f t="shared" si="74"/>
        <v>566</v>
      </c>
      <c r="BK570" s="10">
        <f t="shared" si="75"/>
        <v>16</v>
      </c>
      <c r="BL570" s="10">
        <f t="shared" si="76"/>
        <v>26</v>
      </c>
    </row>
    <row r="571" spans="62:64" x14ac:dyDescent="0.25">
      <c r="BJ571" s="13">
        <f t="shared" si="74"/>
        <v>567</v>
      </c>
      <c r="BK571" s="10">
        <f t="shared" si="75"/>
        <v>16</v>
      </c>
      <c r="BL571" s="10">
        <f t="shared" si="76"/>
        <v>27</v>
      </c>
    </row>
    <row r="572" spans="62:64" x14ac:dyDescent="0.25">
      <c r="BJ572" s="13">
        <f t="shared" si="74"/>
        <v>568</v>
      </c>
      <c r="BK572" s="10">
        <f t="shared" si="75"/>
        <v>16</v>
      </c>
      <c r="BL572" s="10">
        <f t="shared" si="76"/>
        <v>28</v>
      </c>
    </row>
    <row r="573" spans="62:64" x14ac:dyDescent="0.25">
      <c r="BJ573" s="13">
        <f t="shared" si="74"/>
        <v>569</v>
      </c>
      <c r="BK573" s="10">
        <f t="shared" si="75"/>
        <v>16</v>
      </c>
      <c r="BL573" s="10">
        <f t="shared" si="76"/>
        <v>29</v>
      </c>
    </row>
    <row r="574" spans="62:64" x14ac:dyDescent="0.25">
      <c r="BJ574" s="13">
        <f t="shared" si="74"/>
        <v>570</v>
      </c>
      <c r="BK574" s="10">
        <f t="shared" si="75"/>
        <v>16</v>
      </c>
      <c r="BL574" s="10">
        <f t="shared" si="76"/>
        <v>30</v>
      </c>
    </row>
    <row r="575" spans="62:64" x14ac:dyDescent="0.25">
      <c r="BJ575" s="13">
        <f t="shared" si="74"/>
        <v>571</v>
      </c>
      <c r="BK575" s="10">
        <f t="shared" si="75"/>
        <v>16</v>
      </c>
      <c r="BL575" s="10">
        <f t="shared" si="76"/>
        <v>31</v>
      </c>
    </row>
    <row r="576" spans="62:64" x14ac:dyDescent="0.25">
      <c r="BJ576" s="13">
        <f t="shared" si="74"/>
        <v>572</v>
      </c>
      <c r="BK576" s="10">
        <f t="shared" si="75"/>
        <v>16</v>
      </c>
      <c r="BL576" s="10">
        <f t="shared" si="76"/>
        <v>32</v>
      </c>
    </row>
    <row r="577" spans="62:64" x14ac:dyDescent="0.25">
      <c r="BJ577" s="13">
        <f t="shared" si="74"/>
        <v>573</v>
      </c>
      <c r="BK577" s="10">
        <f t="shared" si="75"/>
        <v>16</v>
      </c>
      <c r="BL577" s="10">
        <f t="shared" si="76"/>
        <v>33</v>
      </c>
    </row>
    <row r="578" spans="62:64" x14ac:dyDescent="0.25">
      <c r="BJ578" s="13">
        <f t="shared" si="74"/>
        <v>574</v>
      </c>
      <c r="BK578" s="10">
        <f t="shared" si="75"/>
        <v>16</v>
      </c>
      <c r="BL578" s="10">
        <f t="shared" si="76"/>
        <v>34</v>
      </c>
    </row>
    <row r="579" spans="62:64" x14ac:dyDescent="0.25">
      <c r="BJ579" s="13">
        <f t="shared" si="74"/>
        <v>575</v>
      </c>
      <c r="BK579" s="10">
        <f t="shared" si="75"/>
        <v>16</v>
      </c>
      <c r="BL579" s="10">
        <f t="shared" si="76"/>
        <v>35</v>
      </c>
    </row>
    <row r="580" spans="62:64" x14ac:dyDescent="0.25">
      <c r="BJ580" s="13">
        <f t="shared" si="74"/>
        <v>576</v>
      </c>
      <c r="BK580" s="10">
        <f t="shared" si="75"/>
        <v>16</v>
      </c>
      <c r="BL580" s="10">
        <f t="shared" si="76"/>
        <v>36</v>
      </c>
    </row>
    <row r="581" spans="62:64" x14ac:dyDescent="0.25">
      <c r="BJ581" s="13">
        <f t="shared" si="74"/>
        <v>577</v>
      </c>
      <c r="BK581" s="10">
        <f t="shared" si="75"/>
        <v>17</v>
      </c>
      <c r="BL581" s="10">
        <f t="shared" si="76"/>
        <v>1</v>
      </c>
    </row>
    <row r="582" spans="62:64" x14ac:dyDescent="0.25">
      <c r="BJ582" s="13">
        <f t="shared" ref="BJ582:BJ645" si="77">IF(ROW()-BJ$3&lt;=$BJ$4,ROW()-ROW(BJ$4),"")</f>
        <v>578</v>
      </c>
      <c r="BK582" s="10">
        <f t="shared" si="75"/>
        <v>17</v>
      </c>
      <c r="BL582" s="10">
        <f t="shared" si="76"/>
        <v>2</v>
      </c>
    </row>
    <row r="583" spans="62:64" x14ac:dyDescent="0.25">
      <c r="BJ583" s="13">
        <f t="shared" si="77"/>
        <v>579</v>
      </c>
      <c r="BK583" s="10">
        <f t="shared" ref="BK583:BK646" si="78">IF(ISNUMBER(BJ583),INT(BJ582/$BL$4)+1,"")</f>
        <v>17</v>
      </c>
      <c r="BL583" s="10">
        <f t="shared" ref="BL583:BL646" si="79">IF(ISNUMBER(BJ583),IF(BK582&lt;&gt;BK583,1,BL582+1),"")</f>
        <v>3</v>
      </c>
    </row>
    <row r="584" spans="62:64" x14ac:dyDescent="0.25">
      <c r="BJ584" s="13">
        <f t="shared" si="77"/>
        <v>580</v>
      </c>
      <c r="BK584" s="10">
        <f t="shared" si="78"/>
        <v>17</v>
      </c>
      <c r="BL584" s="10">
        <f t="shared" si="79"/>
        <v>4</v>
      </c>
    </row>
    <row r="585" spans="62:64" x14ac:dyDescent="0.25">
      <c r="BJ585" s="13">
        <f t="shared" si="77"/>
        <v>581</v>
      </c>
      <c r="BK585" s="10">
        <f t="shared" si="78"/>
        <v>17</v>
      </c>
      <c r="BL585" s="10">
        <f t="shared" si="79"/>
        <v>5</v>
      </c>
    </row>
    <row r="586" spans="62:64" x14ac:dyDescent="0.25">
      <c r="BJ586" s="13">
        <f t="shared" si="77"/>
        <v>582</v>
      </c>
      <c r="BK586" s="10">
        <f t="shared" si="78"/>
        <v>17</v>
      </c>
      <c r="BL586" s="10">
        <f t="shared" si="79"/>
        <v>6</v>
      </c>
    </row>
    <row r="587" spans="62:64" x14ac:dyDescent="0.25">
      <c r="BJ587" s="13">
        <f t="shared" si="77"/>
        <v>583</v>
      </c>
      <c r="BK587" s="10">
        <f t="shared" si="78"/>
        <v>17</v>
      </c>
      <c r="BL587" s="10">
        <f t="shared" si="79"/>
        <v>7</v>
      </c>
    </row>
    <row r="588" spans="62:64" x14ac:dyDescent="0.25">
      <c r="BJ588" s="13">
        <f t="shared" si="77"/>
        <v>584</v>
      </c>
      <c r="BK588" s="10">
        <f t="shared" si="78"/>
        <v>17</v>
      </c>
      <c r="BL588" s="10">
        <f t="shared" si="79"/>
        <v>8</v>
      </c>
    </row>
    <row r="589" spans="62:64" x14ac:dyDescent="0.25">
      <c r="BJ589" s="13">
        <f t="shared" si="77"/>
        <v>585</v>
      </c>
      <c r="BK589" s="10">
        <f t="shared" si="78"/>
        <v>17</v>
      </c>
      <c r="BL589" s="10">
        <f t="shared" si="79"/>
        <v>9</v>
      </c>
    </row>
    <row r="590" spans="62:64" x14ac:dyDescent="0.25">
      <c r="BJ590" s="13">
        <f t="shared" si="77"/>
        <v>586</v>
      </c>
      <c r="BK590" s="10">
        <f t="shared" si="78"/>
        <v>17</v>
      </c>
      <c r="BL590" s="10">
        <f t="shared" si="79"/>
        <v>10</v>
      </c>
    </row>
    <row r="591" spans="62:64" x14ac:dyDescent="0.25">
      <c r="BJ591" s="13">
        <f t="shared" si="77"/>
        <v>587</v>
      </c>
      <c r="BK591" s="10">
        <f t="shared" si="78"/>
        <v>17</v>
      </c>
      <c r="BL591" s="10">
        <f t="shared" si="79"/>
        <v>11</v>
      </c>
    </row>
    <row r="592" spans="62:64" x14ac:dyDescent="0.25">
      <c r="BJ592" s="13">
        <f t="shared" si="77"/>
        <v>588</v>
      </c>
      <c r="BK592" s="10">
        <f t="shared" si="78"/>
        <v>17</v>
      </c>
      <c r="BL592" s="10">
        <f t="shared" si="79"/>
        <v>12</v>
      </c>
    </row>
    <row r="593" spans="62:64" x14ac:dyDescent="0.25">
      <c r="BJ593" s="13">
        <f t="shared" si="77"/>
        <v>589</v>
      </c>
      <c r="BK593" s="10">
        <f t="shared" si="78"/>
        <v>17</v>
      </c>
      <c r="BL593" s="10">
        <f t="shared" si="79"/>
        <v>13</v>
      </c>
    </row>
    <row r="594" spans="62:64" x14ac:dyDescent="0.25">
      <c r="BJ594" s="13">
        <f t="shared" si="77"/>
        <v>590</v>
      </c>
      <c r="BK594" s="10">
        <f t="shared" si="78"/>
        <v>17</v>
      </c>
      <c r="BL594" s="10">
        <f t="shared" si="79"/>
        <v>14</v>
      </c>
    </row>
    <row r="595" spans="62:64" x14ac:dyDescent="0.25">
      <c r="BJ595" s="13">
        <f t="shared" si="77"/>
        <v>591</v>
      </c>
      <c r="BK595" s="10">
        <f t="shared" si="78"/>
        <v>17</v>
      </c>
      <c r="BL595" s="10">
        <f t="shared" si="79"/>
        <v>15</v>
      </c>
    </row>
    <row r="596" spans="62:64" x14ac:dyDescent="0.25">
      <c r="BJ596" s="13">
        <f t="shared" si="77"/>
        <v>592</v>
      </c>
      <c r="BK596" s="10">
        <f t="shared" si="78"/>
        <v>17</v>
      </c>
      <c r="BL596" s="10">
        <f t="shared" si="79"/>
        <v>16</v>
      </c>
    </row>
    <row r="597" spans="62:64" x14ac:dyDescent="0.25">
      <c r="BJ597" s="13">
        <f t="shared" si="77"/>
        <v>593</v>
      </c>
      <c r="BK597" s="10">
        <f t="shared" si="78"/>
        <v>17</v>
      </c>
      <c r="BL597" s="10">
        <f t="shared" si="79"/>
        <v>17</v>
      </c>
    </row>
    <row r="598" spans="62:64" x14ac:dyDescent="0.25">
      <c r="BJ598" s="13">
        <f t="shared" si="77"/>
        <v>594</v>
      </c>
      <c r="BK598" s="10">
        <f t="shared" si="78"/>
        <v>17</v>
      </c>
      <c r="BL598" s="10">
        <f t="shared" si="79"/>
        <v>18</v>
      </c>
    </row>
    <row r="599" spans="62:64" x14ac:dyDescent="0.25">
      <c r="BJ599" s="13">
        <f t="shared" si="77"/>
        <v>595</v>
      </c>
      <c r="BK599" s="10">
        <f t="shared" si="78"/>
        <v>17</v>
      </c>
      <c r="BL599" s="10">
        <f t="shared" si="79"/>
        <v>19</v>
      </c>
    </row>
    <row r="600" spans="62:64" x14ac:dyDescent="0.25">
      <c r="BJ600" s="13">
        <f t="shared" si="77"/>
        <v>596</v>
      </c>
      <c r="BK600" s="10">
        <f t="shared" si="78"/>
        <v>17</v>
      </c>
      <c r="BL600" s="10">
        <f t="shared" si="79"/>
        <v>20</v>
      </c>
    </row>
    <row r="601" spans="62:64" x14ac:dyDescent="0.25">
      <c r="BJ601" s="13">
        <f t="shared" si="77"/>
        <v>597</v>
      </c>
      <c r="BK601" s="10">
        <f t="shared" si="78"/>
        <v>17</v>
      </c>
      <c r="BL601" s="10">
        <f t="shared" si="79"/>
        <v>21</v>
      </c>
    </row>
    <row r="602" spans="62:64" x14ac:dyDescent="0.25">
      <c r="BJ602" s="13">
        <f t="shared" si="77"/>
        <v>598</v>
      </c>
      <c r="BK602" s="10">
        <f t="shared" si="78"/>
        <v>17</v>
      </c>
      <c r="BL602" s="10">
        <f t="shared" si="79"/>
        <v>22</v>
      </c>
    </row>
    <row r="603" spans="62:64" x14ac:dyDescent="0.25">
      <c r="BJ603" s="13">
        <f t="shared" si="77"/>
        <v>599</v>
      </c>
      <c r="BK603" s="10">
        <f t="shared" si="78"/>
        <v>17</v>
      </c>
      <c r="BL603" s="10">
        <f t="shared" si="79"/>
        <v>23</v>
      </c>
    </row>
    <row r="604" spans="62:64" x14ac:dyDescent="0.25">
      <c r="BJ604" s="13">
        <f t="shared" si="77"/>
        <v>600</v>
      </c>
      <c r="BK604" s="10">
        <f t="shared" si="78"/>
        <v>17</v>
      </c>
      <c r="BL604" s="10">
        <f t="shared" si="79"/>
        <v>24</v>
      </c>
    </row>
    <row r="605" spans="62:64" x14ac:dyDescent="0.25">
      <c r="BJ605" s="13">
        <f t="shared" si="77"/>
        <v>601</v>
      </c>
      <c r="BK605" s="10">
        <f t="shared" si="78"/>
        <v>17</v>
      </c>
      <c r="BL605" s="10">
        <f t="shared" si="79"/>
        <v>25</v>
      </c>
    </row>
    <row r="606" spans="62:64" x14ac:dyDescent="0.25">
      <c r="BJ606" s="13">
        <f t="shared" si="77"/>
        <v>602</v>
      </c>
      <c r="BK606" s="10">
        <f t="shared" si="78"/>
        <v>17</v>
      </c>
      <c r="BL606" s="10">
        <f t="shared" si="79"/>
        <v>26</v>
      </c>
    </row>
    <row r="607" spans="62:64" x14ac:dyDescent="0.25">
      <c r="BJ607" s="13">
        <f t="shared" si="77"/>
        <v>603</v>
      </c>
      <c r="BK607" s="10">
        <f t="shared" si="78"/>
        <v>17</v>
      </c>
      <c r="BL607" s="10">
        <f t="shared" si="79"/>
        <v>27</v>
      </c>
    </row>
    <row r="608" spans="62:64" x14ac:dyDescent="0.25">
      <c r="BJ608" s="13">
        <f t="shared" si="77"/>
        <v>604</v>
      </c>
      <c r="BK608" s="10">
        <f t="shared" si="78"/>
        <v>17</v>
      </c>
      <c r="BL608" s="10">
        <f t="shared" si="79"/>
        <v>28</v>
      </c>
    </row>
    <row r="609" spans="62:64" x14ac:dyDescent="0.25">
      <c r="BJ609" s="13">
        <f t="shared" si="77"/>
        <v>605</v>
      </c>
      <c r="BK609" s="10">
        <f t="shared" si="78"/>
        <v>17</v>
      </c>
      <c r="BL609" s="10">
        <f t="shared" si="79"/>
        <v>29</v>
      </c>
    </row>
    <row r="610" spans="62:64" x14ac:dyDescent="0.25">
      <c r="BJ610" s="13">
        <f t="shared" si="77"/>
        <v>606</v>
      </c>
      <c r="BK610" s="10">
        <f t="shared" si="78"/>
        <v>17</v>
      </c>
      <c r="BL610" s="10">
        <f t="shared" si="79"/>
        <v>30</v>
      </c>
    </row>
    <row r="611" spans="62:64" x14ac:dyDescent="0.25">
      <c r="BJ611" s="13">
        <f t="shared" si="77"/>
        <v>607</v>
      </c>
      <c r="BK611" s="10">
        <f t="shared" si="78"/>
        <v>17</v>
      </c>
      <c r="BL611" s="10">
        <f t="shared" si="79"/>
        <v>31</v>
      </c>
    </row>
    <row r="612" spans="62:64" x14ac:dyDescent="0.25">
      <c r="BJ612" s="13">
        <f t="shared" si="77"/>
        <v>608</v>
      </c>
      <c r="BK612" s="10">
        <f t="shared" si="78"/>
        <v>17</v>
      </c>
      <c r="BL612" s="10">
        <f t="shared" si="79"/>
        <v>32</v>
      </c>
    </row>
    <row r="613" spans="62:64" x14ac:dyDescent="0.25">
      <c r="BJ613" s="13">
        <f t="shared" si="77"/>
        <v>609</v>
      </c>
      <c r="BK613" s="10">
        <f t="shared" si="78"/>
        <v>17</v>
      </c>
      <c r="BL613" s="10">
        <f t="shared" si="79"/>
        <v>33</v>
      </c>
    </row>
    <row r="614" spans="62:64" x14ac:dyDescent="0.25">
      <c r="BJ614" s="13">
        <f t="shared" si="77"/>
        <v>610</v>
      </c>
      <c r="BK614" s="10">
        <f t="shared" si="78"/>
        <v>17</v>
      </c>
      <c r="BL614" s="10">
        <f t="shared" si="79"/>
        <v>34</v>
      </c>
    </row>
    <row r="615" spans="62:64" x14ac:dyDescent="0.25">
      <c r="BJ615" s="13">
        <f t="shared" si="77"/>
        <v>611</v>
      </c>
      <c r="BK615" s="10">
        <f t="shared" si="78"/>
        <v>17</v>
      </c>
      <c r="BL615" s="10">
        <f t="shared" si="79"/>
        <v>35</v>
      </c>
    </row>
    <row r="616" spans="62:64" x14ac:dyDescent="0.25">
      <c r="BJ616" s="13">
        <f t="shared" si="77"/>
        <v>612</v>
      </c>
      <c r="BK616" s="10">
        <f t="shared" si="78"/>
        <v>17</v>
      </c>
      <c r="BL616" s="10">
        <f t="shared" si="79"/>
        <v>36</v>
      </c>
    </row>
    <row r="617" spans="62:64" x14ac:dyDescent="0.25">
      <c r="BJ617" s="13">
        <f t="shared" si="77"/>
        <v>613</v>
      </c>
      <c r="BK617" s="10">
        <f t="shared" si="78"/>
        <v>18</v>
      </c>
      <c r="BL617" s="10">
        <f t="shared" si="79"/>
        <v>1</v>
      </c>
    </row>
    <row r="618" spans="62:64" x14ac:dyDescent="0.25">
      <c r="BJ618" s="13">
        <f t="shared" si="77"/>
        <v>614</v>
      </c>
      <c r="BK618" s="10">
        <f t="shared" si="78"/>
        <v>18</v>
      </c>
      <c r="BL618" s="10">
        <f t="shared" si="79"/>
        <v>2</v>
      </c>
    </row>
    <row r="619" spans="62:64" x14ac:dyDescent="0.25">
      <c r="BJ619" s="13">
        <f t="shared" si="77"/>
        <v>615</v>
      </c>
      <c r="BK619" s="10">
        <f t="shared" si="78"/>
        <v>18</v>
      </c>
      <c r="BL619" s="10">
        <f t="shared" si="79"/>
        <v>3</v>
      </c>
    </row>
    <row r="620" spans="62:64" x14ac:dyDescent="0.25">
      <c r="BJ620" s="13">
        <f t="shared" si="77"/>
        <v>616</v>
      </c>
      <c r="BK620" s="10">
        <f t="shared" si="78"/>
        <v>18</v>
      </c>
      <c r="BL620" s="10">
        <f t="shared" si="79"/>
        <v>4</v>
      </c>
    </row>
    <row r="621" spans="62:64" x14ac:dyDescent="0.25">
      <c r="BJ621" s="13">
        <f t="shared" si="77"/>
        <v>617</v>
      </c>
      <c r="BK621" s="10">
        <f t="shared" si="78"/>
        <v>18</v>
      </c>
      <c r="BL621" s="10">
        <f t="shared" si="79"/>
        <v>5</v>
      </c>
    </row>
    <row r="622" spans="62:64" x14ac:dyDescent="0.25">
      <c r="BJ622" s="13">
        <f t="shared" si="77"/>
        <v>618</v>
      </c>
      <c r="BK622" s="10">
        <f t="shared" si="78"/>
        <v>18</v>
      </c>
      <c r="BL622" s="10">
        <f t="shared" si="79"/>
        <v>6</v>
      </c>
    </row>
    <row r="623" spans="62:64" x14ac:dyDescent="0.25">
      <c r="BJ623" s="13">
        <f t="shared" si="77"/>
        <v>619</v>
      </c>
      <c r="BK623" s="10">
        <f t="shared" si="78"/>
        <v>18</v>
      </c>
      <c r="BL623" s="10">
        <f t="shared" si="79"/>
        <v>7</v>
      </c>
    </row>
    <row r="624" spans="62:64" x14ac:dyDescent="0.25">
      <c r="BJ624" s="13">
        <f t="shared" si="77"/>
        <v>620</v>
      </c>
      <c r="BK624" s="10">
        <f t="shared" si="78"/>
        <v>18</v>
      </c>
      <c r="BL624" s="10">
        <f t="shared" si="79"/>
        <v>8</v>
      </c>
    </row>
    <row r="625" spans="62:64" x14ac:dyDescent="0.25">
      <c r="BJ625" s="13">
        <f t="shared" si="77"/>
        <v>621</v>
      </c>
      <c r="BK625" s="10">
        <f t="shared" si="78"/>
        <v>18</v>
      </c>
      <c r="BL625" s="10">
        <f t="shared" si="79"/>
        <v>9</v>
      </c>
    </row>
    <row r="626" spans="62:64" x14ac:dyDescent="0.25">
      <c r="BJ626" s="13">
        <f t="shared" si="77"/>
        <v>622</v>
      </c>
      <c r="BK626" s="10">
        <f t="shared" si="78"/>
        <v>18</v>
      </c>
      <c r="BL626" s="10">
        <f t="shared" si="79"/>
        <v>10</v>
      </c>
    </row>
    <row r="627" spans="62:64" x14ac:dyDescent="0.25">
      <c r="BJ627" s="13">
        <f t="shared" si="77"/>
        <v>623</v>
      </c>
      <c r="BK627" s="10">
        <f t="shared" si="78"/>
        <v>18</v>
      </c>
      <c r="BL627" s="10">
        <f t="shared" si="79"/>
        <v>11</v>
      </c>
    </row>
    <row r="628" spans="62:64" x14ac:dyDescent="0.25">
      <c r="BJ628" s="13">
        <f t="shared" si="77"/>
        <v>624</v>
      </c>
      <c r="BK628" s="10">
        <f t="shared" si="78"/>
        <v>18</v>
      </c>
      <c r="BL628" s="10">
        <f t="shared" si="79"/>
        <v>12</v>
      </c>
    </row>
    <row r="629" spans="62:64" x14ac:dyDescent="0.25">
      <c r="BJ629" s="13">
        <f t="shared" si="77"/>
        <v>625</v>
      </c>
      <c r="BK629" s="10">
        <f t="shared" si="78"/>
        <v>18</v>
      </c>
      <c r="BL629" s="10">
        <f t="shared" si="79"/>
        <v>13</v>
      </c>
    </row>
    <row r="630" spans="62:64" x14ac:dyDescent="0.25">
      <c r="BJ630" s="13">
        <f t="shared" si="77"/>
        <v>626</v>
      </c>
      <c r="BK630" s="10">
        <f t="shared" si="78"/>
        <v>18</v>
      </c>
      <c r="BL630" s="10">
        <f t="shared" si="79"/>
        <v>14</v>
      </c>
    </row>
    <row r="631" spans="62:64" x14ac:dyDescent="0.25">
      <c r="BJ631" s="13">
        <f t="shared" si="77"/>
        <v>627</v>
      </c>
      <c r="BK631" s="10">
        <f t="shared" si="78"/>
        <v>18</v>
      </c>
      <c r="BL631" s="10">
        <f t="shared" si="79"/>
        <v>15</v>
      </c>
    </row>
    <row r="632" spans="62:64" x14ac:dyDescent="0.25">
      <c r="BJ632" s="13">
        <f t="shared" si="77"/>
        <v>628</v>
      </c>
      <c r="BK632" s="10">
        <f t="shared" si="78"/>
        <v>18</v>
      </c>
      <c r="BL632" s="10">
        <f t="shared" si="79"/>
        <v>16</v>
      </c>
    </row>
    <row r="633" spans="62:64" x14ac:dyDescent="0.25">
      <c r="BJ633" s="13">
        <f t="shared" si="77"/>
        <v>629</v>
      </c>
      <c r="BK633" s="10">
        <f t="shared" si="78"/>
        <v>18</v>
      </c>
      <c r="BL633" s="10">
        <f t="shared" si="79"/>
        <v>17</v>
      </c>
    </row>
    <row r="634" spans="62:64" x14ac:dyDescent="0.25">
      <c r="BJ634" s="13">
        <f t="shared" si="77"/>
        <v>630</v>
      </c>
      <c r="BK634" s="10">
        <f t="shared" si="78"/>
        <v>18</v>
      </c>
      <c r="BL634" s="10">
        <f t="shared" si="79"/>
        <v>18</v>
      </c>
    </row>
    <row r="635" spans="62:64" x14ac:dyDescent="0.25">
      <c r="BJ635" s="13">
        <f t="shared" si="77"/>
        <v>631</v>
      </c>
      <c r="BK635" s="10">
        <f t="shared" si="78"/>
        <v>18</v>
      </c>
      <c r="BL635" s="10">
        <f t="shared" si="79"/>
        <v>19</v>
      </c>
    </row>
    <row r="636" spans="62:64" x14ac:dyDescent="0.25">
      <c r="BJ636" s="13">
        <f t="shared" si="77"/>
        <v>632</v>
      </c>
      <c r="BK636" s="10">
        <f t="shared" si="78"/>
        <v>18</v>
      </c>
      <c r="BL636" s="10">
        <f t="shared" si="79"/>
        <v>20</v>
      </c>
    </row>
    <row r="637" spans="62:64" x14ac:dyDescent="0.25">
      <c r="BJ637" s="13">
        <f t="shared" si="77"/>
        <v>633</v>
      </c>
      <c r="BK637" s="10">
        <f t="shared" si="78"/>
        <v>18</v>
      </c>
      <c r="BL637" s="10">
        <f t="shared" si="79"/>
        <v>21</v>
      </c>
    </row>
    <row r="638" spans="62:64" x14ac:dyDescent="0.25">
      <c r="BJ638" s="13">
        <f t="shared" si="77"/>
        <v>634</v>
      </c>
      <c r="BK638" s="10">
        <f t="shared" si="78"/>
        <v>18</v>
      </c>
      <c r="BL638" s="10">
        <f t="shared" si="79"/>
        <v>22</v>
      </c>
    </row>
    <row r="639" spans="62:64" x14ac:dyDescent="0.25">
      <c r="BJ639" s="13">
        <f t="shared" si="77"/>
        <v>635</v>
      </c>
      <c r="BK639" s="10">
        <f t="shared" si="78"/>
        <v>18</v>
      </c>
      <c r="BL639" s="10">
        <f t="shared" si="79"/>
        <v>23</v>
      </c>
    </row>
    <row r="640" spans="62:64" x14ac:dyDescent="0.25">
      <c r="BJ640" s="13">
        <f t="shared" si="77"/>
        <v>636</v>
      </c>
      <c r="BK640" s="10">
        <f t="shared" si="78"/>
        <v>18</v>
      </c>
      <c r="BL640" s="10">
        <f t="shared" si="79"/>
        <v>24</v>
      </c>
    </row>
    <row r="641" spans="62:64" x14ac:dyDescent="0.25">
      <c r="BJ641" s="13">
        <f t="shared" si="77"/>
        <v>637</v>
      </c>
      <c r="BK641" s="10">
        <f t="shared" si="78"/>
        <v>18</v>
      </c>
      <c r="BL641" s="10">
        <f t="shared" si="79"/>
        <v>25</v>
      </c>
    </row>
    <row r="642" spans="62:64" x14ac:dyDescent="0.25">
      <c r="BJ642" s="13">
        <f t="shared" si="77"/>
        <v>638</v>
      </c>
      <c r="BK642" s="10">
        <f t="shared" si="78"/>
        <v>18</v>
      </c>
      <c r="BL642" s="10">
        <f t="shared" si="79"/>
        <v>26</v>
      </c>
    </row>
    <row r="643" spans="62:64" x14ac:dyDescent="0.25">
      <c r="BJ643" s="13">
        <f t="shared" si="77"/>
        <v>639</v>
      </c>
      <c r="BK643" s="10">
        <f t="shared" si="78"/>
        <v>18</v>
      </c>
      <c r="BL643" s="10">
        <f t="shared" si="79"/>
        <v>27</v>
      </c>
    </row>
    <row r="644" spans="62:64" x14ac:dyDescent="0.25">
      <c r="BJ644" s="13">
        <f t="shared" si="77"/>
        <v>640</v>
      </c>
      <c r="BK644" s="10">
        <f t="shared" si="78"/>
        <v>18</v>
      </c>
      <c r="BL644" s="10">
        <f t="shared" si="79"/>
        <v>28</v>
      </c>
    </row>
    <row r="645" spans="62:64" x14ac:dyDescent="0.25">
      <c r="BJ645" s="13">
        <f t="shared" si="77"/>
        <v>641</v>
      </c>
      <c r="BK645" s="10">
        <f t="shared" si="78"/>
        <v>18</v>
      </c>
      <c r="BL645" s="10">
        <f t="shared" si="79"/>
        <v>29</v>
      </c>
    </row>
    <row r="646" spans="62:64" x14ac:dyDescent="0.25">
      <c r="BJ646" s="13">
        <f t="shared" ref="BJ646:BJ709" si="80">IF(ROW()-BJ$3&lt;=$BJ$4,ROW()-ROW(BJ$4),"")</f>
        <v>642</v>
      </c>
      <c r="BK646" s="10">
        <f t="shared" si="78"/>
        <v>18</v>
      </c>
      <c r="BL646" s="10">
        <f t="shared" si="79"/>
        <v>30</v>
      </c>
    </row>
    <row r="647" spans="62:64" x14ac:dyDescent="0.25">
      <c r="BJ647" s="13">
        <f t="shared" si="80"/>
        <v>643</v>
      </c>
      <c r="BK647" s="10">
        <f t="shared" ref="BK647:BK710" si="81">IF(ISNUMBER(BJ647),INT(BJ646/$BL$4)+1,"")</f>
        <v>18</v>
      </c>
      <c r="BL647" s="10">
        <f t="shared" ref="BL647:BL710" si="82">IF(ISNUMBER(BJ647),IF(BK646&lt;&gt;BK647,1,BL646+1),"")</f>
        <v>31</v>
      </c>
    </row>
    <row r="648" spans="62:64" x14ac:dyDescent="0.25">
      <c r="BJ648" s="13">
        <f t="shared" si="80"/>
        <v>644</v>
      </c>
      <c r="BK648" s="10">
        <f t="shared" si="81"/>
        <v>18</v>
      </c>
      <c r="BL648" s="10">
        <f t="shared" si="82"/>
        <v>32</v>
      </c>
    </row>
    <row r="649" spans="62:64" x14ac:dyDescent="0.25">
      <c r="BJ649" s="13">
        <f t="shared" si="80"/>
        <v>645</v>
      </c>
      <c r="BK649" s="10">
        <f t="shared" si="81"/>
        <v>18</v>
      </c>
      <c r="BL649" s="10">
        <f t="shared" si="82"/>
        <v>33</v>
      </c>
    </row>
    <row r="650" spans="62:64" x14ac:dyDescent="0.25">
      <c r="BJ650" s="13">
        <f t="shared" si="80"/>
        <v>646</v>
      </c>
      <c r="BK650" s="10">
        <f t="shared" si="81"/>
        <v>18</v>
      </c>
      <c r="BL650" s="10">
        <f t="shared" si="82"/>
        <v>34</v>
      </c>
    </row>
    <row r="651" spans="62:64" x14ac:dyDescent="0.25">
      <c r="BJ651" s="13">
        <f t="shared" si="80"/>
        <v>647</v>
      </c>
      <c r="BK651" s="10">
        <f t="shared" si="81"/>
        <v>18</v>
      </c>
      <c r="BL651" s="10">
        <f t="shared" si="82"/>
        <v>35</v>
      </c>
    </row>
    <row r="652" spans="62:64" x14ac:dyDescent="0.25">
      <c r="BJ652" s="13">
        <f t="shared" si="80"/>
        <v>648</v>
      </c>
      <c r="BK652" s="10">
        <f t="shared" si="81"/>
        <v>18</v>
      </c>
      <c r="BL652" s="10">
        <f t="shared" si="82"/>
        <v>36</v>
      </c>
    </row>
    <row r="653" spans="62:64" x14ac:dyDescent="0.25">
      <c r="BJ653" s="13">
        <f t="shared" si="80"/>
        <v>649</v>
      </c>
      <c r="BK653" s="10">
        <f t="shared" si="81"/>
        <v>19</v>
      </c>
      <c r="BL653" s="10">
        <f t="shared" si="82"/>
        <v>1</v>
      </c>
    </row>
    <row r="654" spans="62:64" x14ac:dyDescent="0.25">
      <c r="BJ654" s="13">
        <f t="shared" si="80"/>
        <v>650</v>
      </c>
      <c r="BK654" s="10">
        <f t="shared" si="81"/>
        <v>19</v>
      </c>
      <c r="BL654" s="10">
        <f t="shared" si="82"/>
        <v>2</v>
      </c>
    </row>
    <row r="655" spans="62:64" x14ac:dyDescent="0.25">
      <c r="BJ655" s="13">
        <f t="shared" si="80"/>
        <v>651</v>
      </c>
      <c r="BK655" s="10">
        <f t="shared" si="81"/>
        <v>19</v>
      </c>
      <c r="BL655" s="10">
        <f t="shared" si="82"/>
        <v>3</v>
      </c>
    </row>
    <row r="656" spans="62:64" x14ac:dyDescent="0.25">
      <c r="BJ656" s="13">
        <f t="shared" si="80"/>
        <v>652</v>
      </c>
      <c r="BK656" s="10">
        <f t="shared" si="81"/>
        <v>19</v>
      </c>
      <c r="BL656" s="10">
        <f t="shared" si="82"/>
        <v>4</v>
      </c>
    </row>
    <row r="657" spans="62:64" x14ac:dyDescent="0.25">
      <c r="BJ657" s="13">
        <f t="shared" si="80"/>
        <v>653</v>
      </c>
      <c r="BK657" s="10">
        <f t="shared" si="81"/>
        <v>19</v>
      </c>
      <c r="BL657" s="10">
        <f t="shared" si="82"/>
        <v>5</v>
      </c>
    </row>
    <row r="658" spans="62:64" x14ac:dyDescent="0.25">
      <c r="BJ658" s="13">
        <f t="shared" si="80"/>
        <v>654</v>
      </c>
      <c r="BK658" s="10">
        <f t="shared" si="81"/>
        <v>19</v>
      </c>
      <c r="BL658" s="10">
        <f t="shared" si="82"/>
        <v>6</v>
      </c>
    </row>
    <row r="659" spans="62:64" x14ac:dyDescent="0.25">
      <c r="BJ659" s="13">
        <f t="shared" si="80"/>
        <v>655</v>
      </c>
      <c r="BK659" s="10">
        <f t="shared" si="81"/>
        <v>19</v>
      </c>
      <c r="BL659" s="10">
        <f t="shared" si="82"/>
        <v>7</v>
      </c>
    </row>
    <row r="660" spans="62:64" x14ac:dyDescent="0.25">
      <c r="BJ660" s="13">
        <f t="shared" si="80"/>
        <v>656</v>
      </c>
      <c r="BK660" s="10">
        <f t="shared" si="81"/>
        <v>19</v>
      </c>
      <c r="BL660" s="10">
        <f t="shared" si="82"/>
        <v>8</v>
      </c>
    </row>
    <row r="661" spans="62:64" x14ac:dyDescent="0.25">
      <c r="BJ661" s="13">
        <f t="shared" si="80"/>
        <v>657</v>
      </c>
      <c r="BK661" s="10">
        <f t="shared" si="81"/>
        <v>19</v>
      </c>
      <c r="BL661" s="10">
        <f t="shared" si="82"/>
        <v>9</v>
      </c>
    </row>
    <row r="662" spans="62:64" x14ac:dyDescent="0.25">
      <c r="BJ662" s="13">
        <f t="shared" si="80"/>
        <v>658</v>
      </c>
      <c r="BK662" s="10">
        <f t="shared" si="81"/>
        <v>19</v>
      </c>
      <c r="BL662" s="10">
        <f t="shared" si="82"/>
        <v>10</v>
      </c>
    </row>
    <row r="663" spans="62:64" x14ac:dyDescent="0.25">
      <c r="BJ663" s="13">
        <f t="shared" si="80"/>
        <v>659</v>
      </c>
      <c r="BK663" s="10">
        <f t="shared" si="81"/>
        <v>19</v>
      </c>
      <c r="BL663" s="10">
        <f t="shared" si="82"/>
        <v>11</v>
      </c>
    </row>
    <row r="664" spans="62:64" x14ac:dyDescent="0.25">
      <c r="BJ664" s="13">
        <f t="shared" si="80"/>
        <v>660</v>
      </c>
      <c r="BK664" s="10">
        <f t="shared" si="81"/>
        <v>19</v>
      </c>
      <c r="BL664" s="10">
        <f t="shared" si="82"/>
        <v>12</v>
      </c>
    </row>
    <row r="665" spans="62:64" x14ac:dyDescent="0.25">
      <c r="BJ665" s="13">
        <f t="shared" si="80"/>
        <v>661</v>
      </c>
      <c r="BK665" s="10">
        <f t="shared" si="81"/>
        <v>19</v>
      </c>
      <c r="BL665" s="10">
        <f t="shared" si="82"/>
        <v>13</v>
      </c>
    </row>
    <row r="666" spans="62:64" x14ac:dyDescent="0.25">
      <c r="BJ666" s="13">
        <f t="shared" si="80"/>
        <v>662</v>
      </c>
      <c r="BK666" s="10">
        <f t="shared" si="81"/>
        <v>19</v>
      </c>
      <c r="BL666" s="10">
        <f t="shared" si="82"/>
        <v>14</v>
      </c>
    </row>
    <row r="667" spans="62:64" x14ac:dyDescent="0.25">
      <c r="BJ667" s="13">
        <f t="shared" si="80"/>
        <v>663</v>
      </c>
      <c r="BK667" s="10">
        <f t="shared" si="81"/>
        <v>19</v>
      </c>
      <c r="BL667" s="10">
        <f t="shared" si="82"/>
        <v>15</v>
      </c>
    </row>
    <row r="668" spans="62:64" x14ac:dyDescent="0.25">
      <c r="BJ668" s="13">
        <f t="shared" si="80"/>
        <v>664</v>
      </c>
      <c r="BK668" s="10">
        <f t="shared" si="81"/>
        <v>19</v>
      </c>
      <c r="BL668" s="10">
        <f t="shared" si="82"/>
        <v>16</v>
      </c>
    </row>
    <row r="669" spans="62:64" x14ac:dyDescent="0.25">
      <c r="BJ669" s="13">
        <f t="shared" si="80"/>
        <v>665</v>
      </c>
      <c r="BK669" s="10">
        <f t="shared" si="81"/>
        <v>19</v>
      </c>
      <c r="BL669" s="10">
        <f t="shared" si="82"/>
        <v>17</v>
      </c>
    </row>
    <row r="670" spans="62:64" x14ac:dyDescent="0.25">
      <c r="BJ670" s="13">
        <f t="shared" si="80"/>
        <v>666</v>
      </c>
      <c r="BK670" s="10">
        <f t="shared" si="81"/>
        <v>19</v>
      </c>
      <c r="BL670" s="10">
        <f t="shared" si="82"/>
        <v>18</v>
      </c>
    </row>
    <row r="671" spans="62:64" x14ac:dyDescent="0.25">
      <c r="BJ671" s="13">
        <f t="shared" si="80"/>
        <v>667</v>
      </c>
      <c r="BK671" s="10">
        <f t="shared" si="81"/>
        <v>19</v>
      </c>
      <c r="BL671" s="10">
        <f t="shared" si="82"/>
        <v>19</v>
      </c>
    </row>
    <row r="672" spans="62:64" x14ac:dyDescent="0.25">
      <c r="BJ672" s="13">
        <f t="shared" si="80"/>
        <v>668</v>
      </c>
      <c r="BK672" s="10">
        <f t="shared" si="81"/>
        <v>19</v>
      </c>
      <c r="BL672" s="10">
        <f t="shared" si="82"/>
        <v>20</v>
      </c>
    </row>
    <row r="673" spans="62:64" x14ac:dyDescent="0.25">
      <c r="BJ673" s="13">
        <f t="shared" si="80"/>
        <v>669</v>
      </c>
      <c r="BK673" s="10">
        <f t="shared" si="81"/>
        <v>19</v>
      </c>
      <c r="BL673" s="10">
        <f t="shared" si="82"/>
        <v>21</v>
      </c>
    </row>
    <row r="674" spans="62:64" x14ac:dyDescent="0.25">
      <c r="BJ674" s="13">
        <f t="shared" si="80"/>
        <v>670</v>
      </c>
      <c r="BK674" s="10">
        <f t="shared" si="81"/>
        <v>19</v>
      </c>
      <c r="BL674" s="10">
        <f t="shared" si="82"/>
        <v>22</v>
      </c>
    </row>
    <row r="675" spans="62:64" x14ac:dyDescent="0.25">
      <c r="BJ675" s="13">
        <f t="shared" si="80"/>
        <v>671</v>
      </c>
      <c r="BK675" s="10">
        <f t="shared" si="81"/>
        <v>19</v>
      </c>
      <c r="BL675" s="10">
        <f t="shared" si="82"/>
        <v>23</v>
      </c>
    </row>
    <row r="676" spans="62:64" x14ac:dyDescent="0.25">
      <c r="BJ676" s="13">
        <f t="shared" si="80"/>
        <v>672</v>
      </c>
      <c r="BK676" s="10">
        <f t="shared" si="81"/>
        <v>19</v>
      </c>
      <c r="BL676" s="10">
        <f t="shared" si="82"/>
        <v>24</v>
      </c>
    </row>
    <row r="677" spans="62:64" x14ac:dyDescent="0.25">
      <c r="BJ677" s="13">
        <f t="shared" si="80"/>
        <v>673</v>
      </c>
      <c r="BK677" s="10">
        <f t="shared" si="81"/>
        <v>19</v>
      </c>
      <c r="BL677" s="10">
        <f t="shared" si="82"/>
        <v>25</v>
      </c>
    </row>
    <row r="678" spans="62:64" x14ac:dyDescent="0.25">
      <c r="BJ678" s="13">
        <f t="shared" si="80"/>
        <v>674</v>
      </c>
      <c r="BK678" s="10">
        <f t="shared" si="81"/>
        <v>19</v>
      </c>
      <c r="BL678" s="10">
        <f t="shared" si="82"/>
        <v>26</v>
      </c>
    </row>
    <row r="679" spans="62:64" x14ac:dyDescent="0.25">
      <c r="BJ679" s="13">
        <f t="shared" si="80"/>
        <v>675</v>
      </c>
      <c r="BK679" s="10">
        <f t="shared" si="81"/>
        <v>19</v>
      </c>
      <c r="BL679" s="10">
        <f t="shared" si="82"/>
        <v>27</v>
      </c>
    </row>
    <row r="680" spans="62:64" x14ac:dyDescent="0.25">
      <c r="BJ680" s="13">
        <f t="shared" si="80"/>
        <v>676</v>
      </c>
      <c r="BK680" s="10">
        <f t="shared" si="81"/>
        <v>19</v>
      </c>
      <c r="BL680" s="10">
        <f t="shared" si="82"/>
        <v>28</v>
      </c>
    </row>
    <row r="681" spans="62:64" x14ac:dyDescent="0.25">
      <c r="BJ681" s="13">
        <f t="shared" si="80"/>
        <v>677</v>
      </c>
      <c r="BK681" s="10">
        <f t="shared" si="81"/>
        <v>19</v>
      </c>
      <c r="BL681" s="10">
        <f t="shared" si="82"/>
        <v>29</v>
      </c>
    </row>
    <row r="682" spans="62:64" x14ac:dyDescent="0.25">
      <c r="BJ682" s="13">
        <f t="shared" si="80"/>
        <v>678</v>
      </c>
      <c r="BK682" s="10">
        <f t="shared" si="81"/>
        <v>19</v>
      </c>
      <c r="BL682" s="10">
        <f t="shared" si="82"/>
        <v>30</v>
      </c>
    </row>
    <row r="683" spans="62:64" x14ac:dyDescent="0.25">
      <c r="BJ683" s="13">
        <f t="shared" si="80"/>
        <v>679</v>
      </c>
      <c r="BK683" s="10">
        <f t="shared" si="81"/>
        <v>19</v>
      </c>
      <c r="BL683" s="10">
        <f t="shared" si="82"/>
        <v>31</v>
      </c>
    </row>
    <row r="684" spans="62:64" x14ac:dyDescent="0.25">
      <c r="BJ684" s="13">
        <f t="shared" si="80"/>
        <v>680</v>
      </c>
      <c r="BK684" s="10">
        <f t="shared" si="81"/>
        <v>19</v>
      </c>
      <c r="BL684" s="10">
        <f t="shared" si="82"/>
        <v>32</v>
      </c>
    </row>
    <row r="685" spans="62:64" x14ac:dyDescent="0.25">
      <c r="BJ685" s="13">
        <f t="shared" si="80"/>
        <v>681</v>
      </c>
      <c r="BK685" s="10">
        <f t="shared" si="81"/>
        <v>19</v>
      </c>
      <c r="BL685" s="10">
        <f t="shared" si="82"/>
        <v>33</v>
      </c>
    </row>
    <row r="686" spans="62:64" x14ac:dyDescent="0.25">
      <c r="BJ686" s="13">
        <f t="shared" si="80"/>
        <v>682</v>
      </c>
      <c r="BK686" s="10">
        <f t="shared" si="81"/>
        <v>19</v>
      </c>
      <c r="BL686" s="10">
        <f t="shared" si="82"/>
        <v>34</v>
      </c>
    </row>
    <row r="687" spans="62:64" x14ac:dyDescent="0.25">
      <c r="BJ687" s="13">
        <f t="shared" si="80"/>
        <v>683</v>
      </c>
      <c r="BK687" s="10">
        <f t="shared" si="81"/>
        <v>19</v>
      </c>
      <c r="BL687" s="10">
        <f t="shared" si="82"/>
        <v>35</v>
      </c>
    </row>
    <row r="688" spans="62:64" x14ac:dyDescent="0.25">
      <c r="BJ688" s="13">
        <f t="shared" si="80"/>
        <v>684</v>
      </c>
      <c r="BK688" s="10">
        <f t="shared" si="81"/>
        <v>19</v>
      </c>
      <c r="BL688" s="10">
        <f t="shared" si="82"/>
        <v>36</v>
      </c>
    </row>
    <row r="689" spans="62:64" x14ac:dyDescent="0.25">
      <c r="BJ689" s="13">
        <f t="shared" si="80"/>
        <v>685</v>
      </c>
      <c r="BK689" s="10">
        <f t="shared" si="81"/>
        <v>20</v>
      </c>
      <c r="BL689" s="10">
        <f t="shared" si="82"/>
        <v>1</v>
      </c>
    </row>
    <row r="690" spans="62:64" x14ac:dyDescent="0.25">
      <c r="BJ690" s="13">
        <f t="shared" si="80"/>
        <v>686</v>
      </c>
      <c r="BK690" s="10">
        <f t="shared" si="81"/>
        <v>20</v>
      </c>
      <c r="BL690" s="10">
        <f t="shared" si="82"/>
        <v>2</v>
      </c>
    </row>
    <row r="691" spans="62:64" x14ac:dyDescent="0.25">
      <c r="BJ691" s="13">
        <f t="shared" si="80"/>
        <v>687</v>
      </c>
      <c r="BK691" s="10">
        <f t="shared" si="81"/>
        <v>20</v>
      </c>
      <c r="BL691" s="10">
        <f t="shared" si="82"/>
        <v>3</v>
      </c>
    </row>
    <row r="692" spans="62:64" x14ac:dyDescent="0.25">
      <c r="BJ692" s="13">
        <f t="shared" si="80"/>
        <v>688</v>
      </c>
      <c r="BK692" s="10">
        <f t="shared" si="81"/>
        <v>20</v>
      </c>
      <c r="BL692" s="10">
        <f t="shared" si="82"/>
        <v>4</v>
      </c>
    </row>
    <row r="693" spans="62:64" x14ac:dyDescent="0.25">
      <c r="BJ693" s="13">
        <f t="shared" si="80"/>
        <v>689</v>
      </c>
      <c r="BK693" s="10">
        <f t="shared" si="81"/>
        <v>20</v>
      </c>
      <c r="BL693" s="10">
        <f t="shared" si="82"/>
        <v>5</v>
      </c>
    </row>
    <row r="694" spans="62:64" x14ac:dyDescent="0.25">
      <c r="BJ694" s="13">
        <f t="shared" si="80"/>
        <v>690</v>
      </c>
      <c r="BK694" s="10">
        <f t="shared" si="81"/>
        <v>20</v>
      </c>
      <c r="BL694" s="10">
        <f t="shared" si="82"/>
        <v>6</v>
      </c>
    </row>
    <row r="695" spans="62:64" x14ac:dyDescent="0.25">
      <c r="BJ695" s="13">
        <f t="shared" si="80"/>
        <v>691</v>
      </c>
      <c r="BK695" s="10">
        <f t="shared" si="81"/>
        <v>20</v>
      </c>
      <c r="BL695" s="10">
        <f t="shared" si="82"/>
        <v>7</v>
      </c>
    </row>
    <row r="696" spans="62:64" x14ac:dyDescent="0.25">
      <c r="BJ696" s="13">
        <f t="shared" si="80"/>
        <v>692</v>
      </c>
      <c r="BK696" s="10">
        <f t="shared" si="81"/>
        <v>20</v>
      </c>
      <c r="BL696" s="10">
        <f t="shared" si="82"/>
        <v>8</v>
      </c>
    </row>
    <row r="697" spans="62:64" x14ac:dyDescent="0.25">
      <c r="BJ697" s="13">
        <f t="shared" si="80"/>
        <v>693</v>
      </c>
      <c r="BK697" s="10">
        <f t="shared" si="81"/>
        <v>20</v>
      </c>
      <c r="BL697" s="10">
        <f t="shared" si="82"/>
        <v>9</v>
      </c>
    </row>
    <row r="698" spans="62:64" x14ac:dyDescent="0.25">
      <c r="BJ698" s="13">
        <f t="shared" si="80"/>
        <v>694</v>
      </c>
      <c r="BK698" s="10">
        <f t="shared" si="81"/>
        <v>20</v>
      </c>
      <c r="BL698" s="10">
        <f t="shared" si="82"/>
        <v>10</v>
      </c>
    </row>
    <row r="699" spans="62:64" x14ac:dyDescent="0.25">
      <c r="BJ699" s="13">
        <f t="shared" si="80"/>
        <v>695</v>
      </c>
      <c r="BK699" s="10">
        <f t="shared" si="81"/>
        <v>20</v>
      </c>
      <c r="BL699" s="10">
        <f t="shared" si="82"/>
        <v>11</v>
      </c>
    </row>
    <row r="700" spans="62:64" x14ac:dyDescent="0.25">
      <c r="BJ700" s="13">
        <f t="shared" si="80"/>
        <v>696</v>
      </c>
      <c r="BK700" s="10">
        <f t="shared" si="81"/>
        <v>20</v>
      </c>
      <c r="BL700" s="10">
        <f t="shared" si="82"/>
        <v>12</v>
      </c>
    </row>
    <row r="701" spans="62:64" x14ac:dyDescent="0.25">
      <c r="BJ701" s="13">
        <f t="shared" si="80"/>
        <v>697</v>
      </c>
      <c r="BK701" s="10">
        <f t="shared" si="81"/>
        <v>20</v>
      </c>
      <c r="BL701" s="10">
        <f t="shared" si="82"/>
        <v>13</v>
      </c>
    </row>
    <row r="702" spans="62:64" x14ac:dyDescent="0.25">
      <c r="BJ702" s="13">
        <f t="shared" si="80"/>
        <v>698</v>
      </c>
      <c r="BK702" s="10">
        <f t="shared" si="81"/>
        <v>20</v>
      </c>
      <c r="BL702" s="10">
        <f t="shared" si="82"/>
        <v>14</v>
      </c>
    </row>
    <row r="703" spans="62:64" x14ac:dyDescent="0.25">
      <c r="BJ703" s="13">
        <f t="shared" si="80"/>
        <v>699</v>
      </c>
      <c r="BK703" s="10">
        <f t="shared" si="81"/>
        <v>20</v>
      </c>
      <c r="BL703" s="10">
        <f t="shared" si="82"/>
        <v>15</v>
      </c>
    </row>
    <row r="704" spans="62:64" x14ac:dyDescent="0.25">
      <c r="BJ704" s="13">
        <f t="shared" si="80"/>
        <v>700</v>
      </c>
      <c r="BK704" s="10">
        <f t="shared" si="81"/>
        <v>20</v>
      </c>
      <c r="BL704" s="10">
        <f t="shared" si="82"/>
        <v>16</v>
      </c>
    </row>
    <row r="705" spans="62:64" x14ac:dyDescent="0.25">
      <c r="BJ705" s="13">
        <f t="shared" si="80"/>
        <v>701</v>
      </c>
      <c r="BK705" s="10">
        <f t="shared" si="81"/>
        <v>20</v>
      </c>
      <c r="BL705" s="10">
        <f t="shared" si="82"/>
        <v>17</v>
      </c>
    </row>
    <row r="706" spans="62:64" x14ac:dyDescent="0.25">
      <c r="BJ706" s="13">
        <f t="shared" si="80"/>
        <v>702</v>
      </c>
      <c r="BK706" s="10">
        <f t="shared" si="81"/>
        <v>20</v>
      </c>
      <c r="BL706" s="10">
        <f t="shared" si="82"/>
        <v>18</v>
      </c>
    </row>
    <row r="707" spans="62:64" x14ac:dyDescent="0.25">
      <c r="BJ707" s="13">
        <f t="shared" si="80"/>
        <v>703</v>
      </c>
      <c r="BK707" s="10">
        <f t="shared" si="81"/>
        <v>20</v>
      </c>
      <c r="BL707" s="10">
        <f t="shared" si="82"/>
        <v>19</v>
      </c>
    </row>
    <row r="708" spans="62:64" x14ac:dyDescent="0.25">
      <c r="BJ708" s="13">
        <f t="shared" si="80"/>
        <v>704</v>
      </c>
      <c r="BK708" s="10">
        <f t="shared" si="81"/>
        <v>20</v>
      </c>
      <c r="BL708" s="10">
        <f t="shared" si="82"/>
        <v>20</v>
      </c>
    </row>
    <row r="709" spans="62:64" x14ac:dyDescent="0.25">
      <c r="BJ709" s="13">
        <f t="shared" si="80"/>
        <v>705</v>
      </c>
      <c r="BK709" s="10">
        <f t="shared" si="81"/>
        <v>20</v>
      </c>
      <c r="BL709" s="10">
        <f t="shared" si="82"/>
        <v>21</v>
      </c>
    </row>
    <row r="710" spans="62:64" x14ac:dyDescent="0.25">
      <c r="BJ710" s="13">
        <f t="shared" ref="BJ710:BJ773" si="83">IF(ROW()-BJ$3&lt;=$BJ$4,ROW()-ROW(BJ$4),"")</f>
        <v>706</v>
      </c>
      <c r="BK710" s="10">
        <f t="shared" si="81"/>
        <v>20</v>
      </c>
      <c r="BL710" s="10">
        <f t="shared" si="82"/>
        <v>22</v>
      </c>
    </row>
    <row r="711" spans="62:64" x14ac:dyDescent="0.25">
      <c r="BJ711" s="13">
        <f t="shared" si="83"/>
        <v>707</v>
      </c>
      <c r="BK711" s="10">
        <f t="shared" ref="BK711:BK774" si="84">IF(ISNUMBER(BJ711),INT(BJ710/$BL$4)+1,"")</f>
        <v>20</v>
      </c>
      <c r="BL711" s="10">
        <f t="shared" ref="BL711:BL774" si="85">IF(ISNUMBER(BJ711),IF(BK710&lt;&gt;BK711,1,BL710+1),"")</f>
        <v>23</v>
      </c>
    </row>
    <row r="712" spans="62:64" x14ac:dyDescent="0.25">
      <c r="BJ712" s="13">
        <f t="shared" si="83"/>
        <v>708</v>
      </c>
      <c r="BK712" s="10">
        <f t="shared" si="84"/>
        <v>20</v>
      </c>
      <c r="BL712" s="10">
        <f t="shared" si="85"/>
        <v>24</v>
      </c>
    </row>
    <row r="713" spans="62:64" x14ac:dyDescent="0.25">
      <c r="BJ713" s="13">
        <f t="shared" si="83"/>
        <v>709</v>
      </c>
      <c r="BK713" s="10">
        <f t="shared" si="84"/>
        <v>20</v>
      </c>
      <c r="BL713" s="10">
        <f t="shared" si="85"/>
        <v>25</v>
      </c>
    </row>
    <row r="714" spans="62:64" x14ac:dyDescent="0.25">
      <c r="BJ714" s="13">
        <f t="shared" si="83"/>
        <v>710</v>
      </c>
      <c r="BK714" s="10">
        <f t="shared" si="84"/>
        <v>20</v>
      </c>
      <c r="BL714" s="10">
        <f t="shared" si="85"/>
        <v>26</v>
      </c>
    </row>
    <row r="715" spans="62:64" x14ac:dyDescent="0.25">
      <c r="BJ715" s="13">
        <f t="shared" si="83"/>
        <v>711</v>
      </c>
      <c r="BK715" s="10">
        <f t="shared" si="84"/>
        <v>20</v>
      </c>
      <c r="BL715" s="10">
        <f t="shared" si="85"/>
        <v>27</v>
      </c>
    </row>
    <row r="716" spans="62:64" x14ac:dyDescent="0.25">
      <c r="BJ716" s="13">
        <f t="shared" si="83"/>
        <v>712</v>
      </c>
      <c r="BK716" s="10">
        <f t="shared" si="84"/>
        <v>20</v>
      </c>
      <c r="BL716" s="10">
        <f t="shared" si="85"/>
        <v>28</v>
      </c>
    </row>
    <row r="717" spans="62:64" x14ac:dyDescent="0.25">
      <c r="BJ717" s="13">
        <f t="shared" si="83"/>
        <v>713</v>
      </c>
      <c r="BK717" s="10">
        <f t="shared" si="84"/>
        <v>20</v>
      </c>
      <c r="BL717" s="10">
        <f t="shared" si="85"/>
        <v>29</v>
      </c>
    </row>
    <row r="718" spans="62:64" x14ac:dyDescent="0.25">
      <c r="BJ718" s="13">
        <f t="shared" si="83"/>
        <v>714</v>
      </c>
      <c r="BK718" s="10">
        <f t="shared" si="84"/>
        <v>20</v>
      </c>
      <c r="BL718" s="10">
        <f t="shared" si="85"/>
        <v>30</v>
      </c>
    </row>
    <row r="719" spans="62:64" x14ac:dyDescent="0.25">
      <c r="BJ719" s="13">
        <f t="shared" si="83"/>
        <v>715</v>
      </c>
      <c r="BK719" s="10">
        <f t="shared" si="84"/>
        <v>20</v>
      </c>
      <c r="BL719" s="10">
        <f t="shared" si="85"/>
        <v>31</v>
      </c>
    </row>
    <row r="720" spans="62:64" x14ac:dyDescent="0.25">
      <c r="BJ720" s="13">
        <f t="shared" si="83"/>
        <v>716</v>
      </c>
      <c r="BK720" s="10">
        <f t="shared" si="84"/>
        <v>20</v>
      </c>
      <c r="BL720" s="10">
        <f t="shared" si="85"/>
        <v>32</v>
      </c>
    </row>
    <row r="721" spans="62:64" x14ac:dyDescent="0.25">
      <c r="BJ721" s="13">
        <f t="shared" si="83"/>
        <v>717</v>
      </c>
      <c r="BK721" s="10">
        <f t="shared" si="84"/>
        <v>20</v>
      </c>
      <c r="BL721" s="10">
        <f t="shared" si="85"/>
        <v>33</v>
      </c>
    </row>
    <row r="722" spans="62:64" x14ac:dyDescent="0.25">
      <c r="BJ722" s="13">
        <f t="shared" si="83"/>
        <v>718</v>
      </c>
      <c r="BK722" s="10">
        <f t="shared" si="84"/>
        <v>20</v>
      </c>
      <c r="BL722" s="10">
        <f t="shared" si="85"/>
        <v>34</v>
      </c>
    </row>
    <row r="723" spans="62:64" x14ac:dyDescent="0.25">
      <c r="BJ723" s="13">
        <f t="shared" si="83"/>
        <v>719</v>
      </c>
      <c r="BK723" s="10">
        <f t="shared" si="84"/>
        <v>20</v>
      </c>
      <c r="BL723" s="10">
        <f t="shared" si="85"/>
        <v>35</v>
      </c>
    </row>
    <row r="724" spans="62:64" x14ac:dyDescent="0.25">
      <c r="BJ724" s="13">
        <f t="shared" si="83"/>
        <v>720</v>
      </c>
      <c r="BK724" s="10">
        <f t="shared" si="84"/>
        <v>20</v>
      </c>
      <c r="BL724" s="10">
        <f t="shared" si="85"/>
        <v>36</v>
      </c>
    </row>
    <row r="725" spans="62:64" x14ac:dyDescent="0.25">
      <c r="BJ725" s="13">
        <f t="shared" si="83"/>
        <v>721</v>
      </c>
      <c r="BK725" s="10">
        <f t="shared" si="84"/>
        <v>21</v>
      </c>
      <c r="BL725" s="10">
        <f t="shared" si="85"/>
        <v>1</v>
      </c>
    </row>
    <row r="726" spans="62:64" x14ac:dyDescent="0.25">
      <c r="BJ726" s="13">
        <f t="shared" si="83"/>
        <v>722</v>
      </c>
      <c r="BK726" s="10">
        <f t="shared" si="84"/>
        <v>21</v>
      </c>
      <c r="BL726" s="10">
        <f t="shared" si="85"/>
        <v>2</v>
      </c>
    </row>
    <row r="727" spans="62:64" x14ac:dyDescent="0.25">
      <c r="BJ727" s="13">
        <f t="shared" si="83"/>
        <v>723</v>
      </c>
      <c r="BK727" s="10">
        <f t="shared" si="84"/>
        <v>21</v>
      </c>
      <c r="BL727" s="10">
        <f t="shared" si="85"/>
        <v>3</v>
      </c>
    </row>
    <row r="728" spans="62:64" x14ac:dyDescent="0.25">
      <c r="BJ728" s="13">
        <f t="shared" si="83"/>
        <v>724</v>
      </c>
      <c r="BK728" s="10">
        <f t="shared" si="84"/>
        <v>21</v>
      </c>
      <c r="BL728" s="10">
        <f t="shared" si="85"/>
        <v>4</v>
      </c>
    </row>
    <row r="729" spans="62:64" x14ac:dyDescent="0.25">
      <c r="BJ729" s="13">
        <f t="shared" si="83"/>
        <v>725</v>
      </c>
      <c r="BK729" s="10">
        <f t="shared" si="84"/>
        <v>21</v>
      </c>
      <c r="BL729" s="10">
        <f t="shared" si="85"/>
        <v>5</v>
      </c>
    </row>
    <row r="730" spans="62:64" x14ac:dyDescent="0.25">
      <c r="BJ730" s="13">
        <f t="shared" si="83"/>
        <v>726</v>
      </c>
      <c r="BK730" s="10">
        <f t="shared" si="84"/>
        <v>21</v>
      </c>
      <c r="BL730" s="10">
        <f t="shared" si="85"/>
        <v>6</v>
      </c>
    </row>
    <row r="731" spans="62:64" x14ac:dyDescent="0.25">
      <c r="BJ731" s="13">
        <f t="shared" si="83"/>
        <v>727</v>
      </c>
      <c r="BK731" s="10">
        <f t="shared" si="84"/>
        <v>21</v>
      </c>
      <c r="BL731" s="10">
        <f t="shared" si="85"/>
        <v>7</v>
      </c>
    </row>
    <row r="732" spans="62:64" x14ac:dyDescent="0.25">
      <c r="BJ732" s="13">
        <f t="shared" si="83"/>
        <v>728</v>
      </c>
      <c r="BK732" s="10">
        <f t="shared" si="84"/>
        <v>21</v>
      </c>
      <c r="BL732" s="10">
        <f t="shared" si="85"/>
        <v>8</v>
      </c>
    </row>
    <row r="733" spans="62:64" x14ac:dyDescent="0.25">
      <c r="BJ733" s="13">
        <f t="shared" si="83"/>
        <v>729</v>
      </c>
      <c r="BK733" s="10">
        <f t="shared" si="84"/>
        <v>21</v>
      </c>
      <c r="BL733" s="10">
        <f t="shared" si="85"/>
        <v>9</v>
      </c>
    </row>
    <row r="734" spans="62:64" x14ac:dyDescent="0.25">
      <c r="BJ734" s="13">
        <f t="shared" si="83"/>
        <v>730</v>
      </c>
      <c r="BK734" s="10">
        <f t="shared" si="84"/>
        <v>21</v>
      </c>
      <c r="BL734" s="10">
        <f t="shared" si="85"/>
        <v>10</v>
      </c>
    </row>
    <row r="735" spans="62:64" x14ac:dyDescent="0.25">
      <c r="BJ735" s="13">
        <f t="shared" si="83"/>
        <v>731</v>
      </c>
      <c r="BK735" s="10">
        <f t="shared" si="84"/>
        <v>21</v>
      </c>
      <c r="BL735" s="10">
        <f t="shared" si="85"/>
        <v>11</v>
      </c>
    </row>
    <row r="736" spans="62:64" x14ac:dyDescent="0.25">
      <c r="BJ736" s="13">
        <f t="shared" si="83"/>
        <v>732</v>
      </c>
      <c r="BK736" s="10">
        <f t="shared" si="84"/>
        <v>21</v>
      </c>
      <c r="BL736" s="10">
        <f t="shared" si="85"/>
        <v>12</v>
      </c>
    </row>
    <row r="737" spans="62:64" x14ac:dyDescent="0.25">
      <c r="BJ737" s="13">
        <f t="shared" si="83"/>
        <v>733</v>
      </c>
      <c r="BK737" s="10">
        <f t="shared" si="84"/>
        <v>21</v>
      </c>
      <c r="BL737" s="10">
        <f t="shared" si="85"/>
        <v>13</v>
      </c>
    </row>
    <row r="738" spans="62:64" x14ac:dyDescent="0.25">
      <c r="BJ738" s="13">
        <f t="shared" si="83"/>
        <v>734</v>
      </c>
      <c r="BK738" s="10">
        <f t="shared" si="84"/>
        <v>21</v>
      </c>
      <c r="BL738" s="10">
        <f t="shared" si="85"/>
        <v>14</v>
      </c>
    </row>
    <row r="739" spans="62:64" x14ac:dyDescent="0.25">
      <c r="BJ739" s="13">
        <f t="shared" si="83"/>
        <v>735</v>
      </c>
      <c r="BK739" s="10">
        <f t="shared" si="84"/>
        <v>21</v>
      </c>
      <c r="BL739" s="10">
        <f t="shared" si="85"/>
        <v>15</v>
      </c>
    </row>
    <row r="740" spans="62:64" x14ac:dyDescent="0.25">
      <c r="BJ740" s="13">
        <f t="shared" si="83"/>
        <v>736</v>
      </c>
      <c r="BK740" s="10">
        <f t="shared" si="84"/>
        <v>21</v>
      </c>
      <c r="BL740" s="10">
        <f t="shared" si="85"/>
        <v>16</v>
      </c>
    </row>
    <row r="741" spans="62:64" x14ac:dyDescent="0.25">
      <c r="BJ741" s="13">
        <f t="shared" si="83"/>
        <v>737</v>
      </c>
      <c r="BK741" s="10">
        <f t="shared" si="84"/>
        <v>21</v>
      </c>
      <c r="BL741" s="10">
        <f t="shared" si="85"/>
        <v>17</v>
      </c>
    </row>
    <row r="742" spans="62:64" x14ac:dyDescent="0.25">
      <c r="BJ742" s="13">
        <f t="shared" si="83"/>
        <v>738</v>
      </c>
      <c r="BK742" s="10">
        <f t="shared" si="84"/>
        <v>21</v>
      </c>
      <c r="BL742" s="10">
        <f t="shared" si="85"/>
        <v>18</v>
      </c>
    </row>
    <row r="743" spans="62:64" x14ac:dyDescent="0.25">
      <c r="BJ743" s="13">
        <f t="shared" si="83"/>
        <v>739</v>
      </c>
      <c r="BK743" s="10">
        <f t="shared" si="84"/>
        <v>21</v>
      </c>
      <c r="BL743" s="10">
        <f t="shared" si="85"/>
        <v>19</v>
      </c>
    </row>
    <row r="744" spans="62:64" x14ac:dyDescent="0.25">
      <c r="BJ744" s="13">
        <f t="shared" si="83"/>
        <v>740</v>
      </c>
      <c r="BK744" s="10">
        <f t="shared" si="84"/>
        <v>21</v>
      </c>
      <c r="BL744" s="10">
        <f t="shared" si="85"/>
        <v>20</v>
      </c>
    </row>
    <row r="745" spans="62:64" x14ac:dyDescent="0.25">
      <c r="BJ745" s="13">
        <f t="shared" si="83"/>
        <v>741</v>
      </c>
      <c r="BK745" s="10">
        <f t="shared" si="84"/>
        <v>21</v>
      </c>
      <c r="BL745" s="10">
        <f t="shared" si="85"/>
        <v>21</v>
      </c>
    </row>
    <row r="746" spans="62:64" x14ac:dyDescent="0.25">
      <c r="BJ746" s="13">
        <f t="shared" si="83"/>
        <v>742</v>
      </c>
      <c r="BK746" s="10">
        <f t="shared" si="84"/>
        <v>21</v>
      </c>
      <c r="BL746" s="10">
        <f t="shared" si="85"/>
        <v>22</v>
      </c>
    </row>
    <row r="747" spans="62:64" x14ac:dyDescent="0.25">
      <c r="BJ747" s="13">
        <f t="shared" si="83"/>
        <v>743</v>
      </c>
      <c r="BK747" s="10">
        <f t="shared" si="84"/>
        <v>21</v>
      </c>
      <c r="BL747" s="10">
        <f t="shared" si="85"/>
        <v>23</v>
      </c>
    </row>
    <row r="748" spans="62:64" x14ac:dyDescent="0.25">
      <c r="BJ748" s="13">
        <f t="shared" si="83"/>
        <v>744</v>
      </c>
      <c r="BK748" s="10">
        <f t="shared" si="84"/>
        <v>21</v>
      </c>
      <c r="BL748" s="10">
        <f t="shared" si="85"/>
        <v>24</v>
      </c>
    </row>
    <row r="749" spans="62:64" x14ac:dyDescent="0.25">
      <c r="BJ749" s="13">
        <f t="shared" si="83"/>
        <v>745</v>
      </c>
      <c r="BK749" s="10">
        <f t="shared" si="84"/>
        <v>21</v>
      </c>
      <c r="BL749" s="10">
        <f t="shared" si="85"/>
        <v>25</v>
      </c>
    </row>
    <row r="750" spans="62:64" x14ac:dyDescent="0.25">
      <c r="BJ750" s="13">
        <f t="shared" si="83"/>
        <v>746</v>
      </c>
      <c r="BK750" s="10">
        <f t="shared" si="84"/>
        <v>21</v>
      </c>
      <c r="BL750" s="10">
        <f t="shared" si="85"/>
        <v>26</v>
      </c>
    </row>
    <row r="751" spans="62:64" x14ac:dyDescent="0.25">
      <c r="BJ751" s="13">
        <f t="shared" si="83"/>
        <v>747</v>
      </c>
      <c r="BK751" s="10">
        <f t="shared" si="84"/>
        <v>21</v>
      </c>
      <c r="BL751" s="10">
        <f t="shared" si="85"/>
        <v>27</v>
      </c>
    </row>
    <row r="752" spans="62:64" x14ac:dyDescent="0.25">
      <c r="BJ752" s="13">
        <f t="shared" si="83"/>
        <v>748</v>
      </c>
      <c r="BK752" s="10">
        <f t="shared" si="84"/>
        <v>21</v>
      </c>
      <c r="BL752" s="10">
        <f t="shared" si="85"/>
        <v>28</v>
      </c>
    </row>
    <row r="753" spans="62:64" x14ac:dyDescent="0.25">
      <c r="BJ753" s="13">
        <f t="shared" si="83"/>
        <v>749</v>
      </c>
      <c r="BK753" s="10">
        <f t="shared" si="84"/>
        <v>21</v>
      </c>
      <c r="BL753" s="10">
        <f t="shared" si="85"/>
        <v>29</v>
      </c>
    </row>
    <row r="754" spans="62:64" x14ac:dyDescent="0.25">
      <c r="BJ754" s="13">
        <f t="shared" si="83"/>
        <v>750</v>
      </c>
      <c r="BK754" s="10">
        <f t="shared" si="84"/>
        <v>21</v>
      </c>
      <c r="BL754" s="10">
        <f t="shared" si="85"/>
        <v>30</v>
      </c>
    </row>
    <row r="755" spans="62:64" x14ac:dyDescent="0.25">
      <c r="BJ755" s="13">
        <f t="shared" si="83"/>
        <v>751</v>
      </c>
      <c r="BK755" s="10">
        <f t="shared" si="84"/>
        <v>21</v>
      </c>
      <c r="BL755" s="10">
        <f t="shared" si="85"/>
        <v>31</v>
      </c>
    </row>
    <row r="756" spans="62:64" x14ac:dyDescent="0.25">
      <c r="BJ756" s="13">
        <f t="shared" si="83"/>
        <v>752</v>
      </c>
      <c r="BK756" s="10">
        <f t="shared" si="84"/>
        <v>21</v>
      </c>
      <c r="BL756" s="10">
        <f t="shared" si="85"/>
        <v>32</v>
      </c>
    </row>
    <row r="757" spans="62:64" x14ac:dyDescent="0.25">
      <c r="BJ757" s="13">
        <f t="shared" si="83"/>
        <v>753</v>
      </c>
      <c r="BK757" s="10">
        <f t="shared" si="84"/>
        <v>21</v>
      </c>
      <c r="BL757" s="10">
        <f t="shared" si="85"/>
        <v>33</v>
      </c>
    </row>
    <row r="758" spans="62:64" x14ac:dyDescent="0.25">
      <c r="BJ758" s="13">
        <f t="shared" si="83"/>
        <v>754</v>
      </c>
      <c r="BK758" s="10">
        <f t="shared" si="84"/>
        <v>21</v>
      </c>
      <c r="BL758" s="10">
        <f t="shared" si="85"/>
        <v>34</v>
      </c>
    </row>
    <row r="759" spans="62:64" x14ac:dyDescent="0.25">
      <c r="BJ759" s="13">
        <f t="shared" si="83"/>
        <v>755</v>
      </c>
      <c r="BK759" s="10">
        <f t="shared" si="84"/>
        <v>21</v>
      </c>
      <c r="BL759" s="10">
        <f t="shared" si="85"/>
        <v>35</v>
      </c>
    </row>
    <row r="760" spans="62:64" x14ac:dyDescent="0.25">
      <c r="BJ760" s="13">
        <f t="shared" si="83"/>
        <v>756</v>
      </c>
      <c r="BK760" s="10">
        <f t="shared" si="84"/>
        <v>21</v>
      </c>
      <c r="BL760" s="10">
        <f t="shared" si="85"/>
        <v>36</v>
      </c>
    </row>
    <row r="761" spans="62:64" x14ac:dyDescent="0.25">
      <c r="BJ761" s="13">
        <f t="shared" si="83"/>
        <v>757</v>
      </c>
      <c r="BK761" s="10">
        <f t="shared" si="84"/>
        <v>22</v>
      </c>
      <c r="BL761" s="10">
        <f t="shared" si="85"/>
        <v>1</v>
      </c>
    </row>
    <row r="762" spans="62:64" x14ac:dyDescent="0.25">
      <c r="BJ762" s="13">
        <f t="shared" si="83"/>
        <v>758</v>
      </c>
      <c r="BK762" s="10">
        <f t="shared" si="84"/>
        <v>22</v>
      </c>
      <c r="BL762" s="10">
        <f t="shared" si="85"/>
        <v>2</v>
      </c>
    </row>
    <row r="763" spans="62:64" x14ac:dyDescent="0.25">
      <c r="BJ763" s="13">
        <f t="shared" si="83"/>
        <v>759</v>
      </c>
      <c r="BK763" s="10">
        <f t="shared" si="84"/>
        <v>22</v>
      </c>
      <c r="BL763" s="10">
        <f t="shared" si="85"/>
        <v>3</v>
      </c>
    </row>
    <row r="764" spans="62:64" x14ac:dyDescent="0.25">
      <c r="BJ764" s="13">
        <f t="shared" si="83"/>
        <v>760</v>
      </c>
      <c r="BK764" s="10">
        <f t="shared" si="84"/>
        <v>22</v>
      </c>
      <c r="BL764" s="10">
        <f t="shared" si="85"/>
        <v>4</v>
      </c>
    </row>
    <row r="765" spans="62:64" x14ac:dyDescent="0.25">
      <c r="BJ765" s="13">
        <f t="shared" si="83"/>
        <v>761</v>
      </c>
      <c r="BK765" s="10">
        <f t="shared" si="84"/>
        <v>22</v>
      </c>
      <c r="BL765" s="10">
        <f t="shared" si="85"/>
        <v>5</v>
      </c>
    </row>
    <row r="766" spans="62:64" x14ac:dyDescent="0.25">
      <c r="BJ766" s="13">
        <f t="shared" si="83"/>
        <v>762</v>
      </c>
      <c r="BK766" s="10">
        <f t="shared" si="84"/>
        <v>22</v>
      </c>
      <c r="BL766" s="10">
        <f t="shared" si="85"/>
        <v>6</v>
      </c>
    </row>
    <row r="767" spans="62:64" x14ac:dyDescent="0.25">
      <c r="BJ767" s="13">
        <f t="shared" si="83"/>
        <v>763</v>
      </c>
      <c r="BK767" s="10">
        <f t="shared" si="84"/>
        <v>22</v>
      </c>
      <c r="BL767" s="10">
        <f t="shared" si="85"/>
        <v>7</v>
      </c>
    </row>
    <row r="768" spans="62:64" x14ac:dyDescent="0.25">
      <c r="BJ768" s="13">
        <f t="shared" si="83"/>
        <v>764</v>
      </c>
      <c r="BK768" s="10">
        <f t="shared" si="84"/>
        <v>22</v>
      </c>
      <c r="BL768" s="10">
        <f t="shared" si="85"/>
        <v>8</v>
      </c>
    </row>
    <row r="769" spans="62:64" x14ac:dyDescent="0.25">
      <c r="BJ769" s="13">
        <f t="shared" si="83"/>
        <v>765</v>
      </c>
      <c r="BK769" s="10">
        <f t="shared" si="84"/>
        <v>22</v>
      </c>
      <c r="BL769" s="10">
        <f t="shared" si="85"/>
        <v>9</v>
      </c>
    </row>
    <row r="770" spans="62:64" x14ac:dyDescent="0.25">
      <c r="BJ770" s="13">
        <f t="shared" si="83"/>
        <v>766</v>
      </c>
      <c r="BK770" s="10">
        <f t="shared" si="84"/>
        <v>22</v>
      </c>
      <c r="BL770" s="10">
        <f t="shared" si="85"/>
        <v>10</v>
      </c>
    </row>
    <row r="771" spans="62:64" x14ac:dyDescent="0.25">
      <c r="BJ771" s="13">
        <f t="shared" si="83"/>
        <v>767</v>
      </c>
      <c r="BK771" s="10">
        <f t="shared" si="84"/>
        <v>22</v>
      </c>
      <c r="BL771" s="10">
        <f t="shared" si="85"/>
        <v>11</v>
      </c>
    </row>
    <row r="772" spans="62:64" x14ac:dyDescent="0.25">
      <c r="BJ772" s="13">
        <f t="shared" si="83"/>
        <v>768</v>
      </c>
      <c r="BK772" s="10">
        <f t="shared" si="84"/>
        <v>22</v>
      </c>
      <c r="BL772" s="10">
        <f t="shared" si="85"/>
        <v>12</v>
      </c>
    </row>
    <row r="773" spans="62:64" x14ac:dyDescent="0.25">
      <c r="BJ773" s="13">
        <f t="shared" si="83"/>
        <v>769</v>
      </c>
      <c r="BK773" s="10">
        <f t="shared" si="84"/>
        <v>22</v>
      </c>
      <c r="BL773" s="10">
        <f t="shared" si="85"/>
        <v>13</v>
      </c>
    </row>
    <row r="774" spans="62:64" x14ac:dyDescent="0.25">
      <c r="BJ774" s="13">
        <f t="shared" ref="BJ774:BJ837" si="86">IF(ROW()-BJ$3&lt;=$BJ$4,ROW()-ROW(BJ$4),"")</f>
        <v>770</v>
      </c>
      <c r="BK774" s="10">
        <f t="shared" si="84"/>
        <v>22</v>
      </c>
      <c r="BL774" s="10">
        <f t="shared" si="85"/>
        <v>14</v>
      </c>
    </row>
    <row r="775" spans="62:64" x14ac:dyDescent="0.25">
      <c r="BJ775" s="13">
        <f t="shared" si="86"/>
        <v>771</v>
      </c>
      <c r="BK775" s="10">
        <f t="shared" ref="BK775:BK838" si="87">IF(ISNUMBER(BJ775),INT(BJ774/$BL$4)+1,"")</f>
        <v>22</v>
      </c>
      <c r="BL775" s="10">
        <f t="shared" ref="BL775:BL838" si="88">IF(ISNUMBER(BJ775),IF(BK774&lt;&gt;BK775,1,BL774+1),"")</f>
        <v>15</v>
      </c>
    </row>
    <row r="776" spans="62:64" x14ac:dyDescent="0.25">
      <c r="BJ776" s="13">
        <f t="shared" si="86"/>
        <v>772</v>
      </c>
      <c r="BK776" s="10">
        <f t="shared" si="87"/>
        <v>22</v>
      </c>
      <c r="BL776" s="10">
        <f t="shared" si="88"/>
        <v>16</v>
      </c>
    </row>
    <row r="777" spans="62:64" x14ac:dyDescent="0.25">
      <c r="BJ777" s="13">
        <f t="shared" si="86"/>
        <v>773</v>
      </c>
      <c r="BK777" s="10">
        <f t="shared" si="87"/>
        <v>22</v>
      </c>
      <c r="BL777" s="10">
        <f t="shared" si="88"/>
        <v>17</v>
      </c>
    </row>
    <row r="778" spans="62:64" x14ac:dyDescent="0.25">
      <c r="BJ778" s="13">
        <f t="shared" si="86"/>
        <v>774</v>
      </c>
      <c r="BK778" s="10">
        <f t="shared" si="87"/>
        <v>22</v>
      </c>
      <c r="BL778" s="10">
        <f t="shared" si="88"/>
        <v>18</v>
      </c>
    </row>
    <row r="779" spans="62:64" x14ac:dyDescent="0.25">
      <c r="BJ779" s="13">
        <f t="shared" si="86"/>
        <v>775</v>
      </c>
      <c r="BK779" s="10">
        <f t="shared" si="87"/>
        <v>22</v>
      </c>
      <c r="BL779" s="10">
        <f t="shared" si="88"/>
        <v>19</v>
      </c>
    </row>
    <row r="780" spans="62:64" x14ac:dyDescent="0.25">
      <c r="BJ780" s="13">
        <f t="shared" si="86"/>
        <v>776</v>
      </c>
      <c r="BK780" s="10">
        <f t="shared" si="87"/>
        <v>22</v>
      </c>
      <c r="BL780" s="10">
        <f t="shared" si="88"/>
        <v>20</v>
      </c>
    </row>
    <row r="781" spans="62:64" x14ac:dyDescent="0.25">
      <c r="BJ781" s="13">
        <f t="shared" si="86"/>
        <v>777</v>
      </c>
      <c r="BK781" s="10">
        <f t="shared" si="87"/>
        <v>22</v>
      </c>
      <c r="BL781" s="10">
        <f t="shared" si="88"/>
        <v>21</v>
      </c>
    </row>
    <row r="782" spans="62:64" x14ac:dyDescent="0.25">
      <c r="BJ782" s="13">
        <f t="shared" si="86"/>
        <v>778</v>
      </c>
      <c r="BK782" s="10">
        <f t="shared" si="87"/>
        <v>22</v>
      </c>
      <c r="BL782" s="10">
        <f t="shared" si="88"/>
        <v>22</v>
      </c>
    </row>
    <row r="783" spans="62:64" x14ac:dyDescent="0.25">
      <c r="BJ783" s="13">
        <f t="shared" si="86"/>
        <v>779</v>
      </c>
      <c r="BK783" s="10">
        <f t="shared" si="87"/>
        <v>22</v>
      </c>
      <c r="BL783" s="10">
        <f t="shared" si="88"/>
        <v>23</v>
      </c>
    </row>
    <row r="784" spans="62:64" x14ac:dyDescent="0.25">
      <c r="BJ784" s="13">
        <f t="shared" si="86"/>
        <v>780</v>
      </c>
      <c r="BK784" s="10">
        <f t="shared" si="87"/>
        <v>22</v>
      </c>
      <c r="BL784" s="10">
        <f t="shared" si="88"/>
        <v>24</v>
      </c>
    </row>
    <row r="785" spans="62:64" x14ac:dyDescent="0.25">
      <c r="BJ785" s="13">
        <f t="shared" si="86"/>
        <v>781</v>
      </c>
      <c r="BK785" s="10">
        <f t="shared" si="87"/>
        <v>22</v>
      </c>
      <c r="BL785" s="10">
        <f t="shared" si="88"/>
        <v>25</v>
      </c>
    </row>
    <row r="786" spans="62:64" x14ac:dyDescent="0.25">
      <c r="BJ786" s="13">
        <f t="shared" si="86"/>
        <v>782</v>
      </c>
      <c r="BK786" s="10">
        <f t="shared" si="87"/>
        <v>22</v>
      </c>
      <c r="BL786" s="10">
        <f t="shared" si="88"/>
        <v>26</v>
      </c>
    </row>
    <row r="787" spans="62:64" x14ac:dyDescent="0.25">
      <c r="BJ787" s="13">
        <f t="shared" si="86"/>
        <v>783</v>
      </c>
      <c r="BK787" s="10">
        <f t="shared" si="87"/>
        <v>22</v>
      </c>
      <c r="BL787" s="10">
        <f t="shared" si="88"/>
        <v>27</v>
      </c>
    </row>
    <row r="788" spans="62:64" x14ac:dyDescent="0.25">
      <c r="BJ788" s="13">
        <f t="shared" si="86"/>
        <v>784</v>
      </c>
      <c r="BK788" s="10">
        <f t="shared" si="87"/>
        <v>22</v>
      </c>
      <c r="BL788" s="10">
        <f t="shared" si="88"/>
        <v>28</v>
      </c>
    </row>
    <row r="789" spans="62:64" x14ac:dyDescent="0.25">
      <c r="BJ789" s="13">
        <f t="shared" si="86"/>
        <v>785</v>
      </c>
      <c r="BK789" s="10">
        <f t="shared" si="87"/>
        <v>22</v>
      </c>
      <c r="BL789" s="10">
        <f t="shared" si="88"/>
        <v>29</v>
      </c>
    </row>
    <row r="790" spans="62:64" x14ac:dyDescent="0.25">
      <c r="BJ790" s="13">
        <f t="shared" si="86"/>
        <v>786</v>
      </c>
      <c r="BK790" s="10">
        <f t="shared" si="87"/>
        <v>22</v>
      </c>
      <c r="BL790" s="10">
        <f t="shared" si="88"/>
        <v>30</v>
      </c>
    </row>
    <row r="791" spans="62:64" x14ac:dyDescent="0.25">
      <c r="BJ791" s="13">
        <f t="shared" si="86"/>
        <v>787</v>
      </c>
      <c r="BK791" s="10">
        <f t="shared" si="87"/>
        <v>22</v>
      </c>
      <c r="BL791" s="10">
        <f t="shared" si="88"/>
        <v>31</v>
      </c>
    </row>
    <row r="792" spans="62:64" x14ac:dyDescent="0.25">
      <c r="BJ792" s="13">
        <f t="shared" si="86"/>
        <v>788</v>
      </c>
      <c r="BK792" s="10">
        <f t="shared" si="87"/>
        <v>22</v>
      </c>
      <c r="BL792" s="10">
        <f t="shared" si="88"/>
        <v>32</v>
      </c>
    </row>
    <row r="793" spans="62:64" x14ac:dyDescent="0.25">
      <c r="BJ793" s="13">
        <f t="shared" si="86"/>
        <v>789</v>
      </c>
      <c r="BK793" s="10">
        <f t="shared" si="87"/>
        <v>22</v>
      </c>
      <c r="BL793" s="10">
        <f t="shared" si="88"/>
        <v>33</v>
      </c>
    </row>
    <row r="794" spans="62:64" x14ac:dyDescent="0.25">
      <c r="BJ794" s="13">
        <f t="shared" si="86"/>
        <v>790</v>
      </c>
      <c r="BK794" s="10">
        <f t="shared" si="87"/>
        <v>22</v>
      </c>
      <c r="BL794" s="10">
        <f t="shared" si="88"/>
        <v>34</v>
      </c>
    </row>
    <row r="795" spans="62:64" x14ac:dyDescent="0.25">
      <c r="BJ795" s="13">
        <f t="shared" si="86"/>
        <v>791</v>
      </c>
      <c r="BK795" s="10">
        <f t="shared" si="87"/>
        <v>22</v>
      </c>
      <c r="BL795" s="10">
        <f t="shared" si="88"/>
        <v>35</v>
      </c>
    </row>
    <row r="796" spans="62:64" x14ac:dyDescent="0.25">
      <c r="BJ796" s="13">
        <f t="shared" si="86"/>
        <v>792</v>
      </c>
      <c r="BK796" s="10">
        <f t="shared" si="87"/>
        <v>22</v>
      </c>
      <c r="BL796" s="10">
        <f t="shared" si="88"/>
        <v>36</v>
      </c>
    </row>
    <row r="797" spans="62:64" x14ac:dyDescent="0.25">
      <c r="BJ797" s="13">
        <f t="shared" si="86"/>
        <v>793</v>
      </c>
      <c r="BK797" s="10">
        <f t="shared" si="87"/>
        <v>23</v>
      </c>
      <c r="BL797" s="10">
        <f t="shared" si="88"/>
        <v>1</v>
      </c>
    </row>
    <row r="798" spans="62:64" x14ac:dyDescent="0.25">
      <c r="BJ798" s="13">
        <f t="shared" si="86"/>
        <v>794</v>
      </c>
      <c r="BK798" s="10">
        <f t="shared" si="87"/>
        <v>23</v>
      </c>
      <c r="BL798" s="10">
        <f t="shared" si="88"/>
        <v>2</v>
      </c>
    </row>
    <row r="799" spans="62:64" x14ac:dyDescent="0.25">
      <c r="BJ799" s="13">
        <f t="shared" si="86"/>
        <v>795</v>
      </c>
      <c r="BK799" s="10">
        <f t="shared" si="87"/>
        <v>23</v>
      </c>
      <c r="BL799" s="10">
        <f t="shared" si="88"/>
        <v>3</v>
      </c>
    </row>
    <row r="800" spans="62:64" x14ac:dyDescent="0.25">
      <c r="BJ800" s="13">
        <f t="shared" si="86"/>
        <v>796</v>
      </c>
      <c r="BK800" s="10">
        <f t="shared" si="87"/>
        <v>23</v>
      </c>
      <c r="BL800" s="10">
        <f t="shared" si="88"/>
        <v>4</v>
      </c>
    </row>
    <row r="801" spans="62:64" x14ac:dyDescent="0.25">
      <c r="BJ801" s="13">
        <f t="shared" si="86"/>
        <v>797</v>
      </c>
      <c r="BK801" s="10">
        <f t="shared" si="87"/>
        <v>23</v>
      </c>
      <c r="BL801" s="10">
        <f t="shared" si="88"/>
        <v>5</v>
      </c>
    </row>
    <row r="802" spans="62:64" x14ac:dyDescent="0.25">
      <c r="BJ802" s="13">
        <f t="shared" si="86"/>
        <v>798</v>
      </c>
      <c r="BK802" s="10">
        <f t="shared" si="87"/>
        <v>23</v>
      </c>
      <c r="BL802" s="10">
        <f t="shared" si="88"/>
        <v>6</v>
      </c>
    </row>
    <row r="803" spans="62:64" x14ac:dyDescent="0.25">
      <c r="BJ803" s="13">
        <f t="shared" si="86"/>
        <v>799</v>
      </c>
      <c r="BK803" s="10">
        <f t="shared" si="87"/>
        <v>23</v>
      </c>
      <c r="BL803" s="10">
        <f t="shared" si="88"/>
        <v>7</v>
      </c>
    </row>
    <row r="804" spans="62:64" x14ac:dyDescent="0.25">
      <c r="BJ804" s="13">
        <f t="shared" si="86"/>
        <v>800</v>
      </c>
      <c r="BK804" s="10">
        <f t="shared" si="87"/>
        <v>23</v>
      </c>
      <c r="BL804" s="10">
        <f t="shared" si="88"/>
        <v>8</v>
      </c>
    </row>
    <row r="805" spans="62:64" x14ac:dyDescent="0.25">
      <c r="BJ805" s="13">
        <f t="shared" si="86"/>
        <v>801</v>
      </c>
      <c r="BK805" s="10">
        <f t="shared" si="87"/>
        <v>23</v>
      </c>
      <c r="BL805" s="10">
        <f t="shared" si="88"/>
        <v>9</v>
      </c>
    </row>
    <row r="806" spans="62:64" x14ac:dyDescent="0.25">
      <c r="BJ806" s="13">
        <f t="shared" si="86"/>
        <v>802</v>
      </c>
      <c r="BK806" s="10">
        <f t="shared" si="87"/>
        <v>23</v>
      </c>
      <c r="BL806" s="10">
        <f t="shared" si="88"/>
        <v>10</v>
      </c>
    </row>
    <row r="807" spans="62:64" x14ac:dyDescent="0.25">
      <c r="BJ807" s="13">
        <f t="shared" si="86"/>
        <v>803</v>
      </c>
      <c r="BK807" s="10">
        <f t="shared" si="87"/>
        <v>23</v>
      </c>
      <c r="BL807" s="10">
        <f t="shared" si="88"/>
        <v>11</v>
      </c>
    </row>
    <row r="808" spans="62:64" x14ac:dyDescent="0.25">
      <c r="BJ808" s="13">
        <f t="shared" si="86"/>
        <v>804</v>
      </c>
      <c r="BK808" s="10">
        <f t="shared" si="87"/>
        <v>23</v>
      </c>
      <c r="BL808" s="10">
        <f t="shared" si="88"/>
        <v>12</v>
      </c>
    </row>
    <row r="809" spans="62:64" x14ac:dyDescent="0.25">
      <c r="BJ809" s="13">
        <f t="shared" si="86"/>
        <v>805</v>
      </c>
      <c r="BK809" s="10">
        <f t="shared" si="87"/>
        <v>23</v>
      </c>
      <c r="BL809" s="10">
        <f t="shared" si="88"/>
        <v>13</v>
      </c>
    </row>
    <row r="810" spans="62:64" x14ac:dyDescent="0.25">
      <c r="BJ810" s="13">
        <f t="shared" si="86"/>
        <v>806</v>
      </c>
      <c r="BK810" s="10">
        <f t="shared" si="87"/>
        <v>23</v>
      </c>
      <c r="BL810" s="10">
        <f t="shared" si="88"/>
        <v>14</v>
      </c>
    </row>
    <row r="811" spans="62:64" x14ac:dyDescent="0.25">
      <c r="BJ811" s="13">
        <f t="shared" si="86"/>
        <v>807</v>
      </c>
      <c r="BK811" s="10">
        <f t="shared" si="87"/>
        <v>23</v>
      </c>
      <c r="BL811" s="10">
        <f t="shared" si="88"/>
        <v>15</v>
      </c>
    </row>
    <row r="812" spans="62:64" x14ac:dyDescent="0.25">
      <c r="BJ812" s="13">
        <f t="shared" si="86"/>
        <v>808</v>
      </c>
      <c r="BK812" s="10">
        <f t="shared" si="87"/>
        <v>23</v>
      </c>
      <c r="BL812" s="10">
        <f t="shared" si="88"/>
        <v>16</v>
      </c>
    </row>
    <row r="813" spans="62:64" x14ac:dyDescent="0.25">
      <c r="BJ813" s="13">
        <f t="shared" si="86"/>
        <v>809</v>
      </c>
      <c r="BK813" s="10">
        <f t="shared" si="87"/>
        <v>23</v>
      </c>
      <c r="BL813" s="10">
        <f t="shared" si="88"/>
        <v>17</v>
      </c>
    </row>
    <row r="814" spans="62:64" x14ac:dyDescent="0.25">
      <c r="BJ814" s="13">
        <f t="shared" si="86"/>
        <v>810</v>
      </c>
      <c r="BK814" s="10">
        <f t="shared" si="87"/>
        <v>23</v>
      </c>
      <c r="BL814" s="10">
        <f t="shared" si="88"/>
        <v>18</v>
      </c>
    </row>
    <row r="815" spans="62:64" x14ac:dyDescent="0.25">
      <c r="BJ815" s="13">
        <f t="shared" si="86"/>
        <v>811</v>
      </c>
      <c r="BK815" s="10">
        <f t="shared" si="87"/>
        <v>23</v>
      </c>
      <c r="BL815" s="10">
        <f t="shared" si="88"/>
        <v>19</v>
      </c>
    </row>
    <row r="816" spans="62:64" x14ac:dyDescent="0.25">
      <c r="BJ816" s="13">
        <f t="shared" si="86"/>
        <v>812</v>
      </c>
      <c r="BK816" s="10">
        <f t="shared" si="87"/>
        <v>23</v>
      </c>
      <c r="BL816" s="10">
        <f t="shared" si="88"/>
        <v>20</v>
      </c>
    </row>
    <row r="817" spans="62:64" x14ac:dyDescent="0.25">
      <c r="BJ817" s="13">
        <f t="shared" si="86"/>
        <v>813</v>
      </c>
      <c r="BK817" s="10">
        <f t="shared" si="87"/>
        <v>23</v>
      </c>
      <c r="BL817" s="10">
        <f t="shared" si="88"/>
        <v>21</v>
      </c>
    </row>
    <row r="818" spans="62:64" x14ac:dyDescent="0.25">
      <c r="BJ818" s="13">
        <f t="shared" si="86"/>
        <v>814</v>
      </c>
      <c r="BK818" s="10">
        <f t="shared" si="87"/>
        <v>23</v>
      </c>
      <c r="BL818" s="10">
        <f t="shared" si="88"/>
        <v>22</v>
      </c>
    </row>
    <row r="819" spans="62:64" x14ac:dyDescent="0.25">
      <c r="BJ819" s="13">
        <f t="shared" si="86"/>
        <v>815</v>
      </c>
      <c r="BK819" s="10">
        <f t="shared" si="87"/>
        <v>23</v>
      </c>
      <c r="BL819" s="10">
        <f t="shared" si="88"/>
        <v>23</v>
      </c>
    </row>
    <row r="820" spans="62:64" x14ac:dyDescent="0.25">
      <c r="BJ820" s="13">
        <f t="shared" si="86"/>
        <v>816</v>
      </c>
      <c r="BK820" s="10">
        <f t="shared" si="87"/>
        <v>23</v>
      </c>
      <c r="BL820" s="10">
        <f t="shared" si="88"/>
        <v>24</v>
      </c>
    </row>
    <row r="821" spans="62:64" x14ac:dyDescent="0.25">
      <c r="BJ821" s="13">
        <f t="shared" si="86"/>
        <v>817</v>
      </c>
      <c r="BK821" s="10">
        <f t="shared" si="87"/>
        <v>23</v>
      </c>
      <c r="BL821" s="10">
        <f t="shared" si="88"/>
        <v>25</v>
      </c>
    </row>
    <row r="822" spans="62:64" x14ac:dyDescent="0.25">
      <c r="BJ822" s="13">
        <f t="shared" si="86"/>
        <v>818</v>
      </c>
      <c r="BK822" s="10">
        <f t="shared" si="87"/>
        <v>23</v>
      </c>
      <c r="BL822" s="10">
        <f t="shared" si="88"/>
        <v>26</v>
      </c>
    </row>
    <row r="823" spans="62:64" x14ac:dyDescent="0.25">
      <c r="BJ823" s="13">
        <f t="shared" si="86"/>
        <v>819</v>
      </c>
      <c r="BK823" s="10">
        <f t="shared" si="87"/>
        <v>23</v>
      </c>
      <c r="BL823" s="10">
        <f t="shared" si="88"/>
        <v>27</v>
      </c>
    </row>
    <row r="824" spans="62:64" x14ac:dyDescent="0.25">
      <c r="BJ824" s="13">
        <f t="shared" si="86"/>
        <v>820</v>
      </c>
      <c r="BK824" s="10">
        <f t="shared" si="87"/>
        <v>23</v>
      </c>
      <c r="BL824" s="10">
        <f t="shared" si="88"/>
        <v>28</v>
      </c>
    </row>
    <row r="825" spans="62:64" x14ac:dyDescent="0.25">
      <c r="BJ825" s="13">
        <f t="shared" si="86"/>
        <v>821</v>
      </c>
      <c r="BK825" s="10">
        <f t="shared" si="87"/>
        <v>23</v>
      </c>
      <c r="BL825" s="10">
        <f t="shared" si="88"/>
        <v>29</v>
      </c>
    </row>
    <row r="826" spans="62:64" x14ac:dyDescent="0.25">
      <c r="BJ826" s="13">
        <f t="shared" si="86"/>
        <v>822</v>
      </c>
      <c r="BK826" s="10">
        <f t="shared" si="87"/>
        <v>23</v>
      </c>
      <c r="BL826" s="10">
        <f t="shared" si="88"/>
        <v>30</v>
      </c>
    </row>
    <row r="827" spans="62:64" x14ac:dyDescent="0.25">
      <c r="BJ827" s="13">
        <f t="shared" si="86"/>
        <v>823</v>
      </c>
      <c r="BK827" s="10">
        <f t="shared" si="87"/>
        <v>23</v>
      </c>
      <c r="BL827" s="10">
        <f t="shared" si="88"/>
        <v>31</v>
      </c>
    </row>
    <row r="828" spans="62:64" x14ac:dyDescent="0.25">
      <c r="BJ828" s="13">
        <f t="shared" si="86"/>
        <v>824</v>
      </c>
      <c r="BK828" s="10">
        <f t="shared" si="87"/>
        <v>23</v>
      </c>
      <c r="BL828" s="10">
        <f t="shared" si="88"/>
        <v>32</v>
      </c>
    </row>
    <row r="829" spans="62:64" x14ac:dyDescent="0.25">
      <c r="BJ829" s="13" t="str">
        <f t="shared" si="86"/>
        <v/>
      </c>
      <c r="BK829" s="10" t="str">
        <f t="shared" si="87"/>
        <v/>
      </c>
      <c r="BL829" s="10" t="str">
        <f t="shared" si="88"/>
        <v/>
      </c>
    </row>
    <row r="830" spans="62:64" x14ac:dyDescent="0.25">
      <c r="BJ830" s="13" t="str">
        <f t="shared" si="86"/>
        <v/>
      </c>
      <c r="BK830" s="10" t="str">
        <f t="shared" si="87"/>
        <v/>
      </c>
      <c r="BL830" s="10" t="str">
        <f t="shared" si="88"/>
        <v/>
      </c>
    </row>
    <row r="831" spans="62:64" x14ac:dyDescent="0.25">
      <c r="BJ831" s="13" t="str">
        <f t="shared" si="86"/>
        <v/>
      </c>
      <c r="BK831" s="10" t="str">
        <f t="shared" si="87"/>
        <v/>
      </c>
      <c r="BL831" s="10" t="str">
        <f t="shared" si="88"/>
        <v/>
      </c>
    </row>
    <row r="832" spans="62:64" x14ac:dyDescent="0.25">
      <c r="BJ832" s="13" t="str">
        <f t="shared" si="86"/>
        <v/>
      </c>
      <c r="BK832" s="10" t="str">
        <f t="shared" si="87"/>
        <v/>
      </c>
      <c r="BL832" s="10" t="str">
        <f t="shared" si="88"/>
        <v/>
      </c>
    </row>
    <row r="833" spans="62:64" x14ac:dyDescent="0.25">
      <c r="BJ833" s="13" t="str">
        <f t="shared" si="86"/>
        <v/>
      </c>
      <c r="BK833" s="10" t="str">
        <f t="shared" si="87"/>
        <v/>
      </c>
      <c r="BL833" s="10" t="str">
        <f t="shared" si="88"/>
        <v/>
      </c>
    </row>
    <row r="834" spans="62:64" x14ac:dyDescent="0.25">
      <c r="BJ834" s="13" t="str">
        <f t="shared" si="86"/>
        <v/>
      </c>
      <c r="BK834" s="10" t="str">
        <f t="shared" si="87"/>
        <v/>
      </c>
      <c r="BL834" s="10" t="str">
        <f t="shared" si="88"/>
        <v/>
      </c>
    </row>
    <row r="835" spans="62:64" x14ac:dyDescent="0.25">
      <c r="BJ835" s="13" t="str">
        <f t="shared" si="86"/>
        <v/>
      </c>
      <c r="BK835" s="10" t="str">
        <f t="shared" si="87"/>
        <v/>
      </c>
      <c r="BL835" s="10" t="str">
        <f t="shared" si="88"/>
        <v/>
      </c>
    </row>
    <row r="836" spans="62:64" x14ac:dyDescent="0.25">
      <c r="BJ836" s="13" t="str">
        <f t="shared" si="86"/>
        <v/>
      </c>
      <c r="BK836" s="10" t="str">
        <f t="shared" si="87"/>
        <v/>
      </c>
      <c r="BL836" s="10" t="str">
        <f t="shared" si="88"/>
        <v/>
      </c>
    </row>
    <row r="837" spans="62:64" x14ac:dyDescent="0.25">
      <c r="BJ837" s="13" t="str">
        <f t="shared" si="86"/>
        <v/>
      </c>
      <c r="BK837" s="10" t="str">
        <f t="shared" si="87"/>
        <v/>
      </c>
      <c r="BL837" s="10" t="str">
        <f t="shared" si="88"/>
        <v/>
      </c>
    </row>
    <row r="838" spans="62:64" x14ac:dyDescent="0.25">
      <c r="BJ838" s="13" t="str">
        <f t="shared" ref="BJ838:BJ901" si="89">IF(ROW()-BJ$3&lt;=$BJ$4,ROW()-ROW(BJ$4),"")</f>
        <v/>
      </c>
      <c r="BK838" s="10" t="str">
        <f t="shared" si="87"/>
        <v/>
      </c>
      <c r="BL838" s="10" t="str">
        <f t="shared" si="88"/>
        <v/>
      </c>
    </row>
    <row r="839" spans="62:64" x14ac:dyDescent="0.25">
      <c r="BJ839" s="13" t="str">
        <f t="shared" si="89"/>
        <v/>
      </c>
      <c r="BK839" s="10" t="str">
        <f t="shared" ref="BK839:BK902" si="90">IF(ISNUMBER(BJ839),INT(BJ838/$BL$4)+1,"")</f>
        <v/>
      </c>
      <c r="BL839" s="10" t="str">
        <f t="shared" ref="BL839:BL902" si="91">IF(ISNUMBER(BJ839),IF(BK838&lt;&gt;BK839,1,BL838+1),"")</f>
        <v/>
      </c>
    </row>
    <row r="840" spans="62:64" x14ac:dyDescent="0.25">
      <c r="BJ840" s="13" t="str">
        <f t="shared" si="89"/>
        <v/>
      </c>
      <c r="BK840" s="10" t="str">
        <f t="shared" si="90"/>
        <v/>
      </c>
      <c r="BL840" s="10" t="str">
        <f t="shared" si="91"/>
        <v/>
      </c>
    </row>
    <row r="841" spans="62:64" x14ac:dyDescent="0.25">
      <c r="BJ841" s="13" t="str">
        <f t="shared" si="89"/>
        <v/>
      </c>
      <c r="BK841" s="10" t="str">
        <f t="shared" si="90"/>
        <v/>
      </c>
      <c r="BL841" s="10" t="str">
        <f t="shared" si="91"/>
        <v/>
      </c>
    </row>
    <row r="842" spans="62:64" x14ac:dyDescent="0.25">
      <c r="BJ842" s="13" t="str">
        <f t="shared" si="89"/>
        <v/>
      </c>
      <c r="BK842" s="10" t="str">
        <f t="shared" si="90"/>
        <v/>
      </c>
      <c r="BL842" s="10" t="str">
        <f t="shared" si="91"/>
        <v/>
      </c>
    </row>
    <row r="843" spans="62:64" x14ac:dyDescent="0.25">
      <c r="BJ843" s="13" t="str">
        <f t="shared" si="89"/>
        <v/>
      </c>
      <c r="BK843" s="10" t="str">
        <f t="shared" si="90"/>
        <v/>
      </c>
      <c r="BL843" s="10" t="str">
        <f t="shared" si="91"/>
        <v/>
      </c>
    </row>
    <row r="844" spans="62:64" x14ac:dyDescent="0.25">
      <c r="BJ844" s="13" t="str">
        <f t="shared" si="89"/>
        <v/>
      </c>
      <c r="BK844" s="10" t="str">
        <f t="shared" si="90"/>
        <v/>
      </c>
      <c r="BL844" s="10" t="str">
        <f t="shared" si="91"/>
        <v/>
      </c>
    </row>
    <row r="845" spans="62:64" x14ac:dyDescent="0.25">
      <c r="BJ845" s="13" t="str">
        <f t="shared" si="89"/>
        <v/>
      </c>
      <c r="BK845" s="10" t="str">
        <f t="shared" si="90"/>
        <v/>
      </c>
      <c r="BL845" s="10" t="str">
        <f t="shared" si="91"/>
        <v/>
      </c>
    </row>
    <row r="846" spans="62:64" x14ac:dyDescent="0.25">
      <c r="BJ846" s="13" t="str">
        <f t="shared" si="89"/>
        <v/>
      </c>
      <c r="BK846" s="10" t="str">
        <f t="shared" si="90"/>
        <v/>
      </c>
      <c r="BL846" s="10" t="str">
        <f t="shared" si="91"/>
        <v/>
      </c>
    </row>
    <row r="847" spans="62:64" x14ac:dyDescent="0.25">
      <c r="BJ847" s="13" t="str">
        <f t="shared" si="89"/>
        <v/>
      </c>
      <c r="BK847" s="10" t="str">
        <f t="shared" si="90"/>
        <v/>
      </c>
      <c r="BL847" s="10" t="str">
        <f t="shared" si="91"/>
        <v/>
      </c>
    </row>
    <row r="848" spans="62:64" x14ac:dyDescent="0.25">
      <c r="BJ848" s="13" t="str">
        <f t="shared" si="89"/>
        <v/>
      </c>
      <c r="BK848" s="10" t="str">
        <f t="shared" si="90"/>
        <v/>
      </c>
      <c r="BL848" s="10" t="str">
        <f t="shared" si="91"/>
        <v/>
      </c>
    </row>
    <row r="849" spans="62:64" x14ac:dyDescent="0.25">
      <c r="BJ849" s="13" t="str">
        <f t="shared" si="89"/>
        <v/>
      </c>
      <c r="BK849" s="10" t="str">
        <f t="shared" si="90"/>
        <v/>
      </c>
      <c r="BL849" s="10" t="str">
        <f t="shared" si="91"/>
        <v/>
      </c>
    </row>
    <row r="850" spans="62:64" x14ac:dyDescent="0.25">
      <c r="BJ850" s="13" t="str">
        <f t="shared" si="89"/>
        <v/>
      </c>
      <c r="BK850" s="10" t="str">
        <f t="shared" si="90"/>
        <v/>
      </c>
      <c r="BL850" s="10" t="str">
        <f t="shared" si="91"/>
        <v/>
      </c>
    </row>
    <row r="851" spans="62:64" x14ac:dyDescent="0.25">
      <c r="BJ851" s="13" t="str">
        <f t="shared" si="89"/>
        <v/>
      </c>
      <c r="BK851" s="10" t="str">
        <f t="shared" si="90"/>
        <v/>
      </c>
      <c r="BL851" s="10" t="str">
        <f t="shared" si="91"/>
        <v/>
      </c>
    </row>
    <row r="852" spans="62:64" x14ac:dyDescent="0.25">
      <c r="BJ852" s="13" t="str">
        <f t="shared" si="89"/>
        <v/>
      </c>
      <c r="BK852" s="10" t="str">
        <f t="shared" si="90"/>
        <v/>
      </c>
      <c r="BL852" s="10" t="str">
        <f t="shared" si="91"/>
        <v/>
      </c>
    </row>
    <row r="853" spans="62:64" x14ac:dyDescent="0.25">
      <c r="BJ853" s="13" t="str">
        <f t="shared" si="89"/>
        <v/>
      </c>
      <c r="BK853" s="10" t="str">
        <f t="shared" si="90"/>
        <v/>
      </c>
      <c r="BL853" s="10" t="str">
        <f t="shared" si="91"/>
        <v/>
      </c>
    </row>
    <row r="854" spans="62:64" x14ac:dyDescent="0.25">
      <c r="BJ854" s="13" t="str">
        <f t="shared" si="89"/>
        <v/>
      </c>
      <c r="BK854" s="10" t="str">
        <f t="shared" si="90"/>
        <v/>
      </c>
      <c r="BL854" s="10" t="str">
        <f t="shared" si="91"/>
        <v/>
      </c>
    </row>
    <row r="855" spans="62:64" x14ac:dyDescent="0.25">
      <c r="BJ855" s="13" t="str">
        <f t="shared" si="89"/>
        <v/>
      </c>
      <c r="BK855" s="10" t="str">
        <f t="shared" si="90"/>
        <v/>
      </c>
      <c r="BL855" s="10" t="str">
        <f t="shared" si="91"/>
        <v/>
      </c>
    </row>
    <row r="856" spans="62:64" x14ac:dyDescent="0.25">
      <c r="BJ856" s="13" t="str">
        <f t="shared" si="89"/>
        <v/>
      </c>
      <c r="BK856" s="10" t="str">
        <f t="shared" si="90"/>
        <v/>
      </c>
      <c r="BL856" s="10" t="str">
        <f t="shared" si="91"/>
        <v/>
      </c>
    </row>
    <row r="857" spans="62:64" x14ac:dyDescent="0.25">
      <c r="BJ857" s="13" t="str">
        <f t="shared" si="89"/>
        <v/>
      </c>
      <c r="BK857" s="10" t="str">
        <f t="shared" si="90"/>
        <v/>
      </c>
      <c r="BL857" s="10" t="str">
        <f t="shared" si="91"/>
        <v/>
      </c>
    </row>
    <row r="858" spans="62:64" x14ac:dyDescent="0.25">
      <c r="BJ858" s="13" t="str">
        <f t="shared" si="89"/>
        <v/>
      </c>
      <c r="BK858" s="10" t="str">
        <f t="shared" si="90"/>
        <v/>
      </c>
      <c r="BL858" s="10" t="str">
        <f t="shared" si="91"/>
        <v/>
      </c>
    </row>
    <row r="859" spans="62:64" x14ac:dyDescent="0.25">
      <c r="BJ859" s="13" t="str">
        <f t="shared" si="89"/>
        <v/>
      </c>
      <c r="BK859" s="10" t="str">
        <f t="shared" si="90"/>
        <v/>
      </c>
      <c r="BL859" s="10" t="str">
        <f t="shared" si="91"/>
        <v/>
      </c>
    </row>
    <row r="860" spans="62:64" x14ac:dyDescent="0.25">
      <c r="BJ860" s="13" t="str">
        <f t="shared" si="89"/>
        <v/>
      </c>
      <c r="BK860" s="10" t="str">
        <f t="shared" si="90"/>
        <v/>
      </c>
      <c r="BL860" s="10" t="str">
        <f t="shared" si="91"/>
        <v/>
      </c>
    </row>
    <row r="861" spans="62:64" x14ac:dyDescent="0.25">
      <c r="BJ861" s="13" t="str">
        <f t="shared" si="89"/>
        <v/>
      </c>
      <c r="BK861" s="10" t="str">
        <f t="shared" si="90"/>
        <v/>
      </c>
      <c r="BL861" s="10" t="str">
        <f t="shared" si="91"/>
        <v/>
      </c>
    </row>
    <row r="862" spans="62:64" x14ac:dyDescent="0.25">
      <c r="BJ862" s="13" t="str">
        <f t="shared" si="89"/>
        <v/>
      </c>
      <c r="BK862" s="10" t="str">
        <f t="shared" si="90"/>
        <v/>
      </c>
      <c r="BL862" s="10" t="str">
        <f t="shared" si="91"/>
        <v/>
      </c>
    </row>
    <row r="863" spans="62:64" x14ac:dyDescent="0.25">
      <c r="BJ863" s="13" t="str">
        <f t="shared" si="89"/>
        <v/>
      </c>
      <c r="BK863" s="10" t="str">
        <f t="shared" si="90"/>
        <v/>
      </c>
      <c r="BL863" s="10" t="str">
        <f t="shared" si="91"/>
        <v/>
      </c>
    </row>
    <row r="864" spans="62:64" x14ac:dyDescent="0.25">
      <c r="BJ864" s="13" t="str">
        <f t="shared" si="89"/>
        <v/>
      </c>
      <c r="BK864" s="10" t="str">
        <f t="shared" si="90"/>
        <v/>
      </c>
      <c r="BL864" s="10" t="str">
        <f t="shared" si="91"/>
        <v/>
      </c>
    </row>
    <row r="865" spans="62:64" x14ac:dyDescent="0.25">
      <c r="BJ865" s="13" t="str">
        <f t="shared" si="89"/>
        <v/>
      </c>
      <c r="BK865" s="10" t="str">
        <f t="shared" si="90"/>
        <v/>
      </c>
      <c r="BL865" s="10" t="str">
        <f t="shared" si="91"/>
        <v/>
      </c>
    </row>
    <row r="866" spans="62:64" x14ac:dyDescent="0.25">
      <c r="BJ866" s="13" t="str">
        <f t="shared" si="89"/>
        <v/>
      </c>
      <c r="BK866" s="10" t="str">
        <f t="shared" si="90"/>
        <v/>
      </c>
      <c r="BL866" s="10" t="str">
        <f t="shared" si="91"/>
        <v/>
      </c>
    </row>
    <row r="867" spans="62:64" x14ac:dyDescent="0.25">
      <c r="BJ867" s="13" t="str">
        <f t="shared" si="89"/>
        <v/>
      </c>
      <c r="BK867" s="10" t="str">
        <f t="shared" si="90"/>
        <v/>
      </c>
      <c r="BL867" s="10" t="str">
        <f t="shared" si="91"/>
        <v/>
      </c>
    </row>
    <row r="868" spans="62:64" x14ac:dyDescent="0.25">
      <c r="BJ868" s="13" t="str">
        <f t="shared" si="89"/>
        <v/>
      </c>
      <c r="BK868" s="10" t="str">
        <f t="shared" si="90"/>
        <v/>
      </c>
      <c r="BL868" s="10" t="str">
        <f t="shared" si="91"/>
        <v/>
      </c>
    </row>
    <row r="869" spans="62:64" x14ac:dyDescent="0.25">
      <c r="BJ869" s="13" t="str">
        <f t="shared" si="89"/>
        <v/>
      </c>
      <c r="BK869" s="10" t="str">
        <f t="shared" si="90"/>
        <v/>
      </c>
      <c r="BL869" s="10" t="str">
        <f t="shared" si="91"/>
        <v/>
      </c>
    </row>
    <row r="870" spans="62:64" x14ac:dyDescent="0.25">
      <c r="BJ870" s="13" t="str">
        <f t="shared" si="89"/>
        <v/>
      </c>
      <c r="BK870" s="10" t="str">
        <f t="shared" si="90"/>
        <v/>
      </c>
      <c r="BL870" s="10" t="str">
        <f t="shared" si="91"/>
        <v/>
      </c>
    </row>
    <row r="871" spans="62:64" x14ac:dyDescent="0.25">
      <c r="BJ871" s="13" t="str">
        <f t="shared" si="89"/>
        <v/>
      </c>
      <c r="BK871" s="10" t="str">
        <f t="shared" si="90"/>
        <v/>
      </c>
      <c r="BL871" s="10" t="str">
        <f t="shared" si="91"/>
        <v/>
      </c>
    </row>
    <row r="872" spans="62:64" x14ac:dyDescent="0.25">
      <c r="BJ872" s="13" t="str">
        <f t="shared" si="89"/>
        <v/>
      </c>
      <c r="BK872" s="10" t="str">
        <f t="shared" si="90"/>
        <v/>
      </c>
      <c r="BL872" s="10" t="str">
        <f t="shared" si="91"/>
        <v/>
      </c>
    </row>
    <row r="873" spans="62:64" x14ac:dyDescent="0.25">
      <c r="BJ873" s="13" t="str">
        <f t="shared" si="89"/>
        <v/>
      </c>
      <c r="BK873" s="10" t="str">
        <f t="shared" si="90"/>
        <v/>
      </c>
      <c r="BL873" s="10" t="str">
        <f t="shared" si="91"/>
        <v/>
      </c>
    </row>
    <row r="874" spans="62:64" x14ac:dyDescent="0.25">
      <c r="BJ874" s="13" t="str">
        <f t="shared" si="89"/>
        <v/>
      </c>
      <c r="BK874" s="10" t="str">
        <f t="shared" si="90"/>
        <v/>
      </c>
      <c r="BL874" s="10" t="str">
        <f t="shared" si="91"/>
        <v/>
      </c>
    </row>
    <row r="875" spans="62:64" x14ac:dyDescent="0.25">
      <c r="BJ875" s="13" t="str">
        <f t="shared" si="89"/>
        <v/>
      </c>
      <c r="BK875" s="10" t="str">
        <f t="shared" si="90"/>
        <v/>
      </c>
      <c r="BL875" s="10" t="str">
        <f t="shared" si="91"/>
        <v/>
      </c>
    </row>
    <row r="876" spans="62:64" x14ac:dyDescent="0.25">
      <c r="BJ876" s="13" t="str">
        <f t="shared" si="89"/>
        <v/>
      </c>
      <c r="BK876" s="10" t="str">
        <f t="shared" si="90"/>
        <v/>
      </c>
      <c r="BL876" s="10" t="str">
        <f t="shared" si="91"/>
        <v/>
      </c>
    </row>
    <row r="877" spans="62:64" x14ac:dyDescent="0.25">
      <c r="BJ877" s="13" t="str">
        <f t="shared" si="89"/>
        <v/>
      </c>
      <c r="BK877" s="10" t="str">
        <f t="shared" si="90"/>
        <v/>
      </c>
      <c r="BL877" s="10" t="str">
        <f t="shared" si="91"/>
        <v/>
      </c>
    </row>
    <row r="878" spans="62:64" x14ac:dyDescent="0.25">
      <c r="BJ878" s="13" t="str">
        <f t="shared" si="89"/>
        <v/>
      </c>
      <c r="BK878" s="10" t="str">
        <f t="shared" si="90"/>
        <v/>
      </c>
      <c r="BL878" s="10" t="str">
        <f t="shared" si="91"/>
        <v/>
      </c>
    </row>
    <row r="879" spans="62:64" x14ac:dyDescent="0.25">
      <c r="BJ879" s="13" t="str">
        <f t="shared" si="89"/>
        <v/>
      </c>
      <c r="BK879" s="10" t="str">
        <f t="shared" si="90"/>
        <v/>
      </c>
      <c r="BL879" s="10" t="str">
        <f t="shared" si="91"/>
        <v/>
      </c>
    </row>
    <row r="880" spans="62:64" x14ac:dyDescent="0.25">
      <c r="BJ880" s="13" t="str">
        <f t="shared" si="89"/>
        <v/>
      </c>
      <c r="BK880" s="10" t="str">
        <f t="shared" si="90"/>
        <v/>
      </c>
      <c r="BL880" s="10" t="str">
        <f t="shared" si="91"/>
        <v/>
      </c>
    </row>
    <row r="881" spans="62:64" x14ac:dyDescent="0.25">
      <c r="BJ881" s="13" t="str">
        <f t="shared" si="89"/>
        <v/>
      </c>
      <c r="BK881" s="10" t="str">
        <f t="shared" si="90"/>
        <v/>
      </c>
      <c r="BL881" s="10" t="str">
        <f t="shared" si="91"/>
        <v/>
      </c>
    </row>
    <row r="882" spans="62:64" x14ac:dyDescent="0.25">
      <c r="BJ882" s="13" t="str">
        <f t="shared" si="89"/>
        <v/>
      </c>
      <c r="BK882" s="10" t="str">
        <f t="shared" si="90"/>
        <v/>
      </c>
      <c r="BL882" s="10" t="str">
        <f t="shared" si="91"/>
        <v/>
      </c>
    </row>
    <row r="883" spans="62:64" x14ac:dyDescent="0.25">
      <c r="BJ883" s="13" t="str">
        <f t="shared" si="89"/>
        <v/>
      </c>
      <c r="BK883" s="10" t="str">
        <f t="shared" si="90"/>
        <v/>
      </c>
      <c r="BL883" s="10" t="str">
        <f t="shared" si="91"/>
        <v/>
      </c>
    </row>
    <row r="884" spans="62:64" x14ac:dyDescent="0.25">
      <c r="BJ884" s="13" t="str">
        <f t="shared" si="89"/>
        <v/>
      </c>
      <c r="BK884" s="10" t="str">
        <f t="shared" si="90"/>
        <v/>
      </c>
      <c r="BL884" s="10" t="str">
        <f t="shared" si="91"/>
        <v/>
      </c>
    </row>
    <row r="885" spans="62:64" x14ac:dyDescent="0.25">
      <c r="BJ885" s="13" t="str">
        <f t="shared" si="89"/>
        <v/>
      </c>
      <c r="BK885" s="10" t="str">
        <f t="shared" si="90"/>
        <v/>
      </c>
      <c r="BL885" s="10" t="str">
        <f t="shared" si="91"/>
        <v/>
      </c>
    </row>
    <row r="886" spans="62:64" x14ac:dyDescent="0.25">
      <c r="BJ886" s="13" t="str">
        <f t="shared" si="89"/>
        <v/>
      </c>
      <c r="BK886" s="10" t="str">
        <f t="shared" si="90"/>
        <v/>
      </c>
      <c r="BL886" s="10" t="str">
        <f t="shared" si="91"/>
        <v/>
      </c>
    </row>
    <row r="887" spans="62:64" x14ac:dyDescent="0.25">
      <c r="BJ887" s="13" t="str">
        <f t="shared" si="89"/>
        <v/>
      </c>
      <c r="BK887" s="10" t="str">
        <f t="shared" si="90"/>
        <v/>
      </c>
      <c r="BL887" s="10" t="str">
        <f t="shared" si="91"/>
        <v/>
      </c>
    </row>
    <row r="888" spans="62:64" x14ac:dyDescent="0.25">
      <c r="BJ888" s="13" t="str">
        <f t="shared" si="89"/>
        <v/>
      </c>
      <c r="BK888" s="10" t="str">
        <f t="shared" si="90"/>
        <v/>
      </c>
      <c r="BL888" s="10" t="str">
        <f t="shared" si="91"/>
        <v/>
      </c>
    </row>
    <row r="889" spans="62:64" x14ac:dyDescent="0.25">
      <c r="BJ889" s="13" t="str">
        <f t="shared" si="89"/>
        <v/>
      </c>
      <c r="BK889" s="10" t="str">
        <f t="shared" si="90"/>
        <v/>
      </c>
      <c r="BL889" s="10" t="str">
        <f t="shared" si="91"/>
        <v/>
      </c>
    </row>
    <row r="890" spans="62:64" x14ac:dyDescent="0.25">
      <c r="BJ890" s="13" t="str">
        <f t="shared" si="89"/>
        <v/>
      </c>
      <c r="BK890" s="10" t="str">
        <f t="shared" si="90"/>
        <v/>
      </c>
      <c r="BL890" s="10" t="str">
        <f t="shared" si="91"/>
        <v/>
      </c>
    </row>
    <row r="891" spans="62:64" x14ac:dyDescent="0.25">
      <c r="BJ891" s="13" t="str">
        <f t="shared" si="89"/>
        <v/>
      </c>
      <c r="BK891" s="10" t="str">
        <f t="shared" si="90"/>
        <v/>
      </c>
      <c r="BL891" s="10" t="str">
        <f t="shared" si="91"/>
        <v/>
      </c>
    </row>
    <row r="892" spans="62:64" x14ac:dyDescent="0.25">
      <c r="BJ892" s="13" t="str">
        <f t="shared" si="89"/>
        <v/>
      </c>
      <c r="BK892" s="10" t="str">
        <f t="shared" si="90"/>
        <v/>
      </c>
      <c r="BL892" s="10" t="str">
        <f t="shared" si="91"/>
        <v/>
      </c>
    </row>
    <row r="893" spans="62:64" x14ac:dyDescent="0.25">
      <c r="BJ893" s="13" t="str">
        <f t="shared" si="89"/>
        <v/>
      </c>
      <c r="BK893" s="10" t="str">
        <f t="shared" si="90"/>
        <v/>
      </c>
      <c r="BL893" s="10" t="str">
        <f t="shared" si="91"/>
        <v/>
      </c>
    </row>
    <row r="894" spans="62:64" x14ac:dyDescent="0.25">
      <c r="BJ894" s="13" t="str">
        <f t="shared" si="89"/>
        <v/>
      </c>
      <c r="BK894" s="10" t="str">
        <f t="shared" si="90"/>
        <v/>
      </c>
      <c r="BL894" s="10" t="str">
        <f t="shared" si="91"/>
        <v/>
      </c>
    </row>
    <row r="895" spans="62:64" x14ac:dyDescent="0.25">
      <c r="BJ895" s="13" t="str">
        <f t="shared" si="89"/>
        <v/>
      </c>
      <c r="BK895" s="10" t="str">
        <f t="shared" si="90"/>
        <v/>
      </c>
      <c r="BL895" s="10" t="str">
        <f t="shared" si="91"/>
        <v/>
      </c>
    </row>
    <row r="896" spans="62:64" x14ac:dyDescent="0.25">
      <c r="BJ896" s="13" t="str">
        <f t="shared" si="89"/>
        <v/>
      </c>
      <c r="BK896" s="10" t="str">
        <f t="shared" si="90"/>
        <v/>
      </c>
      <c r="BL896" s="10" t="str">
        <f t="shared" si="91"/>
        <v/>
      </c>
    </row>
    <row r="897" spans="62:64" x14ac:dyDescent="0.25">
      <c r="BJ897" s="13" t="str">
        <f t="shared" si="89"/>
        <v/>
      </c>
      <c r="BK897" s="10" t="str">
        <f t="shared" si="90"/>
        <v/>
      </c>
      <c r="BL897" s="10" t="str">
        <f t="shared" si="91"/>
        <v/>
      </c>
    </row>
    <row r="898" spans="62:64" x14ac:dyDescent="0.25">
      <c r="BJ898" s="13" t="str">
        <f t="shared" si="89"/>
        <v/>
      </c>
      <c r="BK898" s="10" t="str">
        <f t="shared" si="90"/>
        <v/>
      </c>
      <c r="BL898" s="10" t="str">
        <f t="shared" si="91"/>
        <v/>
      </c>
    </row>
    <row r="899" spans="62:64" x14ac:dyDescent="0.25">
      <c r="BJ899" s="13" t="str">
        <f t="shared" si="89"/>
        <v/>
      </c>
      <c r="BK899" s="10" t="str">
        <f t="shared" si="90"/>
        <v/>
      </c>
      <c r="BL899" s="10" t="str">
        <f t="shared" si="91"/>
        <v/>
      </c>
    </row>
    <row r="900" spans="62:64" x14ac:dyDescent="0.25">
      <c r="BJ900" s="13" t="str">
        <f t="shared" si="89"/>
        <v/>
      </c>
      <c r="BK900" s="10" t="str">
        <f t="shared" si="90"/>
        <v/>
      </c>
      <c r="BL900" s="10" t="str">
        <f t="shared" si="91"/>
        <v/>
      </c>
    </row>
    <row r="901" spans="62:64" x14ac:dyDescent="0.25">
      <c r="BJ901" s="13" t="str">
        <f t="shared" si="89"/>
        <v/>
      </c>
      <c r="BK901" s="10" t="str">
        <f t="shared" si="90"/>
        <v/>
      </c>
      <c r="BL901" s="10" t="str">
        <f t="shared" si="91"/>
        <v/>
      </c>
    </row>
    <row r="902" spans="62:64" x14ac:dyDescent="0.25">
      <c r="BJ902" s="13" t="str">
        <f t="shared" ref="BJ902:BJ965" si="92">IF(ROW()-BJ$3&lt;=$BJ$4,ROW()-ROW(BJ$4),"")</f>
        <v/>
      </c>
      <c r="BK902" s="10" t="str">
        <f t="shared" si="90"/>
        <v/>
      </c>
      <c r="BL902" s="10" t="str">
        <f t="shared" si="91"/>
        <v/>
      </c>
    </row>
    <row r="903" spans="62:64" x14ac:dyDescent="0.25">
      <c r="BJ903" s="13" t="str">
        <f t="shared" si="92"/>
        <v/>
      </c>
      <c r="BK903" s="10" t="str">
        <f t="shared" ref="BK903:BK966" si="93">IF(ISNUMBER(BJ903),INT(BJ902/$BL$4)+1,"")</f>
        <v/>
      </c>
      <c r="BL903" s="10" t="str">
        <f t="shared" ref="BL903:BL966" si="94">IF(ISNUMBER(BJ903),IF(BK902&lt;&gt;BK903,1,BL902+1),"")</f>
        <v/>
      </c>
    </row>
    <row r="904" spans="62:64" x14ac:dyDescent="0.25">
      <c r="BJ904" s="13" t="str">
        <f t="shared" si="92"/>
        <v/>
      </c>
      <c r="BK904" s="10" t="str">
        <f t="shared" si="93"/>
        <v/>
      </c>
      <c r="BL904" s="10" t="str">
        <f t="shared" si="94"/>
        <v/>
      </c>
    </row>
    <row r="905" spans="62:64" x14ac:dyDescent="0.25">
      <c r="BJ905" s="13" t="str">
        <f t="shared" si="92"/>
        <v/>
      </c>
      <c r="BK905" s="10" t="str">
        <f t="shared" si="93"/>
        <v/>
      </c>
      <c r="BL905" s="10" t="str">
        <f t="shared" si="94"/>
        <v/>
      </c>
    </row>
    <row r="906" spans="62:64" x14ac:dyDescent="0.25">
      <c r="BJ906" s="13" t="str">
        <f t="shared" si="92"/>
        <v/>
      </c>
      <c r="BK906" s="10" t="str">
        <f t="shared" si="93"/>
        <v/>
      </c>
      <c r="BL906" s="10" t="str">
        <f t="shared" si="94"/>
        <v/>
      </c>
    </row>
    <row r="907" spans="62:64" x14ac:dyDescent="0.25">
      <c r="BJ907" s="13" t="str">
        <f t="shared" si="92"/>
        <v/>
      </c>
      <c r="BK907" s="10" t="str">
        <f t="shared" si="93"/>
        <v/>
      </c>
      <c r="BL907" s="10" t="str">
        <f t="shared" si="94"/>
        <v/>
      </c>
    </row>
    <row r="908" spans="62:64" x14ac:dyDescent="0.25">
      <c r="BJ908" s="13" t="str">
        <f t="shared" si="92"/>
        <v/>
      </c>
      <c r="BK908" s="10" t="str">
        <f t="shared" si="93"/>
        <v/>
      </c>
      <c r="BL908" s="10" t="str">
        <f t="shared" si="94"/>
        <v/>
      </c>
    </row>
    <row r="909" spans="62:64" x14ac:dyDescent="0.25">
      <c r="BJ909" s="13" t="str">
        <f t="shared" si="92"/>
        <v/>
      </c>
      <c r="BK909" s="10" t="str">
        <f t="shared" si="93"/>
        <v/>
      </c>
      <c r="BL909" s="10" t="str">
        <f t="shared" si="94"/>
        <v/>
      </c>
    </row>
    <row r="910" spans="62:64" x14ac:dyDescent="0.25">
      <c r="BJ910" s="13" t="str">
        <f t="shared" si="92"/>
        <v/>
      </c>
      <c r="BK910" s="10" t="str">
        <f t="shared" si="93"/>
        <v/>
      </c>
      <c r="BL910" s="10" t="str">
        <f t="shared" si="94"/>
        <v/>
      </c>
    </row>
    <row r="911" spans="62:64" x14ac:dyDescent="0.25">
      <c r="BJ911" s="13" t="str">
        <f t="shared" si="92"/>
        <v/>
      </c>
      <c r="BK911" s="10" t="str">
        <f t="shared" si="93"/>
        <v/>
      </c>
      <c r="BL911" s="10" t="str">
        <f t="shared" si="94"/>
        <v/>
      </c>
    </row>
    <row r="912" spans="62:64" x14ac:dyDescent="0.25">
      <c r="BJ912" s="13" t="str">
        <f t="shared" si="92"/>
        <v/>
      </c>
      <c r="BK912" s="10" t="str">
        <f t="shared" si="93"/>
        <v/>
      </c>
      <c r="BL912" s="10" t="str">
        <f t="shared" si="94"/>
        <v/>
      </c>
    </row>
    <row r="913" spans="62:64" x14ac:dyDescent="0.25">
      <c r="BJ913" s="13" t="str">
        <f t="shared" si="92"/>
        <v/>
      </c>
      <c r="BK913" s="10" t="str">
        <f t="shared" si="93"/>
        <v/>
      </c>
      <c r="BL913" s="10" t="str">
        <f t="shared" si="94"/>
        <v/>
      </c>
    </row>
    <row r="914" spans="62:64" x14ac:dyDescent="0.25">
      <c r="BJ914" s="13" t="str">
        <f t="shared" si="92"/>
        <v/>
      </c>
      <c r="BK914" s="10" t="str">
        <f t="shared" si="93"/>
        <v/>
      </c>
      <c r="BL914" s="10" t="str">
        <f t="shared" si="94"/>
        <v/>
      </c>
    </row>
    <row r="915" spans="62:64" x14ac:dyDescent="0.25">
      <c r="BJ915" s="13" t="str">
        <f t="shared" si="92"/>
        <v/>
      </c>
      <c r="BK915" s="10" t="str">
        <f t="shared" si="93"/>
        <v/>
      </c>
      <c r="BL915" s="10" t="str">
        <f t="shared" si="94"/>
        <v/>
      </c>
    </row>
    <row r="916" spans="62:64" x14ac:dyDescent="0.25">
      <c r="BJ916" s="13" t="str">
        <f t="shared" si="92"/>
        <v/>
      </c>
      <c r="BK916" s="10" t="str">
        <f t="shared" si="93"/>
        <v/>
      </c>
      <c r="BL916" s="10" t="str">
        <f t="shared" si="94"/>
        <v/>
      </c>
    </row>
    <row r="917" spans="62:64" x14ac:dyDescent="0.25">
      <c r="BJ917" s="13" t="str">
        <f t="shared" si="92"/>
        <v/>
      </c>
      <c r="BK917" s="10" t="str">
        <f t="shared" si="93"/>
        <v/>
      </c>
      <c r="BL917" s="10" t="str">
        <f t="shared" si="94"/>
        <v/>
      </c>
    </row>
    <row r="918" spans="62:64" x14ac:dyDescent="0.25">
      <c r="BJ918" s="13" t="str">
        <f t="shared" si="92"/>
        <v/>
      </c>
      <c r="BK918" s="10" t="str">
        <f t="shared" si="93"/>
        <v/>
      </c>
      <c r="BL918" s="10" t="str">
        <f t="shared" si="94"/>
        <v/>
      </c>
    </row>
    <row r="919" spans="62:64" x14ac:dyDescent="0.25">
      <c r="BJ919" s="13" t="str">
        <f t="shared" si="92"/>
        <v/>
      </c>
      <c r="BK919" s="10" t="str">
        <f t="shared" si="93"/>
        <v/>
      </c>
      <c r="BL919" s="10" t="str">
        <f t="shared" si="94"/>
        <v/>
      </c>
    </row>
    <row r="920" spans="62:64" x14ac:dyDescent="0.25">
      <c r="BJ920" s="13" t="str">
        <f t="shared" si="92"/>
        <v/>
      </c>
      <c r="BK920" s="10" t="str">
        <f t="shared" si="93"/>
        <v/>
      </c>
      <c r="BL920" s="10" t="str">
        <f t="shared" si="94"/>
        <v/>
      </c>
    </row>
    <row r="921" spans="62:64" x14ac:dyDescent="0.25">
      <c r="BJ921" s="13" t="str">
        <f t="shared" si="92"/>
        <v/>
      </c>
      <c r="BK921" s="10" t="str">
        <f t="shared" si="93"/>
        <v/>
      </c>
      <c r="BL921" s="10" t="str">
        <f t="shared" si="94"/>
        <v/>
      </c>
    </row>
    <row r="922" spans="62:64" x14ac:dyDescent="0.25">
      <c r="BJ922" s="13" t="str">
        <f t="shared" si="92"/>
        <v/>
      </c>
      <c r="BK922" s="10" t="str">
        <f t="shared" si="93"/>
        <v/>
      </c>
      <c r="BL922" s="10" t="str">
        <f t="shared" si="94"/>
        <v/>
      </c>
    </row>
    <row r="923" spans="62:64" x14ac:dyDescent="0.25">
      <c r="BJ923" s="13" t="str">
        <f t="shared" si="92"/>
        <v/>
      </c>
      <c r="BK923" s="10" t="str">
        <f t="shared" si="93"/>
        <v/>
      </c>
      <c r="BL923" s="10" t="str">
        <f t="shared" si="94"/>
        <v/>
      </c>
    </row>
    <row r="924" spans="62:64" x14ac:dyDescent="0.25">
      <c r="BJ924" s="13" t="str">
        <f t="shared" si="92"/>
        <v/>
      </c>
      <c r="BK924" s="10" t="str">
        <f t="shared" si="93"/>
        <v/>
      </c>
      <c r="BL924" s="10" t="str">
        <f t="shared" si="94"/>
        <v/>
      </c>
    </row>
    <row r="925" spans="62:64" x14ac:dyDescent="0.25">
      <c r="BJ925" s="13" t="str">
        <f t="shared" si="92"/>
        <v/>
      </c>
      <c r="BK925" s="10" t="str">
        <f t="shared" si="93"/>
        <v/>
      </c>
      <c r="BL925" s="10" t="str">
        <f t="shared" si="94"/>
        <v/>
      </c>
    </row>
    <row r="926" spans="62:64" x14ac:dyDescent="0.25">
      <c r="BJ926" s="13" t="str">
        <f t="shared" si="92"/>
        <v/>
      </c>
      <c r="BK926" s="10" t="str">
        <f t="shared" si="93"/>
        <v/>
      </c>
      <c r="BL926" s="10" t="str">
        <f t="shared" si="94"/>
        <v/>
      </c>
    </row>
    <row r="927" spans="62:64" x14ac:dyDescent="0.25">
      <c r="BJ927" s="13" t="str">
        <f t="shared" si="92"/>
        <v/>
      </c>
      <c r="BK927" s="10" t="str">
        <f t="shared" si="93"/>
        <v/>
      </c>
      <c r="BL927" s="10" t="str">
        <f t="shared" si="94"/>
        <v/>
      </c>
    </row>
    <row r="928" spans="62:64" x14ac:dyDescent="0.25">
      <c r="BJ928" s="13" t="str">
        <f t="shared" si="92"/>
        <v/>
      </c>
      <c r="BK928" s="10" t="str">
        <f t="shared" si="93"/>
        <v/>
      </c>
      <c r="BL928" s="10" t="str">
        <f t="shared" si="94"/>
        <v/>
      </c>
    </row>
    <row r="929" spans="62:64" x14ac:dyDescent="0.25">
      <c r="BJ929" s="13" t="str">
        <f t="shared" si="92"/>
        <v/>
      </c>
      <c r="BK929" s="10" t="str">
        <f t="shared" si="93"/>
        <v/>
      </c>
      <c r="BL929" s="10" t="str">
        <f t="shared" si="94"/>
        <v/>
      </c>
    </row>
    <row r="930" spans="62:64" x14ac:dyDescent="0.25">
      <c r="BJ930" s="13" t="str">
        <f t="shared" si="92"/>
        <v/>
      </c>
      <c r="BK930" s="10" t="str">
        <f t="shared" si="93"/>
        <v/>
      </c>
      <c r="BL930" s="10" t="str">
        <f t="shared" si="94"/>
        <v/>
      </c>
    </row>
    <row r="931" spans="62:64" x14ac:dyDescent="0.25">
      <c r="BJ931" s="13" t="str">
        <f t="shared" si="92"/>
        <v/>
      </c>
      <c r="BK931" s="10" t="str">
        <f t="shared" si="93"/>
        <v/>
      </c>
      <c r="BL931" s="10" t="str">
        <f t="shared" si="94"/>
        <v/>
      </c>
    </row>
    <row r="932" spans="62:64" x14ac:dyDescent="0.25">
      <c r="BJ932" s="13" t="str">
        <f t="shared" si="92"/>
        <v/>
      </c>
      <c r="BK932" s="10" t="str">
        <f t="shared" si="93"/>
        <v/>
      </c>
      <c r="BL932" s="10" t="str">
        <f t="shared" si="94"/>
        <v/>
      </c>
    </row>
    <row r="933" spans="62:64" x14ac:dyDescent="0.25">
      <c r="BJ933" s="13" t="str">
        <f t="shared" si="92"/>
        <v/>
      </c>
      <c r="BK933" s="10" t="str">
        <f t="shared" si="93"/>
        <v/>
      </c>
      <c r="BL933" s="10" t="str">
        <f t="shared" si="94"/>
        <v/>
      </c>
    </row>
    <row r="934" spans="62:64" x14ac:dyDescent="0.25">
      <c r="BJ934" s="13" t="str">
        <f t="shared" si="92"/>
        <v/>
      </c>
      <c r="BK934" s="10" t="str">
        <f t="shared" si="93"/>
        <v/>
      </c>
      <c r="BL934" s="10" t="str">
        <f t="shared" si="94"/>
        <v/>
      </c>
    </row>
    <row r="935" spans="62:64" x14ac:dyDescent="0.25">
      <c r="BJ935" s="13" t="str">
        <f t="shared" si="92"/>
        <v/>
      </c>
      <c r="BK935" s="10" t="str">
        <f t="shared" si="93"/>
        <v/>
      </c>
      <c r="BL935" s="10" t="str">
        <f t="shared" si="94"/>
        <v/>
      </c>
    </row>
    <row r="936" spans="62:64" x14ac:dyDescent="0.25">
      <c r="BJ936" s="13" t="str">
        <f t="shared" si="92"/>
        <v/>
      </c>
      <c r="BK936" s="10" t="str">
        <f t="shared" si="93"/>
        <v/>
      </c>
      <c r="BL936" s="10" t="str">
        <f t="shared" si="94"/>
        <v/>
      </c>
    </row>
    <row r="937" spans="62:64" x14ac:dyDescent="0.25">
      <c r="BJ937" s="13" t="str">
        <f t="shared" si="92"/>
        <v/>
      </c>
      <c r="BK937" s="10" t="str">
        <f t="shared" si="93"/>
        <v/>
      </c>
      <c r="BL937" s="10" t="str">
        <f t="shared" si="94"/>
        <v/>
      </c>
    </row>
    <row r="938" spans="62:64" x14ac:dyDescent="0.25">
      <c r="BJ938" s="13" t="str">
        <f t="shared" si="92"/>
        <v/>
      </c>
      <c r="BK938" s="10" t="str">
        <f t="shared" si="93"/>
        <v/>
      </c>
      <c r="BL938" s="10" t="str">
        <f t="shared" si="94"/>
        <v/>
      </c>
    </row>
    <row r="939" spans="62:64" x14ac:dyDescent="0.25">
      <c r="BJ939" s="13" t="str">
        <f t="shared" si="92"/>
        <v/>
      </c>
      <c r="BK939" s="10" t="str">
        <f t="shared" si="93"/>
        <v/>
      </c>
      <c r="BL939" s="10" t="str">
        <f t="shared" si="94"/>
        <v/>
      </c>
    </row>
    <row r="940" spans="62:64" x14ac:dyDescent="0.25">
      <c r="BJ940" s="13" t="str">
        <f t="shared" si="92"/>
        <v/>
      </c>
      <c r="BK940" s="10" t="str">
        <f t="shared" si="93"/>
        <v/>
      </c>
      <c r="BL940" s="10" t="str">
        <f t="shared" si="94"/>
        <v/>
      </c>
    </row>
    <row r="941" spans="62:64" x14ac:dyDescent="0.25">
      <c r="BJ941" s="13" t="str">
        <f t="shared" si="92"/>
        <v/>
      </c>
      <c r="BK941" s="10" t="str">
        <f t="shared" si="93"/>
        <v/>
      </c>
      <c r="BL941" s="10" t="str">
        <f t="shared" si="94"/>
        <v/>
      </c>
    </row>
    <row r="942" spans="62:64" x14ac:dyDescent="0.25">
      <c r="BJ942" s="13" t="str">
        <f t="shared" si="92"/>
        <v/>
      </c>
      <c r="BK942" s="10" t="str">
        <f t="shared" si="93"/>
        <v/>
      </c>
      <c r="BL942" s="10" t="str">
        <f t="shared" si="94"/>
        <v/>
      </c>
    </row>
    <row r="943" spans="62:64" x14ac:dyDescent="0.25">
      <c r="BJ943" s="13" t="str">
        <f t="shared" si="92"/>
        <v/>
      </c>
      <c r="BK943" s="10" t="str">
        <f t="shared" si="93"/>
        <v/>
      </c>
      <c r="BL943" s="10" t="str">
        <f t="shared" si="94"/>
        <v/>
      </c>
    </row>
    <row r="944" spans="62:64" x14ac:dyDescent="0.25">
      <c r="BJ944" s="13" t="str">
        <f t="shared" si="92"/>
        <v/>
      </c>
      <c r="BK944" s="10" t="str">
        <f t="shared" si="93"/>
        <v/>
      </c>
      <c r="BL944" s="10" t="str">
        <f t="shared" si="94"/>
        <v/>
      </c>
    </row>
    <row r="945" spans="62:64" x14ac:dyDescent="0.25">
      <c r="BJ945" s="13" t="str">
        <f t="shared" si="92"/>
        <v/>
      </c>
      <c r="BK945" s="10" t="str">
        <f t="shared" si="93"/>
        <v/>
      </c>
      <c r="BL945" s="10" t="str">
        <f t="shared" si="94"/>
        <v/>
      </c>
    </row>
    <row r="946" spans="62:64" x14ac:dyDescent="0.25">
      <c r="BJ946" s="13" t="str">
        <f t="shared" si="92"/>
        <v/>
      </c>
      <c r="BK946" s="10" t="str">
        <f t="shared" si="93"/>
        <v/>
      </c>
      <c r="BL946" s="10" t="str">
        <f t="shared" si="94"/>
        <v/>
      </c>
    </row>
    <row r="947" spans="62:64" x14ac:dyDescent="0.25">
      <c r="BJ947" s="13" t="str">
        <f t="shared" si="92"/>
        <v/>
      </c>
      <c r="BK947" s="10" t="str">
        <f t="shared" si="93"/>
        <v/>
      </c>
      <c r="BL947" s="10" t="str">
        <f t="shared" si="94"/>
        <v/>
      </c>
    </row>
    <row r="948" spans="62:64" x14ac:dyDescent="0.25">
      <c r="BJ948" s="13" t="str">
        <f t="shared" si="92"/>
        <v/>
      </c>
      <c r="BK948" s="10" t="str">
        <f t="shared" si="93"/>
        <v/>
      </c>
      <c r="BL948" s="10" t="str">
        <f t="shared" si="94"/>
        <v/>
      </c>
    </row>
    <row r="949" spans="62:64" x14ac:dyDescent="0.25">
      <c r="BJ949" s="13" t="str">
        <f t="shared" si="92"/>
        <v/>
      </c>
      <c r="BK949" s="10" t="str">
        <f t="shared" si="93"/>
        <v/>
      </c>
      <c r="BL949" s="10" t="str">
        <f t="shared" si="94"/>
        <v/>
      </c>
    </row>
    <row r="950" spans="62:64" x14ac:dyDescent="0.25">
      <c r="BJ950" s="13" t="str">
        <f t="shared" si="92"/>
        <v/>
      </c>
      <c r="BK950" s="10" t="str">
        <f t="shared" si="93"/>
        <v/>
      </c>
      <c r="BL950" s="10" t="str">
        <f t="shared" si="94"/>
        <v/>
      </c>
    </row>
    <row r="951" spans="62:64" x14ac:dyDescent="0.25">
      <c r="BJ951" s="13" t="str">
        <f t="shared" si="92"/>
        <v/>
      </c>
      <c r="BK951" s="10" t="str">
        <f t="shared" si="93"/>
        <v/>
      </c>
      <c r="BL951" s="10" t="str">
        <f t="shared" si="94"/>
        <v/>
      </c>
    </row>
    <row r="952" spans="62:64" x14ac:dyDescent="0.25">
      <c r="BJ952" s="13" t="str">
        <f t="shared" si="92"/>
        <v/>
      </c>
      <c r="BK952" s="10" t="str">
        <f t="shared" si="93"/>
        <v/>
      </c>
      <c r="BL952" s="10" t="str">
        <f t="shared" si="94"/>
        <v/>
      </c>
    </row>
    <row r="953" spans="62:64" x14ac:dyDescent="0.25">
      <c r="BJ953" s="13" t="str">
        <f t="shared" si="92"/>
        <v/>
      </c>
      <c r="BK953" s="10" t="str">
        <f t="shared" si="93"/>
        <v/>
      </c>
      <c r="BL953" s="10" t="str">
        <f t="shared" si="94"/>
        <v/>
      </c>
    </row>
    <row r="954" spans="62:64" x14ac:dyDescent="0.25">
      <c r="BJ954" s="13" t="str">
        <f t="shared" si="92"/>
        <v/>
      </c>
      <c r="BK954" s="10" t="str">
        <f t="shared" si="93"/>
        <v/>
      </c>
      <c r="BL954" s="10" t="str">
        <f t="shared" si="94"/>
        <v/>
      </c>
    </row>
    <row r="955" spans="62:64" x14ac:dyDescent="0.25">
      <c r="BJ955" s="13" t="str">
        <f t="shared" si="92"/>
        <v/>
      </c>
      <c r="BK955" s="10" t="str">
        <f t="shared" si="93"/>
        <v/>
      </c>
      <c r="BL955" s="10" t="str">
        <f t="shared" si="94"/>
        <v/>
      </c>
    </row>
    <row r="956" spans="62:64" x14ac:dyDescent="0.25">
      <c r="BJ956" s="13" t="str">
        <f t="shared" si="92"/>
        <v/>
      </c>
      <c r="BK956" s="10" t="str">
        <f t="shared" si="93"/>
        <v/>
      </c>
      <c r="BL956" s="10" t="str">
        <f t="shared" si="94"/>
        <v/>
      </c>
    </row>
    <row r="957" spans="62:64" x14ac:dyDescent="0.25">
      <c r="BJ957" s="13" t="str">
        <f t="shared" si="92"/>
        <v/>
      </c>
      <c r="BK957" s="10" t="str">
        <f t="shared" si="93"/>
        <v/>
      </c>
      <c r="BL957" s="10" t="str">
        <f t="shared" si="94"/>
        <v/>
      </c>
    </row>
    <row r="958" spans="62:64" x14ac:dyDescent="0.25">
      <c r="BJ958" s="13" t="str">
        <f t="shared" si="92"/>
        <v/>
      </c>
      <c r="BK958" s="10" t="str">
        <f t="shared" si="93"/>
        <v/>
      </c>
      <c r="BL958" s="10" t="str">
        <f t="shared" si="94"/>
        <v/>
      </c>
    </row>
    <row r="959" spans="62:64" x14ac:dyDescent="0.25">
      <c r="BJ959" s="13" t="str">
        <f t="shared" si="92"/>
        <v/>
      </c>
      <c r="BK959" s="10" t="str">
        <f t="shared" si="93"/>
        <v/>
      </c>
      <c r="BL959" s="10" t="str">
        <f t="shared" si="94"/>
        <v/>
      </c>
    </row>
    <row r="960" spans="62:64" x14ac:dyDescent="0.25">
      <c r="BJ960" s="13" t="str">
        <f t="shared" si="92"/>
        <v/>
      </c>
      <c r="BK960" s="10" t="str">
        <f t="shared" si="93"/>
        <v/>
      </c>
      <c r="BL960" s="10" t="str">
        <f t="shared" si="94"/>
        <v/>
      </c>
    </row>
    <row r="961" spans="62:64" x14ac:dyDescent="0.25">
      <c r="BJ961" s="13" t="str">
        <f t="shared" si="92"/>
        <v/>
      </c>
      <c r="BK961" s="10" t="str">
        <f t="shared" si="93"/>
        <v/>
      </c>
      <c r="BL961" s="10" t="str">
        <f t="shared" si="94"/>
        <v/>
      </c>
    </row>
    <row r="962" spans="62:64" x14ac:dyDescent="0.25">
      <c r="BJ962" s="13" t="str">
        <f t="shared" si="92"/>
        <v/>
      </c>
      <c r="BK962" s="10" t="str">
        <f t="shared" si="93"/>
        <v/>
      </c>
      <c r="BL962" s="10" t="str">
        <f t="shared" si="94"/>
        <v/>
      </c>
    </row>
    <row r="963" spans="62:64" x14ac:dyDescent="0.25">
      <c r="BJ963" s="13" t="str">
        <f t="shared" si="92"/>
        <v/>
      </c>
      <c r="BK963" s="10" t="str">
        <f t="shared" si="93"/>
        <v/>
      </c>
      <c r="BL963" s="10" t="str">
        <f t="shared" si="94"/>
        <v/>
      </c>
    </row>
    <row r="964" spans="62:64" x14ac:dyDescent="0.25">
      <c r="BJ964" s="13" t="str">
        <f t="shared" si="92"/>
        <v/>
      </c>
      <c r="BK964" s="10" t="str">
        <f t="shared" si="93"/>
        <v/>
      </c>
      <c r="BL964" s="10" t="str">
        <f t="shared" si="94"/>
        <v/>
      </c>
    </row>
    <row r="965" spans="62:64" x14ac:dyDescent="0.25">
      <c r="BJ965" s="13" t="str">
        <f t="shared" si="92"/>
        <v/>
      </c>
      <c r="BK965" s="10" t="str">
        <f t="shared" si="93"/>
        <v/>
      </c>
      <c r="BL965" s="10" t="str">
        <f t="shared" si="94"/>
        <v/>
      </c>
    </row>
    <row r="966" spans="62:64" x14ac:dyDescent="0.25">
      <c r="BJ966" s="13" t="str">
        <f t="shared" ref="BJ966:BJ1029" si="95">IF(ROW()-BJ$3&lt;=$BJ$4,ROW()-ROW(BJ$4),"")</f>
        <v/>
      </c>
      <c r="BK966" s="10" t="str">
        <f t="shared" si="93"/>
        <v/>
      </c>
      <c r="BL966" s="10" t="str">
        <f t="shared" si="94"/>
        <v/>
      </c>
    </row>
    <row r="967" spans="62:64" x14ac:dyDescent="0.25">
      <c r="BJ967" s="13" t="str">
        <f t="shared" si="95"/>
        <v/>
      </c>
      <c r="BK967" s="10" t="str">
        <f t="shared" ref="BK967:BK1030" si="96">IF(ISNUMBER(BJ967),INT(BJ966/$BL$4)+1,"")</f>
        <v/>
      </c>
      <c r="BL967" s="10" t="str">
        <f t="shared" ref="BL967:BL1030" si="97">IF(ISNUMBER(BJ967),IF(BK966&lt;&gt;BK967,1,BL966+1),"")</f>
        <v/>
      </c>
    </row>
    <row r="968" spans="62:64" x14ac:dyDescent="0.25">
      <c r="BJ968" s="13" t="str">
        <f t="shared" si="95"/>
        <v/>
      </c>
      <c r="BK968" s="10" t="str">
        <f t="shared" si="96"/>
        <v/>
      </c>
      <c r="BL968" s="10" t="str">
        <f t="shared" si="97"/>
        <v/>
      </c>
    </row>
    <row r="969" spans="62:64" x14ac:dyDescent="0.25">
      <c r="BJ969" s="13" t="str">
        <f t="shared" si="95"/>
        <v/>
      </c>
      <c r="BK969" s="10" t="str">
        <f t="shared" si="96"/>
        <v/>
      </c>
      <c r="BL969" s="10" t="str">
        <f t="shared" si="97"/>
        <v/>
      </c>
    </row>
    <row r="970" spans="62:64" x14ac:dyDescent="0.25">
      <c r="BJ970" s="13" t="str">
        <f t="shared" si="95"/>
        <v/>
      </c>
      <c r="BK970" s="10" t="str">
        <f t="shared" si="96"/>
        <v/>
      </c>
      <c r="BL970" s="10" t="str">
        <f t="shared" si="97"/>
        <v/>
      </c>
    </row>
    <row r="971" spans="62:64" x14ac:dyDescent="0.25">
      <c r="BJ971" s="13" t="str">
        <f t="shared" si="95"/>
        <v/>
      </c>
      <c r="BK971" s="10" t="str">
        <f t="shared" si="96"/>
        <v/>
      </c>
      <c r="BL971" s="10" t="str">
        <f t="shared" si="97"/>
        <v/>
      </c>
    </row>
    <row r="972" spans="62:64" x14ac:dyDescent="0.25">
      <c r="BJ972" s="13" t="str">
        <f t="shared" si="95"/>
        <v/>
      </c>
      <c r="BK972" s="10" t="str">
        <f t="shared" si="96"/>
        <v/>
      </c>
      <c r="BL972" s="10" t="str">
        <f t="shared" si="97"/>
        <v/>
      </c>
    </row>
    <row r="973" spans="62:64" x14ac:dyDescent="0.25">
      <c r="BJ973" s="13" t="str">
        <f t="shared" si="95"/>
        <v/>
      </c>
      <c r="BK973" s="10" t="str">
        <f t="shared" si="96"/>
        <v/>
      </c>
      <c r="BL973" s="10" t="str">
        <f t="shared" si="97"/>
        <v/>
      </c>
    </row>
    <row r="974" spans="62:64" x14ac:dyDescent="0.25">
      <c r="BJ974" s="13" t="str">
        <f t="shared" si="95"/>
        <v/>
      </c>
      <c r="BK974" s="10" t="str">
        <f t="shared" si="96"/>
        <v/>
      </c>
      <c r="BL974" s="10" t="str">
        <f t="shared" si="97"/>
        <v/>
      </c>
    </row>
    <row r="975" spans="62:64" x14ac:dyDescent="0.25">
      <c r="BJ975" s="13" t="str">
        <f t="shared" si="95"/>
        <v/>
      </c>
      <c r="BK975" s="10" t="str">
        <f t="shared" si="96"/>
        <v/>
      </c>
      <c r="BL975" s="10" t="str">
        <f t="shared" si="97"/>
        <v/>
      </c>
    </row>
    <row r="976" spans="62:64" x14ac:dyDescent="0.25">
      <c r="BJ976" s="13" t="str">
        <f t="shared" si="95"/>
        <v/>
      </c>
      <c r="BK976" s="10" t="str">
        <f t="shared" si="96"/>
        <v/>
      </c>
      <c r="BL976" s="10" t="str">
        <f t="shared" si="97"/>
        <v/>
      </c>
    </row>
    <row r="977" spans="62:64" x14ac:dyDescent="0.25">
      <c r="BJ977" s="13" t="str">
        <f t="shared" si="95"/>
        <v/>
      </c>
      <c r="BK977" s="10" t="str">
        <f t="shared" si="96"/>
        <v/>
      </c>
      <c r="BL977" s="10" t="str">
        <f t="shared" si="97"/>
        <v/>
      </c>
    </row>
    <row r="978" spans="62:64" x14ac:dyDescent="0.25">
      <c r="BJ978" s="13" t="str">
        <f t="shared" si="95"/>
        <v/>
      </c>
      <c r="BK978" s="10" t="str">
        <f t="shared" si="96"/>
        <v/>
      </c>
      <c r="BL978" s="10" t="str">
        <f t="shared" si="97"/>
        <v/>
      </c>
    </row>
    <row r="979" spans="62:64" x14ac:dyDescent="0.25">
      <c r="BJ979" s="13" t="str">
        <f t="shared" si="95"/>
        <v/>
      </c>
      <c r="BK979" s="10" t="str">
        <f t="shared" si="96"/>
        <v/>
      </c>
      <c r="BL979" s="10" t="str">
        <f t="shared" si="97"/>
        <v/>
      </c>
    </row>
    <row r="980" spans="62:64" x14ac:dyDescent="0.25">
      <c r="BJ980" s="13" t="str">
        <f t="shared" si="95"/>
        <v/>
      </c>
      <c r="BK980" s="10" t="str">
        <f t="shared" si="96"/>
        <v/>
      </c>
      <c r="BL980" s="10" t="str">
        <f t="shared" si="97"/>
        <v/>
      </c>
    </row>
    <row r="981" spans="62:64" x14ac:dyDescent="0.25">
      <c r="BJ981" s="13" t="str">
        <f t="shared" si="95"/>
        <v/>
      </c>
      <c r="BK981" s="10" t="str">
        <f t="shared" si="96"/>
        <v/>
      </c>
      <c r="BL981" s="10" t="str">
        <f t="shared" si="97"/>
        <v/>
      </c>
    </row>
    <row r="982" spans="62:64" x14ac:dyDescent="0.25">
      <c r="BJ982" s="13" t="str">
        <f t="shared" si="95"/>
        <v/>
      </c>
      <c r="BK982" s="10" t="str">
        <f t="shared" si="96"/>
        <v/>
      </c>
      <c r="BL982" s="10" t="str">
        <f t="shared" si="97"/>
        <v/>
      </c>
    </row>
    <row r="983" spans="62:64" x14ac:dyDescent="0.25">
      <c r="BJ983" s="13" t="str">
        <f t="shared" si="95"/>
        <v/>
      </c>
      <c r="BK983" s="10" t="str">
        <f t="shared" si="96"/>
        <v/>
      </c>
      <c r="BL983" s="10" t="str">
        <f t="shared" si="97"/>
        <v/>
      </c>
    </row>
    <row r="984" spans="62:64" x14ac:dyDescent="0.25">
      <c r="BJ984" s="13" t="str">
        <f t="shared" si="95"/>
        <v/>
      </c>
      <c r="BK984" s="10" t="str">
        <f t="shared" si="96"/>
        <v/>
      </c>
      <c r="BL984" s="10" t="str">
        <f t="shared" si="97"/>
        <v/>
      </c>
    </row>
    <row r="985" spans="62:64" x14ac:dyDescent="0.25">
      <c r="BJ985" s="13" t="str">
        <f t="shared" si="95"/>
        <v/>
      </c>
      <c r="BK985" s="10" t="str">
        <f t="shared" si="96"/>
        <v/>
      </c>
      <c r="BL985" s="10" t="str">
        <f t="shared" si="97"/>
        <v/>
      </c>
    </row>
    <row r="986" spans="62:64" x14ac:dyDescent="0.25">
      <c r="BJ986" s="13" t="str">
        <f t="shared" si="95"/>
        <v/>
      </c>
      <c r="BK986" s="10" t="str">
        <f t="shared" si="96"/>
        <v/>
      </c>
      <c r="BL986" s="10" t="str">
        <f t="shared" si="97"/>
        <v/>
      </c>
    </row>
    <row r="987" spans="62:64" x14ac:dyDescent="0.25">
      <c r="BJ987" s="13" t="str">
        <f t="shared" si="95"/>
        <v/>
      </c>
      <c r="BK987" s="10" t="str">
        <f t="shared" si="96"/>
        <v/>
      </c>
      <c r="BL987" s="10" t="str">
        <f t="shared" si="97"/>
        <v/>
      </c>
    </row>
    <row r="988" spans="62:64" x14ac:dyDescent="0.25">
      <c r="BJ988" s="13" t="str">
        <f t="shared" si="95"/>
        <v/>
      </c>
      <c r="BK988" s="10" t="str">
        <f t="shared" si="96"/>
        <v/>
      </c>
      <c r="BL988" s="10" t="str">
        <f t="shared" si="97"/>
        <v/>
      </c>
    </row>
    <row r="989" spans="62:64" x14ac:dyDescent="0.25">
      <c r="BJ989" s="13" t="str">
        <f t="shared" si="95"/>
        <v/>
      </c>
      <c r="BK989" s="10" t="str">
        <f t="shared" si="96"/>
        <v/>
      </c>
      <c r="BL989" s="10" t="str">
        <f t="shared" si="97"/>
        <v/>
      </c>
    </row>
    <row r="990" spans="62:64" x14ac:dyDescent="0.25">
      <c r="BJ990" s="13" t="str">
        <f t="shared" si="95"/>
        <v/>
      </c>
      <c r="BK990" s="10" t="str">
        <f t="shared" si="96"/>
        <v/>
      </c>
      <c r="BL990" s="10" t="str">
        <f t="shared" si="97"/>
        <v/>
      </c>
    </row>
    <row r="991" spans="62:64" x14ac:dyDescent="0.25">
      <c r="BJ991" s="13" t="str">
        <f t="shared" si="95"/>
        <v/>
      </c>
      <c r="BK991" s="10" t="str">
        <f t="shared" si="96"/>
        <v/>
      </c>
      <c r="BL991" s="10" t="str">
        <f t="shared" si="97"/>
        <v/>
      </c>
    </row>
    <row r="992" spans="62:64" x14ac:dyDescent="0.25">
      <c r="BJ992" s="13" t="str">
        <f t="shared" si="95"/>
        <v/>
      </c>
      <c r="BK992" s="10" t="str">
        <f t="shared" si="96"/>
        <v/>
      </c>
      <c r="BL992" s="10" t="str">
        <f t="shared" si="97"/>
        <v/>
      </c>
    </row>
    <row r="993" spans="62:64" x14ac:dyDescent="0.25">
      <c r="BJ993" s="13" t="str">
        <f t="shared" si="95"/>
        <v/>
      </c>
      <c r="BK993" s="10" t="str">
        <f t="shared" si="96"/>
        <v/>
      </c>
      <c r="BL993" s="10" t="str">
        <f t="shared" si="97"/>
        <v/>
      </c>
    </row>
    <row r="994" spans="62:64" x14ac:dyDescent="0.25">
      <c r="BJ994" s="13" t="str">
        <f t="shared" si="95"/>
        <v/>
      </c>
      <c r="BK994" s="10" t="str">
        <f t="shared" si="96"/>
        <v/>
      </c>
      <c r="BL994" s="10" t="str">
        <f t="shared" si="97"/>
        <v/>
      </c>
    </row>
    <row r="995" spans="62:64" x14ac:dyDescent="0.25">
      <c r="BJ995" s="13" t="str">
        <f t="shared" si="95"/>
        <v/>
      </c>
      <c r="BK995" s="10" t="str">
        <f t="shared" si="96"/>
        <v/>
      </c>
      <c r="BL995" s="10" t="str">
        <f t="shared" si="97"/>
        <v/>
      </c>
    </row>
    <row r="996" spans="62:64" x14ac:dyDescent="0.25">
      <c r="BJ996" s="13" t="str">
        <f t="shared" si="95"/>
        <v/>
      </c>
      <c r="BK996" s="10" t="str">
        <f t="shared" si="96"/>
        <v/>
      </c>
      <c r="BL996" s="10" t="str">
        <f t="shared" si="97"/>
        <v/>
      </c>
    </row>
    <row r="997" spans="62:64" x14ac:dyDescent="0.25">
      <c r="BJ997" s="13" t="str">
        <f t="shared" si="95"/>
        <v/>
      </c>
      <c r="BK997" s="10" t="str">
        <f t="shared" si="96"/>
        <v/>
      </c>
      <c r="BL997" s="10" t="str">
        <f t="shared" si="97"/>
        <v/>
      </c>
    </row>
    <row r="998" spans="62:64" x14ac:dyDescent="0.25">
      <c r="BJ998" s="13" t="str">
        <f t="shared" si="95"/>
        <v/>
      </c>
      <c r="BK998" s="10" t="str">
        <f t="shared" si="96"/>
        <v/>
      </c>
      <c r="BL998" s="10" t="str">
        <f t="shared" si="97"/>
        <v/>
      </c>
    </row>
    <row r="999" spans="62:64" x14ac:dyDescent="0.25">
      <c r="BJ999" s="13" t="str">
        <f t="shared" si="95"/>
        <v/>
      </c>
      <c r="BK999" s="10" t="str">
        <f t="shared" si="96"/>
        <v/>
      </c>
      <c r="BL999" s="10" t="str">
        <f t="shared" si="97"/>
        <v/>
      </c>
    </row>
    <row r="1000" spans="62:64" x14ac:dyDescent="0.25">
      <c r="BJ1000" s="13" t="str">
        <f t="shared" si="95"/>
        <v/>
      </c>
      <c r="BK1000" s="10" t="str">
        <f t="shared" si="96"/>
        <v/>
      </c>
      <c r="BL1000" s="10" t="str">
        <f t="shared" si="97"/>
        <v/>
      </c>
    </row>
    <row r="1001" spans="62:64" x14ac:dyDescent="0.25">
      <c r="BJ1001" s="13" t="str">
        <f t="shared" si="95"/>
        <v/>
      </c>
      <c r="BK1001" s="10" t="str">
        <f t="shared" si="96"/>
        <v/>
      </c>
      <c r="BL1001" s="10" t="str">
        <f t="shared" si="97"/>
        <v/>
      </c>
    </row>
    <row r="1002" spans="62:64" x14ac:dyDescent="0.25">
      <c r="BJ1002" s="13" t="str">
        <f t="shared" si="95"/>
        <v/>
      </c>
      <c r="BK1002" s="10" t="str">
        <f t="shared" si="96"/>
        <v/>
      </c>
      <c r="BL1002" s="10" t="str">
        <f t="shared" si="97"/>
        <v/>
      </c>
    </row>
    <row r="1003" spans="62:64" x14ac:dyDescent="0.25">
      <c r="BJ1003" s="13" t="str">
        <f t="shared" si="95"/>
        <v/>
      </c>
      <c r="BK1003" s="10" t="str">
        <f t="shared" si="96"/>
        <v/>
      </c>
      <c r="BL1003" s="10" t="str">
        <f t="shared" si="97"/>
        <v/>
      </c>
    </row>
    <row r="1004" spans="62:64" x14ac:dyDescent="0.25">
      <c r="BJ1004" s="13" t="str">
        <f t="shared" si="95"/>
        <v/>
      </c>
      <c r="BK1004" s="10" t="str">
        <f t="shared" si="96"/>
        <v/>
      </c>
      <c r="BL1004" s="10" t="str">
        <f t="shared" si="97"/>
        <v/>
      </c>
    </row>
    <row r="1005" spans="62:64" x14ac:dyDescent="0.25">
      <c r="BJ1005" s="13" t="str">
        <f t="shared" si="95"/>
        <v/>
      </c>
      <c r="BK1005" s="10" t="str">
        <f t="shared" si="96"/>
        <v/>
      </c>
      <c r="BL1005" s="10" t="str">
        <f t="shared" si="97"/>
        <v/>
      </c>
    </row>
    <row r="1006" spans="62:64" x14ac:dyDescent="0.25">
      <c r="BJ1006" s="13" t="str">
        <f t="shared" si="95"/>
        <v/>
      </c>
      <c r="BK1006" s="10" t="str">
        <f t="shared" si="96"/>
        <v/>
      </c>
      <c r="BL1006" s="10" t="str">
        <f t="shared" si="97"/>
        <v/>
      </c>
    </row>
    <row r="1007" spans="62:64" x14ac:dyDescent="0.25">
      <c r="BJ1007" s="13" t="str">
        <f t="shared" si="95"/>
        <v/>
      </c>
      <c r="BK1007" s="10" t="str">
        <f t="shared" si="96"/>
        <v/>
      </c>
      <c r="BL1007" s="10" t="str">
        <f t="shared" si="97"/>
        <v/>
      </c>
    </row>
    <row r="1008" spans="62:64" x14ac:dyDescent="0.25">
      <c r="BJ1008" s="13" t="str">
        <f t="shared" si="95"/>
        <v/>
      </c>
      <c r="BK1008" s="10" t="str">
        <f t="shared" si="96"/>
        <v/>
      </c>
      <c r="BL1008" s="10" t="str">
        <f t="shared" si="97"/>
        <v/>
      </c>
    </row>
    <row r="1009" spans="62:64" x14ac:dyDescent="0.25">
      <c r="BJ1009" s="13" t="str">
        <f t="shared" si="95"/>
        <v/>
      </c>
      <c r="BK1009" s="10" t="str">
        <f t="shared" si="96"/>
        <v/>
      </c>
      <c r="BL1009" s="10" t="str">
        <f t="shared" si="97"/>
        <v/>
      </c>
    </row>
    <row r="1010" spans="62:64" x14ac:dyDescent="0.25">
      <c r="BJ1010" s="13" t="str">
        <f t="shared" si="95"/>
        <v/>
      </c>
      <c r="BK1010" s="10" t="str">
        <f t="shared" si="96"/>
        <v/>
      </c>
      <c r="BL1010" s="10" t="str">
        <f t="shared" si="97"/>
        <v/>
      </c>
    </row>
    <row r="1011" spans="62:64" x14ac:dyDescent="0.25">
      <c r="BJ1011" s="13" t="str">
        <f t="shared" si="95"/>
        <v/>
      </c>
      <c r="BK1011" s="10" t="str">
        <f t="shared" si="96"/>
        <v/>
      </c>
      <c r="BL1011" s="10" t="str">
        <f t="shared" si="97"/>
        <v/>
      </c>
    </row>
    <row r="1012" spans="62:64" x14ac:dyDescent="0.25">
      <c r="BJ1012" s="13" t="str">
        <f t="shared" si="95"/>
        <v/>
      </c>
      <c r="BK1012" s="10" t="str">
        <f t="shared" si="96"/>
        <v/>
      </c>
      <c r="BL1012" s="10" t="str">
        <f t="shared" si="97"/>
        <v/>
      </c>
    </row>
    <row r="1013" spans="62:64" x14ac:dyDescent="0.25">
      <c r="BJ1013" s="13" t="str">
        <f t="shared" si="95"/>
        <v/>
      </c>
      <c r="BK1013" s="10" t="str">
        <f t="shared" si="96"/>
        <v/>
      </c>
      <c r="BL1013" s="10" t="str">
        <f t="shared" si="97"/>
        <v/>
      </c>
    </row>
    <row r="1014" spans="62:64" x14ac:dyDescent="0.25">
      <c r="BJ1014" s="13" t="str">
        <f t="shared" si="95"/>
        <v/>
      </c>
      <c r="BK1014" s="10" t="str">
        <f t="shared" si="96"/>
        <v/>
      </c>
      <c r="BL1014" s="10" t="str">
        <f t="shared" si="97"/>
        <v/>
      </c>
    </row>
    <row r="1015" spans="62:64" x14ac:dyDescent="0.25">
      <c r="BJ1015" s="13" t="str">
        <f t="shared" si="95"/>
        <v/>
      </c>
      <c r="BK1015" s="10" t="str">
        <f t="shared" si="96"/>
        <v/>
      </c>
      <c r="BL1015" s="10" t="str">
        <f t="shared" si="97"/>
        <v/>
      </c>
    </row>
    <row r="1016" spans="62:64" x14ac:dyDescent="0.25">
      <c r="BJ1016" s="13" t="str">
        <f t="shared" si="95"/>
        <v/>
      </c>
      <c r="BK1016" s="10" t="str">
        <f t="shared" si="96"/>
        <v/>
      </c>
      <c r="BL1016" s="10" t="str">
        <f t="shared" si="97"/>
        <v/>
      </c>
    </row>
    <row r="1017" spans="62:64" x14ac:dyDescent="0.25">
      <c r="BJ1017" s="13" t="str">
        <f t="shared" si="95"/>
        <v/>
      </c>
      <c r="BK1017" s="10" t="str">
        <f t="shared" si="96"/>
        <v/>
      </c>
      <c r="BL1017" s="10" t="str">
        <f t="shared" si="97"/>
        <v/>
      </c>
    </row>
    <row r="1018" spans="62:64" x14ac:dyDescent="0.25">
      <c r="BJ1018" s="13" t="str">
        <f t="shared" si="95"/>
        <v/>
      </c>
      <c r="BK1018" s="10" t="str">
        <f t="shared" si="96"/>
        <v/>
      </c>
      <c r="BL1018" s="10" t="str">
        <f t="shared" si="97"/>
        <v/>
      </c>
    </row>
    <row r="1019" spans="62:64" x14ac:dyDescent="0.25">
      <c r="BJ1019" s="13" t="str">
        <f t="shared" si="95"/>
        <v/>
      </c>
      <c r="BK1019" s="10" t="str">
        <f t="shared" si="96"/>
        <v/>
      </c>
      <c r="BL1019" s="10" t="str">
        <f t="shared" si="97"/>
        <v/>
      </c>
    </row>
    <row r="1020" spans="62:64" x14ac:dyDescent="0.25">
      <c r="BJ1020" s="13" t="str">
        <f t="shared" si="95"/>
        <v/>
      </c>
      <c r="BK1020" s="10" t="str">
        <f t="shared" si="96"/>
        <v/>
      </c>
      <c r="BL1020" s="10" t="str">
        <f t="shared" si="97"/>
        <v/>
      </c>
    </row>
    <row r="1021" spans="62:64" x14ac:dyDescent="0.25">
      <c r="BJ1021" s="13" t="str">
        <f t="shared" si="95"/>
        <v/>
      </c>
      <c r="BK1021" s="10" t="str">
        <f t="shared" si="96"/>
        <v/>
      </c>
      <c r="BL1021" s="10" t="str">
        <f t="shared" si="97"/>
        <v/>
      </c>
    </row>
    <row r="1022" spans="62:64" x14ac:dyDescent="0.25">
      <c r="BJ1022" s="13" t="str">
        <f t="shared" si="95"/>
        <v/>
      </c>
      <c r="BK1022" s="10" t="str">
        <f t="shared" si="96"/>
        <v/>
      </c>
      <c r="BL1022" s="10" t="str">
        <f t="shared" si="97"/>
        <v/>
      </c>
    </row>
    <row r="1023" spans="62:64" x14ac:dyDescent="0.25">
      <c r="BJ1023" s="13" t="str">
        <f t="shared" si="95"/>
        <v/>
      </c>
      <c r="BK1023" s="10" t="str">
        <f t="shared" si="96"/>
        <v/>
      </c>
      <c r="BL1023" s="10" t="str">
        <f t="shared" si="97"/>
        <v/>
      </c>
    </row>
    <row r="1024" spans="62:64" x14ac:dyDescent="0.25">
      <c r="BJ1024" s="13" t="str">
        <f t="shared" si="95"/>
        <v/>
      </c>
      <c r="BK1024" s="10" t="str">
        <f t="shared" si="96"/>
        <v/>
      </c>
      <c r="BL1024" s="10" t="str">
        <f t="shared" si="97"/>
        <v/>
      </c>
    </row>
    <row r="1025" spans="62:64" x14ac:dyDescent="0.25">
      <c r="BJ1025" s="13" t="str">
        <f t="shared" si="95"/>
        <v/>
      </c>
      <c r="BK1025" s="10" t="str">
        <f t="shared" si="96"/>
        <v/>
      </c>
      <c r="BL1025" s="10" t="str">
        <f t="shared" si="97"/>
        <v/>
      </c>
    </row>
    <row r="1026" spans="62:64" x14ac:dyDescent="0.25">
      <c r="BJ1026" s="13" t="str">
        <f t="shared" si="95"/>
        <v/>
      </c>
      <c r="BK1026" s="10" t="str">
        <f t="shared" si="96"/>
        <v/>
      </c>
      <c r="BL1026" s="10" t="str">
        <f t="shared" si="97"/>
        <v/>
      </c>
    </row>
    <row r="1027" spans="62:64" x14ac:dyDescent="0.25">
      <c r="BJ1027" s="13" t="str">
        <f t="shared" si="95"/>
        <v/>
      </c>
      <c r="BK1027" s="10" t="str">
        <f t="shared" si="96"/>
        <v/>
      </c>
      <c r="BL1027" s="10" t="str">
        <f t="shared" si="97"/>
        <v/>
      </c>
    </row>
    <row r="1028" spans="62:64" x14ac:dyDescent="0.25">
      <c r="BJ1028" s="13" t="str">
        <f t="shared" si="95"/>
        <v/>
      </c>
      <c r="BK1028" s="10" t="str">
        <f t="shared" si="96"/>
        <v/>
      </c>
      <c r="BL1028" s="10" t="str">
        <f t="shared" si="97"/>
        <v/>
      </c>
    </row>
    <row r="1029" spans="62:64" x14ac:dyDescent="0.25">
      <c r="BJ1029" s="13" t="str">
        <f t="shared" si="95"/>
        <v/>
      </c>
      <c r="BK1029" s="10" t="str">
        <f t="shared" si="96"/>
        <v/>
      </c>
      <c r="BL1029" s="10" t="str">
        <f t="shared" si="97"/>
        <v/>
      </c>
    </row>
    <row r="1030" spans="62:64" x14ac:dyDescent="0.25">
      <c r="BJ1030" s="13" t="str">
        <f t="shared" ref="BJ1030:BJ1093" si="98">IF(ROW()-BJ$3&lt;=$BJ$4,ROW()-ROW(BJ$4),"")</f>
        <v/>
      </c>
      <c r="BK1030" s="10" t="str">
        <f t="shared" si="96"/>
        <v/>
      </c>
      <c r="BL1030" s="10" t="str">
        <f t="shared" si="97"/>
        <v/>
      </c>
    </row>
    <row r="1031" spans="62:64" x14ac:dyDescent="0.25">
      <c r="BJ1031" s="13" t="str">
        <f t="shared" si="98"/>
        <v/>
      </c>
      <c r="BK1031" s="10" t="str">
        <f t="shared" ref="BK1031:BK1094" si="99">IF(ISNUMBER(BJ1031),INT(BJ1030/$BL$4)+1,"")</f>
        <v/>
      </c>
      <c r="BL1031" s="10" t="str">
        <f t="shared" ref="BL1031:BL1094" si="100">IF(ISNUMBER(BJ1031),IF(BK1030&lt;&gt;BK1031,1,BL1030+1),"")</f>
        <v/>
      </c>
    </row>
    <row r="1032" spans="62:64" x14ac:dyDescent="0.25">
      <c r="BJ1032" s="13" t="str">
        <f t="shared" si="98"/>
        <v/>
      </c>
      <c r="BK1032" s="10" t="str">
        <f t="shared" si="99"/>
        <v/>
      </c>
      <c r="BL1032" s="10" t="str">
        <f t="shared" si="100"/>
        <v/>
      </c>
    </row>
    <row r="1033" spans="62:64" x14ac:dyDescent="0.25">
      <c r="BJ1033" s="13" t="str">
        <f t="shared" si="98"/>
        <v/>
      </c>
      <c r="BK1033" s="10" t="str">
        <f t="shared" si="99"/>
        <v/>
      </c>
      <c r="BL1033" s="10" t="str">
        <f t="shared" si="100"/>
        <v/>
      </c>
    </row>
    <row r="1034" spans="62:64" x14ac:dyDescent="0.25">
      <c r="BJ1034" s="13" t="str">
        <f t="shared" si="98"/>
        <v/>
      </c>
      <c r="BK1034" s="10" t="str">
        <f t="shared" si="99"/>
        <v/>
      </c>
      <c r="BL1034" s="10" t="str">
        <f t="shared" si="100"/>
        <v/>
      </c>
    </row>
    <row r="1035" spans="62:64" x14ac:dyDescent="0.25">
      <c r="BJ1035" s="13" t="str">
        <f t="shared" si="98"/>
        <v/>
      </c>
      <c r="BK1035" s="10" t="str">
        <f t="shared" si="99"/>
        <v/>
      </c>
      <c r="BL1035" s="10" t="str">
        <f t="shared" si="100"/>
        <v/>
      </c>
    </row>
    <row r="1036" spans="62:64" x14ac:dyDescent="0.25">
      <c r="BJ1036" s="13" t="str">
        <f t="shared" si="98"/>
        <v/>
      </c>
      <c r="BK1036" s="10" t="str">
        <f t="shared" si="99"/>
        <v/>
      </c>
      <c r="BL1036" s="10" t="str">
        <f t="shared" si="100"/>
        <v/>
      </c>
    </row>
    <row r="1037" spans="62:64" x14ac:dyDescent="0.25">
      <c r="BJ1037" s="13" t="str">
        <f t="shared" si="98"/>
        <v/>
      </c>
      <c r="BK1037" s="10" t="str">
        <f t="shared" si="99"/>
        <v/>
      </c>
      <c r="BL1037" s="10" t="str">
        <f t="shared" si="100"/>
        <v/>
      </c>
    </row>
    <row r="1038" spans="62:64" x14ac:dyDescent="0.25">
      <c r="BJ1038" s="13" t="str">
        <f t="shared" si="98"/>
        <v/>
      </c>
      <c r="BK1038" s="10" t="str">
        <f t="shared" si="99"/>
        <v/>
      </c>
      <c r="BL1038" s="10" t="str">
        <f t="shared" si="100"/>
        <v/>
      </c>
    </row>
    <row r="1039" spans="62:64" x14ac:dyDescent="0.25">
      <c r="BJ1039" s="13" t="str">
        <f t="shared" si="98"/>
        <v/>
      </c>
      <c r="BK1039" s="10" t="str">
        <f t="shared" si="99"/>
        <v/>
      </c>
      <c r="BL1039" s="10" t="str">
        <f t="shared" si="100"/>
        <v/>
      </c>
    </row>
    <row r="1040" spans="62:64" x14ac:dyDescent="0.25">
      <c r="BJ1040" s="13" t="str">
        <f t="shared" si="98"/>
        <v/>
      </c>
      <c r="BK1040" s="10" t="str">
        <f t="shared" si="99"/>
        <v/>
      </c>
      <c r="BL1040" s="10" t="str">
        <f t="shared" si="100"/>
        <v/>
      </c>
    </row>
    <row r="1041" spans="62:64" x14ac:dyDescent="0.25">
      <c r="BJ1041" s="13" t="str">
        <f t="shared" si="98"/>
        <v/>
      </c>
      <c r="BK1041" s="10" t="str">
        <f t="shared" si="99"/>
        <v/>
      </c>
      <c r="BL1041" s="10" t="str">
        <f t="shared" si="100"/>
        <v/>
      </c>
    </row>
    <row r="1042" spans="62:64" x14ac:dyDescent="0.25">
      <c r="BJ1042" s="13" t="str">
        <f t="shared" si="98"/>
        <v/>
      </c>
      <c r="BK1042" s="10" t="str">
        <f t="shared" si="99"/>
        <v/>
      </c>
      <c r="BL1042" s="10" t="str">
        <f t="shared" si="100"/>
        <v/>
      </c>
    </row>
    <row r="1043" spans="62:64" x14ac:dyDescent="0.25">
      <c r="BJ1043" s="13" t="str">
        <f t="shared" si="98"/>
        <v/>
      </c>
      <c r="BK1043" s="10" t="str">
        <f t="shared" si="99"/>
        <v/>
      </c>
      <c r="BL1043" s="10" t="str">
        <f t="shared" si="100"/>
        <v/>
      </c>
    </row>
    <row r="1044" spans="62:64" x14ac:dyDescent="0.25">
      <c r="BJ1044" s="13" t="str">
        <f t="shared" si="98"/>
        <v/>
      </c>
      <c r="BK1044" s="10" t="str">
        <f t="shared" si="99"/>
        <v/>
      </c>
      <c r="BL1044" s="10" t="str">
        <f t="shared" si="100"/>
        <v/>
      </c>
    </row>
    <row r="1045" spans="62:64" x14ac:dyDescent="0.25">
      <c r="BJ1045" s="13" t="str">
        <f t="shared" si="98"/>
        <v/>
      </c>
      <c r="BK1045" s="10" t="str">
        <f t="shared" si="99"/>
        <v/>
      </c>
      <c r="BL1045" s="10" t="str">
        <f t="shared" si="100"/>
        <v/>
      </c>
    </row>
    <row r="1046" spans="62:64" x14ac:dyDescent="0.25">
      <c r="BJ1046" s="13" t="str">
        <f t="shared" si="98"/>
        <v/>
      </c>
      <c r="BK1046" s="10" t="str">
        <f t="shared" si="99"/>
        <v/>
      </c>
      <c r="BL1046" s="10" t="str">
        <f t="shared" si="100"/>
        <v/>
      </c>
    </row>
    <row r="1047" spans="62:64" x14ac:dyDescent="0.25">
      <c r="BJ1047" s="13" t="str">
        <f t="shared" si="98"/>
        <v/>
      </c>
      <c r="BK1047" s="10" t="str">
        <f t="shared" si="99"/>
        <v/>
      </c>
      <c r="BL1047" s="10" t="str">
        <f t="shared" si="100"/>
        <v/>
      </c>
    </row>
    <row r="1048" spans="62:64" x14ac:dyDescent="0.25">
      <c r="BJ1048" s="13" t="str">
        <f t="shared" si="98"/>
        <v/>
      </c>
      <c r="BK1048" s="10" t="str">
        <f t="shared" si="99"/>
        <v/>
      </c>
      <c r="BL1048" s="10" t="str">
        <f t="shared" si="100"/>
        <v/>
      </c>
    </row>
    <row r="1049" spans="62:64" x14ac:dyDescent="0.25">
      <c r="BJ1049" s="13" t="str">
        <f t="shared" si="98"/>
        <v/>
      </c>
      <c r="BK1049" s="10" t="str">
        <f t="shared" si="99"/>
        <v/>
      </c>
      <c r="BL1049" s="10" t="str">
        <f t="shared" si="100"/>
        <v/>
      </c>
    </row>
    <row r="1050" spans="62:64" x14ac:dyDescent="0.25">
      <c r="BJ1050" s="13" t="str">
        <f t="shared" si="98"/>
        <v/>
      </c>
      <c r="BK1050" s="10" t="str">
        <f t="shared" si="99"/>
        <v/>
      </c>
      <c r="BL1050" s="10" t="str">
        <f t="shared" si="100"/>
        <v/>
      </c>
    </row>
    <row r="1051" spans="62:64" x14ac:dyDescent="0.25">
      <c r="BJ1051" s="13" t="str">
        <f t="shared" si="98"/>
        <v/>
      </c>
      <c r="BK1051" s="10" t="str">
        <f t="shared" si="99"/>
        <v/>
      </c>
      <c r="BL1051" s="10" t="str">
        <f t="shared" si="100"/>
        <v/>
      </c>
    </row>
    <row r="1052" spans="62:64" x14ac:dyDescent="0.25">
      <c r="BJ1052" s="13" t="str">
        <f t="shared" si="98"/>
        <v/>
      </c>
      <c r="BK1052" s="10" t="str">
        <f t="shared" si="99"/>
        <v/>
      </c>
      <c r="BL1052" s="10" t="str">
        <f t="shared" si="100"/>
        <v/>
      </c>
    </row>
    <row r="1053" spans="62:64" x14ac:dyDescent="0.25">
      <c r="BJ1053" s="13" t="str">
        <f t="shared" si="98"/>
        <v/>
      </c>
      <c r="BK1053" s="10" t="str">
        <f t="shared" si="99"/>
        <v/>
      </c>
      <c r="BL1053" s="10" t="str">
        <f t="shared" si="100"/>
        <v/>
      </c>
    </row>
    <row r="1054" spans="62:64" x14ac:dyDescent="0.25">
      <c r="BJ1054" s="13" t="str">
        <f t="shared" si="98"/>
        <v/>
      </c>
      <c r="BK1054" s="10" t="str">
        <f t="shared" si="99"/>
        <v/>
      </c>
      <c r="BL1054" s="10" t="str">
        <f t="shared" si="100"/>
        <v/>
      </c>
    </row>
    <row r="1055" spans="62:64" x14ac:dyDescent="0.25">
      <c r="BJ1055" s="13" t="str">
        <f t="shared" si="98"/>
        <v/>
      </c>
      <c r="BK1055" s="10" t="str">
        <f t="shared" si="99"/>
        <v/>
      </c>
      <c r="BL1055" s="10" t="str">
        <f t="shared" si="100"/>
        <v/>
      </c>
    </row>
    <row r="1056" spans="62:64" x14ac:dyDescent="0.25">
      <c r="BJ1056" s="13" t="str">
        <f t="shared" si="98"/>
        <v/>
      </c>
      <c r="BK1056" s="10" t="str">
        <f t="shared" si="99"/>
        <v/>
      </c>
      <c r="BL1056" s="10" t="str">
        <f t="shared" si="100"/>
        <v/>
      </c>
    </row>
    <row r="1057" spans="62:64" x14ac:dyDescent="0.25">
      <c r="BJ1057" s="13" t="str">
        <f t="shared" si="98"/>
        <v/>
      </c>
      <c r="BK1057" s="10" t="str">
        <f t="shared" si="99"/>
        <v/>
      </c>
      <c r="BL1057" s="10" t="str">
        <f t="shared" si="100"/>
        <v/>
      </c>
    </row>
    <row r="1058" spans="62:64" x14ac:dyDescent="0.25">
      <c r="BJ1058" s="13" t="str">
        <f t="shared" si="98"/>
        <v/>
      </c>
      <c r="BK1058" s="10" t="str">
        <f t="shared" si="99"/>
        <v/>
      </c>
      <c r="BL1058" s="10" t="str">
        <f t="shared" si="100"/>
        <v/>
      </c>
    </row>
    <row r="1059" spans="62:64" x14ac:dyDescent="0.25">
      <c r="BJ1059" s="13" t="str">
        <f t="shared" si="98"/>
        <v/>
      </c>
      <c r="BK1059" s="10" t="str">
        <f t="shared" si="99"/>
        <v/>
      </c>
      <c r="BL1059" s="10" t="str">
        <f t="shared" si="100"/>
        <v/>
      </c>
    </row>
    <row r="1060" spans="62:64" x14ac:dyDescent="0.25">
      <c r="BJ1060" s="13" t="str">
        <f t="shared" si="98"/>
        <v/>
      </c>
      <c r="BK1060" s="10" t="str">
        <f t="shared" si="99"/>
        <v/>
      </c>
      <c r="BL1060" s="10" t="str">
        <f t="shared" si="100"/>
        <v/>
      </c>
    </row>
    <row r="1061" spans="62:64" x14ac:dyDescent="0.25">
      <c r="BJ1061" s="13" t="str">
        <f t="shared" si="98"/>
        <v/>
      </c>
      <c r="BK1061" s="10" t="str">
        <f t="shared" si="99"/>
        <v/>
      </c>
      <c r="BL1061" s="10" t="str">
        <f t="shared" si="100"/>
        <v/>
      </c>
    </row>
    <row r="1062" spans="62:64" x14ac:dyDescent="0.25">
      <c r="BJ1062" s="13" t="str">
        <f t="shared" si="98"/>
        <v/>
      </c>
      <c r="BK1062" s="10" t="str">
        <f t="shared" si="99"/>
        <v/>
      </c>
      <c r="BL1062" s="10" t="str">
        <f t="shared" si="100"/>
        <v/>
      </c>
    </row>
    <row r="1063" spans="62:64" x14ac:dyDescent="0.25">
      <c r="BJ1063" s="13" t="str">
        <f t="shared" si="98"/>
        <v/>
      </c>
      <c r="BK1063" s="10" t="str">
        <f t="shared" si="99"/>
        <v/>
      </c>
      <c r="BL1063" s="10" t="str">
        <f t="shared" si="100"/>
        <v/>
      </c>
    </row>
    <row r="1064" spans="62:64" x14ac:dyDescent="0.25">
      <c r="BJ1064" s="13" t="str">
        <f t="shared" si="98"/>
        <v/>
      </c>
      <c r="BK1064" s="10" t="str">
        <f t="shared" si="99"/>
        <v/>
      </c>
      <c r="BL1064" s="10" t="str">
        <f t="shared" si="100"/>
        <v/>
      </c>
    </row>
    <row r="1065" spans="62:64" x14ac:dyDescent="0.25">
      <c r="BJ1065" s="13" t="str">
        <f t="shared" si="98"/>
        <v/>
      </c>
      <c r="BK1065" s="10" t="str">
        <f t="shared" si="99"/>
        <v/>
      </c>
      <c r="BL1065" s="10" t="str">
        <f t="shared" si="100"/>
        <v/>
      </c>
    </row>
    <row r="1066" spans="62:64" x14ac:dyDescent="0.25">
      <c r="BJ1066" s="13" t="str">
        <f t="shared" si="98"/>
        <v/>
      </c>
      <c r="BK1066" s="10" t="str">
        <f t="shared" si="99"/>
        <v/>
      </c>
      <c r="BL1066" s="10" t="str">
        <f t="shared" si="100"/>
        <v/>
      </c>
    </row>
    <row r="1067" spans="62:64" x14ac:dyDescent="0.25">
      <c r="BJ1067" s="13" t="str">
        <f t="shared" si="98"/>
        <v/>
      </c>
      <c r="BK1067" s="10" t="str">
        <f t="shared" si="99"/>
        <v/>
      </c>
      <c r="BL1067" s="10" t="str">
        <f t="shared" si="100"/>
        <v/>
      </c>
    </row>
    <row r="1068" spans="62:64" x14ac:dyDescent="0.25">
      <c r="BJ1068" s="13" t="str">
        <f t="shared" si="98"/>
        <v/>
      </c>
      <c r="BK1068" s="10" t="str">
        <f t="shared" si="99"/>
        <v/>
      </c>
      <c r="BL1068" s="10" t="str">
        <f t="shared" si="100"/>
        <v/>
      </c>
    </row>
    <row r="1069" spans="62:64" x14ac:dyDescent="0.25">
      <c r="BJ1069" s="13" t="str">
        <f t="shared" si="98"/>
        <v/>
      </c>
      <c r="BK1069" s="10" t="str">
        <f t="shared" si="99"/>
        <v/>
      </c>
      <c r="BL1069" s="10" t="str">
        <f t="shared" si="100"/>
        <v/>
      </c>
    </row>
    <row r="1070" spans="62:64" x14ac:dyDescent="0.25">
      <c r="BJ1070" s="13" t="str">
        <f t="shared" si="98"/>
        <v/>
      </c>
      <c r="BK1070" s="10" t="str">
        <f t="shared" si="99"/>
        <v/>
      </c>
      <c r="BL1070" s="10" t="str">
        <f t="shared" si="100"/>
        <v/>
      </c>
    </row>
    <row r="1071" spans="62:64" x14ac:dyDescent="0.25">
      <c r="BJ1071" s="13" t="str">
        <f t="shared" si="98"/>
        <v/>
      </c>
      <c r="BK1071" s="10" t="str">
        <f t="shared" si="99"/>
        <v/>
      </c>
      <c r="BL1071" s="10" t="str">
        <f t="shared" si="100"/>
        <v/>
      </c>
    </row>
    <row r="1072" spans="62:64" x14ac:dyDescent="0.25">
      <c r="BJ1072" s="13" t="str">
        <f t="shared" si="98"/>
        <v/>
      </c>
      <c r="BK1072" s="10" t="str">
        <f t="shared" si="99"/>
        <v/>
      </c>
      <c r="BL1072" s="10" t="str">
        <f t="shared" si="100"/>
        <v/>
      </c>
    </row>
    <row r="1073" spans="62:64" x14ac:dyDescent="0.25">
      <c r="BJ1073" s="13" t="str">
        <f t="shared" si="98"/>
        <v/>
      </c>
      <c r="BK1073" s="10" t="str">
        <f t="shared" si="99"/>
        <v/>
      </c>
      <c r="BL1073" s="10" t="str">
        <f t="shared" si="100"/>
        <v/>
      </c>
    </row>
    <row r="1074" spans="62:64" x14ac:dyDescent="0.25">
      <c r="BJ1074" s="13" t="str">
        <f t="shared" si="98"/>
        <v/>
      </c>
      <c r="BK1074" s="10" t="str">
        <f t="shared" si="99"/>
        <v/>
      </c>
      <c r="BL1074" s="10" t="str">
        <f t="shared" si="100"/>
        <v/>
      </c>
    </row>
    <row r="1075" spans="62:64" x14ac:dyDescent="0.25">
      <c r="BJ1075" s="13" t="str">
        <f t="shared" si="98"/>
        <v/>
      </c>
      <c r="BK1075" s="10" t="str">
        <f t="shared" si="99"/>
        <v/>
      </c>
      <c r="BL1075" s="10" t="str">
        <f t="shared" si="100"/>
        <v/>
      </c>
    </row>
    <row r="1076" spans="62:64" x14ac:dyDescent="0.25">
      <c r="BJ1076" s="13" t="str">
        <f t="shared" si="98"/>
        <v/>
      </c>
      <c r="BK1076" s="10" t="str">
        <f t="shared" si="99"/>
        <v/>
      </c>
      <c r="BL1076" s="10" t="str">
        <f t="shared" si="100"/>
        <v/>
      </c>
    </row>
    <row r="1077" spans="62:64" x14ac:dyDescent="0.25">
      <c r="BJ1077" s="13" t="str">
        <f t="shared" si="98"/>
        <v/>
      </c>
      <c r="BK1077" s="10" t="str">
        <f t="shared" si="99"/>
        <v/>
      </c>
      <c r="BL1077" s="10" t="str">
        <f t="shared" si="100"/>
        <v/>
      </c>
    </row>
    <row r="1078" spans="62:64" x14ac:dyDescent="0.25">
      <c r="BJ1078" s="13" t="str">
        <f t="shared" si="98"/>
        <v/>
      </c>
      <c r="BK1078" s="10" t="str">
        <f t="shared" si="99"/>
        <v/>
      </c>
      <c r="BL1078" s="10" t="str">
        <f t="shared" si="100"/>
        <v/>
      </c>
    </row>
    <row r="1079" spans="62:64" x14ac:dyDescent="0.25">
      <c r="BJ1079" s="13" t="str">
        <f t="shared" si="98"/>
        <v/>
      </c>
      <c r="BK1079" s="10" t="str">
        <f t="shared" si="99"/>
        <v/>
      </c>
      <c r="BL1079" s="10" t="str">
        <f t="shared" si="100"/>
        <v/>
      </c>
    </row>
    <row r="1080" spans="62:64" x14ac:dyDescent="0.25">
      <c r="BJ1080" s="13" t="str">
        <f t="shared" si="98"/>
        <v/>
      </c>
      <c r="BK1080" s="10" t="str">
        <f t="shared" si="99"/>
        <v/>
      </c>
      <c r="BL1080" s="10" t="str">
        <f t="shared" si="100"/>
        <v/>
      </c>
    </row>
    <row r="1081" spans="62:64" x14ac:dyDescent="0.25">
      <c r="BJ1081" s="13" t="str">
        <f t="shared" si="98"/>
        <v/>
      </c>
      <c r="BK1081" s="10" t="str">
        <f t="shared" si="99"/>
        <v/>
      </c>
      <c r="BL1081" s="10" t="str">
        <f t="shared" si="100"/>
        <v/>
      </c>
    </row>
    <row r="1082" spans="62:64" x14ac:dyDescent="0.25">
      <c r="BJ1082" s="13" t="str">
        <f t="shared" si="98"/>
        <v/>
      </c>
      <c r="BK1082" s="10" t="str">
        <f t="shared" si="99"/>
        <v/>
      </c>
      <c r="BL1082" s="10" t="str">
        <f t="shared" si="100"/>
        <v/>
      </c>
    </row>
    <row r="1083" spans="62:64" x14ac:dyDescent="0.25">
      <c r="BJ1083" s="13" t="str">
        <f t="shared" si="98"/>
        <v/>
      </c>
      <c r="BK1083" s="10" t="str">
        <f t="shared" si="99"/>
        <v/>
      </c>
      <c r="BL1083" s="10" t="str">
        <f t="shared" si="100"/>
        <v/>
      </c>
    </row>
    <row r="1084" spans="62:64" x14ac:dyDescent="0.25">
      <c r="BJ1084" s="13" t="str">
        <f t="shared" si="98"/>
        <v/>
      </c>
      <c r="BK1084" s="10" t="str">
        <f t="shared" si="99"/>
        <v/>
      </c>
      <c r="BL1084" s="10" t="str">
        <f t="shared" si="100"/>
        <v/>
      </c>
    </row>
    <row r="1085" spans="62:64" x14ac:dyDescent="0.25">
      <c r="BJ1085" s="13" t="str">
        <f t="shared" si="98"/>
        <v/>
      </c>
      <c r="BK1085" s="10" t="str">
        <f t="shared" si="99"/>
        <v/>
      </c>
      <c r="BL1085" s="10" t="str">
        <f t="shared" si="100"/>
        <v/>
      </c>
    </row>
    <row r="1086" spans="62:64" x14ac:dyDescent="0.25">
      <c r="BJ1086" s="13" t="str">
        <f t="shared" si="98"/>
        <v/>
      </c>
      <c r="BK1086" s="10" t="str">
        <f t="shared" si="99"/>
        <v/>
      </c>
      <c r="BL1086" s="10" t="str">
        <f t="shared" si="100"/>
        <v/>
      </c>
    </row>
    <row r="1087" spans="62:64" x14ac:dyDescent="0.25">
      <c r="BJ1087" s="13" t="str">
        <f t="shared" si="98"/>
        <v/>
      </c>
      <c r="BK1087" s="10" t="str">
        <f t="shared" si="99"/>
        <v/>
      </c>
      <c r="BL1087" s="10" t="str">
        <f t="shared" si="100"/>
        <v/>
      </c>
    </row>
    <row r="1088" spans="62:64" x14ac:dyDescent="0.25">
      <c r="BJ1088" s="13" t="str">
        <f t="shared" si="98"/>
        <v/>
      </c>
      <c r="BK1088" s="10" t="str">
        <f t="shared" si="99"/>
        <v/>
      </c>
      <c r="BL1088" s="10" t="str">
        <f t="shared" si="100"/>
        <v/>
      </c>
    </row>
    <row r="1089" spans="62:64" x14ac:dyDescent="0.25">
      <c r="BJ1089" s="13" t="str">
        <f t="shared" si="98"/>
        <v/>
      </c>
      <c r="BK1089" s="10" t="str">
        <f t="shared" si="99"/>
        <v/>
      </c>
      <c r="BL1089" s="10" t="str">
        <f t="shared" si="100"/>
        <v/>
      </c>
    </row>
    <row r="1090" spans="62:64" x14ac:dyDescent="0.25">
      <c r="BJ1090" s="13" t="str">
        <f t="shared" si="98"/>
        <v/>
      </c>
      <c r="BK1090" s="10" t="str">
        <f t="shared" si="99"/>
        <v/>
      </c>
      <c r="BL1090" s="10" t="str">
        <f t="shared" si="100"/>
        <v/>
      </c>
    </row>
    <row r="1091" spans="62:64" x14ac:dyDescent="0.25">
      <c r="BJ1091" s="13" t="str">
        <f t="shared" si="98"/>
        <v/>
      </c>
      <c r="BK1091" s="10" t="str">
        <f t="shared" si="99"/>
        <v/>
      </c>
      <c r="BL1091" s="10" t="str">
        <f t="shared" si="100"/>
        <v/>
      </c>
    </row>
    <row r="1092" spans="62:64" x14ac:dyDescent="0.25">
      <c r="BJ1092" s="13" t="str">
        <f t="shared" si="98"/>
        <v/>
      </c>
      <c r="BK1092" s="10" t="str">
        <f t="shared" si="99"/>
        <v/>
      </c>
      <c r="BL1092" s="10" t="str">
        <f t="shared" si="100"/>
        <v/>
      </c>
    </row>
    <row r="1093" spans="62:64" x14ac:dyDescent="0.25">
      <c r="BJ1093" s="13" t="str">
        <f t="shared" si="98"/>
        <v/>
      </c>
      <c r="BK1093" s="10" t="str">
        <f t="shared" si="99"/>
        <v/>
      </c>
      <c r="BL1093" s="10" t="str">
        <f t="shared" si="100"/>
        <v/>
      </c>
    </row>
    <row r="1094" spans="62:64" x14ac:dyDescent="0.25">
      <c r="BJ1094" s="13" t="str">
        <f t="shared" ref="BJ1094:BJ1157" si="101">IF(ROW()-BJ$3&lt;=$BJ$4,ROW()-ROW(BJ$4),"")</f>
        <v/>
      </c>
      <c r="BK1094" s="10" t="str">
        <f t="shared" si="99"/>
        <v/>
      </c>
      <c r="BL1094" s="10" t="str">
        <f t="shared" si="100"/>
        <v/>
      </c>
    </row>
    <row r="1095" spans="62:64" x14ac:dyDescent="0.25">
      <c r="BJ1095" s="13" t="str">
        <f t="shared" si="101"/>
        <v/>
      </c>
      <c r="BK1095" s="10" t="str">
        <f t="shared" ref="BK1095:BK1158" si="102">IF(ISNUMBER(BJ1095),INT(BJ1094/$BL$4)+1,"")</f>
        <v/>
      </c>
      <c r="BL1095" s="10" t="str">
        <f t="shared" ref="BL1095:BL1158" si="103">IF(ISNUMBER(BJ1095),IF(BK1094&lt;&gt;BK1095,1,BL1094+1),"")</f>
        <v/>
      </c>
    </row>
    <row r="1096" spans="62:64" x14ac:dyDescent="0.25">
      <c r="BJ1096" s="13" t="str">
        <f t="shared" si="101"/>
        <v/>
      </c>
      <c r="BK1096" s="10" t="str">
        <f t="shared" si="102"/>
        <v/>
      </c>
      <c r="BL1096" s="10" t="str">
        <f t="shared" si="103"/>
        <v/>
      </c>
    </row>
    <row r="1097" spans="62:64" x14ac:dyDescent="0.25">
      <c r="BJ1097" s="13" t="str">
        <f t="shared" si="101"/>
        <v/>
      </c>
      <c r="BK1097" s="10" t="str">
        <f t="shared" si="102"/>
        <v/>
      </c>
      <c r="BL1097" s="10" t="str">
        <f t="shared" si="103"/>
        <v/>
      </c>
    </row>
    <row r="1098" spans="62:64" x14ac:dyDescent="0.25">
      <c r="BJ1098" s="13" t="str">
        <f t="shared" si="101"/>
        <v/>
      </c>
      <c r="BK1098" s="10" t="str">
        <f t="shared" si="102"/>
        <v/>
      </c>
      <c r="BL1098" s="10" t="str">
        <f t="shared" si="103"/>
        <v/>
      </c>
    </row>
    <row r="1099" spans="62:64" x14ac:dyDescent="0.25">
      <c r="BJ1099" s="13" t="str">
        <f t="shared" si="101"/>
        <v/>
      </c>
      <c r="BK1099" s="10" t="str">
        <f t="shared" si="102"/>
        <v/>
      </c>
      <c r="BL1099" s="10" t="str">
        <f t="shared" si="103"/>
        <v/>
      </c>
    </row>
    <row r="1100" spans="62:64" x14ac:dyDescent="0.25">
      <c r="BJ1100" s="13" t="str">
        <f t="shared" si="101"/>
        <v/>
      </c>
      <c r="BK1100" s="10" t="str">
        <f t="shared" si="102"/>
        <v/>
      </c>
      <c r="BL1100" s="10" t="str">
        <f t="shared" si="103"/>
        <v/>
      </c>
    </row>
    <row r="1101" spans="62:64" x14ac:dyDescent="0.25">
      <c r="BJ1101" s="13" t="str">
        <f t="shared" si="101"/>
        <v/>
      </c>
      <c r="BK1101" s="10" t="str">
        <f t="shared" si="102"/>
        <v/>
      </c>
      <c r="BL1101" s="10" t="str">
        <f t="shared" si="103"/>
        <v/>
      </c>
    </row>
    <row r="1102" spans="62:64" x14ac:dyDescent="0.25">
      <c r="BJ1102" s="13" t="str">
        <f t="shared" si="101"/>
        <v/>
      </c>
      <c r="BK1102" s="10" t="str">
        <f t="shared" si="102"/>
        <v/>
      </c>
      <c r="BL1102" s="10" t="str">
        <f t="shared" si="103"/>
        <v/>
      </c>
    </row>
    <row r="1103" spans="62:64" x14ac:dyDescent="0.25">
      <c r="BJ1103" s="13" t="str">
        <f t="shared" si="101"/>
        <v/>
      </c>
      <c r="BK1103" s="10" t="str">
        <f t="shared" si="102"/>
        <v/>
      </c>
      <c r="BL1103" s="10" t="str">
        <f t="shared" si="103"/>
        <v/>
      </c>
    </row>
    <row r="1104" spans="62:64" x14ac:dyDescent="0.25">
      <c r="BJ1104" s="13" t="str">
        <f t="shared" si="101"/>
        <v/>
      </c>
      <c r="BK1104" s="10" t="str">
        <f t="shared" si="102"/>
        <v/>
      </c>
      <c r="BL1104" s="10" t="str">
        <f t="shared" si="103"/>
        <v/>
      </c>
    </row>
    <row r="1105" spans="62:64" x14ac:dyDescent="0.25">
      <c r="BJ1105" s="13" t="str">
        <f t="shared" si="101"/>
        <v/>
      </c>
      <c r="BK1105" s="10" t="str">
        <f t="shared" si="102"/>
        <v/>
      </c>
      <c r="BL1105" s="10" t="str">
        <f t="shared" si="103"/>
        <v/>
      </c>
    </row>
    <row r="1106" spans="62:64" x14ac:dyDescent="0.25">
      <c r="BJ1106" s="13" t="str">
        <f t="shared" si="101"/>
        <v/>
      </c>
      <c r="BK1106" s="10" t="str">
        <f t="shared" si="102"/>
        <v/>
      </c>
      <c r="BL1106" s="10" t="str">
        <f t="shared" si="103"/>
        <v/>
      </c>
    </row>
    <row r="1107" spans="62:64" x14ac:dyDescent="0.25">
      <c r="BJ1107" s="13" t="str">
        <f t="shared" si="101"/>
        <v/>
      </c>
      <c r="BK1107" s="10" t="str">
        <f t="shared" si="102"/>
        <v/>
      </c>
      <c r="BL1107" s="10" t="str">
        <f t="shared" si="103"/>
        <v/>
      </c>
    </row>
    <row r="1108" spans="62:64" x14ac:dyDescent="0.25">
      <c r="BJ1108" s="13" t="str">
        <f t="shared" si="101"/>
        <v/>
      </c>
      <c r="BK1108" s="10" t="str">
        <f t="shared" si="102"/>
        <v/>
      </c>
      <c r="BL1108" s="10" t="str">
        <f t="shared" si="103"/>
        <v/>
      </c>
    </row>
    <row r="1109" spans="62:64" x14ac:dyDescent="0.25">
      <c r="BJ1109" s="13" t="str">
        <f t="shared" si="101"/>
        <v/>
      </c>
      <c r="BK1109" s="10" t="str">
        <f t="shared" si="102"/>
        <v/>
      </c>
      <c r="BL1109" s="10" t="str">
        <f t="shared" si="103"/>
        <v/>
      </c>
    </row>
    <row r="1110" spans="62:64" x14ac:dyDescent="0.25">
      <c r="BJ1110" s="13" t="str">
        <f t="shared" si="101"/>
        <v/>
      </c>
      <c r="BK1110" s="10" t="str">
        <f t="shared" si="102"/>
        <v/>
      </c>
      <c r="BL1110" s="10" t="str">
        <f t="shared" si="103"/>
        <v/>
      </c>
    </row>
    <row r="1111" spans="62:64" x14ac:dyDescent="0.25">
      <c r="BJ1111" s="13" t="str">
        <f t="shared" si="101"/>
        <v/>
      </c>
      <c r="BK1111" s="10" t="str">
        <f t="shared" si="102"/>
        <v/>
      </c>
      <c r="BL1111" s="10" t="str">
        <f t="shared" si="103"/>
        <v/>
      </c>
    </row>
    <row r="1112" spans="62:64" x14ac:dyDescent="0.25">
      <c r="BJ1112" s="13" t="str">
        <f t="shared" si="101"/>
        <v/>
      </c>
      <c r="BK1112" s="10" t="str">
        <f t="shared" si="102"/>
        <v/>
      </c>
      <c r="BL1112" s="10" t="str">
        <f t="shared" si="103"/>
        <v/>
      </c>
    </row>
    <row r="1113" spans="62:64" x14ac:dyDescent="0.25">
      <c r="BJ1113" s="13" t="str">
        <f t="shared" si="101"/>
        <v/>
      </c>
      <c r="BK1113" s="10" t="str">
        <f t="shared" si="102"/>
        <v/>
      </c>
      <c r="BL1113" s="10" t="str">
        <f t="shared" si="103"/>
        <v/>
      </c>
    </row>
    <row r="1114" spans="62:64" x14ac:dyDescent="0.25">
      <c r="BJ1114" s="13" t="str">
        <f t="shared" si="101"/>
        <v/>
      </c>
      <c r="BK1114" s="10" t="str">
        <f t="shared" si="102"/>
        <v/>
      </c>
      <c r="BL1114" s="10" t="str">
        <f t="shared" si="103"/>
        <v/>
      </c>
    </row>
    <row r="1115" spans="62:64" x14ac:dyDescent="0.25">
      <c r="BJ1115" s="13" t="str">
        <f t="shared" si="101"/>
        <v/>
      </c>
      <c r="BK1115" s="10" t="str">
        <f t="shared" si="102"/>
        <v/>
      </c>
      <c r="BL1115" s="10" t="str">
        <f t="shared" si="103"/>
        <v/>
      </c>
    </row>
    <row r="1116" spans="62:64" x14ac:dyDescent="0.25">
      <c r="BJ1116" s="13" t="str">
        <f t="shared" si="101"/>
        <v/>
      </c>
      <c r="BK1116" s="10" t="str">
        <f t="shared" si="102"/>
        <v/>
      </c>
      <c r="BL1116" s="10" t="str">
        <f t="shared" si="103"/>
        <v/>
      </c>
    </row>
    <row r="1117" spans="62:64" x14ac:dyDescent="0.25">
      <c r="BJ1117" s="13" t="str">
        <f t="shared" si="101"/>
        <v/>
      </c>
      <c r="BK1117" s="10" t="str">
        <f t="shared" si="102"/>
        <v/>
      </c>
      <c r="BL1117" s="10" t="str">
        <f t="shared" si="103"/>
        <v/>
      </c>
    </row>
    <row r="1118" spans="62:64" x14ac:dyDescent="0.25">
      <c r="BJ1118" s="13" t="str">
        <f t="shared" si="101"/>
        <v/>
      </c>
      <c r="BK1118" s="10" t="str">
        <f t="shared" si="102"/>
        <v/>
      </c>
      <c r="BL1118" s="10" t="str">
        <f t="shared" si="103"/>
        <v/>
      </c>
    </row>
    <row r="1119" spans="62:64" x14ac:dyDescent="0.25">
      <c r="BJ1119" s="13" t="str">
        <f t="shared" si="101"/>
        <v/>
      </c>
      <c r="BK1119" s="10" t="str">
        <f t="shared" si="102"/>
        <v/>
      </c>
      <c r="BL1119" s="10" t="str">
        <f t="shared" si="103"/>
        <v/>
      </c>
    </row>
    <row r="1120" spans="62:64" x14ac:dyDescent="0.25">
      <c r="BJ1120" s="13" t="str">
        <f t="shared" si="101"/>
        <v/>
      </c>
      <c r="BK1120" s="10" t="str">
        <f t="shared" si="102"/>
        <v/>
      </c>
      <c r="BL1120" s="10" t="str">
        <f t="shared" si="103"/>
        <v/>
      </c>
    </row>
    <row r="1121" spans="62:64" x14ac:dyDescent="0.25">
      <c r="BJ1121" s="13" t="str">
        <f t="shared" si="101"/>
        <v/>
      </c>
      <c r="BK1121" s="10" t="str">
        <f t="shared" si="102"/>
        <v/>
      </c>
      <c r="BL1121" s="10" t="str">
        <f t="shared" si="103"/>
        <v/>
      </c>
    </row>
    <row r="1122" spans="62:64" x14ac:dyDescent="0.25">
      <c r="BJ1122" s="13" t="str">
        <f t="shared" si="101"/>
        <v/>
      </c>
      <c r="BK1122" s="10" t="str">
        <f t="shared" si="102"/>
        <v/>
      </c>
      <c r="BL1122" s="10" t="str">
        <f t="shared" si="103"/>
        <v/>
      </c>
    </row>
    <row r="1123" spans="62:64" x14ac:dyDescent="0.25">
      <c r="BJ1123" s="13" t="str">
        <f t="shared" si="101"/>
        <v/>
      </c>
      <c r="BK1123" s="10" t="str">
        <f t="shared" si="102"/>
        <v/>
      </c>
      <c r="BL1123" s="10" t="str">
        <f t="shared" si="103"/>
        <v/>
      </c>
    </row>
    <row r="1124" spans="62:64" x14ac:dyDescent="0.25">
      <c r="BJ1124" s="13" t="str">
        <f t="shared" si="101"/>
        <v/>
      </c>
      <c r="BK1124" s="10" t="str">
        <f t="shared" si="102"/>
        <v/>
      </c>
      <c r="BL1124" s="10" t="str">
        <f t="shared" si="103"/>
        <v/>
      </c>
    </row>
    <row r="1125" spans="62:64" x14ac:dyDescent="0.25">
      <c r="BJ1125" s="13" t="str">
        <f t="shared" si="101"/>
        <v/>
      </c>
      <c r="BK1125" s="10" t="str">
        <f t="shared" si="102"/>
        <v/>
      </c>
      <c r="BL1125" s="10" t="str">
        <f t="shared" si="103"/>
        <v/>
      </c>
    </row>
    <row r="1126" spans="62:64" x14ac:dyDescent="0.25">
      <c r="BJ1126" s="13" t="str">
        <f t="shared" si="101"/>
        <v/>
      </c>
      <c r="BK1126" s="10" t="str">
        <f t="shared" si="102"/>
        <v/>
      </c>
      <c r="BL1126" s="10" t="str">
        <f t="shared" si="103"/>
        <v/>
      </c>
    </row>
    <row r="1127" spans="62:64" x14ac:dyDescent="0.25">
      <c r="BJ1127" s="13" t="str">
        <f t="shared" si="101"/>
        <v/>
      </c>
      <c r="BK1127" s="10" t="str">
        <f t="shared" si="102"/>
        <v/>
      </c>
      <c r="BL1127" s="10" t="str">
        <f t="shared" si="103"/>
        <v/>
      </c>
    </row>
    <row r="1128" spans="62:64" x14ac:dyDescent="0.25">
      <c r="BJ1128" s="13" t="str">
        <f t="shared" si="101"/>
        <v/>
      </c>
      <c r="BK1128" s="10" t="str">
        <f t="shared" si="102"/>
        <v/>
      </c>
      <c r="BL1128" s="10" t="str">
        <f t="shared" si="103"/>
        <v/>
      </c>
    </row>
    <row r="1129" spans="62:64" x14ac:dyDescent="0.25">
      <c r="BJ1129" s="13" t="str">
        <f t="shared" si="101"/>
        <v/>
      </c>
      <c r="BK1129" s="10" t="str">
        <f t="shared" si="102"/>
        <v/>
      </c>
      <c r="BL1129" s="10" t="str">
        <f t="shared" si="103"/>
        <v/>
      </c>
    </row>
    <row r="1130" spans="62:64" x14ac:dyDescent="0.25">
      <c r="BJ1130" s="13" t="str">
        <f t="shared" si="101"/>
        <v/>
      </c>
      <c r="BK1130" s="10" t="str">
        <f t="shared" si="102"/>
        <v/>
      </c>
      <c r="BL1130" s="10" t="str">
        <f t="shared" si="103"/>
        <v/>
      </c>
    </row>
    <row r="1131" spans="62:64" x14ac:dyDescent="0.25">
      <c r="BJ1131" s="13" t="str">
        <f t="shared" si="101"/>
        <v/>
      </c>
      <c r="BK1131" s="10" t="str">
        <f t="shared" si="102"/>
        <v/>
      </c>
      <c r="BL1131" s="10" t="str">
        <f t="shared" si="103"/>
        <v/>
      </c>
    </row>
    <row r="1132" spans="62:64" x14ac:dyDescent="0.25">
      <c r="BJ1132" s="13" t="str">
        <f t="shared" si="101"/>
        <v/>
      </c>
      <c r="BK1132" s="10" t="str">
        <f t="shared" si="102"/>
        <v/>
      </c>
      <c r="BL1132" s="10" t="str">
        <f t="shared" si="103"/>
        <v/>
      </c>
    </row>
    <row r="1133" spans="62:64" x14ac:dyDescent="0.25">
      <c r="BJ1133" s="13" t="str">
        <f t="shared" si="101"/>
        <v/>
      </c>
      <c r="BK1133" s="10" t="str">
        <f t="shared" si="102"/>
        <v/>
      </c>
      <c r="BL1133" s="10" t="str">
        <f t="shared" si="103"/>
        <v/>
      </c>
    </row>
    <row r="1134" spans="62:64" x14ac:dyDescent="0.25">
      <c r="BJ1134" s="13" t="str">
        <f t="shared" si="101"/>
        <v/>
      </c>
      <c r="BK1134" s="10" t="str">
        <f t="shared" si="102"/>
        <v/>
      </c>
      <c r="BL1134" s="10" t="str">
        <f t="shared" si="103"/>
        <v/>
      </c>
    </row>
    <row r="1135" spans="62:64" x14ac:dyDescent="0.25">
      <c r="BJ1135" s="13" t="str">
        <f t="shared" si="101"/>
        <v/>
      </c>
      <c r="BK1135" s="10" t="str">
        <f t="shared" si="102"/>
        <v/>
      </c>
      <c r="BL1135" s="10" t="str">
        <f t="shared" si="103"/>
        <v/>
      </c>
    </row>
    <row r="1136" spans="62:64" x14ac:dyDescent="0.25">
      <c r="BJ1136" s="13" t="str">
        <f t="shared" si="101"/>
        <v/>
      </c>
      <c r="BK1136" s="10" t="str">
        <f t="shared" si="102"/>
        <v/>
      </c>
      <c r="BL1136" s="10" t="str">
        <f t="shared" si="103"/>
        <v/>
      </c>
    </row>
    <row r="1137" spans="62:64" x14ac:dyDescent="0.25">
      <c r="BJ1137" s="13" t="str">
        <f t="shared" si="101"/>
        <v/>
      </c>
      <c r="BK1137" s="10" t="str">
        <f t="shared" si="102"/>
        <v/>
      </c>
      <c r="BL1137" s="10" t="str">
        <f t="shared" si="103"/>
        <v/>
      </c>
    </row>
    <row r="1138" spans="62:64" x14ac:dyDescent="0.25">
      <c r="BJ1138" s="13" t="str">
        <f t="shared" si="101"/>
        <v/>
      </c>
      <c r="BK1138" s="10" t="str">
        <f t="shared" si="102"/>
        <v/>
      </c>
      <c r="BL1138" s="10" t="str">
        <f t="shared" si="103"/>
        <v/>
      </c>
    </row>
    <row r="1139" spans="62:64" x14ac:dyDescent="0.25">
      <c r="BJ1139" s="13" t="str">
        <f t="shared" si="101"/>
        <v/>
      </c>
      <c r="BK1139" s="10" t="str">
        <f t="shared" si="102"/>
        <v/>
      </c>
      <c r="BL1139" s="10" t="str">
        <f t="shared" si="103"/>
        <v/>
      </c>
    </row>
    <row r="1140" spans="62:64" x14ac:dyDescent="0.25">
      <c r="BJ1140" s="13" t="str">
        <f t="shared" si="101"/>
        <v/>
      </c>
      <c r="BK1140" s="10" t="str">
        <f t="shared" si="102"/>
        <v/>
      </c>
      <c r="BL1140" s="10" t="str">
        <f t="shared" si="103"/>
        <v/>
      </c>
    </row>
    <row r="1141" spans="62:64" x14ac:dyDescent="0.25">
      <c r="BJ1141" s="13" t="str">
        <f t="shared" si="101"/>
        <v/>
      </c>
      <c r="BK1141" s="10" t="str">
        <f t="shared" si="102"/>
        <v/>
      </c>
      <c r="BL1141" s="10" t="str">
        <f t="shared" si="103"/>
        <v/>
      </c>
    </row>
    <row r="1142" spans="62:64" x14ac:dyDescent="0.25">
      <c r="BJ1142" s="13" t="str">
        <f t="shared" si="101"/>
        <v/>
      </c>
      <c r="BK1142" s="10" t="str">
        <f t="shared" si="102"/>
        <v/>
      </c>
      <c r="BL1142" s="10" t="str">
        <f t="shared" si="103"/>
        <v/>
      </c>
    </row>
    <row r="1143" spans="62:64" x14ac:dyDescent="0.25">
      <c r="BJ1143" s="13" t="str">
        <f t="shared" si="101"/>
        <v/>
      </c>
      <c r="BK1143" s="10" t="str">
        <f t="shared" si="102"/>
        <v/>
      </c>
      <c r="BL1143" s="10" t="str">
        <f t="shared" si="103"/>
        <v/>
      </c>
    </row>
    <row r="1144" spans="62:64" x14ac:dyDescent="0.25">
      <c r="BJ1144" s="13" t="str">
        <f t="shared" si="101"/>
        <v/>
      </c>
      <c r="BK1144" s="10" t="str">
        <f t="shared" si="102"/>
        <v/>
      </c>
      <c r="BL1144" s="10" t="str">
        <f t="shared" si="103"/>
        <v/>
      </c>
    </row>
    <row r="1145" spans="62:64" x14ac:dyDescent="0.25">
      <c r="BJ1145" s="13" t="str">
        <f t="shared" si="101"/>
        <v/>
      </c>
      <c r="BK1145" s="10" t="str">
        <f t="shared" si="102"/>
        <v/>
      </c>
      <c r="BL1145" s="10" t="str">
        <f t="shared" si="103"/>
        <v/>
      </c>
    </row>
    <row r="1146" spans="62:64" x14ac:dyDescent="0.25">
      <c r="BJ1146" s="13" t="str">
        <f t="shared" si="101"/>
        <v/>
      </c>
      <c r="BK1146" s="10" t="str">
        <f t="shared" si="102"/>
        <v/>
      </c>
      <c r="BL1146" s="10" t="str">
        <f t="shared" si="103"/>
        <v/>
      </c>
    </row>
    <row r="1147" spans="62:64" x14ac:dyDescent="0.25">
      <c r="BJ1147" s="13" t="str">
        <f t="shared" si="101"/>
        <v/>
      </c>
      <c r="BK1147" s="10" t="str">
        <f t="shared" si="102"/>
        <v/>
      </c>
      <c r="BL1147" s="10" t="str">
        <f t="shared" si="103"/>
        <v/>
      </c>
    </row>
    <row r="1148" spans="62:64" x14ac:dyDescent="0.25">
      <c r="BJ1148" s="13" t="str">
        <f t="shared" si="101"/>
        <v/>
      </c>
      <c r="BK1148" s="10" t="str">
        <f t="shared" si="102"/>
        <v/>
      </c>
      <c r="BL1148" s="10" t="str">
        <f t="shared" si="103"/>
        <v/>
      </c>
    </row>
    <row r="1149" spans="62:64" x14ac:dyDescent="0.25">
      <c r="BJ1149" s="13" t="str">
        <f t="shared" si="101"/>
        <v/>
      </c>
      <c r="BK1149" s="10" t="str">
        <f t="shared" si="102"/>
        <v/>
      </c>
      <c r="BL1149" s="10" t="str">
        <f t="shared" si="103"/>
        <v/>
      </c>
    </row>
    <row r="1150" spans="62:64" x14ac:dyDescent="0.25">
      <c r="BJ1150" s="13" t="str">
        <f t="shared" si="101"/>
        <v/>
      </c>
      <c r="BK1150" s="10" t="str">
        <f t="shared" si="102"/>
        <v/>
      </c>
      <c r="BL1150" s="10" t="str">
        <f t="shared" si="103"/>
        <v/>
      </c>
    </row>
    <row r="1151" spans="62:64" x14ac:dyDescent="0.25">
      <c r="BJ1151" s="13" t="str">
        <f t="shared" si="101"/>
        <v/>
      </c>
      <c r="BK1151" s="10" t="str">
        <f t="shared" si="102"/>
        <v/>
      </c>
      <c r="BL1151" s="10" t="str">
        <f t="shared" si="103"/>
        <v/>
      </c>
    </row>
    <row r="1152" spans="62:64" x14ac:dyDescent="0.25">
      <c r="BJ1152" s="13" t="str">
        <f t="shared" si="101"/>
        <v/>
      </c>
      <c r="BK1152" s="10" t="str">
        <f t="shared" si="102"/>
        <v/>
      </c>
      <c r="BL1152" s="10" t="str">
        <f t="shared" si="103"/>
        <v/>
      </c>
    </row>
    <row r="1153" spans="62:64" x14ac:dyDescent="0.25">
      <c r="BJ1153" s="13" t="str">
        <f t="shared" si="101"/>
        <v/>
      </c>
      <c r="BK1153" s="10" t="str">
        <f t="shared" si="102"/>
        <v/>
      </c>
      <c r="BL1153" s="10" t="str">
        <f t="shared" si="103"/>
        <v/>
      </c>
    </row>
    <row r="1154" spans="62:64" x14ac:dyDescent="0.25">
      <c r="BJ1154" s="13" t="str">
        <f t="shared" si="101"/>
        <v/>
      </c>
      <c r="BK1154" s="10" t="str">
        <f t="shared" si="102"/>
        <v/>
      </c>
      <c r="BL1154" s="10" t="str">
        <f t="shared" si="103"/>
        <v/>
      </c>
    </row>
    <row r="1155" spans="62:64" x14ac:dyDescent="0.25">
      <c r="BJ1155" s="13" t="str">
        <f t="shared" si="101"/>
        <v/>
      </c>
      <c r="BK1155" s="10" t="str">
        <f t="shared" si="102"/>
        <v/>
      </c>
      <c r="BL1155" s="10" t="str">
        <f t="shared" si="103"/>
        <v/>
      </c>
    </row>
    <row r="1156" spans="62:64" x14ac:dyDescent="0.25">
      <c r="BJ1156" s="13" t="str">
        <f t="shared" si="101"/>
        <v/>
      </c>
      <c r="BK1156" s="10" t="str">
        <f t="shared" si="102"/>
        <v/>
      </c>
      <c r="BL1156" s="10" t="str">
        <f t="shared" si="103"/>
        <v/>
      </c>
    </row>
    <row r="1157" spans="62:64" x14ac:dyDescent="0.25">
      <c r="BJ1157" s="13" t="str">
        <f t="shared" si="101"/>
        <v/>
      </c>
      <c r="BK1157" s="10" t="str">
        <f t="shared" si="102"/>
        <v/>
      </c>
      <c r="BL1157" s="10" t="str">
        <f t="shared" si="103"/>
        <v/>
      </c>
    </row>
    <row r="1158" spans="62:64" x14ac:dyDescent="0.25">
      <c r="BJ1158" s="13" t="str">
        <f t="shared" ref="BJ1158:BJ1221" si="104">IF(ROW()-BJ$3&lt;=$BJ$4,ROW()-ROW(BJ$4),"")</f>
        <v/>
      </c>
      <c r="BK1158" s="10" t="str">
        <f t="shared" si="102"/>
        <v/>
      </c>
      <c r="BL1158" s="10" t="str">
        <f t="shared" si="103"/>
        <v/>
      </c>
    </row>
    <row r="1159" spans="62:64" x14ac:dyDescent="0.25">
      <c r="BJ1159" s="13" t="str">
        <f t="shared" si="104"/>
        <v/>
      </c>
      <c r="BK1159" s="10" t="str">
        <f t="shared" ref="BK1159:BK1222" si="105">IF(ISNUMBER(BJ1159),INT(BJ1158/$BL$4)+1,"")</f>
        <v/>
      </c>
      <c r="BL1159" s="10" t="str">
        <f t="shared" ref="BL1159:BL1222" si="106">IF(ISNUMBER(BJ1159),IF(BK1158&lt;&gt;BK1159,1,BL1158+1),"")</f>
        <v/>
      </c>
    </row>
    <row r="1160" spans="62:64" x14ac:dyDescent="0.25">
      <c r="BJ1160" s="13" t="str">
        <f t="shared" si="104"/>
        <v/>
      </c>
      <c r="BK1160" s="10" t="str">
        <f t="shared" si="105"/>
        <v/>
      </c>
      <c r="BL1160" s="10" t="str">
        <f t="shared" si="106"/>
        <v/>
      </c>
    </row>
    <row r="1161" spans="62:64" x14ac:dyDescent="0.25">
      <c r="BJ1161" s="13" t="str">
        <f t="shared" si="104"/>
        <v/>
      </c>
      <c r="BK1161" s="10" t="str">
        <f t="shared" si="105"/>
        <v/>
      </c>
      <c r="BL1161" s="10" t="str">
        <f t="shared" si="106"/>
        <v/>
      </c>
    </row>
    <row r="1162" spans="62:64" x14ac:dyDescent="0.25">
      <c r="BJ1162" s="13" t="str">
        <f t="shared" si="104"/>
        <v/>
      </c>
      <c r="BK1162" s="10" t="str">
        <f t="shared" si="105"/>
        <v/>
      </c>
      <c r="BL1162" s="10" t="str">
        <f t="shared" si="106"/>
        <v/>
      </c>
    </row>
    <row r="1163" spans="62:64" x14ac:dyDescent="0.25">
      <c r="BJ1163" s="13" t="str">
        <f t="shared" si="104"/>
        <v/>
      </c>
      <c r="BK1163" s="10" t="str">
        <f t="shared" si="105"/>
        <v/>
      </c>
      <c r="BL1163" s="10" t="str">
        <f t="shared" si="106"/>
        <v/>
      </c>
    </row>
    <row r="1164" spans="62:64" x14ac:dyDescent="0.25">
      <c r="BJ1164" s="13" t="str">
        <f t="shared" si="104"/>
        <v/>
      </c>
      <c r="BK1164" s="10" t="str">
        <f t="shared" si="105"/>
        <v/>
      </c>
      <c r="BL1164" s="10" t="str">
        <f t="shared" si="106"/>
        <v/>
      </c>
    </row>
    <row r="1165" spans="62:64" x14ac:dyDescent="0.25">
      <c r="BJ1165" s="13" t="str">
        <f t="shared" si="104"/>
        <v/>
      </c>
      <c r="BK1165" s="10" t="str">
        <f t="shared" si="105"/>
        <v/>
      </c>
      <c r="BL1165" s="10" t="str">
        <f t="shared" si="106"/>
        <v/>
      </c>
    </row>
    <row r="1166" spans="62:64" x14ac:dyDescent="0.25">
      <c r="BJ1166" s="13" t="str">
        <f t="shared" si="104"/>
        <v/>
      </c>
      <c r="BK1166" s="10" t="str">
        <f t="shared" si="105"/>
        <v/>
      </c>
      <c r="BL1166" s="10" t="str">
        <f t="shared" si="106"/>
        <v/>
      </c>
    </row>
    <row r="1167" spans="62:64" x14ac:dyDescent="0.25">
      <c r="BJ1167" s="13" t="str">
        <f t="shared" si="104"/>
        <v/>
      </c>
      <c r="BK1167" s="10" t="str">
        <f t="shared" si="105"/>
        <v/>
      </c>
      <c r="BL1167" s="10" t="str">
        <f t="shared" si="106"/>
        <v/>
      </c>
    </row>
    <row r="1168" spans="62:64" x14ac:dyDescent="0.25">
      <c r="BJ1168" s="13" t="str">
        <f t="shared" si="104"/>
        <v/>
      </c>
      <c r="BK1168" s="10" t="str">
        <f t="shared" si="105"/>
        <v/>
      </c>
      <c r="BL1168" s="10" t="str">
        <f t="shared" si="106"/>
        <v/>
      </c>
    </row>
    <row r="1169" spans="62:64" x14ac:dyDescent="0.25">
      <c r="BJ1169" s="13" t="str">
        <f t="shared" si="104"/>
        <v/>
      </c>
      <c r="BK1169" s="10" t="str">
        <f t="shared" si="105"/>
        <v/>
      </c>
      <c r="BL1169" s="10" t="str">
        <f t="shared" si="106"/>
        <v/>
      </c>
    </row>
    <row r="1170" spans="62:64" x14ac:dyDescent="0.25">
      <c r="BJ1170" s="13" t="str">
        <f t="shared" si="104"/>
        <v/>
      </c>
      <c r="BK1170" s="10" t="str">
        <f t="shared" si="105"/>
        <v/>
      </c>
      <c r="BL1170" s="10" t="str">
        <f t="shared" si="106"/>
        <v/>
      </c>
    </row>
    <row r="1171" spans="62:64" x14ac:dyDescent="0.25">
      <c r="BJ1171" s="13" t="str">
        <f t="shared" si="104"/>
        <v/>
      </c>
      <c r="BK1171" s="10" t="str">
        <f t="shared" si="105"/>
        <v/>
      </c>
      <c r="BL1171" s="10" t="str">
        <f t="shared" si="106"/>
        <v/>
      </c>
    </row>
    <row r="1172" spans="62:64" x14ac:dyDescent="0.25">
      <c r="BJ1172" s="13" t="str">
        <f t="shared" si="104"/>
        <v/>
      </c>
      <c r="BK1172" s="10" t="str">
        <f t="shared" si="105"/>
        <v/>
      </c>
      <c r="BL1172" s="10" t="str">
        <f t="shared" si="106"/>
        <v/>
      </c>
    </row>
    <row r="1173" spans="62:64" x14ac:dyDescent="0.25">
      <c r="BJ1173" s="13" t="str">
        <f t="shared" si="104"/>
        <v/>
      </c>
      <c r="BK1173" s="10" t="str">
        <f t="shared" si="105"/>
        <v/>
      </c>
      <c r="BL1173" s="10" t="str">
        <f t="shared" si="106"/>
        <v/>
      </c>
    </row>
    <row r="1174" spans="62:64" x14ac:dyDescent="0.25">
      <c r="BJ1174" s="13" t="str">
        <f t="shared" si="104"/>
        <v/>
      </c>
      <c r="BK1174" s="10" t="str">
        <f t="shared" si="105"/>
        <v/>
      </c>
      <c r="BL1174" s="10" t="str">
        <f t="shared" si="106"/>
        <v/>
      </c>
    </row>
    <row r="1175" spans="62:64" x14ac:dyDescent="0.25">
      <c r="BJ1175" s="13" t="str">
        <f t="shared" si="104"/>
        <v/>
      </c>
      <c r="BK1175" s="10" t="str">
        <f t="shared" si="105"/>
        <v/>
      </c>
      <c r="BL1175" s="10" t="str">
        <f t="shared" si="106"/>
        <v/>
      </c>
    </row>
    <row r="1176" spans="62:64" x14ac:dyDescent="0.25">
      <c r="BJ1176" s="13" t="str">
        <f t="shared" si="104"/>
        <v/>
      </c>
      <c r="BK1176" s="10" t="str">
        <f t="shared" si="105"/>
        <v/>
      </c>
      <c r="BL1176" s="10" t="str">
        <f t="shared" si="106"/>
        <v/>
      </c>
    </row>
    <row r="1177" spans="62:64" x14ac:dyDescent="0.25">
      <c r="BJ1177" s="13" t="str">
        <f t="shared" si="104"/>
        <v/>
      </c>
      <c r="BK1177" s="10" t="str">
        <f t="shared" si="105"/>
        <v/>
      </c>
      <c r="BL1177" s="10" t="str">
        <f t="shared" si="106"/>
        <v/>
      </c>
    </row>
    <row r="1178" spans="62:64" x14ac:dyDescent="0.25">
      <c r="BJ1178" s="13" t="str">
        <f t="shared" si="104"/>
        <v/>
      </c>
      <c r="BK1178" s="10" t="str">
        <f t="shared" si="105"/>
        <v/>
      </c>
      <c r="BL1178" s="10" t="str">
        <f t="shared" si="106"/>
        <v/>
      </c>
    </row>
    <row r="1179" spans="62:64" x14ac:dyDescent="0.25">
      <c r="BJ1179" s="13" t="str">
        <f t="shared" si="104"/>
        <v/>
      </c>
      <c r="BK1179" s="10" t="str">
        <f t="shared" si="105"/>
        <v/>
      </c>
      <c r="BL1179" s="10" t="str">
        <f t="shared" si="106"/>
        <v/>
      </c>
    </row>
    <row r="1180" spans="62:64" x14ac:dyDescent="0.25">
      <c r="BJ1180" s="13" t="str">
        <f t="shared" si="104"/>
        <v/>
      </c>
      <c r="BK1180" s="10" t="str">
        <f t="shared" si="105"/>
        <v/>
      </c>
      <c r="BL1180" s="10" t="str">
        <f t="shared" si="106"/>
        <v/>
      </c>
    </row>
    <row r="1181" spans="62:64" x14ac:dyDescent="0.25">
      <c r="BJ1181" s="13" t="str">
        <f t="shared" si="104"/>
        <v/>
      </c>
      <c r="BK1181" s="10" t="str">
        <f t="shared" si="105"/>
        <v/>
      </c>
      <c r="BL1181" s="10" t="str">
        <f t="shared" si="106"/>
        <v/>
      </c>
    </row>
    <row r="1182" spans="62:64" x14ac:dyDescent="0.25">
      <c r="BJ1182" s="13" t="str">
        <f t="shared" si="104"/>
        <v/>
      </c>
      <c r="BK1182" s="10" t="str">
        <f t="shared" si="105"/>
        <v/>
      </c>
      <c r="BL1182" s="10" t="str">
        <f t="shared" si="106"/>
        <v/>
      </c>
    </row>
    <row r="1183" spans="62:64" x14ac:dyDescent="0.25">
      <c r="BJ1183" s="13" t="str">
        <f t="shared" si="104"/>
        <v/>
      </c>
      <c r="BK1183" s="10" t="str">
        <f t="shared" si="105"/>
        <v/>
      </c>
      <c r="BL1183" s="10" t="str">
        <f t="shared" si="106"/>
        <v/>
      </c>
    </row>
    <row r="1184" spans="62:64" x14ac:dyDescent="0.25">
      <c r="BJ1184" s="13" t="str">
        <f t="shared" si="104"/>
        <v/>
      </c>
      <c r="BK1184" s="10" t="str">
        <f t="shared" si="105"/>
        <v/>
      </c>
      <c r="BL1184" s="10" t="str">
        <f t="shared" si="106"/>
        <v/>
      </c>
    </row>
    <row r="1185" spans="62:64" x14ac:dyDescent="0.25">
      <c r="BJ1185" s="13" t="str">
        <f t="shared" si="104"/>
        <v/>
      </c>
      <c r="BK1185" s="10" t="str">
        <f t="shared" si="105"/>
        <v/>
      </c>
      <c r="BL1185" s="10" t="str">
        <f t="shared" si="106"/>
        <v/>
      </c>
    </row>
    <row r="1186" spans="62:64" x14ac:dyDescent="0.25">
      <c r="BJ1186" s="13" t="str">
        <f t="shared" si="104"/>
        <v/>
      </c>
      <c r="BK1186" s="10" t="str">
        <f t="shared" si="105"/>
        <v/>
      </c>
      <c r="BL1186" s="10" t="str">
        <f t="shared" si="106"/>
        <v/>
      </c>
    </row>
    <row r="1187" spans="62:64" x14ac:dyDescent="0.25">
      <c r="BJ1187" s="13" t="str">
        <f t="shared" si="104"/>
        <v/>
      </c>
      <c r="BK1187" s="10" t="str">
        <f t="shared" si="105"/>
        <v/>
      </c>
      <c r="BL1187" s="10" t="str">
        <f t="shared" si="106"/>
        <v/>
      </c>
    </row>
    <row r="1188" spans="62:64" x14ac:dyDescent="0.25">
      <c r="BJ1188" s="13" t="str">
        <f t="shared" si="104"/>
        <v/>
      </c>
      <c r="BK1188" s="10" t="str">
        <f t="shared" si="105"/>
        <v/>
      </c>
      <c r="BL1188" s="10" t="str">
        <f t="shared" si="106"/>
        <v/>
      </c>
    </row>
    <row r="1189" spans="62:64" x14ac:dyDescent="0.25">
      <c r="BJ1189" s="13" t="str">
        <f t="shared" si="104"/>
        <v/>
      </c>
      <c r="BK1189" s="10" t="str">
        <f t="shared" si="105"/>
        <v/>
      </c>
      <c r="BL1189" s="10" t="str">
        <f t="shared" si="106"/>
        <v/>
      </c>
    </row>
    <row r="1190" spans="62:64" x14ac:dyDescent="0.25">
      <c r="BJ1190" s="13" t="str">
        <f t="shared" si="104"/>
        <v/>
      </c>
      <c r="BK1190" s="10" t="str">
        <f t="shared" si="105"/>
        <v/>
      </c>
      <c r="BL1190" s="10" t="str">
        <f t="shared" si="106"/>
        <v/>
      </c>
    </row>
    <row r="1191" spans="62:64" x14ac:dyDescent="0.25">
      <c r="BJ1191" s="13" t="str">
        <f t="shared" si="104"/>
        <v/>
      </c>
      <c r="BK1191" s="10" t="str">
        <f t="shared" si="105"/>
        <v/>
      </c>
      <c r="BL1191" s="10" t="str">
        <f t="shared" si="106"/>
        <v/>
      </c>
    </row>
    <row r="1192" spans="62:64" x14ac:dyDescent="0.25">
      <c r="BJ1192" s="13" t="str">
        <f t="shared" si="104"/>
        <v/>
      </c>
      <c r="BK1192" s="10" t="str">
        <f t="shared" si="105"/>
        <v/>
      </c>
      <c r="BL1192" s="10" t="str">
        <f t="shared" si="106"/>
        <v/>
      </c>
    </row>
    <row r="1193" spans="62:64" x14ac:dyDescent="0.25">
      <c r="BJ1193" s="13" t="str">
        <f t="shared" si="104"/>
        <v/>
      </c>
      <c r="BK1193" s="10" t="str">
        <f t="shared" si="105"/>
        <v/>
      </c>
      <c r="BL1193" s="10" t="str">
        <f t="shared" si="106"/>
        <v/>
      </c>
    </row>
    <row r="1194" spans="62:64" x14ac:dyDescent="0.25">
      <c r="BJ1194" s="13" t="str">
        <f t="shared" si="104"/>
        <v/>
      </c>
      <c r="BK1194" s="10" t="str">
        <f t="shared" si="105"/>
        <v/>
      </c>
      <c r="BL1194" s="10" t="str">
        <f t="shared" si="106"/>
        <v/>
      </c>
    </row>
    <row r="1195" spans="62:64" x14ac:dyDescent="0.25">
      <c r="BJ1195" s="13" t="str">
        <f t="shared" si="104"/>
        <v/>
      </c>
      <c r="BK1195" s="10" t="str">
        <f t="shared" si="105"/>
        <v/>
      </c>
      <c r="BL1195" s="10" t="str">
        <f t="shared" si="106"/>
        <v/>
      </c>
    </row>
    <row r="1196" spans="62:64" x14ac:dyDescent="0.25">
      <c r="BJ1196" s="13" t="str">
        <f t="shared" si="104"/>
        <v/>
      </c>
      <c r="BK1196" s="10" t="str">
        <f t="shared" si="105"/>
        <v/>
      </c>
      <c r="BL1196" s="10" t="str">
        <f t="shared" si="106"/>
        <v/>
      </c>
    </row>
    <row r="1197" spans="62:64" x14ac:dyDescent="0.25">
      <c r="BJ1197" s="13" t="str">
        <f t="shared" si="104"/>
        <v/>
      </c>
      <c r="BK1197" s="10" t="str">
        <f t="shared" si="105"/>
        <v/>
      </c>
      <c r="BL1197" s="10" t="str">
        <f t="shared" si="106"/>
        <v/>
      </c>
    </row>
    <row r="1198" spans="62:64" x14ac:dyDescent="0.25">
      <c r="BJ1198" s="13" t="str">
        <f t="shared" si="104"/>
        <v/>
      </c>
      <c r="BK1198" s="10" t="str">
        <f t="shared" si="105"/>
        <v/>
      </c>
      <c r="BL1198" s="10" t="str">
        <f t="shared" si="106"/>
        <v/>
      </c>
    </row>
    <row r="1199" spans="62:64" x14ac:dyDescent="0.25">
      <c r="BJ1199" s="13" t="str">
        <f t="shared" si="104"/>
        <v/>
      </c>
      <c r="BK1199" s="10" t="str">
        <f t="shared" si="105"/>
        <v/>
      </c>
      <c r="BL1199" s="10" t="str">
        <f t="shared" si="106"/>
        <v/>
      </c>
    </row>
    <row r="1200" spans="62:64" x14ac:dyDescent="0.25">
      <c r="BJ1200" s="13" t="str">
        <f t="shared" si="104"/>
        <v/>
      </c>
      <c r="BK1200" s="10" t="str">
        <f t="shared" si="105"/>
        <v/>
      </c>
      <c r="BL1200" s="10" t="str">
        <f t="shared" si="106"/>
        <v/>
      </c>
    </row>
    <row r="1201" spans="62:64" x14ac:dyDescent="0.25">
      <c r="BJ1201" s="13" t="str">
        <f t="shared" si="104"/>
        <v/>
      </c>
      <c r="BK1201" s="10" t="str">
        <f t="shared" si="105"/>
        <v/>
      </c>
      <c r="BL1201" s="10" t="str">
        <f t="shared" si="106"/>
        <v/>
      </c>
    </row>
    <row r="1202" spans="62:64" x14ac:dyDescent="0.25">
      <c r="BJ1202" s="13" t="str">
        <f t="shared" si="104"/>
        <v/>
      </c>
      <c r="BK1202" s="10" t="str">
        <f t="shared" si="105"/>
        <v/>
      </c>
      <c r="BL1202" s="10" t="str">
        <f t="shared" si="106"/>
        <v/>
      </c>
    </row>
    <row r="1203" spans="62:64" x14ac:dyDescent="0.25">
      <c r="BJ1203" s="13" t="str">
        <f t="shared" si="104"/>
        <v/>
      </c>
      <c r="BK1203" s="10" t="str">
        <f t="shared" si="105"/>
        <v/>
      </c>
      <c r="BL1203" s="10" t="str">
        <f t="shared" si="106"/>
        <v/>
      </c>
    </row>
    <row r="1204" spans="62:64" x14ac:dyDescent="0.25">
      <c r="BJ1204" s="13" t="str">
        <f t="shared" si="104"/>
        <v/>
      </c>
      <c r="BK1204" s="10" t="str">
        <f t="shared" si="105"/>
        <v/>
      </c>
      <c r="BL1204" s="10" t="str">
        <f t="shared" si="106"/>
        <v/>
      </c>
    </row>
    <row r="1205" spans="62:64" x14ac:dyDescent="0.25">
      <c r="BJ1205" s="13" t="str">
        <f t="shared" si="104"/>
        <v/>
      </c>
      <c r="BK1205" s="10" t="str">
        <f t="shared" si="105"/>
        <v/>
      </c>
      <c r="BL1205" s="10" t="str">
        <f t="shared" si="106"/>
        <v/>
      </c>
    </row>
    <row r="1206" spans="62:64" x14ac:dyDescent="0.25">
      <c r="BJ1206" s="13" t="str">
        <f t="shared" si="104"/>
        <v/>
      </c>
      <c r="BK1206" s="10" t="str">
        <f t="shared" si="105"/>
        <v/>
      </c>
      <c r="BL1206" s="10" t="str">
        <f t="shared" si="106"/>
        <v/>
      </c>
    </row>
    <row r="1207" spans="62:64" x14ac:dyDescent="0.25">
      <c r="BJ1207" s="13" t="str">
        <f t="shared" si="104"/>
        <v/>
      </c>
      <c r="BK1207" s="10" t="str">
        <f t="shared" si="105"/>
        <v/>
      </c>
      <c r="BL1207" s="10" t="str">
        <f t="shared" si="106"/>
        <v/>
      </c>
    </row>
    <row r="1208" spans="62:64" x14ac:dyDescent="0.25">
      <c r="BJ1208" s="13" t="str">
        <f t="shared" si="104"/>
        <v/>
      </c>
      <c r="BK1208" s="10" t="str">
        <f t="shared" si="105"/>
        <v/>
      </c>
      <c r="BL1208" s="10" t="str">
        <f t="shared" si="106"/>
        <v/>
      </c>
    </row>
    <row r="1209" spans="62:64" x14ac:dyDescent="0.25">
      <c r="BJ1209" s="13" t="str">
        <f t="shared" si="104"/>
        <v/>
      </c>
      <c r="BK1209" s="10" t="str">
        <f t="shared" si="105"/>
        <v/>
      </c>
      <c r="BL1209" s="10" t="str">
        <f t="shared" si="106"/>
        <v/>
      </c>
    </row>
    <row r="1210" spans="62:64" x14ac:dyDescent="0.25">
      <c r="BJ1210" s="13" t="str">
        <f t="shared" si="104"/>
        <v/>
      </c>
      <c r="BK1210" s="10" t="str">
        <f t="shared" si="105"/>
        <v/>
      </c>
      <c r="BL1210" s="10" t="str">
        <f t="shared" si="106"/>
        <v/>
      </c>
    </row>
    <row r="1211" spans="62:64" x14ac:dyDescent="0.25">
      <c r="BJ1211" s="13" t="str">
        <f t="shared" si="104"/>
        <v/>
      </c>
      <c r="BK1211" s="10" t="str">
        <f t="shared" si="105"/>
        <v/>
      </c>
      <c r="BL1211" s="10" t="str">
        <f t="shared" si="106"/>
        <v/>
      </c>
    </row>
    <row r="1212" spans="62:64" x14ac:dyDescent="0.25">
      <c r="BJ1212" s="13" t="str">
        <f t="shared" si="104"/>
        <v/>
      </c>
      <c r="BK1212" s="10" t="str">
        <f t="shared" si="105"/>
        <v/>
      </c>
      <c r="BL1212" s="10" t="str">
        <f t="shared" si="106"/>
        <v/>
      </c>
    </row>
    <row r="1213" spans="62:64" x14ac:dyDescent="0.25">
      <c r="BJ1213" s="13" t="str">
        <f t="shared" si="104"/>
        <v/>
      </c>
      <c r="BK1213" s="10" t="str">
        <f t="shared" si="105"/>
        <v/>
      </c>
      <c r="BL1213" s="10" t="str">
        <f t="shared" si="106"/>
        <v/>
      </c>
    </row>
    <row r="1214" spans="62:64" x14ac:dyDescent="0.25">
      <c r="BJ1214" s="13" t="str">
        <f t="shared" si="104"/>
        <v/>
      </c>
      <c r="BK1214" s="10" t="str">
        <f t="shared" si="105"/>
        <v/>
      </c>
      <c r="BL1214" s="10" t="str">
        <f t="shared" si="106"/>
        <v/>
      </c>
    </row>
    <row r="1215" spans="62:64" x14ac:dyDescent="0.25">
      <c r="BJ1215" s="13" t="str">
        <f t="shared" si="104"/>
        <v/>
      </c>
      <c r="BK1215" s="10" t="str">
        <f t="shared" si="105"/>
        <v/>
      </c>
      <c r="BL1215" s="10" t="str">
        <f t="shared" si="106"/>
        <v/>
      </c>
    </row>
    <row r="1216" spans="62:64" x14ac:dyDescent="0.25">
      <c r="BJ1216" s="13" t="str">
        <f t="shared" si="104"/>
        <v/>
      </c>
      <c r="BK1216" s="10" t="str">
        <f t="shared" si="105"/>
        <v/>
      </c>
      <c r="BL1216" s="10" t="str">
        <f t="shared" si="106"/>
        <v/>
      </c>
    </row>
    <row r="1217" spans="62:64" x14ac:dyDescent="0.25">
      <c r="BJ1217" s="13" t="str">
        <f t="shared" si="104"/>
        <v/>
      </c>
      <c r="BK1217" s="10" t="str">
        <f t="shared" si="105"/>
        <v/>
      </c>
      <c r="BL1217" s="10" t="str">
        <f t="shared" si="106"/>
        <v/>
      </c>
    </row>
    <row r="1218" spans="62:64" x14ac:dyDescent="0.25">
      <c r="BJ1218" s="13" t="str">
        <f t="shared" si="104"/>
        <v/>
      </c>
      <c r="BK1218" s="10" t="str">
        <f t="shared" si="105"/>
        <v/>
      </c>
      <c r="BL1218" s="10" t="str">
        <f t="shared" si="106"/>
        <v/>
      </c>
    </row>
    <row r="1219" spans="62:64" x14ac:dyDescent="0.25">
      <c r="BJ1219" s="13" t="str">
        <f t="shared" si="104"/>
        <v/>
      </c>
      <c r="BK1219" s="10" t="str">
        <f t="shared" si="105"/>
        <v/>
      </c>
      <c r="BL1219" s="10" t="str">
        <f t="shared" si="106"/>
        <v/>
      </c>
    </row>
    <row r="1220" spans="62:64" x14ac:dyDescent="0.25">
      <c r="BJ1220" s="13" t="str">
        <f t="shared" si="104"/>
        <v/>
      </c>
      <c r="BK1220" s="10" t="str">
        <f t="shared" si="105"/>
        <v/>
      </c>
      <c r="BL1220" s="10" t="str">
        <f t="shared" si="106"/>
        <v/>
      </c>
    </row>
    <row r="1221" spans="62:64" x14ac:dyDescent="0.25">
      <c r="BJ1221" s="13" t="str">
        <f t="shared" si="104"/>
        <v/>
      </c>
      <c r="BK1221" s="10" t="str">
        <f t="shared" si="105"/>
        <v/>
      </c>
      <c r="BL1221" s="10" t="str">
        <f t="shared" si="106"/>
        <v/>
      </c>
    </row>
    <row r="1222" spans="62:64" x14ac:dyDescent="0.25">
      <c r="BJ1222" s="13" t="str">
        <f t="shared" ref="BJ1222:BJ1285" si="107">IF(ROW()-BJ$3&lt;=$BJ$4,ROW()-ROW(BJ$4),"")</f>
        <v/>
      </c>
      <c r="BK1222" s="10" t="str">
        <f t="shared" si="105"/>
        <v/>
      </c>
      <c r="BL1222" s="10" t="str">
        <f t="shared" si="106"/>
        <v/>
      </c>
    </row>
    <row r="1223" spans="62:64" x14ac:dyDescent="0.25">
      <c r="BJ1223" s="13" t="str">
        <f t="shared" si="107"/>
        <v/>
      </c>
      <c r="BK1223" s="10" t="str">
        <f t="shared" ref="BK1223:BK1286" si="108">IF(ISNUMBER(BJ1223),INT(BJ1222/$BL$4)+1,"")</f>
        <v/>
      </c>
      <c r="BL1223" s="10" t="str">
        <f t="shared" ref="BL1223:BL1286" si="109">IF(ISNUMBER(BJ1223),IF(BK1222&lt;&gt;BK1223,1,BL1222+1),"")</f>
        <v/>
      </c>
    </row>
    <row r="1224" spans="62:64" x14ac:dyDescent="0.25">
      <c r="BJ1224" s="13" t="str">
        <f t="shared" si="107"/>
        <v/>
      </c>
      <c r="BK1224" s="10" t="str">
        <f t="shared" si="108"/>
        <v/>
      </c>
      <c r="BL1224" s="10" t="str">
        <f t="shared" si="109"/>
        <v/>
      </c>
    </row>
    <row r="1225" spans="62:64" x14ac:dyDescent="0.25">
      <c r="BJ1225" s="13" t="str">
        <f t="shared" si="107"/>
        <v/>
      </c>
      <c r="BK1225" s="10" t="str">
        <f t="shared" si="108"/>
        <v/>
      </c>
      <c r="BL1225" s="10" t="str">
        <f t="shared" si="109"/>
        <v/>
      </c>
    </row>
    <row r="1226" spans="62:64" x14ac:dyDescent="0.25">
      <c r="BJ1226" s="13" t="str">
        <f t="shared" si="107"/>
        <v/>
      </c>
      <c r="BK1226" s="10" t="str">
        <f t="shared" si="108"/>
        <v/>
      </c>
      <c r="BL1226" s="10" t="str">
        <f t="shared" si="109"/>
        <v/>
      </c>
    </row>
    <row r="1227" spans="62:64" x14ac:dyDescent="0.25">
      <c r="BJ1227" s="13" t="str">
        <f t="shared" si="107"/>
        <v/>
      </c>
      <c r="BK1227" s="10" t="str">
        <f t="shared" si="108"/>
        <v/>
      </c>
      <c r="BL1227" s="10" t="str">
        <f t="shared" si="109"/>
        <v/>
      </c>
    </row>
    <row r="1228" spans="62:64" x14ac:dyDescent="0.25">
      <c r="BJ1228" s="13" t="str">
        <f t="shared" si="107"/>
        <v/>
      </c>
      <c r="BK1228" s="10" t="str">
        <f t="shared" si="108"/>
        <v/>
      </c>
      <c r="BL1228" s="10" t="str">
        <f t="shared" si="109"/>
        <v/>
      </c>
    </row>
    <row r="1229" spans="62:64" x14ac:dyDescent="0.25">
      <c r="BJ1229" s="13" t="str">
        <f t="shared" si="107"/>
        <v/>
      </c>
      <c r="BK1229" s="10" t="str">
        <f t="shared" si="108"/>
        <v/>
      </c>
      <c r="BL1229" s="10" t="str">
        <f t="shared" si="109"/>
        <v/>
      </c>
    </row>
    <row r="1230" spans="62:64" x14ac:dyDescent="0.25">
      <c r="BJ1230" s="13" t="str">
        <f t="shared" si="107"/>
        <v/>
      </c>
      <c r="BK1230" s="10" t="str">
        <f t="shared" si="108"/>
        <v/>
      </c>
      <c r="BL1230" s="10" t="str">
        <f t="shared" si="109"/>
        <v/>
      </c>
    </row>
    <row r="1231" spans="62:64" x14ac:dyDescent="0.25">
      <c r="BJ1231" s="13" t="str">
        <f t="shared" si="107"/>
        <v/>
      </c>
      <c r="BK1231" s="10" t="str">
        <f t="shared" si="108"/>
        <v/>
      </c>
      <c r="BL1231" s="10" t="str">
        <f t="shared" si="109"/>
        <v/>
      </c>
    </row>
    <row r="1232" spans="62:64" x14ac:dyDescent="0.25">
      <c r="BJ1232" s="13" t="str">
        <f t="shared" si="107"/>
        <v/>
      </c>
      <c r="BK1232" s="10" t="str">
        <f t="shared" si="108"/>
        <v/>
      </c>
      <c r="BL1232" s="10" t="str">
        <f t="shared" si="109"/>
        <v/>
      </c>
    </row>
    <row r="1233" spans="62:64" x14ac:dyDescent="0.25">
      <c r="BJ1233" s="13" t="str">
        <f t="shared" si="107"/>
        <v/>
      </c>
      <c r="BK1233" s="10" t="str">
        <f t="shared" si="108"/>
        <v/>
      </c>
      <c r="BL1233" s="10" t="str">
        <f t="shared" si="109"/>
        <v/>
      </c>
    </row>
    <row r="1234" spans="62:64" x14ac:dyDescent="0.25">
      <c r="BJ1234" s="13" t="str">
        <f t="shared" si="107"/>
        <v/>
      </c>
      <c r="BK1234" s="10" t="str">
        <f t="shared" si="108"/>
        <v/>
      </c>
      <c r="BL1234" s="10" t="str">
        <f t="shared" si="109"/>
        <v/>
      </c>
    </row>
    <row r="1235" spans="62:64" x14ac:dyDescent="0.25">
      <c r="BJ1235" s="13" t="str">
        <f t="shared" si="107"/>
        <v/>
      </c>
      <c r="BK1235" s="10" t="str">
        <f t="shared" si="108"/>
        <v/>
      </c>
      <c r="BL1235" s="10" t="str">
        <f t="shared" si="109"/>
        <v/>
      </c>
    </row>
    <row r="1236" spans="62:64" x14ac:dyDescent="0.25">
      <c r="BJ1236" s="13" t="str">
        <f t="shared" si="107"/>
        <v/>
      </c>
      <c r="BK1236" s="10" t="str">
        <f t="shared" si="108"/>
        <v/>
      </c>
      <c r="BL1236" s="10" t="str">
        <f t="shared" si="109"/>
        <v/>
      </c>
    </row>
    <row r="1237" spans="62:64" x14ac:dyDescent="0.25">
      <c r="BJ1237" s="13" t="str">
        <f t="shared" si="107"/>
        <v/>
      </c>
      <c r="BK1237" s="10" t="str">
        <f t="shared" si="108"/>
        <v/>
      </c>
      <c r="BL1237" s="10" t="str">
        <f t="shared" si="109"/>
        <v/>
      </c>
    </row>
    <row r="1238" spans="62:64" x14ac:dyDescent="0.25">
      <c r="BJ1238" s="13" t="str">
        <f t="shared" si="107"/>
        <v/>
      </c>
      <c r="BK1238" s="10" t="str">
        <f t="shared" si="108"/>
        <v/>
      </c>
      <c r="BL1238" s="10" t="str">
        <f t="shared" si="109"/>
        <v/>
      </c>
    </row>
    <row r="1239" spans="62:64" x14ac:dyDescent="0.25">
      <c r="BJ1239" s="13" t="str">
        <f t="shared" si="107"/>
        <v/>
      </c>
      <c r="BK1239" s="10" t="str">
        <f t="shared" si="108"/>
        <v/>
      </c>
      <c r="BL1239" s="10" t="str">
        <f t="shared" si="109"/>
        <v/>
      </c>
    </row>
    <row r="1240" spans="62:64" x14ac:dyDescent="0.25">
      <c r="BJ1240" s="13" t="str">
        <f t="shared" si="107"/>
        <v/>
      </c>
      <c r="BK1240" s="10" t="str">
        <f t="shared" si="108"/>
        <v/>
      </c>
      <c r="BL1240" s="10" t="str">
        <f t="shared" si="109"/>
        <v/>
      </c>
    </row>
    <row r="1241" spans="62:64" x14ac:dyDescent="0.25">
      <c r="BJ1241" s="13" t="str">
        <f t="shared" si="107"/>
        <v/>
      </c>
      <c r="BK1241" s="10" t="str">
        <f t="shared" si="108"/>
        <v/>
      </c>
      <c r="BL1241" s="10" t="str">
        <f t="shared" si="109"/>
        <v/>
      </c>
    </row>
    <row r="1242" spans="62:64" x14ac:dyDescent="0.25">
      <c r="BJ1242" s="13" t="str">
        <f t="shared" si="107"/>
        <v/>
      </c>
      <c r="BK1242" s="10" t="str">
        <f t="shared" si="108"/>
        <v/>
      </c>
      <c r="BL1242" s="10" t="str">
        <f t="shared" si="109"/>
        <v/>
      </c>
    </row>
    <row r="1243" spans="62:64" x14ac:dyDescent="0.25">
      <c r="BJ1243" s="13" t="str">
        <f t="shared" si="107"/>
        <v/>
      </c>
      <c r="BK1243" s="10" t="str">
        <f t="shared" si="108"/>
        <v/>
      </c>
      <c r="BL1243" s="10" t="str">
        <f t="shared" si="109"/>
        <v/>
      </c>
    </row>
    <row r="1244" spans="62:64" x14ac:dyDescent="0.25">
      <c r="BJ1244" s="13" t="str">
        <f t="shared" si="107"/>
        <v/>
      </c>
      <c r="BK1244" s="10" t="str">
        <f t="shared" si="108"/>
        <v/>
      </c>
      <c r="BL1244" s="10" t="str">
        <f t="shared" si="109"/>
        <v/>
      </c>
    </row>
    <row r="1245" spans="62:64" x14ac:dyDescent="0.25">
      <c r="BJ1245" s="13" t="str">
        <f t="shared" si="107"/>
        <v/>
      </c>
      <c r="BK1245" s="10" t="str">
        <f t="shared" si="108"/>
        <v/>
      </c>
      <c r="BL1245" s="10" t="str">
        <f t="shared" si="109"/>
        <v/>
      </c>
    </row>
    <row r="1246" spans="62:64" x14ac:dyDescent="0.25">
      <c r="BJ1246" s="13" t="str">
        <f t="shared" si="107"/>
        <v/>
      </c>
      <c r="BK1246" s="10" t="str">
        <f t="shared" si="108"/>
        <v/>
      </c>
      <c r="BL1246" s="10" t="str">
        <f t="shared" si="109"/>
        <v/>
      </c>
    </row>
    <row r="1247" spans="62:64" x14ac:dyDescent="0.25">
      <c r="BJ1247" s="13" t="str">
        <f t="shared" si="107"/>
        <v/>
      </c>
      <c r="BK1247" s="10" t="str">
        <f t="shared" si="108"/>
        <v/>
      </c>
      <c r="BL1247" s="10" t="str">
        <f t="shared" si="109"/>
        <v/>
      </c>
    </row>
    <row r="1248" spans="62:64" x14ac:dyDescent="0.25">
      <c r="BJ1248" s="13" t="str">
        <f t="shared" si="107"/>
        <v/>
      </c>
      <c r="BK1248" s="10" t="str">
        <f t="shared" si="108"/>
        <v/>
      </c>
      <c r="BL1248" s="10" t="str">
        <f t="shared" si="109"/>
        <v/>
      </c>
    </row>
    <row r="1249" spans="62:64" x14ac:dyDescent="0.25">
      <c r="BJ1249" s="13" t="str">
        <f t="shared" si="107"/>
        <v/>
      </c>
      <c r="BK1249" s="10" t="str">
        <f t="shared" si="108"/>
        <v/>
      </c>
      <c r="BL1249" s="10" t="str">
        <f t="shared" si="109"/>
        <v/>
      </c>
    </row>
    <row r="1250" spans="62:64" x14ac:dyDescent="0.25">
      <c r="BJ1250" s="13" t="str">
        <f t="shared" si="107"/>
        <v/>
      </c>
      <c r="BK1250" s="10" t="str">
        <f t="shared" si="108"/>
        <v/>
      </c>
      <c r="BL1250" s="10" t="str">
        <f t="shared" si="109"/>
        <v/>
      </c>
    </row>
    <row r="1251" spans="62:64" x14ac:dyDescent="0.25">
      <c r="BJ1251" s="13" t="str">
        <f t="shared" si="107"/>
        <v/>
      </c>
      <c r="BK1251" s="10" t="str">
        <f t="shared" si="108"/>
        <v/>
      </c>
      <c r="BL1251" s="10" t="str">
        <f t="shared" si="109"/>
        <v/>
      </c>
    </row>
    <row r="1252" spans="62:64" x14ac:dyDescent="0.25">
      <c r="BJ1252" s="13" t="str">
        <f t="shared" si="107"/>
        <v/>
      </c>
      <c r="BK1252" s="10" t="str">
        <f t="shared" si="108"/>
        <v/>
      </c>
      <c r="BL1252" s="10" t="str">
        <f t="shared" si="109"/>
        <v/>
      </c>
    </row>
    <row r="1253" spans="62:64" x14ac:dyDescent="0.25">
      <c r="BJ1253" s="13" t="str">
        <f t="shared" si="107"/>
        <v/>
      </c>
      <c r="BK1253" s="10" t="str">
        <f t="shared" si="108"/>
        <v/>
      </c>
      <c r="BL1253" s="10" t="str">
        <f t="shared" si="109"/>
        <v/>
      </c>
    </row>
    <row r="1254" spans="62:64" x14ac:dyDescent="0.25">
      <c r="BJ1254" s="13" t="str">
        <f t="shared" si="107"/>
        <v/>
      </c>
      <c r="BK1254" s="10" t="str">
        <f t="shared" si="108"/>
        <v/>
      </c>
      <c r="BL1254" s="10" t="str">
        <f t="shared" si="109"/>
        <v/>
      </c>
    </row>
    <row r="1255" spans="62:64" x14ac:dyDescent="0.25">
      <c r="BJ1255" s="13" t="str">
        <f t="shared" si="107"/>
        <v/>
      </c>
      <c r="BK1255" s="10" t="str">
        <f t="shared" si="108"/>
        <v/>
      </c>
      <c r="BL1255" s="10" t="str">
        <f t="shared" si="109"/>
        <v/>
      </c>
    </row>
    <row r="1256" spans="62:64" x14ac:dyDescent="0.25">
      <c r="BJ1256" s="13" t="str">
        <f t="shared" si="107"/>
        <v/>
      </c>
      <c r="BK1256" s="10" t="str">
        <f t="shared" si="108"/>
        <v/>
      </c>
      <c r="BL1256" s="10" t="str">
        <f t="shared" si="109"/>
        <v/>
      </c>
    </row>
    <row r="1257" spans="62:64" x14ac:dyDescent="0.25">
      <c r="BJ1257" s="13" t="str">
        <f t="shared" si="107"/>
        <v/>
      </c>
      <c r="BK1257" s="10" t="str">
        <f t="shared" si="108"/>
        <v/>
      </c>
      <c r="BL1257" s="10" t="str">
        <f t="shared" si="109"/>
        <v/>
      </c>
    </row>
    <row r="1258" spans="62:64" x14ac:dyDescent="0.25">
      <c r="BJ1258" s="13" t="str">
        <f t="shared" si="107"/>
        <v/>
      </c>
      <c r="BK1258" s="10" t="str">
        <f t="shared" si="108"/>
        <v/>
      </c>
      <c r="BL1258" s="10" t="str">
        <f t="shared" si="109"/>
        <v/>
      </c>
    </row>
    <row r="1259" spans="62:64" x14ac:dyDescent="0.25">
      <c r="BJ1259" s="13" t="str">
        <f t="shared" si="107"/>
        <v/>
      </c>
      <c r="BK1259" s="10" t="str">
        <f t="shared" si="108"/>
        <v/>
      </c>
      <c r="BL1259" s="10" t="str">
        <f t="shared" si="109"/>
        <v/>
      </c>
    </row>
    <row r="1260" spans="62:64" x14ac:dyDescent="0.25">
      <c r="BJ1260" s="13" t="str">
        <f t="shared" si="107"/>
        <v/>
      </c>
      <c r="BK1260" s="10" t="str">
        <f t="shared" si="108"/>
        <v/>
      </c>
      <c r="BL1260" s="10" t="str">
        <f t="shared" si="109"/>
        <v/>
      </c>
    </row>
    <row r="1261" spans="62:64" x14ac:dyDescent="0.25">
      <c r="BJ1261" s="13" t="str">
        <f t="shared" si="107"/>
        <v/>
      </c>
      <c r="BK1261" s="10" t="str">
        <f t="shared" si="108"/>
        <v/>
      </c>
      <c r="BL1261" s="10" t="str">
        <f t="shared" si="109"/>
        <v/>
      </c>
    </row>
    <row r="1262" spans="62:64" x14ac:dyDescent="0.25">
      <c r="BJ1262" s="13" t="str">
        <f t="shared" si="107"/>
        <v/>
      </c>
      <c r="BK1262" s="10" t="str">
        <f t="shared" si="108"/>
        <v/>
      </c>
      <c r="BL1262" s="10" t="str">
        <f t="shared" si="109"/>
        <v/>
      </c>
    </row>
    <row r="1263" spans="62:64" x14ac:dyDescent="0.25">
      <c r="BJ1263" s="13" t="str">
        <f t="shared" si="107"/>
        <v/>
      </c>
      <c r="BK1263" s="10" t="str">
        <f t="shared" si="108"/>
        <v/>
      </c>
      <c r="BL1263" s="10" t="str">
        <f t="shared" si="109"/>
        <v/>
      </c>
    </row>
    <row r="1264" spans="62:64" x14ac:dyDescent="0.25">
      <c r="BJ1264" s="13" t="str">
        <f t="shared" si="107"/>
        <v/>
      </c>
      <c r="BK1264" s="10" t="str">
        <f t="shared" si="108"/>
        <v/>
      </c>
      <c r="BL1264" s="10" t="str">
        <f t="shared" si="109"/>
        <v/>
      </c>
    </row>
    <row r="1265" spans="62:64" x14ac:dyDescent="0.25">
      <c r="BJ1265" s="13" t="str">
        <f t="shared" si="107"/>
        <v/>
      </c>
      <c r="BK1265" s="10" t="str">
        <f t="shared" si="108"/>
        <v/>
      </c>
      <c r="BL1265" s="10" t="str">
        <f t="shared" si="109"/>
        <v/>
      </c>
    </row>
    <row r="1266" spans="62:64" x14ac:dyDescent="0.25">
      <c r="BJ1266" s="13" t="str">
        <f t="shared" si="107"/>
        <v/>
      </c>
      <c r="BK1266" s="10" t="str">
        <f t="shared" si="108"/>
        <v/>
      </c>
      <c r="BL1266" s="10" t="str">
        <f t="shared" si="109"/>
        <v/>
      </c>
    </row>
    <row r="1267" spans="62:64" x14ac:dyDescent="0.25">
      <c r="BJ1267" s="13" t="str">
        <f t="shared" si="107"/>
        <v/>
      </c>
      <c r="BK1267" s="10" t="str">
        <f t="shared" si="108"/>
        <v/>
      </c>
      <c r="BL1267" s="10" t="str">
        <f t="shared" si="109"/>
        <v/>
      </c>
    </row>
    <row r="1268" spans="62:64" x14ac:dyDescent="0.25">
      <c r="BJ1268" s="13" t="str">
        <f t="shared" si="107"/>
        <v/>
      </c>
      <c r="BK1268" s="10" t="str">
        <f t="shared" si="108"/>
        <v/>
      </c>
      <c r="BL1268" s="10" t="str">
        <f t="shared" si="109"/>
        <v/>
      </c>
    </row>
    <row r="1269" spans="62:64" x14ac:dyDescent="0.25">
      <c r="BJ1269" s="13" t="str">
        <f t="shared" si="107"/>
        <v/>
      </c>
      <c r="BK1269" s="10" t="str">
        <f t="shared" si="108"/>
        <v/>
      </c>
      <c r="BL1269" s="10" t="str">
        <f t="shared" si="109"/>
        <v/>
      </c>
    </row>
    <row r="1270" spans="62:64" x14ac:dyDescent="0.25">
      <c r="BJ1270" s="13" t="str">
        <f t="shared" si="107"/>
        <v/>
      </c>
      <c r="BK1270" s="10" t="str">
        <f t="shared" si="108"/>
        <v/>
      </c>
      <c r="BL1270" s="10" t="str">
        <f t="shared" si="109"/>
        <v/>
      </c>
    </row>
    <row r="1271" spans="62:64" x14ac:dyDescent="0.25">
      <c r="BJ1271" s="13" t="str">
        <f t="shared" si="107"/>
        <v/>
      </c>
      <c r="BK1271" s="10" t="str">
        <f t="shared" si="108"/>
        <v/>
      </c>
      <c r="BL1271" s="10" t="str">
        <f t="shared" si="109"/>
        <v/>
      </c>
    </row>
    <row r="1272" spans="62:64" x14ac:dyDescent="0.25">
      <c r="BJ1272" s="13" t="str">
        <f t="shared" si="107"/>
        <v/>
      </c>
      <c r="BK1272" s="10" t="str">
        <f t="shared" si="108"/>
        <v/>
      </c>
      <c r="BL1272" s="10" t="str">
        <f t="shared" si="109"/>
        <v/>
      </c>
    </row>
    <row r="1273" spans="62:64" x14ac:dyDescent="0.25">
      <c r="BJ1273" s="13" t="str">
        <f t="shared" si="107"/>
        <v/>
      </c>
      <c r="BK1273" s="10" t="str">
        <f t="shared" si="108"/>
        <v/>
      </c>
      <c r="BL1273" s="10" t="str">
        <f t="shared" si="109"/>
        <v/>
      </c>
    </row>
    <row r="1274" spans="62:64" x14ac:dyDescent="0.25">
      <c r="BJ1274" s="13" t="str">
        <f t="shared" si="107"/>
        <v/>
      </c>
      <c r="BK1274" s="10" t="str">
        <f t="shared" si="108"/>
        <v/>
      </c>
      <c r="BL1274" s="10" t="str">
        <f t="shared" si="109"/>
        <v/>
      </c>
    </row>
    <row r="1275" spans="62:64" x14ac:dyDescent="0.25">
      <c r="BJ1275" s="13" t="str">
        <f t="shared" si="107"/>
        <v/>
      </c>
      <c r="BK1275" s="10" t="str">
        <f t="shared" si="108"/>
        <v/>
      </c>
      <c r="BL1275" s="10" t="str">
        <f t="shared" si="109"/>
        <v/>
      </c>
    </row>
    <row r="1276" spans="62:64" x14ac:dyDescent="0.25">
      <c r="BJ1276" s="13" t="str">
        <f t="shared" si="107"/>
        <v/>
      </c>
      <c r="BK1276" s="10" t="str">
        <f t="shared" si="108"/>
        <v/>
      </c>
      <c r="BL1276" s="10" t="str">
        <f t="shared" si="109"/>
        <v/>
      </c>
    </row>
    <row r="1277" spans="62:64" x14ac:dyDescent="0.25">
      <c r="BJ1277" s="13" t="str">
        <f t="shared" si="107"/>
        <v/>
      </c>
      <c r="BK1277" s="10" t="str">
        <f t="shared" si="108"/>
        <v/>
      </c>
      <c r="BL1277" s="10" t="str">
        <f t="shared" si="109"/>
        <v/>
      </c>
    </row>
    <row r="1278" spans="62:64" x14ac:dyDescent="0.25">
      <c r="BJ1278" s="13" t="str">
        <f t="shared" si="107"/>
        <v/>
      </c>
      <c r="BK1278" s="10" t="str">
        <f t="shared" si="108"/>
        <v/>
      </c>
      <c r="BL1278" s="10" t="str">
        <f t="shared" si="109"/>
        <v/>
      </c>
    </row>
    <row r="1279" spans="62:64" x14ac:dyDescent="0.25">
      <c r="BJ1279" s="13" t="str">
        <f t="shared" si="107"/>
        <v/>
      </c>
      <c r="BK1279" s="10" t="str">
        <f t="shared" si="108"/>
        <v/>
      </c>
      <c r="BL1279" s="10" t="str">
        <f t="shared" si="109"/>
        <v/>
      </c>
    </row>
    <row r="1280" spans="62:64" x14ac:dyDescent="0.25">
      <c r="BJ1280" s="13" t="str">
        <f t="shared" si="107"/>
        <v/>
      </c>
      <c r="BK1280" s="10" t="str">
        <f t="shared" si="108"/>
        <v/>
      </c>
      <c r="BL1280" s="10" t="str">
        <f t="shared" si="109"/>
        <v/>
      </c>
    </row>
    <row r="1281" spans="62:64" x14ac:dyDescent="0.25">
      <c r="BJ1281" s="13" t="str">
        <f t="shared" si="107"/>
        <v/>
      </c>
      <c r="BK1281" s="10" t="str">
        <f t="shared" si="108"/>
        <v/>
      </c>
      <c r="BL1281" s="10" t="str">
        <f t="shared" si="109"/>
        <v/>
      </c>
    </row>
    <row r="1282" spans="62:64" x14ac:dyDescent="0.25">
      <c r="BJ1282" s="13" t="str">
        <f t="shared" si="107"/>
        <v/>
      </c>
      <c r="BK1282" s="10" t="str">
        <f t="shared" si="108"/>
        <v/>
      </c>
      <c r="BL1282" s="10" t="str">
        <f t="shared" si="109"/>
        <v/>
      </c>
    </row>
    <row r="1283" spans="62:64" x14ac:dyDescent="0.25">
      <c r="BJ1283" s="13" t="str">
        <f t="shared" si="107"/>
        <v/>
      </c>
      <c r="BK1283" s="10" t="str">
        <f t="shared" si="108"/>
        <v/>
      </c>
      <c r="BL1283" s="10" t="str">
        <f t="shared" si="109"/>
        <v/>
      </c>
    </row>
    <row r="1284" spans="62:64" x14ac:dyDescent="0.25">
      <c r="BJ1284" s="13" t="str">
        <f t="shared" si="107"/>
        <v/>
      </c>
      <c r="BK1284" s="10" t="str">
        <f t="shared" si="108"/>
        <v/>
      </c>
      <c r="BL1284" s="10" t="str">
        <f t="shared" si="109"/>
        <v/>
      </c>
    </row>
    <row r="1285" spans="62:64" x14ac:dyDescent="0.25">
      <c r="BJ1285" s="13" t="str">
        <f t="shared" si="107"/>
        <v/>
      </c>
      <c r="BK1285" s="10" t="str">
        <f t="shared" si="108"/>
        <v/>
      </c>
      <c r="BL1285" s="10" t="str">
        <f t="shared" si="109"/>
        <v/>
      </c>
    </row>
    <row r="1286" spans="62:64" x14ac:dyDescent="0.25">
      <c r="BJ1286" s="13" t="str">
        <f t="shared" ref="BJ1286:BJ1349" si="110">IF(ROW()-BJ$3&lt;=$BJ$4,ROW()-ROW(BJ$4),"")</f>
        <v/>
      </c>
      <c r="BK1286" s="10" t="str">
        <f t="shared" si="108"/>
        <v/>
      </c>
      <c r="BL1286" s="10" t="str">
        <f t="shared" si="109"/>
        <v/>
      </c>
    </row>
    <row r="1287" spans="62:64" x14ac:dyDescent="0.25">
      <c r="BJ1287" s="13" t="str">
        <f t="shared" si="110"/>
        <v/>
      </c>
      <c r="BK1287" s="10" t="str">
        <f t="shared" ref="BK1287:BK1350" si="111">IF(ISNUMBER(BJ1287),INT(BJ1286/$BL$4)+1,"")</f>
        <v/>
      </c>
      <c r="BL1287" s="10" t="str">
        <f t="shared" ref="BL1287:BL1350" si="112">IF(ISNUMBER(BJ1287),IF(BK1286&lt;&gt;BK1287,1,BL1286+1),"")</f>
        <v/>
      </c>
    </row>
    <row r="1288" spans="62:64" x14ac:dyDescent="0.25">
      <c r="BJ1288" s="13" t="str">
        <f t="shared" si="110"/>
        <v/>
      </c>
      <c r="BK1288" s="10" t="str">
        <f t="shared" si="111"/>
        <v/>
      </c>
      <c r="BL1288" s="10" t="str">
        <f t="shared" si="112"/>
        <v/>
      </c>
    </row>
    <row r="1289" spans="62:64" x14ac:dyDescent="0.25">
      <c r="BJ1289" s="13" t="str">
        <f t="shared" si="110"/>
        <v/>
      </c>
      <c r="BK1289" s="10" t="str">
        <f t="shared" si="111"/>
        <v/>
      </c>
      <c r="BL1289" s="10" t="str">
        <f t="shared" si="112"/>
        <v/>
      </c>
    </row>
    <row r="1290" spans="62:64" x14ac:dyDescent="0.25">
      <c r="BJ1290" s="13" t="str">
        <f t="shared" si="110"/>
        <v/>
      </c>
      <c r="BK1290" s="10" t="str">
        <f t="shared" si="111"/>
        <v/>
      </c>
      <c r="BL1290" s="10" t="str">
        <f t="shared" si="112"/>
        <v/>
      </c>
    </row>
    <row r="1291" spans="62:64" x14ac:dyDescent="0.25">
      <c r="BJ1291" s="13" t="str">
        <f t="shared" si="110"/>
        <v/>
      </c>
      <c r="BK1291" s="10" t="str">
        <f t="shared" si="111"/>
        <v/>
      </c>
      <c r="BL1291" s="10" t="str">
        <f t="shared" si="112"/>
        <v/>
      </c>
    </row>
    <row r="1292" spans="62:64" x14ac:dyDescent="0.25">
      <c r="BJ1292" s="13" t="str">
        <f t="shared" si="110"/>
        <v/>
      </c>
      <c r="BK1292" s="10" t="str">
        <f t="shared" si="111"/>
        <v/>
      </c>
      <c r="BL1292" s="10" t="str">
        <f t="shared" si="112"/>
        <v/>
      </c>
    </row>
    <row r="1293" spans="62:64" x14ac:dyDescent="0.25">
      <c r="BJ1293" s="13" t="str">
        <f t="shared" si="110"/>
        <v/>
      </c>
      <c r="BK1293" s="10" t="str">
        <f t="shared" si="111"/>
        <v/>
      </c>
      <c r="BL1293" s="10" t="str">
        <f t="shared" si="112"/>
        <v/>
      </c>
    </row>
    <row r="1294" spans="62:64" x14ac:dyDescent="0.25">
      <c r="BJ1294" s="13" t="str">
        <f t="shared" si="110"/>
        <v/>
      </c>
      <c r="BK1294" s="10" t="str">
        <f t="shared" si="111"/>
        <v/>
      </c>
      <c r="BL1294" s="10" t="str">
        <f t="shared" si="112"/>
        <v/>
      </c>
    </row>
    <row r="1295" spans="62:64" x14ac:dyDescent="0.25">
      <c r="BJ1295" s="13" t="str">
        <f t="shared" si="110"/>
        <v/>
      </c>
      <c r="BK1295" s="10" t="str">
        <f t="shared" si="111"/>
        <v/>
      </c>
      <c r="BL1295" s="10" t="str">
        <f t="shared" si="112"/>
        <v/>
      </c>
    </row>
    <row r="1296" spans="62:64" x14ac:dyDescent="0.25">
      <c r="BJ1296" s="13" t="str">
        <f t="shared" si="110"/>
        <v/>
      </c>
      <c r="BK1296" s="10" t="str">
        <f t="shared" si="111"/>
        <v/>
      </c>
      <c r="BL1296" s="10" t="str">
        <f t="shared" si="112"/>
        <v/>
      </c>
    </row>
    <row r="1297" spans="62:64" x14ac:dyDescent="0.25">
      <c r="BJ1297" s="13" t="str">
        <f t="shared" si="110"/>
        <v/>
      </c>
      <c r="BK1297" s="10" t="str">
        <f t="shared" si="111"/>
        <v/>
      </c>
      <c r="BL1297" s="10" t="str">
        <f t="shared" si="112"/>
        <v/>
      </c>
    </row>
    <row r="1298" spans="62:64" x14ac:dyDescent="0.25">
      <c r="BJ1298" s="13" t="str">
        <f t="shared" si="110"/>
        <v/>
      </c>
      <c r="BK1298" s="10" t="str">
        <f t="shared" si="111"/>
        <v/>
      </c>
      <c r="BL1298" s="10" t="str">
        <f t="shared" si="112"/>
        <v/>
      </c>
    </row>
    <row r="1299" spans="62:64" x14ac:dyDescent="0.25">
      <c r="BJ1299" s="13" t="str">
        <f t="shared" si="110"/>
        <v/>
      </c>
      <c r="BK1299" s="10" t="str">
        <f t="shared" si="111"/>
        <v/>
      </c>
      <c r="BL1299" s="10" t="str">
        <f t="shared" si="112"/>
        <v/>
      </c>
    </row>
    <row r="1300" spans="62:64" x14ac:dyDescent="0.25">
      <c r="BJ1300" s="13" t="str">
        <f t="shared" si="110"/>
        <v/>
      </c>
      <c r="BK1300" s="10" t="str">
        <f t="shared" si="111"/>
        <v/>
      </c>
      <c r="BL1300" s="10" t="str">
        <f t="shared" si="112"/>
        <v/>
      </c>
    </row>
    <row r="1301" spans="62:64" x14ac:dyDescent="0.25">
      <c r="BJ1301" s="13" t="str">
        <f t="shared" si="110"/>
        <v/>
      </c>
      <c r="BK1301" s="10" t="str">
        <f t="shared" si="111"/>
        <v/>
      </c>
      <c r="BL1301" s="10" t="str">
        <f t="shared" si="112"/>
        <v/>
      </c>
    </row>
    <row r="1302" spans="62:64" x14ac:dyDescent="0.25">
      <c r="BJ1302" s="13" t="str">
        <f t="shared" si="110"/>
        <v/>
      </c>
      <c r="BK1302" s="10" t="str">
        <f t="shared" si="111"/>
        <v/>
      </c>
      <c r="BL1302" s="10" t="str">
        <f t="shared" si="112"/>
        <v/>
      </c>
    </row>
    <row r="1303" spans="62:64" x14ac:dyDescent="0.25">
      <c r="BJ1303" s="13" t="str">
        <f t="shared" si="110"/>
        <v/>
      </c>
      <c r="BK1303" s="10" t="str">
        <f t="shared" si="111"/>
        <v/>
      </c>
      <c r="BL1303" s="10" t="str">
        <f t="shared" si="112"/>
        <v/>
      </c>
    </row>
    <row r="1304" spans="62:64" x14ac:dyDescent="0.25">
      <c r="BJ1304" s="13" t="str">
        <f t="shared" si="110"/>
        <v/>
      </c>
      <c r="BK1304" s="10" t="str">
        <f t="shared" si="111"/>
        <v/>
      </c>
      <c r="BL1304" s="10" t="str">
        <f t="shared" si="112"/>
        <v/>
      </c>
    </row>
    <row r="1305" spans="62:64" x14ac:dyDescent="0.25">
      <c r="BJ1305" s="13" t="str">
        <f t="shared" si="110"/>
        <v/>
      </c>
      <c r="BK1305" s="10" t="str">
        <f t="shared" si="111"/>
        <v/>
      </c>
      <c r="BL1305" s="10" t="str">
        <f t="shared" si="112"/>
        <v/>
      </c>
    </row>
    <row r="1306" spans="62:64" x14ac:dyDescent="0.25">
      <c r="BJ1306" s="13" t="str">
        <f t="shared" si="110"/>
        <v/>
      </c>
      <c r="BK1306" s="10" t="str">
        <f t="shared" si="111"/>
        <v/>
      </c>
      <c r="BL1306" s="10" t="str">
        <f t="shared" si="112"/>
        <v/>
      </c>
    </row>
    <row r="1307" spans="62:64" x14ac:dyDescent="0.25">
      <c r="BJ1307" s="13" t="str">
        <f t="shared" si="110"/>
        <v/>
      </c>
      <c r="BK1307" s="10" t="str">
        <f t="shared" si="111"/>
        <v/>
      </c>
      <c r="BL1307" s="10" t="str">
        <f t="shared" si="112"/>
        <v/>
      </c>
    </row>
    <row r="1308" spans="62:64" x14ac:dyDescent="0.25">
      <c r="BJ1308" s="13" t="str">
        <f t="shared" si="110"/>
        <v/>
      </c>
      <c r="BK1308" s="10" t="str">
        <f t="shared" si="111"/>
        <v/>
      </c>
      <c r="BL1308" s="10" t="str">
        <f t="shared" si="112"/>
        <v/>
      </c>
    </row>
    <row r="1309" spans="62:64" x14ac:dyDescent="0.25">
      <c r="BJ1309" s="13" t="str">
        <f t="shared" si="110"/>
        <v/>
      </c>
      <c r="BK1309" s="10" t="str">
        <f t="shared" si="111"/>
        <v/>
      </c>
      <c r="BL1309" s="10" t="str">
        <f t="shared" si="112"/>
        <v/>
      </c>
    </row>
    <row r="1310" spans="62:64" x14ac:dyDescent="0.25">
      <c r="BJ1310" s="13" t="str">
        <f t="shared" si="110"/>
        <v/>
      </c>
      <c r="BK1310" s="10" t="str">
        <f t="shared" si="111"/>
        <v/>
      </c>
      <c r="BL1310" s="10" t="str">
        <f t="shared" si="112"/>
        <v/>
      </c>
    </row>
    <row r="1311" spans="62:64" x14ac:dyDescent="0.25">
      <c r="BJ1311" s="13" t="str">
        <f t="shared" si="110"/>
        <v/>
      </c>
      <c r="BK1311" s="10" t="str">
        <f t="shared" si="111"/>
        <v/>
      </c>
      <c r="BL1311" s="10" t="str">
        <f t="shared" si="112"/>
        <v/>
      </c>
    </row>
    <row r="1312" spans="62:64" x14ac:dyDescent="0.25">
      <c r="BJ1312" s="13" t="str">
        <f t="shared" si="110"/>
        <v/>
      </c>
      <c r="BK1312" s="10" t="str">
        <f t="shared" si="111"/>
        <v/>
      </c>
      <c r="BL1312" s="10" t="str">
        <f t="shared" si="112"/>
        <v/>
      </c>
    </row>
    <row r="1313" spans="62:64" x14ac:dyDescent="0.25">
      <c r="BJ1313" s="13" t="str">
        <f t="shared" si="110"/>
        <v/>
      </c>
      <c r="BK1313" s="10" t="str">
        <f t="shared" si="111"/>
        <v/>
      </c>
      <c r="BL1313" s="10" t="str">
        <f t="shared" si="112"/>
        <v/>
      </c>
    </row>
    <row r="1314" spans="62:64" x14ac:dyDescent="0.25">
      <c r="BJ1314" s="13" t="str">
        <f t="shared" si="110"/>
        <v/>
      </c>
      <c r="BK1314" s="10" t="str">
        <f t="shared" si="111"/>
        <v/>
      </c>
      <c r="BL1314" s="10" t="str">
        <f t="shared" si="112"/>
        <v/>
      </c>
    </row>
    <row r="1315" spans="62:64" x14ac:dyDescent="0.25">
      <c r="BJ1315" s="13" t="str">
        <f t="shared" si="110"/>
        <v/>
      </c>
      <c r="BK1315" s="10" t="str">
        <f t="shared" si="111"/>
        <v/>
      </c>
      <c r="BL1315" s="10" t="str">
        <f t="shared" si="112"/>
        <v/>
      </c>
    </row>
    <row r="1316" spans="62:64" x14ac:dyDescent="0.25">
      <c r="BJ1316" s="13" t="str">
        <f t="shared" si="110"/>
        <v/>
      </c>
      <c r="BK1316" s="10" t="str">
        <f t="shared" si="111"/>
        <v/>
      </c>
      <c r="BL1316" s="10" t="str">
        <f t="shared" si="112"/>
        <v/>
      </c>
    </row>
    <row r="1317" spans="62:64" x14ac:dyDescent="0.25">
      <c r="BJ1317" s="13" t="str">
        <f t="shared" si="110"/>
        <v/>
      </c>
      <c r="BK1317" s="10" t="str">
        <f t="shared" si="111"/>
        <v/>
      </c>
      <c r="BL1317" s="10" t="str">
        <f t="shared" si="112"/>
        <v/>
      </c>
    </row>
    <row r="1318" spans="62:64" x14ac:dyDescent="0.25">
      <c r="BJ1318" s="13" t="str">
        <f t="shared" si="110"/>
        <v/>
      </c>
      <c r="BK1318" s="10" t="str">
        <f t="shared" si="111"/>
        <v/>
      </c>
      <c r="BL1318" s="10" t="str">
        <f t="shared" si="112"/>
        <v/>
      </c>
    </row>
    <row r="1319" spans="62:64" x14ac:dyDescent="0.25">
      <c r="BJ1319" s="13" t="str">
        <f t="shared" si="110"/>
        <v/>
      </c>
      <c r="BK1319" s="10" t="str">
        <f t="shared" si="111"/>
        <v/>
      </c>
      <c r="BL1319" s="10" t="str">
        <f t="shared" si="112"/>
        <v/>
      </c>
    </row>
    <row r="1320" spans="62:64" x14ac:dyDescent="0.25">
      <c r="BJ1320" s="13" t="str">
        <f t="shared" si="110"/>
        <v/>
      </c>
      <c r="BK1320" s="10" t="str">
        <f t="shared" si="111"/>
        <v/>
      </c>
      <c r="BL1320" s="10" t="str">
        <f t="shared" si="112"/>
        <v/>
      </c>
    </row>
    <row r="1321" spans="62:64" x14ac:dyDescent="0.25">
      <c r="BJ1321" s="13" t="str">
        <f t="shared" si="110"/>
        <v/>
      </c>
      <c r="BK1321" s="10" t="str">
        <f t="shared" si="111"/>
        <v/>
      </c>
      <c r="BL1321" s="10" t="str">
        <f t="shared" si="112"/>
        <v/>
      </c>
    </row>
    <row r="1322" spans="62:64" x14ac:dyDescent="0.25">
      <c r="BJ1322" s="13" t="str">
        <f t="shared" si="110"/>
        <v/>
      </c>
      <c r="BK1322" s="10" t="str">
        <f t="shared" si="111"/>
        <v/>
      </c>
      <c r="BL1322" s="10" t="str">
        <f t="shared" si="112"/>
        <v/>
      </c>
    </row>
    <row r="1323" spans="62:64" x14ac:dyDescent="0.25">
      <c r="BJ1323" s="13" t="str">
        <f t="shared" si="110"/>
        <v/>
      </c>
      <c r="BK1323" s="10" t="str">
        <f t="shared" si="111"/>
        <v/>
      </c>
      <c r="BL1323" s="10" t="str">
        <f t="shared" si="112"/>
        <v/>
      </c>
    </row>
    <row r="1324" spans="62:64" x14ac:dyDescent="0.25">
      <c r="BJ1324" s="13" t="str">
        <f t="shared" si="110"/>
        <v/>
      </c>
      <c r="BK1324" s="10" t="str">
        <f t="shared" si="111"/>
        <v/>
      </c>
      <c r="BL1324" s="10" t="str">
        <f t="shared" si="112"/>
        <v/>
      </c>
    </row>
    <row r="1325" spans="62:64" x14ac:dyDescent="0.25">
      <c r="BJ1325" s="13" t="str">
        <f t="shared" si="110"/>
        <v/>
      </c>
      <c r="BK1325" s="10" t="str">
        <f t="shared" si="111"/>
        <v/>
      </c>
      <c r="BL1325" s="10" t="str">
        <f t="shared" si="112"/>
        <v/>
      </c>
    </row>
    <row r="1326" spans="62:64" x14ac:dyDescent="0.25">
      <c r="BJ1326" s="13" t="str">
        <f t="shared" si="110"/>
        <v/>
      </c>
      <c r="BK1326" s="10" t="str">
        <f t="shared" si="111"/>
        <v/>
      </c>
      <c r="BL1326" s="10" t="str">
        <f t="shared" si="112"/>
        <v/>
      </c>
    </row>
    <row r="1327" spans="62:64" x14ac:dyDescent="0.25">
      <c r="BJ1327" s="13" t="str">
        <f t="shared" si="110"/>
        <v/>
      </c>
      <c r="BK1327" s="10" t="str">
        <f t="shared" si="111"/>
        <v/>
      </c>
      <c r="BL1327" s="10" t="str">
        <f t="shared" si="112"/>
        <v/>
      </c>
    </row>
    <row r="1328" spans="62:64" x14ac:dyDescent="0.25">
      <c r="BJ1328" s="13" t="str">
        <f t="shared" si="110"/>
        <v/>
      </c>
      <c r="BK1328" s="10" t="str">
        <f t="shared" si="111"/>
        <v/>
      </c>
      <c r="BL1328" s="10" t="str">
        <f t="shared" si="112"/>
        <v/>
      </c>
    </row>
    <row r="1329" spans="62:64" x14ac:dyDescent="0.25">
      <c r="BJ1329" s="13" t="str">
        <f t="shared" si="110"/>
        <v/>
      </c>
      <c r="BK1329" s="10" t="str">
        <f t="shared" si="111"/>
        <v/>
      </c>
      <c r="BL1329" s="10" t="str">
        <f t="shared" si="112"/>
        <v/>
      </c>
    </row>
    <row r="1330" spans="62:64" x14ac:dyDescent="0.25">
      <c r="BJ1330" s="13" t="str">
        <f t="shared" si="110"/>
        <v/>
      </c>
      <c r="BK1330" s="10" t="str">
        <f t="shared" si="111"/>
        <v/>
      </c>
      <c r="BL1330" s="10" t="str">
        <f t="shared" si="112"/>
        <v/>
      </c>
    </row>
    <row r="1331" spans="62:64" x14ac:dyDescent="0.25">
      <c r="BJ1331" s="13" t="str">
        <f t="shared" si="110"/>
        <v/>
      </c>
      <c r="BK1331" s="10" t="str">
        <f t="shared" si="111"/>
        <v/>
      </c>
      <c r="BL1331" s="10" t="str">
        <f t="shared" si="112"/>
        <v/>
      </c>
    </row>
    <row r="1332" spans="62:64" x14ac:dyDescent="0.25">
      <c r="BJ1332" s="13" t="str">
        <f t="shared" si="110"/>
        <v/>
      </c>
      <c r="BK1332" s="10" t="str">
        <f t="shared" si="111"/>
        <v/>
      </c>
      <c r="BL1332" s="10" t="str">
        <f t="shared" si="112"/>
        <v/>
      </c>
    </row>
    <row r="1333" spans="62:64" x14ac:dyDescent="0.25">
      <c r="BJ1333" s="13" t="str">
        <f t="shared" si="110"/>
        <v/>
      </c>
      <c r="BK1333" s="10" t="str">
        <f t="shared" si="111"/>
        <v/>
      </c>
      <c r="BL1333" s="10" t="str">
        <f t="shared" si="112"/>
        <v/>
      </c>
    </row>
    <row r="1334" spans="62:64" x14ac:dyDescent="0.25">
      <c r="BJ1334" s="13" t="str">
        <f t="shared" si="110"/>
        <v/>
      </c>
      <c r="BK1334" s="10" t="str">
        <f t="shared" si="111"/>
        <v/>
      </c>
      <c r="BL1334" s="10" t="str">
        <f t="shared" si="112"/>
        <v/>
      </c>
    </row>
    <row r="1335" spans="62:64" x14ac:dyDescent="0.25">
      <c r="BJ1335" s="13" t="str">
        <f t="shared" si="110"/>
        <v/>
      </c>
      <c r="BK1335" s="10" t="str">
        <f t="shared" si="111"/>
        <v/>
      </c>
      <c r="BL1335" s="10" t="str">
        <f t="shared" si="112"/>
        <v/>
      </c>
    </row>
    <row r="1336" spans="62:64" x14ac:dyDescent="0.25">
      <c r="BJ1336" s="13" t="str">
        <f t="shared" si="110"/>
        <v/>
      </c>
      <c r="BK1336" s="10" t="str">
        <f t="shared" si="111"/>
        <v/>
      </c>
      <c r="BL1336" s="10" t="str">
        <f t="shared" si="112"/>
        <v/>
      </c>
    </row>
    <row r="1337" spans="62:64" x14ac:dyDescent="0.25">
      <c r="BJ1337" s="13" t="str">
        <f t="shared" si="110"/>
        <v/>
      </c>
      <c r="BK1337" s="10" t="str">
        <f t="shared" si="111"/>
        <v/>
      </c>
      <c r="BL1337" s="10" t="str">
        <f t="shared" si="112"/>
        <v/>
      </c>
    </row>
    <row r="1338" spans="62:64" x14ac:dyDescent="0.25">
      <c r="BJ1338" s="13" t="str">
        <f t="shared" si="110"/>
        <v/>
      </c>
      <c r="BK1338" s="10" t="str">
        <f t="shared" si="111"/>
        <v/>
      </c>
      <c r="BL1338" s="10" t="str">
        <f t="shared" si="112"/>
        <v/>
      </c>
    </row>
    <row r="1339" spans="62:64" x14ac:dyDescent="0.25">
      <c r="BJ1339" s="13" t="str">
        <f t="shared" si="110"/>
        <v/>
      </c>
      <c r="BK1339" s="10" t="str">
        <f t="shared" si="111"/>
        <v/>
      </c>
      <c r="BL1339" s="10" t="str">
        <f t="shared" si="112"/>
        <v/>
      </c>
    </row>
    <row r="1340" spans="62:64" x14ac:dyDescent="0.25">
      <c r="BJ1340" s="13" t="str">
        <f t="shared" si="110"/>
        <v/>
      </c>
      <c r="BK1340" s="10" t="str">
        <f t="shared" si="111"/>
        <v/>
      </c>
      <c r="BL1340" s="10" t="str">
        <f t="shared" si="112"/>
        <v/>
      </c>
    </row>
    <row r="1341" spans="62:64" x14ac:dyDescent="0.25">
      <c r="BJ1341" s="13" t="str">
        <f t="shared" si="110"/>
        <v/>
      </c>
      <c r="BK1341" s="10" t="str">
        <f t="shared" si="111"/>
        <v/>
      </c>
      <c r="BL1341" s="10" t="str">
        <f t="shared" si="112"/>
        <v/>
      </c>
    </row>
    <row r="1342" spans="62:64" x14ac:dyDescent="0.25">
      <c r="BJ1342" s="13" t="str">
        <f t="shared" si="110"/>
        <v/>
      </c>
      <c r="BK1342" s="10" t="str">
        <f t="shared" si="111"/>
        <v/>
      </c>
      <c r="BL1342" s="10" t="str">
        <f t="shared" si="112"/>
        <v/>
      </c>
    </row>
    <row r="1343" spans="62:64" x14ac:dyDescent="0.25">
      <c r="BJ1343" s="13" t="str">
        <f t="shared" si="110"/>
        <v/>
      </c>
      <c r="BK1343" s="10" t="str">
        <f t="shared" si="111"/>
        <v/>
      </c>
      <c r="BL1343" s="10" t="str">
        <f t="shared" si="112"/>
        <v/>
      </c>
    </row>
    <row r="1344" spans="62:64" x14ac:dyDescent="0.25">
      <c r="BJ1344" s="13" t="str">
        <f t="shared" si="110"/>
        <v/>
      </c>
      <c r="BK1344" s="10" t="str">
        <f t="shared" si="111"/>
        <v/>
      </c>
      <c r="BL1344" s="10" t="str">
        <f t="shared" si="112"/>
        <v/>
      </c>
    </row>
    <row r="1345" spans="62:64" x14ac:dyDescent="0.25">
      <c r="BJ1345" s="13" t="str">
        <f t="shared" si="110"/>
        <v/>
      </c>
      <c r="BK1345" s="10" t="str">
        <f t="shared" si="111"/>
        <v/>
      </c>
      <c r="BL1345" s="10" t="str">
        <f t="shared" si="112"/>
        <v/>
      </c>
    </row>
    <row r="1346" spans="62:64" x14ac:dyDescent="0.25">
      <c r="BJ1346" s="13" t="str">
        <f t="shared" si="110"/>
        <v/>
      </c>
      <c r="BK1346" s="10" t="str">
        <f t="shared" si="111"/>
        <v/>
      </c>
      <c r="BL1346" s="10" t="str">
        <f t="shared" si="112"/>
        <v/>
      </c>
    </row>
    <row r="1347" spans="62:64" x14ac:dyDescent="0.25">
      <c r="BJ1347" s="13" t="str">
        <f t="shared" si="110"/>
        <v/>
      </c>
      <c r="BK1347" s="10" t="str">
        <f t="shared" si="111"/>
        <v/>
      </c>
      <c r="BL1347" s="10" t="str">
        <f t="shared" si="112"/>
        <v/>
      </c>
    </row>
    <row r="1348" spans="62:64" x14ac:dyDescent="0.25">
      <c r="BJ1348" s="13" t="str">
        <f t="shared" si="110"/>
        <v/>
      </c>
      <c r="BK1348" s="10" t="str">
        <f t="shared" si="111"/>
        <v/>
      </c>
      <c r="BL1348" s="10" t="str">
        <f t="shared" si="112"/>
        <v/>
      </c>
    </row>
    <row r="1349" spans="62:64" x14ac:dyDescent="0.25">
      <c r="BJ1349" s="13" t="str">
        <f t="shared" si="110"/>
        <v/>
      </c>
      <c r="BK1349" s="10" t="str">
        <f t="shared" si="111"/>
        <v/>
      </c>
      <c r="BL1349" s="10" t="str">
        <f t="shared" si="112"/>
        <v/>
      </c>
    </row>
    <row r="1350" spans="62:64" x14ac:dyDescent="0.25">
      <c r="BJ1350" s="13" t="str">
        <f t="shared" ref="BJ1350:BJ1413" si="113">IF(ROW()-BJ$3&lt;=$BJ$4,ROW()-ROW(BJ$4),"")</f>
        <v/>
      </c>
      <c r="BK1350" s="10" t="str">
        <f t="shared" si="111"/>
        <v/>
      </c>
      <c r="BL1350" s="10" t="str">
        <f t="shared" si="112"/>
        <v/>
      </c>
    </row>
    <row r="1351" spans="62:64" x14ac:dyDescent="0.25">
      <c r="BJ1351" s="13" t="str">
        <f t="shared" si="113"/>
        <v/>
      </c>
      <c r="BK1351" s="10" t="str">
        <f t="shared" ref="BK1351:BK1414" si="114">IF(ISNUMBER(BJ1351),INT(BJ1350/$BL$4)+1,"")</f>
        <v/>
      </c>
      <c r="BL1351" s="10" t="str">
        <f t="shared" ref="BL1351:BL1414" si="115">IF(ISNUMBER(BJ1351),IF(BK1350&lt;&gt;BK1351,1,BL1350+1),"")</f>
        <v/>
      </c>
    </row>
    <row r="1352" spans="62:64" x14ac:dyDescent="0.25">
      <c r="BJ1352" s="13" t="str">
        <f t="shared" si="113"/>
        <v/>
      </c>
      <c r="BK1352" s="10" t="str">
        <f t="shared" si="114"/>
        <v/>
      </c>
      <c r="BL1352" s="10" t="str">
        <f t="shared" si="115"/>
        <v/>
      </c>
    </row>
    <row r="1353" spans="62:64" x14ac:dyDescent="0.25">
      <c r="BJ1353" s="13" t="str">
        <f t="shared" si="113"/>
        <v/>
      </c>
      <c r="BK1353" s="10" t="str">
        <f t="shared" si="114"/>
        <v/>
      </c>
      <c r="BL1353" s="10" t="str">
        <f t="shared" si="115"/>
        <v/>
      </c>
    </row>
    <row r="1354" spans="62:64" x14ac:dyDescent="0.25">
      <c r="BJ1354" s="13" t="str">
        <f t="shared" si="113"/>
        <v/>
      </c>
      <c r="BK1354" s="10" t="str">
        <f t="shared" si="114"/>
        <v/>
      </c>
      <c r="BL1354" s="10" t="str">
        <f t="shared" si="115"/>
        <v/>
      </c>
    </row>
    <row r="1355" spans="62:64" x14ac:dyDescent="0.25">
      <c r="BJ1355" s="13" t="str">
        <f t="shared" si="113"/>
        <v/>
      </c>
      <c r="BK1355" s="10" t="str">
        <f t="shared" si="114"/>
        <v/>
      </c>
      <c r="BL1355" s="10" t="str">
        <f t="shared" si="115"/>
        <v/>
      </c>
    </row>
    <row r="1356" spans="62:64" x14ac:dyDescent="0.25">
      <c r="BJ1356" s="13" t="str">
        <f t="shared" si="113"/>
        <v/>
      </c>
      <c r="BK1356" s="10" t="str">
        <f t="shared" si="114"/>
        <v/>
      </c>
      <c r="BL1356" s="10" t="str">
        <f t="shared" si="115"/>
        <v/>
      </c>
    </row>
    <row r="1357" spans="62:64" x14ac:dyDescent="0.25">
      <c r="BJ1357" s="13" t="str">
        <f t="shared" si="113"/>
        <v/>
      </c>
      <c r="BK1357" s="10" t="str">
        <f t="shared" si="114"/>
        <v/>
      </c>
      <c r="BL1357" s="10" t="str">
        <f t="shared" si="115"/>
        <v/>
      </c>
    </row>
    <row r="1358" spans="62:64" x14ac:dyDescent="0.25">
      <c r="BJ1358" s="13" t="str">
        <f t="shared" si="113"/>
        <v/>
      </c>
      <c r="BK1358" s="10" t="str">
        <f t="shared" si="114"/>
        <v/>
      </c>
      <c r="BL1358" s="10" t="str">
        <f t="shared" si="115"/>
        <v/>
      </c>
    </row>
    <row r="1359" spans="62:64" x14ac:dyDescent="0.25">
      <c r="BJ1359" s="13" t="str">
        <f t="shared" si="113"/>
        <v/>
      </c>
      <c r="BK1359" s="10" t="str">
        <f t="shared" si="114"/>
        <v/>
      </c>
      <c r="BL1359" s="10" t="str">
        <f t="shared" si="115"/>
        <v/>
      </c>
    </row>
    <row r="1360" spans="62:64" x14ac:dyDescent="0.25">
      <c r="BJ1360" s="13" t="str">
        <f t="shared" si="113"/>
        <v/>
      </c>
      <c r="BK1360" s="10" t="str">
        <f t="shared" si="114"/>
        <v/>
      </c>
      <c r="BL1360" s="10" t="str">
        <f t="shared" si="115"/>
        <v/>
      </c>
    </row>
    <row r="1361" spans="62:64" x14ac:dyDescent="0.25">
      <c r="BJ1361" s="13" t="str">
        <f t="shared" si="113"/>
        <v/>
      </c>
      <c r="BK1361" s="10" t="str">
        <f t="shared" si="114"/>
        <v/>
      </c>
      <c r="BL1361" s="10" t="str">
        <f t="shared" si="115"/>
        <v/>
      </c>
    </row>
    <row r="1362" spans="62:64" x14ac:dyDescent="0.25">
      <c r="BJ1362" s="13" t="str">
        <f t="shared" si="113"/>
        <v/>
      </c>
      <c r="BK1362" s="10" t="str">
        <f t="shared" si="114"/>
        <v/>
      </c>
      <c r="BL1362" s="10" t="str">
        <f t="shared" si="115"/>
        <v/>
      </c>
    </row>
    <row r="1363" spans="62:64" x14ac:dyDescent="0.25">
      <c r="BJ1363" s="13" t="str">
        <f t="shared" si="113"/>
        <v/>
      </c>
      <c r="BK1363" s="10" t="str">
        <f t="shared" si="114"/>
        <v/>
      </c>
      <c r="BL1363" s="10" t="str">
        <f t="shared" si="115"/>
        <v/>
      </c>
    </row>
    <row r="1364" spans="62:64" x14ac:dyDescent="0.25">
      <c r="BJ1364" s="13" t="str">
        <f t="shared" si="113"/>
        <v/>
      </c>
      <c r="BK1364" s="10" t="str">
        <f t="shared" si="114"/>
        <v/>
      </c>
      <c r="BL1364" s="10" t="str">
        <f t="shared" si="115"/>
        <v/>
      </c>
    </row>
    <row r="1365" spans="62:64" x14ac:dyDescent="0.25">
      <c r="BJ1365" s="13" t="str">
        <f t="shared" si="113"/>
        <v/>
      </c>
      <c r="BK1365" s="10" t="str">
        <f t="shared" si="114"/>
        <v/>
      </c>
      <c r="BL1365" s="10" t="str">
        <f t="shared" si="115"/>
        <v/>
      </c>
    </row>
    <row r="1366" spans="62:64" x14ac:dyDescent="0.25">
      <c r="BJ1366" s="13" t="str">
        <f t="shared" si="113"/>
        <v/>
      </c>
      <c r="BK1366" s="10" t="str">
        <f t="shared" si="114"/>
        <v/>
      </c>
      <c r="BL1366" s="10" t="str">
        <f t="shared" si="115"/>
        <v/>
      </c>
    </row>
    <row r="1367" spans="62:64" x14ac:dyDescent="0.25">
      <c r="BJ1367" s="13" t="str">
        <f t="shared" si="113"/>
        <v/>
      </c>
      <c r="BK1367" s="10" t="str">
        <f t="shared" si="114"/>
        <v/>
      </c>
      <c r="BL1367" s="10" t="str">
        <f t="shared" si="115"/>
        <v/>
      </c>
    </row>
    <row r="1368" spans="62:64" x14ac:dyDescent="0.25">
      <c r="BJ1368" s="13" t="str">
        <f t="shared" si="113"/>
        <v/>
      </c>
      <c r="BK1368" s="10" t="str">
        <f t="shared" si="114"/>
        <v/>
      </c>
      <c r="BL1368" s="10" t="str">
        <f t="shared" si="115"/>
        <v/>
      </c>
    </row>
    <row r="1369" spans="62:64" x14ac:dyDescent="0.25">
      <c r="BJ1369" s="13" t="str">
        <f t="shared" si="113"/>
        <v/>
      </c>
      <c r="BK1369" s="10" t="str">
        <f t="shared" si="114"/>
        <v/>
      </c>
      <c r="BL1369" s="10" t="str">
        <f t="shared" si="115"/>
        <v/>
      </c>
    </row>
    <row r="1370" spans="62:64" x14ac:dyDescent="0.25">
      <c r="BJ1370" s="13" t="str">
        <f t="shared" si="113"/>
        <v/>
      </c>
      <c r="BK1370" s="10" t="str">
        <f t="shared" si="114"/>
        <v/>
      </c>
      <c r="BL1370" s="10" t="str">
        <f t="shared" si="115"/>
        <v/>
      </c>
    </row>
    <row r="1371" spans="62:64" x14ac:dyDescent="0.25">
      <c r="BJ1371" s="13" t="str">
        <f t="shared" si="113"/>
        <v/>
      </c>
      <c r="BK1371" s="10" t="str">
        <f t="shared" si="114"/>
        <v/>
      </c>
      <c r="BL1371" s="10" t="str">
        <f t="shared" si="115"/>
        <v/>
      </c>
    </row>
    <row r="1372" spans="62:64" x14ac:dyDescent="0.25">
      <c r="BJ1372" s="13" t="str">
        <f t="shared" si="113"/>
        <v/>
      </c>
      <c r="BK1372" s="10" t="str">
        <f t="shared" si="114"/>
        <v/>
      </c>
      <c r="BL1372" s="10" t="str">
        <f t="shared" si="115"/>
        <v/>
      </c>
    </row>
    <row r="1373" spans="62:64" x14ac:dyDescent="0.25">
      <c r="BJ1373" s="13" t="str">
        <f t="shared" si="113"/>
        <v/>
      </c>
      <c r="BK1373" s="10" t="str">
        <f t="shared" si="114"/>
        <v/>
      </c>
      <c r="BL1373" s="10" t="str">
        <f t="shared" si="115"/>
        <v/>
      </c>
    </row>
    <row r="1374" spans="62:64" x14ac:dyDescent="0.25">
      <c r="BJ1374" s="13" t="str">
        <f t="shared" si="113"/>
        <v/>
      </c>
      <c r="BK1374" s="10" t="str">
        <f t="shared" si="114"/>
        <v/>
      </c>
      <c r="BL1374" s="10" t="str">
        <f t="shared" si="115"/>
        <v/>
      </c>
    </row>
    <row r="1375" spans="62:64" x14ac:dyDescent="0.25">
      <c r="BJ1375" s="13" t="str">
        <f t="shared" si="113"/>
        <v/>
      </c>
      <c r="BK1375" s="10" t="str">
        <f t="shared" si="114"/>
        <v/>
      </c>
      <c r="BL1375" s="10" t="str">
        <f t="shared" si="115"/>
        <v/>
      </c>
    </row>
    <row r="1376" spans="62:64" x14ac:dyDescent="0.25">
      <c r="BJ1376" s="13" t="str">
        <f t="shared" si="113"/>
        <v/>
      </c>
      <c r="BK1376" s="10" t="str">
        <f t="shared" si="114"/>
        <v/>
      </c>
      <c r="BL1376" s="10" t="str">
        <f t="shared" si="115"/>
        <v/>
      </c>
    </row>
    <row r="1377" spans="62:64" x14ac:dyDescent="0.25">
      <c r="BJ1377" s="13" t="str">
        <f t="shared" si="113"/>
        <v/>
      </c>
      <c r="BK1377" s="10" t="str">
        <f t="shared" si="114"/>
        <v/>
      </c>
      <c r="BL1377" s="10" t="str">
        <f t="shared" si="115"/>
        <v/>
      </c>
    </row>
    <row r="1378" spans="62:64" x14ac:dyDescent="0.25">
      <c r="BJ1378" s="13" t="str">
        <f t="shared" si="113"/>
        <v/>
      </c>
      <c r="BK1378" s="10" t="str">
        <f t="shared" si="114"/>
        <v/>
      </c>
      <c r="BL1378" s="10" t="str">
        <f t="shared" si="115"/>
        <v/>
      </c>
    </row>
    <row r="1379" spans="62:64" x14ac:dyDescent="0.25">
      <c r="BJ1379" s="13" t="str">
        <f t="shared" si="113"/>
        <v/>
      </c>
      <c r="BK1379" s="10" t="str">
        <f t="shared" si="114"/>
        <v/>
      </c>
      <c r="BL1379" s="10" t="str">
        <f t="shared" si="115"/>
        <v/>
      </c>
    </row>
    <row r="1380" spans="62:64" x14ac:dyDescent="0.25">
      <c r="BJ1380" s="13" t="str">
        <f t="shared" si="113"/>
        <v/>
      </c>
      <c r="BK1380" s="10" t="str">
        <f t="shared" si="114"/>
        <v/>
      </c>
      <c r="BL1380" s="10" t="str">
        <f t="shared" si="115"/>
        <v/>
      </c>
    </row>
    <row r="1381" spans="62:64" x14ac:dyDescent="0.25">
      <c r="BJ1381" s="13" t="str">
        <f t="shared" si="113"/>
        <v/>
      </c>
      <c r="BK1381" s="10" t="str">
        <f t="shared" si="114"/>
        <v/>
      </c>
      <c r="BL1381" s="10" t="str">
        <f t="shared" si="115"/>
        <v/>
      </c>
    </row>
    <row r="1382" spans="62:64" x14ac:dyDescent="0.25">
      <c r="BJ1382" s="13" t="str">
        <f t="shared" si="113"/>
        <v/>
      </c>
      <c r="BK1382" s="10" t="str">
        <f t="shared" si="114"/>
        <v/>
      </c>
      <c r="BL1382" s="10" t="str">
        <f t="shared" si="115"/>
        <v/>
      </c>
    </row>
    <row r="1383" spans="62:64" x14ac:dyDescent="0.25">
      <c r="BJ1383" s="13" t="str">
        <f t="shared" si="113"/>
        <v/>
      </c>
      <c r="BK1383" s="10" t="str">
        <f t="shared" si="114"/>
        <v/>
      </c>
      <c r="BL1383" s="10" t="str">
        <f t="shared" si="115"/>
        <v/>
      </c>
    </row>
    <row r="1384" spans="62:64" x14ac:dyDescent="0.25">
      <c r="BJ1384" s="13" t="str">
        <f t="shared" si="113"/>
        <v/>
      </c>
      <c r="BK1384" s="10" t="str">
        <f t="shared" si="114"/>
        <v/>
      </c>
      <c r="BL1384" s="10" t="str">
        <f t="shared" si="115"/>
        <v/>
      </c>
    </row>
    <row r="1385" spans="62:64" x14ac:dyDescent="0.25">
      <c r="BJ1385" s="13" t="str">
        <f t="shared" si="113"/>
        <v/>
      </c>
      <c r="BK1385" s="10" t="str">
        <f t="shared" si="114"/>
        <v/>
      </c>
      <c r="BL1385" s="10" t="str">
        <f t="shared" si="115"/>
        <v/>
      </c>
    </row>
    <row r="1386" spans="62:64" x14ac:dyDescent="0.25">
      <c r="BJ1386" s="13" t="str">
        <f t="shared" si="113"/>
        <v/>
      </c>
      <c r="BK1386" s="10" t="str">
        <f t="shared" si="114"/>
        <v/>
      </c>
      <c r="BL1386" s="10" t="str">
        <f t="shared" si="115"/>
        <v/>
      </c>
    </row>
    <row r="1387" spans="62:64" x14ac:dyDescent="0.25">
      <c r="BJ1387" s="13" t="str">
        <f t="shared" si="113"/>
        <v/>
      </c>
      <c r="BK1387" s="10" t="str">
        <f t="shared" si="114"/>
        <v/>
      </c>
      <c r="BL1387" s="10" t="str">
        <f t="shared" si="115"/>
        <v/>
      </c>
    </row>
    <row r="1388" spans="62:64" x14ac:dyDescent="0.25">
      <c r="BJ1388" s="13" t="str">
        <f t="shared" si="113"/>
        <v/>
      </c>
      <c r="BK1388" s="10" t="str">
        <f t="shared" si="114"/>
        <v/>
      </c>
      <c r="BL1388" s="10" t="str">
        <f t="shared" si="115"/>
        <v/>
      </c>
    </row>
    <row r="1389" spans="62:64" x14ac:dyDescent="0.25">
      <c r="BJ1389" s="13" t="str">
        <f t="shared" si="113"/>
        <v/>
      </c>
      <c r="BK1389" s="10" t="str">
        <f t="shared" si="114"/>
        <v/>
      </c>
      <c r="BL1389" s="10" t="str">
        <f t="shared" si="115"/>
        <v/>
      </c>
    </row>
    <row r="1390" spans="62:64" x14ac:dyDescent="0.25">
      <c r="BJ1390" s="13" t="str">
        <f t="shared" si="113"/>
        <v/>
      </c>
      <c r="BK1390" s="10" t="str">
        <f t="shared" si="114"/>
        <v/>
      </c>
      <c r="BL1390" s="10" t="str">
        <f t="shared" si="115"/>
        <v/>
      </c>
    </row>
    <row r="1391" spans="62:64" x14ac:dyDescent="0.25">
      <c r="BJ1391" s="13" t="str">
        <f t="shared" si="113"/>
        <v/>
      </c>
      <c r="BK1391" s="10" t="str">
        <f t="shared" si="114"/>
        <v/>
      </c>
      <c r="BL1391" s="10" t="str">
        <f t="shared" si="115"/>
        <v/>
      </c>
    </row>
    <row r="1392" spans="62:64" x14ac:dyDescent="0.25">
      <c r="BJ1392" s="13" t="str">
        <f t="shared" si="113"/>
        <v/>
      </c>
      <c r="BK1392" s="10" t="str">
        <f t="shared" si="114"/>
        <v/>
      </c>
      <c r="BL1392" s="10" t="str">
        <f t="shared" si="115"/>
        <v/>
      </c>
    </row>
    <row r="1393" spans="62:64" x14ac:dyDescent="0.25">
      <c r="BJ1393" s="13" t="str">
        <f t="shared" si="113"/>
        <v/>
      </c>
      <c r="BK1393" s="10" t="str">
        <f t="shared" si="114"/>
        <v/>
      </c>
      <c r="BL1393" s="10" t="str">
        <f t="shared" si="115"/>
        <v/>
      </c>
    </row>
    <row r="1394" spans="62:64" x14ac:dyDescent="0.25">
      <c r="BJ1394" s="13" t="str">
        <f t="shared" si="113"/>
        <v/>
      </c>
      <c r="BK1394" s="10" t="str">
        <f t="shared" si="114"/>
        <v/>
      </c>
      <c r="BL1394" s="10" t="str">
        <f t="shared" si="115"/>
        <v/>
      </c>
    </row>
    <row r="1395" spans="62:64" x14ac:dyDescent="0.25">
      <c r="BJ1395" s="13" t="str">
        <f t="shared" si="113"/>
        <v/>
      </c>
      <c r="BK1395" s="10" t="str">
        <f t="shared" si="114"/>
        <v/>
      </c>
      <c r="BL1395" s="10" t="str">
        <f t="shared" si="115"/>
        <v/>
      </c>
    </row>
    <row r="1396" spans="62:64" x14ac:dyDescent="0.25">
      <c r="BJ1396" s="13" t="str">
        <f t="shared" si="113"/>
        <v/>
      </c>
      <c r="BK1396" s="10" t="str">
        <f t="shared" si="114"/>
        <v/>
      </c>
      <c r="BL1396" s="10" t="str">
        <f t="shared" si="115"/>
        <v/>
      </c>
    </row>
    <row r="1397" spans="62:64" x14ac:dyDescent="0.25">
      <c r="BJ1397" s="13" t="str">
        <f t="shared" si="113"/>
        <v/>
      </c>
      <c r="BK1397" s="10" t="str">
        <f t="shared" si="114"/>
        <v/>
      </c>
      <c r="BL1397" s="10" t="str">
        <f t="shared" si="115"/>
        <v/>
      </c>
    </row>
    <row r="1398" spans="62:64" x14ac:dyDescent="0.25">
      <c r="BJ1398" s="13" t="str">
        <f t="shared" si="113"/>
        <v/>
      </c>
      <c r="BK1398" s="10" t="str">
        <f t="shared" si="114"/>
        <v/>
      </c>
      <c r="BL1398" s="10" t="str">
        <f t="shared" si="115"/>
        <v/>
      </c>
    </row>
    <row r="1399" spans="62:64" x14ac:dyDescent="0.25">
      <c r="BJ1399" s="13" t="str">
        <f t="shared" si="113"/>
        <v/>
      </c>
      <c r="BK1399" s="10" t="str">
        <f t="shared" si="114"/>
        <v/>
      </c>
      <c r="BL1399" s="10" t="str">
        <f t="shared" si="115"/>
        <v/>
      </c>
    </row>
    <row r="1400" spans="62:64" x14ac:dyDescent="0.25">
      <c r="BJ1400" s="13" t="str">
        <f t="shared" si="113"/>
        <v/>
      </c>
      <c r="BK1400" s="10" t="str">
        <f t="shared" si="114"/>
        <v/>
      </c>
      <c r="BL1400" s="10" t="str">
        <f t="shared" si="115"/>
        <v/>
      </c>
    </row>
    <row r="1401" spans="62:64" x14ac:dyDescent="0.25">
      <c r="BJ1401" s="13" t="str">
        <f t="shared" si="113"/>
        <v/>
      </c>
      <c r="BK1401" s="10" t="str">
        <f t="shared" si="114"/>
        <v/>
      </c>
      <c r="BL1401" s="10" t="str">
        <f t="shared" si="115"/>
        <v/>
      </c>
    </row>
    <row r="1402" spans="62:64" x14ac:dyDescent="0.25">
      <c r="BJ1402" s="13" t="str">
        <f t="shared" si="113"/>
        <v/>
      </c>
      <c r="BK1402" s="10" t="str">
        <f t="shared" si="114"/>
        <v/>
      </c>
      <c r="BL1402" s="10" t="str">
        <f t="shared" si="115"/>
        <v/>
      </c>
    </row>
    <row r="1403" spans="62:64" x14ac:dyDescent="0.25">
      <c r="BJ1403" s="13" t="str">
        <f t="shared" si="113"/>
        <v/>
      </c>
      <c r="BK1403" s="10" t="str">
        <f t="shared" si="114"/>
        <v/>
      </c>
      <c r="BL1403" s="10" t="str">
        <f t="shared" si="115"/>
        <v/>
      </c>
    </row>
    <row r="1404" spans="62:64" x14ac:dyDescent="0.25">
      <c r="BJ1404" s="13" t="str">
        <f t="shared" si="113"/>
        <v/>
      </c>
      <c r="BK1404" s="10" t="str">
        <f t="shared" si="114"/>
        <v/>
      </c>
      <c r="BL1404" s="10" t="str">
        <f t="shared" si="115"/>
        <v/>
      </c>
    </row>
    <row r="1405" spans="62:64" x14ac:dyDescent="0.25">
      <c r="BJ1405" s="13" t="str">
        <f t="shared" si="113"/>
        <v/>
      </c>
      <c r="BK1405" s="10" t="str">
        <f t="shared" si="114"/>
        <v/>
      </c>
      <c r="BL1405" s="10" t="str">
        <f t="shared" si="115"/>
        <v/>
      </c>
    </row>
    <row r="1406" spans="62:64" x14ac:dyDescent="0.25">
      <c r="BJ1406" s="13" t="str">
        <f t="shared" si="113"/>
        <v/>
      </c>
      <c r="BK1406" s="10" t="str">
        <f t="shared" si="114"/>
        <v/>
      </c>
      <c r="BL1406" s="10" t="str">
        <f t="shared" si="115"/>
        <v/>
      </c>
    </row>
    <row r="1407" spans="62:64" x14ac:dyDescent="0.25">
      <c r="BJ1407" s="13" t="str">
        <f t="shared" si="113"/>
        <v/>
      </c>
      <c r="BK1407" s="10" t="str">
        <f t="shared" si="114"/>
        <v/>
      </c>
      <c r="BL1407" s="10" t="str">
        <f t="shared" si="115"/>
        <v/>
      </c>
    </row>
    <row r="1408" spans="62:64" x14ac:dyDescent="0.25">
      <c r="BJ1408" s="13" t="str">
        <f t="shared" si="113"/>
        <v/>
      </c>
      <c r="BK1408" s="10" t="str">
        <f t="shared" si="114"/>
        <v/>
      </c>
      <c r="BL1408" s="10" t="str">
        <f t="shared" si="115"/>
        <v/>
      </c>
    </row>
    <row r="1409" spans="62:64" x14ac:dyDescent="0.25">
      <c r="BJ1409" s="13" t="str">
        <f t="shared" si="113"/>
        <v/>
      </c>
      <c r="BK1409" s="10" t="str">
        <f t="shared" si="114"/>
        <v/>
      </c>
      <c r="BL1409" s="10" t="str">
        <f t="shared" si="115"/>
        <v/>
      </c>
    </row>
    <row r="1410" spans="62:64" x14ac:dyDescent="0.25">
      <c r="BJ1410" s="13" t="str">
        <f t="shared" si="113"/>
        <v/>
      </c>
      <c r="BK1410" s="10" t="str">
        <f t="shared" si="114"/>
        <v/>
      </c>
      <c r="BL1410" s="10" t="str">
        <f t="shared" si="115"/>
        <v/>
      </c>
    </row>
    <row r="1411" spans="62:64" x14ac:dyDescent="0.25">
      <c r="BJ1411" s="13" t="str">
        <f t="shared" si="113"/>
        <v/>
      </c>
      <c r="BK1411" s="10" t="str">
        <f t="shared" si="114"/>
        <v/>
      </c>
      <c r="BL1411" s="10" t="str">
        <f t="shared" si="115"/>
        <v/>
      </c>
    </row>
    <row r="1412" spans="62:64" x14ac:dyDescent="0.25">
      <c r="BJ1412" s="13" t="str">
        <f t="shared" si="113"/>
        <v/>
      </c>
      <c r="BK1412" s="10" t="str">
        <f t="shared" si="114"/>
        <v/>
      </c>
      <c r="BL1412" s="10" t="str">
        <f t="shared" si="115"/>
        <v/>
      </c>
    </row>
    <row r="1413" spans="62:64" x14ac:dyDescent="0.25">
      <c r="BJ1413" s="13" t="str">
        <f t="shared" si="113"/>
        <v/>
      </c>
      <c r="BK1413" s="10" t="str">
        <f t="shared" si="114"/>
        <v/>
      </c>
      <c r="BL1413" s="10" t="str">
        <f t="shared" si="115"/>
        <v/>
      </c>
    </row>
    <row r="1414" spans="62:64" x14ac:dyDescent="0.25">
      <c r="BJ1414" s="13" t="str">
        <f t="shared" ref="BJ1414:BJ1477" si="116">IF(ROW()-BJ$3&lt;=$BJ$4,ROW()-ROW(BJ$4),"")</f>
        <v/>
      </c>
      <c r="BK1414" s="10" t="str">
        <f t="shared" si="114"/>
        <v/>
      </c>
      <c r="BL1414" s="10" t="str">
        <f t="shared" si="115"/>
        <v/>
      </c>
    </row>
    <row r="1415" spans="62:64" x14ac:dyDescent="0.25">
      <c r="BJ1415" s="13" t="str">
        <f t="shared" si="116"/>
        <v/>
      </c>
      <c r="BK1415" s="10" t="str">
        <f t="shared" ref="BK1415:BK1478" si="117">IF(ISNUMBER(BJ1415),INT(BJ1414/$BL$4)+1,"")</f>
        <v/>
      </c>
      <c r="BL1415" s="10" t="str">
        <f t="shared" ref="BL1415:BL1478" si="118">IF(ISNUMBER(BJ1415),IF(BK1414&lt;&gt;BK1415,1,BL1414+1),"")</f>
        <v/>
      </c>
    </row>
    <row r="1416" spans="62:64" x14ac:dyDescent="0.25">
      <c r="BJ1416" s="13" t="str">
        <f t="shared" si="116"/>
        <v/>
      </c>
      <c r="BK1416" s="10" t="str">
        <f t="shared" si="117"/>
        <v/>
      </c>
      <c r="BL1416" s="10" t="str">
        <f t="shared" si="118"/>
        <v/>
      </c>
    </row>
    <row r="1417" spans="62:64" x14ac:dyDescent="0.25">
      <c r="BJ1417" s="13" t="str">
        <f t="shared" si="116"/>
        <v/>
      </c>
      <c r="BK1417" s="10" t="str">
        <f t="shared" si="117"/>
        <v/>
      </c>
      <c r="BL1417" s="10" t="str">
        <f t="shared" si="118"/>
        <v/>
      </c>
    </row>
    <row r="1418" spans="62:64" x14ac:dyDescent="0.25">
      <c r="BJ1418" s="13" t="str">
        <f t="shared" si="116"/>
        <v/>
      </c>
      <c r="BK1418" s="10" t="str">
        <f t="shared" si="117"/>
        <v/>
      </c>
      <c r="BL1418" s="10" t="str">
        <f t="shared" si="118"/>
        <v/>
      </c>
    </row>
    <row r="1419" spans="62:64" x14ac:dyDescent="0.25">
      <c r="BJ1419" s="13" t="str">
        <f t="shared" si="116"/>
        <v/>
      </c>
      <c r="BK1419" s="10" t="str">
        <f t="shared" si="117"/>
        <v/>
      </c>
      <c r="BL1419" s="10" t="str">
        <f t="shared" si="118"/>
        <v/>
      </c>
    </row>
    <row r="1420" spans="62:64" x14ac:dyDescent="0.25">
      <c r="BJ1420" s="13" t="str">
        <f t="shared" si="116"/>
        <v/>
      </c>
      <c r="BK1420" s="10" t="str">
        <f t="shared" si="117"/>
        <v/>
      </c>
      <c r="BL1420" s="10" t="str">
        <f t="shared" si="118"/>
        <v/>
      </c>
    </row>
    <row r="1421" spans="62:64" x14ac:dyDescent="0.25">
      <c r="BJ1421" s="13" t="str">
        <f t="shared" si="116"/>
        <v/>
      </c>
      <c r="BK1421" s="10" t="str">
        <f t="shared" si="117"/>
        <v/>
      </c>
      <c r="BL1421" s="10" t="str">
        <f t="shared" si="118"/>
        <v/>
      </c>
    </row>
    <row r="1422" spans="62:64" x14ac:dyDescent="0.25">
      <c r="BJ1422" s="13" t="str">
        <f t="shared" si="116"/>
        <v/>
      </c>
      <c r="BK1422" s="10" t="str">
        <f t="shared" si="117"/>
        <v/>
      </c>
      <c r="BL1422" s="10" t="str">
        <f t="shared" si="118"/>
        <v/>
      </c>
    </row>
    <row r="1423" spans="62:64" x14ac:dyDescent="0.25">
      <c r="BJ1423" s="13" t="str">
        <f t="shared" si="116"/>
        <v/>
      </c>
      <c r="BK1423" s="10" t="str">
        <f t="shared" si="117"/>
        <v/>
      </c>
      <c r="BL1423" s="10" t="str">
        <f t="shared" si="118"/>
        <v/>
      </c>
    </row>
    <row r="1424" spans="62:64" x14ac:dyDescent="0.25">
      <c r="BJ1424" s="13" t="str">
        <f t="shared" si="116"/>
        <v/>
      </c>
      <c r="BK1424" s="10" t="str">
        <f t="shared" si="117"/>
        <v/>
      </c>
      <c r="BL1424" s="10" t="str">
        <f t="shared" si="118"/>
        <v/>
      </c>
    </row>
    <row r="1425" spans="62:64" x14ac:dyDescent="0.25">
      <c r="BJ1425" s="13" t="str">
        <f t="shared" si="116"/>
        <v/>
      </c>
      <c r="BK1425" s="10" t="str">
        <f t="shared" si="117"/>
        <v/>
      </c>
      <c r="BL1425" s="10" t="str">
        <f t="shared" si="118"/>
        <v/>
      </c>
    </row>
    <row r="1426" spans="62:64" x14ac:dyDescent="0.25">
      <c r="BJ1426" s="13" t="str">
        <f t="shared" si="116"/>
        <v/>
      </c>
      <c r="BK1426" s="10" t="str">
        <f t="shared" si="117"/>
        <v/>
      </c>
      <c r="BL1426" s="10" t="str">
        <f t="shared" si="118"/>
        <v/>
      </c>
    </row>
    <row r="1427" spans="62:64" x14ac:dyDescent="0.25">
      <c r="BJ1427" s="13" t="str">
        <f t="shared" si="116"/>
        <v/>
      </c>
      <c r="BK1427" s="10" t="str">
        <f t="shared" si="117"/>
        <v/>
      </c>
      <c r="BL1427" s="10" t="str">
        <f t="shared" si="118"/>
        <v/>
      </c>
    </row>
    <row r="1428" spans="62:64" x14ac:dyDescent="0.25">
      <c r="BJ1428" s="13" t="str">
        <f t="shared" si="116"/>
        <v/>
      </c>
      <c r="BK1428" s="10" t="str">
        <f t="shared" si="117"/>
        <v/>
      </c>
      <c r="BL1428" s="10" t="str">
        <f t="shared" si="118"/>
        <v/>
      </c>
    </row>
    <row r="1429" spans="62:64" x14ac:dyDescent="0.25">
      <c r="BJ1429" s="13" t="str">
        <f t="shared" si="116"/>
        <v/>
      </c>
      <c r="BK1429" s="10" t="str">
        <f t="shared" si="117"/>
        <v/>
      </c>
      <c r="BL1429" s="10" t="str">
        <f t="shared" si="118"/>
        <v/>
      </c>
    </row>
    <row r="1430" spans="62:64" x14ac:dyDescent="0.25">
      <c r="BJ1430" s="13" t="str">
        <f t="shared" si="116"/>
        <v/>
      </c>
      <c r="BK1430" s="10" t="str">
        <f t="shared" si="117"/>
        <v/>
      </c>
      <c r="BL1430" s="10" t="str">
        <f t="shared" si="118"/>
        <v/>
      </c>
    </row>
    <row r="1431" spans="62:64" x14ac:dyDescent="0.25">
      <c r="BJ1431" s="13" t="str">
        <f t="shared" si="116"/>
        <v/>
      </c>
      <c r="BK1431" s="10" t="str">
        <f t="shared" si="117"/>
        <v/>
      </c>
      <c r="BL1431" s="10" t="str">
        <f t="shared" si="118"/>
        <v/>
      </c>
    </row>
    <row r="1432" spans="62:64" x14ac:dyDescent="0.25">
      <c r="BJ1432" s="13" t="str">
        <f t="shared" si="116"/>
        <v/>
      </c>
      <c r="BK1432" s="10" t="str">
        <f t="shared" si="117"/>
        <v/>
      </c>
      <c r="BL1432" s="10" t="str">
        <f t="shared" si="118"/>
        <v/>
      </c>
    </row>
    <row r="1433" spans="62:64" x14ac:dyDescent="0.25">
      <c r="BJ1433" s="13" t="str">
        <f t="shared" si="116"/>
        <v/>
      </c>
      <c r="BK1433" s="10" t="str">
        <f t="shared" si="117"/>
        <v/>
      </c>
      <c r="BL1433" s="10" t="str">
        <f t="shared" si="118"/>
        <v/>
      </c>
    </row>
    <row r="1434" spans="62:64" x14ac:dyDescent="0.25">
      <c r="BJ1434" s="13" t="str">
        <f t="shared" si="116"/>
        <v/>
      </c>
      <c r="BK1434" s="10" t="str">
        <f t="shared" si="117"/>
        <v/>
      </c>
      <c r="BL1434" s="10" t="str">
        <f t="shared" si="118"/>
        <v/>
      </c>
    </row>
    <row r="1435" spans="62:64" x14ac:dyDescent="0.25">
      <c r="BJ1435" s="13" t="str">
        <f t="shared" si="116"/>
        <v/>
      </c>
      <c r="BK1435" s="10" t="str">
        <f t="shared" si="117"/>
        <v/>
      </c>
      <c r="BL1435" s="10" t="str">
        <f t="shared" si="118"/>
        <v/>
      </c>
    </row>
    <row r="1436" spans="62:64" x14ac:dyDescent="0.25">
      <c r="BJ1436" s="13" t="str">
        <f t="shared" si="116"/>
        <v/>
      </c>
      <c r="BK1436" s="10" t="str">
        <f t="shared" si="117"/>
        <v/>
      </c>
      <c r="BL1436" s="10" t="str">
        <f t="shared" si="118"/>
        <v/>
      </c>
    </row>
    <row r="1437" spans="62:64" x14ac:dyDescent="0.25">
      <c r="BJ1437" s="13" t="str">
        <f t="shared" si="116"/>
        <v/>
      </c>
      <c r="BK1437" s="10" t="str">
        <f t="shared" si="117"/>
        <v/>
      </c>
      <c r="BL1437" s="10" t="str">
        <f t="shared" si="118"/>
        <v/>
      </c>
    </row>
    <row r="1438" spans="62:64" x14ac:dyDescent="0.25">
      <c r="BJ1438" s="13" t="str">
        <f t="shared" si="116"/>
        <v/>
      </c>
      <c r="BK1438" s="10" t="str">
        <f t="shared" si="117"/>
        <v/>
      </c>
      <c r="BL1438" s="10" t="str">
        <f t="shared" si="118"/>
        <v/>
      </c>
    </row>
    <row r="1439" spans="62:64" x14ac:dyDescent="0.25">
      <c r="BJ1439" s="13" t="str">
        <f t="shared" si="116"/>
        <v/>
      </c>
      <c r="BK1439" s="10" t="str">
        <f t="shared" si="117"/>
        <v/>
      </c>
      <c r="BL1439" s="10" t="str">
        <f t="shared" si="118"/>
        <v/>
      </c>
    </row>
    <row r="1440" spans="62:64" x14ac:dyDescent="0.25">
      <c r="BJ1440" s="13" t="str">
        <f t="shared" si="116"/>
        <v/>
      </c>
      <c r="BK1440" s="10" t="str">
        <f t="shared" si="117"/>
        <v/>
      </c>
      <c r="BL1440" s="10" t="str">
        <f t="shared" si="118"/>
        <v/>
      </c>
    </row>
    <row r="1441" spans="62:64" x14ac:dyDescent="0.25">
      <c r="BJ1441" s="13" t="str">
        <f t="shared" si="116"/>
        <v/>
      </c>
      <c r="BK1441" s="10" t="str">
        <f t="shared" si="117"/>
        <v/>
      </c>
      <c r="BL1441" s="10" t="str">
        <f t="shared" si="118"/>
        <v/>
      </c>
    </row>
    <row r="1442" spans="62:64" x14ac:dyDescent="0.25">
      <c r="BJ1442" s="13" t="str">
        <f t="shared" si="116"/>
        <v/>
      </c>
      <c r="BK1442" s="10" t="str">
        <f t="shared" si="117"/>
        <v/>
      </c>
      <c r="BL1442" s="10" t="str">
        <f t="shared" si="118"/>
        <v/>
      </c>
    </row>
    <row r="1443" spans="62:64" x14ac:dyDescent="0.25">
      <c r="BJ1443" s="13" t="str">
        <f t="shared" si="116"/>
        <v/>
      </c>
      <c r="BK1443" s="10" t="str">
        <f t="shared" si="117"/>
        <v/>
      </c>
      <c r="BL1443" s="10" t="str">
        <f t="shared" si="118"/>
        <v/>
      </c>
    </row>
    <row r="1444" spans="62:64" x14ac:dyDescent="0.25">
      <c r="BJ1444" s="13" t="str">
        <f t="shared" si="116"/>
        <v/>
      </c>
      <c r="BK1444" s="10" t="str">
        <f t="shared" si="117"/>
        <v/>
      </c>
      <c r="BL1444" s="10" t="str">
        <f t="shared" si="118"/>
        <v/>
      </c>
    </row>
    <row r="1445" spans="62:64" x14ac:dyDescent="0.25">
      <c r="BJ1445" s="13" t="str">
        <f t="shared" si="116"/>
        <v/>
      </c>
      <c r="BK1445" s="10" t="str">
        <f t="shared" si="117"/>
        <v/>
      </c>
      <c r="BL1445" s="10" t="str">
        <f t="shared" si="118"/>
        <v/>
      </c>
    </row>
    <row r="1446" spans="62:64" x14ac:dyDescent="0.25">
      <c r="BJ1446" s="13" t="str">
        <f t="shared" si="116"/>
        <v/>
      </c>
      <c r="BK1446" s="10" t="str">
        <f t="shared" si="117"/>
        <v/>
      </c>
      <c r="BL1446" s="10" t="str">
        <f t="shared" si="118"/>
        <v/>
      </c>
    </row>
    <row r="1447" spans="62:64" x14ac:dyDescent="0.25">
      <c r="BJ1447" s="13" t="str">
        <f t="shared" si="116"/>
        <v/>
      </c>
      <c r="BK1447" s="10" t="str">
        <f t="shared" si="117"/>
        <v/>
      </c>
      <c r="BL1447" s="10" t="str">
        <f t="shared" si="118"/>
        <v/>
      </c>
    </row>
    <row r="1448" spans="62:64" x14ac:dyDescent="0.25">
      <c r="BJ1448" s="13" t="str">
        <f t="shared" si="116"/>
        <v/>
      </c>
      <c r="BK1448" s="10" t="str">
        <f t="shared" si="117"/>
        <v/>
      </c>
      <c r="BL1448" s="10" t="str">
        <f t="shared" si="118"/>
        <v/>
      </c>
    </row>
    <row r="1449" spans="62:64" x14ac:dyDescent="0.25">
      <c r="BJ1449" s="13" t="str">
        <f t="shared" si="116"/>
        <v/>
      </c>
      <c r="BK1449" s="10" t="str">
        <f t="shared" si="117"/>
        <v/>
      </c>
      <c r="BL1449" s="10" t="str">
        <f t="shared" si="118"/>
        <v/>
      </c>
    </row>
    <row r="1450" spans="62:64" x14ac:dyDescent="0.25">
      <c r="BJ1450" s="13" t="str">
        <f t="shared" si="116"/>
        <v/>
      </c>
      <c r="BK1450" s="10" t="str">
        <f t="shared" si="117"/>
        <v/>
      </c>
      <c r="BL1450" s="10" t="str">
        <f t="shared" si="118"/>
        <v/>
      </c>
    </row>
    <row r="1451" spans="62:64" x14ac:dyDescent="0.25">
      <c r="BJ1451" s="13" t="str">
        <f t="shared" si="116"/>
        <v/>
      </c>
      <c r="BK1451" s="10" t="str">
        <f t="shared" si="117"/>
        <v/>
      </c>
      <c r="BL1451" s="10" t="str">
        <f t="shared" si="118"/>
        <v/>
      </c>
    </row>
    <row r="1452" spans="62:64" x14ac:dyDescent="0.25">
      <c r="BJ1452" s="13" t="str">
        <f t="shared" si="116"/>
        <v/>
      </c>
      <c r="BK1452" s="10" t="str">
        <f t="shared" si="117"/>
        <v/>
      </c>
      <c r="BL1452" s="10" t="str">
        <f t="shared" si="118"/>
        <v/>
      </c>
    </row>
    <row r="1453" spans="62:64" x14ac:dyDescent="0.25">
      <c r="BJ1453" s="13" t="str">
        <f t="shared" si="116"/>
        <v/>
      </c>
      <c r="BK1453" s="10" t="str">
        <f t="shared" si="117"/>
        <v/>
      </c>
      <c r="BL1453" s="10" t="str">
        <f t="shared" si="118"/>
        <v/>
      </c>
    </row>
    <row r="1454" spans="62:64" x14ac:dyDescent="0.25">
      <c r="BJ1454" s="13" t="str">
        <f t="shared" si="116"/>
        <v/>
      </c>
      <c r="BK1454" s="10" t="str">
        <f t="shared" si="117"/>
        <v/>
      </c>
      <c r="BL1454" s="10" t="str">
        <f t="shared" si="118"/>
        <v/>
      </c>
    </row>
    <row r="1455" spans="62:64" x14ac:dyDescent="0.25">
      <c r="BJ1455" s="13" t="str">
        <f t="shared" si="116"/>
        <v/>
      </c>
      <c r="BK1455" s="10" t="str">
        <f t="shared" si="117"/>
        <v/>
      </c>
      <c r="BL1455" s="10" t="str">
        <f t="shared" si="118"/>
        <v/>
      </c>
    </row>
    <row r="1456" spans="62:64" x14ac:dyDescent="0.25">
      <c r="BJ1456" s="13" t="str">
        <f t="shared" si="116"/>
        <v/>
      </c>
      <c r="BK1456" s="10" t="str">
        <f t="shared" si="117"/>
        <v/>
      </c>
      <c r="BL1456" s="10" t="str">
        <f t="shared" si="118"/>
        <v/>
      </c>
    </row>
    <row r="1457" spans="62:64" x14ac:dyDescent="0.25">
      <c r="BJ1457" s="13" t="str">
        <f t="shared" si="116"/>
        <v/>
      </c>
      <c r="BK1457" s="10" t="str">
        <f t="shared" si="117"/>
        <v/>
      </c>
      <c r="BL1457" s="10" t="str">
        <f t="shared" si="118"/>
        <v/>
      </c>
    </row>
    <row r="1458" spans="62:64" x14ac:dyDescent="0.25">
      <c r="BJ1458" s="13" t="str">
        <f t="shared" si="116"/>
        <v/>
      </c>
      <c r="BK1458" s="10" t="str">
        <f t="shared" si="117"/>
        <v/>
      </c>
      <c r="BL1458" s="10" t="str">
        <f t="shared" si="118"/>
        <v/>
      </c>
    </row>
    <row r="1459" spans="62:64" x14ac:dyDescent="0.25">
      <c r="BJ1459" s="13" t="str">
        <f t="shared" si="116"/>
        <v/>
      </c>
      <c r="BK1459" s="10" t="str">
        <f t="shared" si="117"/>
        <v/>
      </c>
      <c r="BL1459" s="10" t="str">
        <f t="shared" si="118"/>
        <v/>
      </c>
    </row>
    <row r="1460" spans="62:64" x14ac:dyDescent="0.25">
      <c r="BJ1460" s="13" t="str">
        <f t="shared" si="116"/>
        <v/>
      </c>
      <c r="BK1460" s="10" t="str">
        <f t="shared" si="117"/>
        <v/>
      </c>
      <c r="BL1460" s="10" t="str">
        <f t="shared" si="118"/>
        <v/>
      </c>
    </row>
    <row r="1461" spans="62:64" x14ac:dyDescent="0.25">
      <c r="BJ1461" s="13" t="str">
        <f t="shared" si="116"/>
        <v/>
      </c>
      <c r="BK1461" s="10" t="str">
        <f t="shared" si="117"/>
        <v/>
      </c>
      <c r="BL1461" s="10" t="str">
        <f t="shared" si="118"/>
        <v/>
      </c>
    </row>
    <row r="1462" spans="62:64" x14ac:dyDescent="0.25">
      <c r="BJ1462" s="13" t="str">
        <f t="shared" si="116"/>
        <v/>
      </c>
      <c r="BK1462" s="10" t="str">
        <f t="shared" si="117"/>
        <v/>
      </c>
      <c r="BL1462" s="10" t="str">
        <f t="shared" si="118"/>
        <v/>
      </c>
    </row>
    <row r="1463" spans="62:64" x14ac:dyDescent="0.25">
      <c r="BJ1463" s="13" t="str">
        <f t="shared" si="116"/>
        <v/>
      </c>
      <c r="BK1463" s="10" t="str">
        <f t="shared" si="117"/>
        <v/>
      </c>
      <c r="BL1463" s="10" t="str">
        <f t="shared" si="118"/>
        <v/>
      </c>
    </row>
    <row r="1464" spans="62:64" x14ac:dyDescent="0.25">
      <c r="BJ1464" s="13" t="str">
        <f t="shared" si="116"/>
        <v/>
      </c>
      <c r="BK1464" s="10" t="str">
        <f t="shared" si="117"/>
        <v/>
      </c>
      <c r="BL1464" s="10" t="str">
        <f t="shared" si="118"/>
        <v/>
      </c>
    </row>
    <row r="1465" spans="62:64" x14ac:dyDescent="0.25">
      <c r="BJ1465" s="13" t="str">
        <f t="shared" si="116"/>
        <v/>
      </c>
      <c r="BK1465" s="10" t="str">
        <f t="shared" si="117"/>
        <v/>
      </c>
      <c r="BL1465" s="10" t="str">
        <f t="shared" si="118"/>
        <v/>
      </c>
    </row>
    <row r="1466" spans="62:64" x14ac:dyDescent="0.25">
      <c r="BJ1466" s="13" t="str">
        <f t="shared" si="116"/>
        <v/>
      </c>
      <c r="BK1466" s="10" t="str">
        <f t="shared" si="117"/>
        <v/>
      </c>
      <c r="BL1466" s="10" t="str">
        <f t="shared" si="118"/>
        <v/>
      </c>
    </row>
    <row r="1467" spans="62:64" x14ac:dyDescent="0.25">
      <c r="BJ1467" s="13" t="str">
        <f t="shared" si="116"/>
        <v/>
      </c>
      <c r="BK1467" s="10" t="str">
        <f t="shared" si="117"/>
        <v/>
      </c>
      <c r="BL1467" s="10" t="str">
        <f t="shared" si="118"/>
        <v/>
      </c>
    </row>
    <row r="1468" spans="62:64" x14ac:dyDescent="0.25">
      <c r="BJ1468" s="13" t="str">
        <f t="shared" si="116"/>
        <v/>
      </c>
      <c r="BK1468" s="10" t="str">
        <f t="shared" si="117"/>
        <v/>
      </c>
      <c r="BL1468" s="10" t="str">
        <f t="shared" si="118"/>
        <v/>
      </c>
    </row>
    <row r="1469" spans="62:64" x14ac:dyDescent="0.25">
      <c r="BJ1469" s="13" t="str">
        <f t="shared" si="116"/>
        <v/>
      </c>
      <c r="BK1469" s="10" t="str">
        <f t="shared" si="117"/>
        <v/>
      </c>
      <c r="BL1469" s="10" t="str">
        <f t="shared" si="118"/>
        <v/>
      </c>
    </row>
    <row r="1470" spans="62:64" x14ac:dyDescent="0.25">
      <c r="BJ1470" s="13" t="str">
        <f t="shared" si="116"/>
        <v/>
      </c>
      <c r="BK1470" s="10" t="str">
        <f t="shared" si="117"/>
        <v/>
      </c>
      <c r="BL1470" s="10" t="str">
        <f t="shared" si="118"/>
        <v/>
      </c>
    </row>
    <row r="1471" spans="62:64" x14ac:dyDescent="0.25">
      <c r="BJ1471" s="13" t="str">
        <f t="shared" si="116"/>
        <v/>
      </c>
      <c r="BK1471" s="10" t="str">
        <f t="shared" si="117"/>
        <v/>
      </c>
      <c r="BL1471" s="10" t="str">
        <f t="shared" si="118"/>
        <v/>
      </c>
    </row>
    <row r="1472" spans="62:64" x14ac:dyDescent="0.25">
      <c r="BJ1472" s="13" t="str">
        <f t="shared" si="116"/>
        <v/>
      </c>
      <c r="BK1472" s="10" t="str">
        <f t="shared" si="117"/>
        <v/>
      </c>
      <c r="BL1472" s="10" t="str">
        <f t="shared" si="118"/>
        <v/>
      </c>
    </row>
    <row r="1473" spans="62:64" x14ac:dyDescent="0.25">
      <c r="BJ1473" s="13" t="str">
        <f t="shared" si="116"/>
        <v/>
      </c>
      <c r="BK1473" s="10" t="str">
        <f t="shared" si="117"/>
        <v/>
      </c>
      <c r="BL1473" s="10" t="str">
        <f t="shared" si="118"/>
        <v/>
      </c>
    </row>
    <row r="1474" spans="62:64" x14ac:dyDescent="0.25">
      <c r="BJ1474" s="13" t="str">
        <f t="shared" si="116"/>
        <v/>
      </c>
      <c r="BK1474" s="10" t="str">
        <f t="shared" si="117"/>
        <v/>
      </c>
      <c r="BL1474" s="10" t="str">
        <f t="shared" si="118"/>
        <v/>
      </c>
    </row>
    <row r="1475" spans="62:64" x14ac:dyDescent="0.25">
      <c r="BJ1475" s="13" t="str">
        <f t="shared" si="116"/>
        <v/>
      </c>
      <c r="BK1475" s="10" t="str">
        <f t="shared" si="117"/>
        <v/>
      </c>
      <c r="BL1475" s="10" t="str">
        <f t="shared" si="118"/>
        <v/>
      </c>
    </row>
    <row r="1476" spans="62:64" x14ac:dyDescent="0.25">
      <c r="BJ1476" s="13" t="str">
        <f t="shared" si="116"/>
        <v/>
      </c>
      <c r="BK1476" s="10" t="str">
        <f t="shared" si="117"/>
        <v/>
      </c>
      <c r="BL1476" s="10" t="str">
        <f t="shared" si="118"/>
        <v/>
      </c>
    </row>
    <row r="1477" spans="62:64" x14ac:dyDescent="0.25">
      <c r="BJ1477" s="13" t="str">
        <f t="shared" si="116"/>
        <v/>
      </c>
      <c r="BK1477" s="10" t="str">
        <f t="shared" si="117"/>
        <v/>
      </c>
      <c r="BL1477" s="10" t="str">
        <f t="shared" si="118"/>
        <v/>
      </c>
    </row>
    <row r="1478" spans="62:64" x14ac:dyDescent="0.25">
      <c r="BJ1478" s="13" t="str">
        <f t="shared" ref="BJ1478:BJ1541" si="119">IF(ROW()-BJ$3&lt;=$BJ$4,ROW()-ROW(BJ$4),"")</f>
        <v/>
      </c>
      <c r="BK1478" s="10" t="str">
        <f t="shared" si="117"/>
        <v/>
      </c>
      <c r="BL1478" s="10" t="str">
        <f t="shared" si="118"/>
        <v/>
      </c>
    </row>
    <row r="1479" spans="62:64" x14ac:dyDescent="0.25">
      <c r="BJ1479" s="13" t="str">
        <f t="shared" si="119"/>
        <v/>
      </c>
      <c r="BK1479" s="10" t="str">
        <f t="shared" ref="BK1479:BK1542" si="120">IF(ISNUMBER(BJ1479),INT(BJ1478/$BL$4)+1,"")</f>
        <v/>
      </c>
      <c r="BL1479" s="10" t="str">
        <f t="shared" ref="BL1479:BL1542" si="121">IF(ISNUMBER(BJ1479),IF(BK1478&lt;&gt;BK1479,1,BL1478+1),"")</f>
        <v/>
      </c>
    </row>
    <row r="1480" spans="62:64" x14ac:dyDescent="0.25">
      <c r="BJ1480" s="13" t="str">
        <f t="shared" si="119"/>
        <v/>
      </c>
      <c r="BK1480" s="10" t="str">
        <f t="shared" si="120"/>
        <v/>
      </c>
      <c r="BL1480" s="10" t="str">
        <f t="shared" si="121"/>
        <v/>
      </c>
    </row>
    <row r="1481" spans="62:64" x14ac:dyDescent="0.25">
      <c r="BJ1481" s="13" t="str">
        <f t="shared" si="119"/>
        <v/>
      </c>
      <c r="BK1481" s="10" t="str">
        <f t="shared" si="120"/>
        <v/>
      </c>
      <c r="BL1481" s="10" t="str">
        <f t="shared" si="121"/>
        <v/>
      </c>
    </row>
    <row r="1482" spans="62:64" x14ac:dyDescent="0.25">
      <c r="BJ1482" s="13" t="str">
        <f t="shared" si="119"/>
        <v/>
      </c>
      <c r="BK1482" s="10" t="str">
        <f t="shared" si="120"/>
        <v/>
      </c>
      <c r="BL1482" s="10" t="str">
        <f t="shared" si="121"/>
        <v/>
      </c>
    </row>
    <row r="1483" spans="62:64" x14ac:dyDescent="0.25">
      <c r="BJ1483" s="13" t="str">
        <f t="shared" si="119"/>
        <v/>
      </c>
      <c r="BK1483" s="10" t="str">
        <f t="shared" si="120"/>
        <v/>
      </c>
      <c r="BL1483" s="10" t="str">
        <f t="shared" si="121"/>
        <v/>
      </c>
    </row>
    <row r="1484" spans="62:64" x14ac:dyDescent="0.25">
      <c r="BJ1484" s="13" t="str">
        <f t="shared" si="119"/>
        <v/>
      </c>
      <c r="BK1484" s="10" t="str">
        <f t="shared" si="120"/>
        <v/>
      </c>
      <c r="BL1484" s="10" t="str">
        <f t="shared" si="121"/>
        <v/>
      </c>
    </row>
    <row r="1485" spans="62:64" x14ac:dyDescent="0.25">
      <c r="BJ1485" s="13" t="str">
        <f t="shared" si="119"/>
        <v/>
      </c>
      <c r="BK1485" s="10" t="str">
        <f t="shared" si="120"/>
        <v/>
      </c>
      <c r="BL1485" s="10" t="str">
        <f t="shared" si="121"/>
        <v/>
      </c>
    </row>
    <row r="1486" spans="62:64" x14ac:dyDescent="0.25">
      <c r="BJ1486" s="13" t="str">
        <f t="shared" si="119"/>
        <v/>
      </c>
      <c r="BK1486" s="10" t="str">
        <f t="shared" si="120"/>
        <v/>
      </c>
      <c r="BL1486" s="10" t="str">
        <f t="shared" si="121"/>
        <v/>
      </c>
    </row>
    <row r="1487" spans="62:64" x14ac:dyDescent="0.25">
      <c r="BJ1487" s="13" t="str">
        <f t="shared" si="119"/>
        <v/>
      </c>
      <c r="BK1487" s="10" t="str">
        <f t="shared" si="120"/>
        <v/>
      </c>
      <c r="BL1487" s="10" t="str">
        <f t="shared" si="121"/>
        <v/>
      </c>
    </row>
    <row r="1488" spans="62:64" x14ac:dyDescent="0.25">
      <c r="BJ1488" s="13" t="str">
        <f t="shared" si="119"/>
        <v/>
      </c>
      <c r="BK1488" s="10" t="str">
        <f t="shared" si="120"/>
        <v/>
      </c>
      <c r="BL1488" s="10" t="str">
        <f t="shared" si="121"/>
        <v/>
      </c>
    </row>
    <row r="1489" spans="62:64" x14ac:dyDescent="0.25">
      <c r="BJ1489" s="13" t="str">
        <f t="shared" si="119"/>
        <v/>
      </c>
      <c r="BK1489" s="10" t="str">
        <f t="shared" si="120"/>
        <v/>
      </c>
      <c r="BL1489" s="10" t="str">
        <f t="shared" si="121"/>
        <v/>
      </c>
    </row>
    <row r="1490" spans="62:64" x14ac:dyDescent="0.25">
      <c r="BJ1490" s="13" t="str">
        <f t="shared" si="119"/>
        <v/>
      </c>
      <c r="BK1490" s="10" t="str">
        <f t="shared" si="120"/>
        <v/>
      </c>
      <c r="BL1490" s="10" t="str">
        <f t="shared" si="121"/>
        <v/>
      </c>
    </row>
    <row r="1491" spans="62:64" x14ac:dyDescent="0.25">
      <c r="BJ1491" s="13" t="str">
        <f t="shared" si="119"/>
        <v/>
      </c>
      <c r="BK1491" s="10" t="str">
        <f t="shared" si="120"/>
        <v/>
      </c>
      <c r="BL1491" s="10" t="str">
        <f t="shared" si="121"/>
        <v/>
      </c>
    </row>
    <row r="1492" spans="62:64" x14ac:dyDescent="0.25">
      <c r="BJ1492" s="13" t="str">
        <f t="shared" si="119"/>
        <v/>
      </c>
      <c r="BK1492" s="10" t="str">
        <f t="shared" si="120"/>
        <v/>
      </c>
      <c r="BL1492" s="10" t="str">
        <f t="shared" si="121"/>
        <v/>
      </c>
    </row>
    <row r="1493" spans="62:64" x14ac:dyDescent="0.25">
      <c r="BJ1493" s="13" t="str">
        <f t="shared" si="119"/>
        <v/>
      </c>
      <c r="BK1493" s="10" t="str">
        <f t="shared" si="120"/>
        <v/>
      </c>
      <c r="BL1493" s="10" t="str">
        <f t="shared" si="121"/>
        <v/>
      </c>
    </row>
    <row r="1494" spans="62:64" x14ac:dyDescent="0.25">
      <c r="BJ1494" s="13" t="str">
        <f t="shared" si="119"/>
        <v/>
      </c>
      <c r="BK1494" s="10" t="str">
        <f t="shared" si="120"/>
        <v/>
      </c>
      <c r="BL1494" s="10" t="str">
        <f t="shared" si="121"/>
        <v/>
      </c>
    </row>
    <row r="1495" spans="62:64" x14ac:dyDescent="0.25">
      <c r="BJ1495" s="13" t="str">
        <f t="shared" si="119"/>
        <v/>
      </c>
      <c r="BK1495" s="10" t="str">
        <f t="shared" si="120"/>
        <v/>
      </c>
      <c r="BL1495" s="10" t="str">
        <f t="shared" si="121"/>
        <v/>
      </c>
    </row>
    <row r="1496" spans="62:64" x14ac:dyDescent="0.25">
      <c r="BJ1496" s="13" t="str">
        <f t="shared" si="119"/>
        <v/>
      </c>
      <c r="BK1496" s="10" t="str">
        <f t="shared" si="120"/>
        <v/>
      </c>
      <c r="BL1496" s="10" t="str">
        <f t="shared" si="121"/>
        <v/>
      </c>
    </row>
    <row r="1497" spans="62:64" x14ac:dyDescent="0.25">
      <c r="BJ1497" s="13" t="str">
        <f t="shared" si="119"/>
        <v/>
      </c>
      <c r="BK1497" s="10" t="str">
        <f t="shared" si="120"/>
        <v/>
      </c>
      <c r="BL1497" s="10" t="str">
        <f t="shared" si="121"/>
        <v/>
      </c>
    </row>
    <row r="1498" spans="62:64" x14ac:dyDescent="0.25">
      <c r="BJ1498" s="13" t="str">
        <f t="shared" si="119"/>
        <v/>
      </c>
      <c r="BK1498" s="10" t="str">
        <f t="shared" si="120"/>
        <v/>
      </c>
      <c r="BL1498" s="10" t="str">
        <f t="shared" si="121"/>
        <v/>
      </c>
    </row>
    <row r="1499" spans="62:64" x14ac:dyDescent="0.25">
      <c r="BJ1499" s="13" t="str">
        <f t="shared" si="119"/>
        <v/>
      </c>
      <c r="BK1499" s="10" t="str">
        <f t="shared" si="120"/>
        <v/>
      </c>
      <c r="BL1499" s="10" t="str">
        <f t="shared" si="121"/>
        <v/>
      </c>
    </row>
    <row r="1500" spans="62:64" x14ac:dyDescent="0.25">
      <c r="BJ1500" s="13" t="str">
        <f t="shared" si="119"/>
        <v/>
      </c>
      <c r="BK1500" s="10" t="str">
        <f t="shared" si="120"/>
        <v/>
      </c>
      <c r="BL1500" s="10" t="str">
        <f t="shared" si="121"/>
        <v/>
      </c>
    </row>
    <row r="1501" spans="62:64" x14ac:dyDescent="0.25">
      <c r="BJ1501" s="13" t="str">
        <f t="shared" si="119"/>
        <v/>
      </c>
      <c r="BK1501" s="10" t="str">
        <f t="shared" si="120"/>
        <v/>
      </c>
      <c r="BL1501" s="10" t="str">
        <f t="shared" si="121"/>
        <v/>
      </c>
    </row>
    <row r="1502" spans="62:64" x14ac:dyDescent="0.25">
      <c r="BJ1502" s="13" t="str">
        <f t="shared" si="119"/>
        <v/>
      </c>
      <c r="BK1502" s="10" t="str">
        <f t="shared" si="120"/>
        <v/>
      </c>
      <c r="BL1502" s="10" t="str">
        <f t="shared" si="121"/>
        <v/>
      </c>
    </row>
    <row r="1503" spans="62:64" x14ac:dyDescent="0.25">
      <c r="BJ1503" s="13" t="str">
        <f t="shared" si="119"/>
        <v/>
      </c>
      <c r="BK1503" s="10" t="str">
        <f t="shared" si="120"/>
        <v/>
      </c>
      <c r="BL1503" s="10" t="str">
        <f t="shared" si="121"/>
        <v/>
      </c>
    </row>
    <row r="1504" spans="62:64" x14ac:dyDescent="0.25">
      <c r="BJ1504" s="13" t="str">
        <f t="shared" si="119"/>
        <v/>
      </c>
      <c r="BK1504" s="10" t="str">
        <f t="shared" si="120"/>
        <v/>
      </c>
      <c r="BL1504" s="10" t="str">
        <f t="shared" si="121"/>
        <v/>
      </c>
    </row>
    <row r="1505" spans="62:64" x14ac:dyDescent="0.25">
      <c r="BJ1505" s="13" t="str">
        <f t="shared" si="119"/>
        <v/>
      </c>
      <c r="BK1505" s="10" t="str">
        <f t="shared" si="120"/>
        <v/>
      </c>
      <c r="BL1505" s="10" t="str">
        <f t="shared" si="121"/>
        <v/>
      </c>
    </row>
    <row r="1506" spans="62:64" x14ac:dyDescent="0.25">
      <c r="BJ1506" s="13" t="str">
        <f t="shared" si="119"/>
        <v/>
      </c>
      <c r="BK1506" s="10" t="str">
        <f t="shared" si="120"/>
        <v/>
      </c>
      <c r="BL1506" s="10" t="str">
        <f t="shared" si="121"/>
        <v/>
      </c>
    </row>
    <row r="1507" spans="62:64" x14ac:dyDescent="0.25">
      <c r="BJ1507" s="13" t="str">
        <f t="shared" si="119"/>
        <v/>
      </c>
      <c r="BK1507" s="10" t="str">
        <f t="shared" si="120"/>
        <v/>
      </c>
      <c r="BL1507" s="10" t="str">
        <f t="shared" si="121"/>
        <v/>
      </c>
    </row>
    <row r="1508" spans="62:64" x14ac:dyDescent="0.25">
      <c r="BJ1508" s="13" t="str">
        <f t="shared" si="119"/>
        <v/>
      </c>
      <c r="BK1508" s="10" t="str">
        <f t="shared" si="120"/>
        <v/>
      </c>
      <c r="BL1508" s="10" t="str">
        <f t="shared" si="121"/>
        <v/>
      </c>
    </row>
    <row r="1509" spans="62:64" x14ac:dyDescent="0.25">
      <c r="BJ1509" s="13" t="str">
        <f t="shared" si="119"/>
        <v/>
      </c>
      <c r="BK1509" s="10" t="str">
        <f t="shared" si="120"/>
        <v/>
      </c>
      <c r="BL1509" s="10" t="str">
        <f t="shared" si="121"/>
        <v/>
      </c>
    </row>
    <row r="1510" spans="62:64" x14ac:dyDescent="0.25">
      <c r="BJ1510" s="13" t="str">
        <f t="shared" si="119"/>
        <v/>
      </c>
      <c r="BK1510" s="10" t="str">
        <f t="shared" si="120"/>
        <v/>
      </c>
      <c r="BL1510" s="10" t="str">
        <f t="shared" si="121"/>
        <v/>
      </c>
    </row>
    <row r="1511" spans="62:64" x14ac:dyDescent="0.25">
      <c r="BJ1511" s="13" t="str">
        <f t="shared" si="119"/>
        <v/>
      </c>
      <c r="BK1511" s="10" t="str">
        <f t="shared" si="120"/>
        <v/>
      </c>
      <c r="BL1511" s="10" t="str">
        <f t="shared" si="121"/>
        <v/>
      </c>
    </row>
    <row r="1512" spans="62:64" x14ac:dyDescent="0.25">
      <c r="BJ1512" s="13" t="str">
        <f t="shared" si="119"/>
        <v/>
      </c>
      <c r="BK1512" s="10" t="str">
        <f t="shared" si="120"/>
        <v/>
      </c>
      <c r="BL1512" s="10" t="str">
        <f t="shared" si="121"/>
        <v/>
      </c>
    </row>
    <row r="1513" spans="62:64" x14ac:dyDescent="0.25">
      <c r="BJ1513" s="13" t="str">
        <f t="shared" si="119"/>
        <v/>
      </c>
      <c r="BK1513" s="10" t="str">
        <f t="shared" si="120"/>
        <v/>
      </c>
      <c r="BL1513" s="10" t="str">
        <f t="shared" si="121"/>
        <v/>
      </c>
    </row>
    <row r="1514" spans="62:64" x14ac:dyDescent="0.25">
      <c r="BJ1514" s="13" t="str">
        <f t="shared" si="119"/>
        <v/>
      </c>
      <c r="BK1514" s="10" t="str">
        <f t="shared" si="120"/>
        <v/>
      </c>
      <c r="BL1514" s="10" t="str">
        <f t="shared" si="121"/>
        <v/>
      </c>
    </row>
    <row r="1515" spans="62:64" x14ac:dyDescent="0.25">
      <c r="BJ1515" s="13" t="str">
        <f t="shared" si="119"/>
        <v/>
      </c>
      <c r="BK1515" s="10" t="str">
        <f t="shared" si="120"/>
        <v/>
      </c>
      <c r="BL1515" s="10" t="str">
        <f t="shared" si="121"/>
        <v/>
      </c>
    </row>
    <row r="1516" spans="62:64" x14ac:dyDescent="0.25">
      <c r="BJ1516" s="13" t="str">
        <f t="shared" si="119"/>
        <v/>
      </c>
      <c r="BK1516" s="10" t="str">
        <f t="shared" si="120"/>
        <v/>
      </c>
      <c r="BL1516" s="10" t="str">
        <f t="shared" si="121"/>
        <v/>
      </c>
    </row>
    <row r="1517" spans="62:64" x14ac:dyDescent="0.25">
      <c r="BJ1517" s="13" t="str">
        <f t="shared" si="119"/>
        <v/>
      </c>
      <c r="BK1517" s="10" t="str">
        <f t="shared" si="120"/>
        <v/>
      </c>
      <c r="BL1517" s="10" t="str">
        <f t="shared" si="121"/>
        <v/>
      </c>
    </row>
    <row r="1518" spans="62:64" x14ac:dyDescent="0.25">
      <c r="BJ1518" s="13" t="str">
        <f t="shared" si="119"/>
        <v/>
      </c>
      <c r="BK1518" s="10" t="str">
        <f t="shared" si="120"/>
        <v/>
      </c>
      <c r="BL1518" s="10" t="str">
        <f t="shared" si="121"/>
        <v/>
      </c>
    </row>
    <row r="1519" spans="62:64" x14ac:dyDescent="0.25">
      <c r="BJ1519" s="13" t="str">
        <f t="shared" si="119"/>
        <v/>
      </c>
      <c r="BK1519" s="10" t="str">
        <f t="shared" si="120"/>
        <v/>
      </c>
      <c r="BL1519" s="10" t="str">
        <f t="shared" si="121"/>
        <v/>
      </c>
    </row>
    <row r="1520" spans="62:64" x14ac:dyDescent="0.25">
      <c r="BJ1520" s="13" t="str">
        <f t="shared" si="119"/>
        <v/>
      </c>
      <c r="BK1520" s="10" t="str">
        <f t="shared" si="120"/>
        <v/>
      </c>
      <c r="BL1520" s="10" t="str">
        <f t="shared" si="121"/>
        <v/>
      </c>
    </row>
    <row r="1521" spans="62:64" x14ac:dyDescent="0.25">
      <c r="BJ1521" s="13" t="str">
        <f t="shared" si="119"/>
        <v/>
      </c>
      <c r="BK1521" s="10" t="str">
        <f t="shared" si="120"/>
        <v/>
      </c>
      <c r="BL1521" s="10" t="str">
        <f t="shared" si="121"/>
        <v/>
      </c>
    </row>
    <row r="1522" spans="62:64" x14ac:dyDescent="0.25">
      <c r="BJ1522" s="13" t="str">
        <f t="shared" si="119"/>
        <v/>
      </c>
      <c r="BK1522" s="10" t="str">
        <f t="shared" si="120"/>
        <v/>
      </c>
      <c r="BL1522" s="10" t="str">
        <f t="shared" si="121"/>
        <v/>
      </c>
    </row>
    <row r="1523" spans="62:64" x14ac:dyDescent="0.25">
      <c r="BJ1523" s="13" t="str">
        <f t="shared" si="119"/>
        <v/>
      </c>
      <c r="BK1523" s="10" t="str">
        <f t="shared" si="120"/>
        <v/>
      </c>
      <c r="BL1523" s="10" t="str">
        <f t="shared" si="121"/>
        <v/>
      </c>
    </row>
    <row r="1524" spans="62:64" x14ac:dyDescent="0.25">
      <c r="BJ1524" s="13" t="str">
        <f t="shared" si="119"/>
        <v/>
      </c>
      <c r="BK1524" s="10" t="str">
        <f t="shared" si="120"/>
        <v/>
      </c>
      <c r="BL1524" s="10" t="str">
        <f t="shared" si="121"/>
        <v/>
      </c>
    </row>
    <row r="1525" spans="62:64" x14ac:dyDescent="0.25">
      <c r="BJ1525" s="13" t="str">
        <f t="shared" si="119"/>
        <v/>
      </c>
      <c r="BK1525" s="10" t="str">
        <f t="shared" si="120"/>
        <v/>
      </c>
      <c r="BL1525" s="10" t="str">
        <f t="shared" si="121"/>
        <v/>
      </c>
    </row>
    <row r="1526" spans="62:64" x14ac:dyDescent="0.25">
      <c r="BJ1526" s="13" t="str">
        <f t="shared" si="119"/>
        <v/>
      </c>
      <c r="BK1526" s="10" t="str">
        <f t="shared" si="120"/>
        <v/>
      </c>
      <c r="BL1526" s="10" t="str">
        <f t="shared" si="121"/>
        <v/>
      </c>
    </row>
    <row r="1527" spans="62:64" x14ac:dyDescent="0.25">
      <c r="BJ1527" s="13" t="str">
        <f t="shared" si="119"/>
        <v/>
      </c>
      <c r="BK1527" s="10" t="str">
        <f t="shared" si="120"/>
        <v/>
      </c>
      <c r="BL1527" s="10" t="str">
        <f t="shared" si="121"/>
        <v/>
      </c>
    </row>
    <row r="1528" spans="62:64" x14ac:dyDescent="0.25">
      <c r="BJ1528" s="13" t="str">
        <f t="shared" si="119"/>
        <v/>
      </c>
      <c r="BK1528" s="10" t="str">
        <f t="shared" si="120"/>
        <v/>
      </c>
      <c r="BL1528" s="10" t="str">
        <f t="shared" si="121"/>
        <v/>
      </c>
    </row>
    <row r="1529" spans="62:64" x14ac:dyDescent="0.25">
      <c r="BJ1529" s="13" t="str">
        <f t="shared" si="119"/>
        <v/>
      </c>
      <c r="BK1529" s="10" t="str">
        <f t="shared" si="120"/>
        <v/>
      </c>
      <c r="BL1529" s="10" t="str">
        <f t="shared" si="121"/>
        <v/>
      </c>
    </row>
    <row r="1530" spans="62:64" x14ac:dyDescent="0.25">
      <c r="BJ1530" s="13" t="str">
        <f t="shared" si="119"/>
        <v/>
      </c>
      <c r="BK1530" s="10" t="str">
        <f t="shared" si="120"/>
        <v/>
      </c>
      <c r="BL1530" s="10" t="str">
        <f t="shared" si="121"/>
        <v/>
      </c>
    </row>
    <row r="1531" spans="62:64" x14ac:dyDescent="0.25">
      <c r="BJ1531" s="13" t="str">
        <f t="shared" si="119"/>
        <v/>
      </c>
      <c r="BK1531" s="10" t="str">
        <f t="shared" si="120"/>
        <v/>
      </c>
      <c r="BL1531" s="10" t="str">
        <f t="shared" si="121"/>
        <v/>
      </c>
    </row>
    <row r="1532" spans="62:64" x14ac:dyDescent="0.25">
      <c r="BJ1532" s="13" t="str">
        <f t="shared" si="119"/>
        <v/>
      </c>
      <c r="BK1532" s="10" t="str">
        <f t="shared" si="120"/>
        <v/>
      </c>
      <c r="BL1532" s="10" t="str">
        <f t="shared" si="121"/>
        <v/>
      </c>
    </row>
    <row r="1533" spans="62:64" x14ac:dyDescent="0.25">
      <c r="BJ1533" s="13" t="str">
        <f t="shared" si="119"/>
        <v/>
      </c>
      <c r="BK1533" s="10" t="str">
        <f t="shared" si="120"/>
        <v/>
      </c>
      <c r="BL1533" s="10" t="str">
        <f t="shared" si="121"/>
        <v/>
      </c>
    </row>
    <row r="1534" spans="62:64" x14ac:dyDescent="0.25">
      <c r="BJ1534" s="13" t="str">
        <f t="shared" si="119"/>
        <v/>
      </c>
      <c r="BK1534" s="10" t="str">
        <f t="shared" si="120"/>
        <v/>
      </c>
      <c r="BL1534" s="10" t="str">
        <f t="shared" si="121"/>
        <v/>
      </c>
    </row>
    <row r="1535" spans="62:64" x14ac:dyDescent="0.25">
      <c r="BJ1535" s="13" t="str">
        <f t="shared" si="119"/>
        <v/>
      </c>
      <c r="BK1535" s="10" t="str">
        <f t="shared" si="120"/>
        <v/>
      </c>
      <c r="BL1535" s="10" t="str">
        <f t="shared" si="121"/>
        <v/>
      </c>
    </row>
    <row r="1536" spans="62:64" x14ac:dyDescent="0.25">
      <c r="BJ1536" s="13" t="str">
        <f t="shared" si="119"/>
        <v/>
      </c>
      <c r="BK1536" s="10" t="str">
        <f t="shared" si="120"/>
        <v/>
      </c>
      <c r="BL1536" s="10" t="str">
        <f t="shared" si="121"/>
        <v/>
      </c>
    </row>
    <row r="1537" spans="62:64" x14ac:dyDescent="0.25">
      <c r="BJ1537" s="13" t="str">
        <f t="shared" si="119"/>
        <v/>
      </c>
      <c r="BK1537" s="10" t="str">
        <f t="shared" si="120"/>
        <v/>
      </c>
      <c r="BL1537" s="10" t="str">
        <f t="shared" si="121"/>
        <v/>
      </c>
    </row>
    <row r="1538" spans="62:64" x14ac:dyDescent="0.25">
      <c r="BJ1538" s="13" t="str">
        <f t="shared" si="119"/>
        <v/>
      </c>
      <c r="BK1538" s="10" t="str">
        <f t="shared" si="120"/>
        <v/>
      </c>
      <c r="BL1538" s="10" t="str">
        <f t="shared" si="121"/>
        <v/>
      </c>
    </row>
    <row r="1539" spans="62:64" x14ac:dyDescent="0.25">
      <c r="BJ1539" s="13" t="str">
        <f t="shared" si="119"/>
        <v/>
      </c>
      <c r="BK1539" s="10" t="str">
        <f t="shared" si="120"/>
        <v/>
      </c>
      <c r="BL1539" s="10" t="str">
        <f t="shared" si="121"/>
        <v/>
      </c>
    </row>
    <row r="1540" spans="62:64" x14ac:dyDescent="0.25">
      <c r="BJ1540" s="13" t="str">
        <f t="shared" si="119"/>
        <v/>
      </c>
      <c r="BK1540" s="10" t="str">
        <f t="shared" si="120"/>
        <v/>
      </c>
      <c r="BL1540" s="10" t="str">
        <f t="shared" si="121"/>
        <v/>
      </c>
    </row>
    <row r="1541" spans="62:64" x14ac:dyDescent="0.25">
      <c r="BJ1541" s="13" t="str">
        <f t="shared" si="119"/>
        <v/>
      </c>
      <c r="BK1541" s="10" t="str">
        <f t="shared" si="120"/>
        <v/>
      </c>
      <c r="BL1541" s="10" t="str">
        <f t="shared" si="121"/>
        <v/>
      </c>
    </row>
    <row r="1542" spans="62:64" x14ac:dyDescent="0.25">
      <c r="BJ1542" s="13" t="str">
        <f t="shared" ref="BJ1542:BJ1605" si="122">IF(ROW()-BJ$3&lt;=$BJ$4,ROW()-ROW(BJ$4),"")</f>
        <v/>
      </c>
      <c r="BK1542" s="10" t="str">
        <f t="shared" si="120"/>
        <v/>
      </c>
      <c r="BL1542" s="10" t="str">
        <f t="shared" si="121"/>
        <v/>
      </c>
    </row>
    <row r="1543" spans="62:64" x14ac:dyDescent="0.25">
      <c r="BJ1543" s="13" t="str">
        <f t="shared" si="122"/>
        <v/>
      </c>
      <c r="BK1543" s="10" t="str">
        <f t="shared" ref="BK1543:BK1606" si="123">IF(ISNUMBER(BJ1543),INT(BJ1542/$BL$4)+1,"")</f>
        <v/>
      </c>
      <c r="BL1543" s="10" t="str">
        <f t="shared" ref="BL1543:BL1606" si="124">IF(ISNUMBER(BJ1543),IF(BK1542&lt;&gt;BK1543,1,BL1542+1),"")</f>
        <v/>
      </c>
    </row>
    <row r="1544" spans="62:64" x14ac:dyDescent="0.25">
      <c r="BJ1544" s="13" t="str">
        <f t="shared" si="122"/>
        <v/>
      </c>
      <c r="BK1544" s="10" t="str">
        <f t="shared" si="123"/>
        <v/>
      </c>
      <c r="BL1544" s="10" t="str">
        <f t="shared" si="124"/>
        <v/>
      </c>
    </row>
    <row r="1545" spans="62:64" x14ac:dyDescent="0.25">
      <c r="BJ1545" s="13" t="str">
        <f t="shared" si="122"/>
        <v/>
      </c>
      <c r="BK1545" s="10" t="str">
        <f t="shared" si="123"/>
        <v/>
      </c>
      <c r="BL1545" s="10" t="str">
        <f t="shared" si="124"/>
        <v/>
      </c>
    </row>
    <row r="1546" spans="62:64" x14ac:dyDescent="0.25">
      <c r="BJ1546" s="13" t="str">
        <f t="shared" si="122"/>
        <v/>
      </c>
      <c r="BK1546" s="10" t="str">
        <f t="shared" si="123"/>
        <v/>
      </c>
      <c r="BL1546" s="10" t="str">
        <f t="shared" si="124"/>
        <v/>
      </c>
    </row>
    <row r="1547" spans="62:64" x14ac:dyDescent="0.25">
      <c r="BJ1547" s="13" t="str">
        <f t="shared" si="122"/>
        <v/>
      </c>
      <c r="BK1547" s="10" t="str">
        <f t="shared" si="123"/>
        <v/>
      </c>
      <c r="BL1547" s="10" t="str">
        <f t="shared" si="124"/>
        <v/>
      </c>
    </row>
    <row r="1548" spans="62:64" x14ac:dyDescent="0.25">
      <c r="BJ1548" s="13" t="str">
        <f t="shared" si="122"/>
        <v/>
      </c>
      <c r="BK1548" s="10" t="str">
        <f t="shared" si="123"/>
        <v/>
      </c>
      <c r="BL1548" s="10" t="str">
        <f t="shared" si="124"/>
        <v/>
      </c>
    </row>
    <row r="1549" spans="62:64" x14ac:dyDescent="0.25">
      <c r="BJ1549" s="13" t="str">
        <f t="shared" si="122"/>
        <v/>
      </c>
      <c r="BK1549" s="10" t="str">
        <f t="shared" si="123"/>
        <v/>
      </c>
      <c r="BL1549" s="10" t="str">
        <f t="shared" si="124"/>
        <v/>
      </c>
    </row>
    <row r="1550" spans="62:64" x14ac:dyDescent="0.25">
      <c r="BJ1550" s="13" t="str">
        <f t="shared" si="122"/>
        <v/>
      </c>
      <c r="BK1550" s="10" t="str">
        <f t="shared" si="123"/>
        <v/>
      </c>
      <c r="BL1550" s="10" t="str">
        <f t="shared" si="124"/>
        <v/>
      </c>
    </row>
    <row r="1551" spans="62:64" x14ac:dyDescent="0.25">
      <c r="BJ1551" s="13" t="str">
        <f t="shared" si="122"/>
        <v/>
      </c>
      <c r="BK1551" s="10" t="str">
        <f t="shared" si="123"/>
        <v/>
      </c>
      <c r="BL1551" s="10" t="str">
        <f t="shared" si="124"/>
        <v/>
      </c>
    </row>
    <row r="1552" spans="62:64" x14ac:dyDescent="0.25">
      <c r="BJ1552" s="13" t="str">
        <f t="shared" si="122"/>
        <v/>
      </c>
      <c r="BK1552" s="10" t="str">
        <f t="shared" si="123"/>
        <v/>
      </c>
      <c r="BL1552" s="10" t="str">
        <f t="shared" si="124"/>
        <v/>
      </c>
    </row>
    <row r="1553" spans="62:64" x14ac:dyDescent="0.25">
      <c r="BJ1553" s="13" t="str">
        <f t="shared" si="122"/>
        <v/>
      </c>
      <c r="BK1553" s="10" t="str">
        <f t="shared" si="123"/>
        <v/>
      </c>
      <c r="BL1553" s="10" t="str">
        <f t="shared" si="124"/>
        <v/>
      </c>
    </row>
    <row r="1554" spans="62:64" x14ac:dyDescent="0.25">
      <c r="BJ1554" s="13" t="str">
        <f t="shared" si="122"/>
        <v/>
      </c>
      <c r="BK1554" s="10" t="str">
        <f t="shared" si="123"/>
        <v/>
      </c>
      <c r="BL1554" s="10" t="str">
        <f t="shared" si="124"/>
        <v/>
      </c>
    </row>
    <row r="1555" spans="62:64" x14ac:dyDescent="0.25">
      <c r="BJ1555" s="13" t="str">
        <f t="shared" si="122"/>
        <v/>
      </c>
      <c r="BK1555" s="10" t="str">
        <f t="shared" si="123"/>
        <v/>
      </c>
      <c r="BL1555" s="10" t="str">
        <f t="shared" si="124"/>
        <v/>
      </c>
    </row>
    <row r="1556" spans="62:64" x14ac:dyDescent="0.25">
      <c r="BJ1556" s="13" t="str">
        <f t="shared" si="122"/>
        <v/>
      </c>
      <c r="BK1556" s="10" t="str">
        <f t="shared" si="123"/>
        <v/>
      </c>
      <c r="BL1556" s="10" t="str">
        <f t="shared" si="124"/>
        <v/>
      </c>
    </row>
    <row r="1557" spans="62:64" x14ac:dyDescent="0.25">
      <c r="BJ1557" s="13" t="str">
        <f t="shared" si="122"/>
        <v/>
      </c>
      <c r="BK1557" s="10" t="str">
        <f t="shared" si="123"/>
        <v/>
      </c>
      <c r="BL1557" s="10" t="str">
        <f t="shared" si="124"/>
        <v/>
      </c>
    </row>
    <row r="1558" spans="62:64" x14ac:dyDescent="0.25">
      <c r="BJ1558" s="13" t="str">
        <f t="shared" si="122"/>
        <v/>
      </c>
      <c r="BK1558" s="10" t="str">
        <f t="shared" si="123"/>
        <v/>
      </c>
      <c r="BL1558" s="10" t="str">
        <f t="shared" si="124"/>
        <v/>
      </c>
    </row>
    <row r="1559" spans="62:64" x14ac:dyDescent="0.25">
      <c r="BJ1559" s="13" t="str">
        <f t="shared" si="122"/>
        <v/>
      </c>
      <c r="BK1559" s="10" t="str">
        <f t="shared" si="123"/>
        <v/>
      </c>
      <c r="BL1559" s="10" t="str">
        <f t="shared" si="124"/>
        <v/>
      </c>
    </row>
    <row r="1560" spans="62:64" x14ac:dyDescent="0.25">
      <c r="BJ1560" s="13" t="str">
        <f t="shared" si="122"/>
        <v/>
      </c>
      <c r="BK1560" s="10" t="str">
        <f t="shared" si="123"/>
        <v/>
      </c>
      <c r="BL1560" s="10" t="str">
        <f t="shared" si="124"/>
        <v/>
      </c>
    </row>
    <row r="1561" spans="62:64" x14ac:dyDescent="0.25">
      <c r="BJ1561" s="13" t="str">
        <f t="shared" si="122"/>
        <v/>
      </c>
      <c r="BK1561" s="10" t="str">
        <f t="shared" si="123"/>
        <v/>
      </c>
      <c r="BL1561" s="10" t="str">
        <f t="shared" si="124"/>
        <v/>
      </c>
    </row>
    <row r="1562" spans="62:64" x14ac:dyDescent="0.25">
      <c r="BJ1562" s="13" t="str">
        <f t="shared" si="122"/>
        <v/>
      </c>
      <c r="BK1562" s="10" t="str">
        <f t="shared" si="123"/>
        <v/>
      </c>
      <c r="BL1562" s="10" t="str">
        <f t="shared" si="124"/>
        <v/>
      </c>
    </row>
    <row r="1563" spans="62:64" x14ac:dyDescent="0.25">
      <c r="BJ1563" s="13" t="str">
        <f t="shared" si="122"/>
        <v/>
      </c>
      <c r="BK1563" s="10" t="str">
        <f t="shared" si="123"/>
        <v/>
      </c>
      <c r="BL1563" s="10" t="str">
        <f t="shared" si="124"/>
        <v/>
      </c>
    </row>
    <row r="1564" spans="62:64" x14ac:dyDescent="0.25">
      <c r="BJ1564" s="13" t="str">
        <f t="shared" si="122"/>
        <v/>
      </c>
      <c r="BK1564" s="10" t="str">
        <f t="shared" si="123"/>
        <v/>
      </c>
      <c r="BL1564" s="10" t="str">
        <f t="shared" si="124"/>
        <v/>
      </c>
    </row>
    <row r="1565" spans="62:64" x14ac:dyDescent="0.25">
      <c r="BJ1565" s="13" t="str">
        <f t="shared" si="122"/>
        <v/>
      </c>
      <c r="BK1565" s="10" t="str">
        <f t="shared" si="123"/>
        <v/>
      </c>
      <c r="BL1565" s="10" t="str">
        <f t="shared" si="124"/>
        <v/>
      </c>
    </row>
    <row r="1566" spans="62:64" x14ac:dyDescent="0.25">
      <c r="BJ1566" s="13" t="str">
        <f t="shared" si="122"/>
        <v/>
      </c>
      <c r="BK1566" s="10" t="str">
        <f t="shared" si="123"/>
        <v/>
      </c>
      <c r="BL1566" s="10" t="str">
        <f t="shared" si="124"/>
        <v/>
      </c>
    </row>
    <row r="1567" spans="62:64" x14ac:dyDescent="0.25">
      <c r="BJ1567" s="13" t="str">
        <f t="shared" si="122"/>
        <v/>
      </c>
      <c r="BK1567" s="10" t="str">
        <f t="shared" si="123"/>
        <v/>
      </c>
      <c r="BL1567" s="10" t="str">
        <f t="shared" si="124"/>
        <v/>
      </c>
    </row>
    <row r="1568" spans="62:64" x14ac:dyDescent="0.25">
      <c r="BJ1568" s="13" t="str">
        <f t="shared" si="122"/>
        <v/>
      </c>
      <c r="BK1568" s="10" t="str">
        <f t="shared" si="123"/>
        <v/>
      </c>
      <c r="BL1568" s="10" t="str">
        <f t="shared" si="124"/>
        <v/>
      </c>
    </row>
    <row r="1569" spans="62:64" x14ac:dyDescent="0.25">
      <c r="BJ1569" s="13" t="str">
        <f t="shared" si="122"/>
        <v/>
      </c>
      <c r="BK1569" s="10" t="str">
        <f t="shared" si="123"/>
        <v/>
      </c>
      <c r="BL1569" s="10" t="str">
        <f t="shared" si="124"/>
        <v/>
      </c>
    </row>
    <row r="1570" spans="62:64" x14ac:dyDescent="0.25">
      <c r="BJ1570" s="13" t="str">
        <f t="shared" si="122"/>
        <v/>
      </c>
      <c r="BK1570" s="10" t="str">
        <f t="shared" si="123"/>
        <v/>
      </c>
      <c r="BL1570" s="10" t="str">
        <f t="shared" si="124"/>
        <v/>
      </c>
    </row>
    <row r="1571" spans="62:64" x14ac:dyDescent="0.25">
      <c r="BJ1571" s="13" t="str">
        <f t="shared" si="122"/>
        <v/>
      </c>
      <c r="BK1571" s="10" t="str">
        <f t="shared" si="123"/>
        <v/>
      </c>
      <c r="BL1571" s="10" t="str">
        <f t="shared" si="124"/>
        <v/>
      </c>
    </row>
    <row r="1572" spans="62:64" x14ac:dyDescent="0.25">
      <c r="BJ1572" s="13" t="str">
        <f t="shared" si="122"/>
        <v/>
      </c>
      <c r="BK1572" s="10" t="str">
        <f t="shared" si="123"/>
        <v/>
      </c>
      <c r="BL1572" s="10" t="str">
        <f t="shared" si="124"/>
        <v/>
      </c>
    </row>
    <row r="1573" spans="62:64" x14ac:dyDescent="0.25">
      <c r="BJ1573" s="13" t="str">
        <f t="shared" si="122"/>
        <v/>
      </c>
      <c r="BK1573" s="10" t="str">
        <f t="shared" si="123"/>
        <v/>
      </c>
      <c r="BL1573" s="10" t="str">
        <f t="shared" si="124"/>
        <v/>
      </c>
    </row>
    <row r="1574" spans="62:64" x14ac:dyDescent="0.25">
      <c r="BJ1574" s="13" t="str">
        <f t="shared" si="122"/>
        <v/>
      </c>
      <c r="BK1574" s="10" t="str">
        <f t="shared" si="123"/>
        <v/>
      </c>
      <c r="BL1574" s="10" t="str">
        <f t="shared" si="124"/>
        <v/>
      </c>
    </row>
    <row r="1575" spans="62:64" x14ac:dyDescent="0.25">
      <c r="BJ1575" s="13" t="str">
        <f t="shared" si="122"/>
        <v/>
      </c>
      <c r="BK1575" s="10" t="str">
        <f t="shared" si="123"/>
        <v/>
      </c>
      <c r="BL1575" s="10" t="str">
        <f t="shared" si="124"/>
        <v/>
      </c>
    </row>
    <row r="1576" spans="62:64" x14ac:dyDescent="0.25">
      <c r="BJ1576" s="13" t="str">
        <f t="shared" si="122"/>
        <v/>
      </c>
      <c r="BK1576" s="10" t="str">
        <f t="shared" si="123"/>
        <v/>
      </c>
      <c r="BL1576" s="10" t="str">
        <f t="shared" si="124"/>
        <v/>
      </c>
    </row>
    <row r="1577" spans="62:64" x14ac:dyDescent="0.25">
      <c r="BJ1577" s="13" t="str">
        <f t="shared" si="122"/>
        <v/>
      </c>
      <c r="BK1577" s="10" t="str">
        <f t="shared" si="123"/>
        <v/>
      </c>
      <c r="BL1577" s="10" t="str">
        <f t="shared" si="124"/>
        <v/>
      </c>
    </row>
    <row r="1578" spans="62:64" x14ac:dyDescent="0.25">
      <c r="BJ1578" s="13" t="str">
        <f t="shared" si="122"/>
        <v/>
      </c>
      <c r="BK1578" s="10" t="str">
        <f t="shared" si="123"/>
        <v/>
      </c>
      <c r="BL1578" s="10" t="str">
        <f t="shared" si="124"/>
        <v/>
      </c>
    </row>
    <row r="1579" spans="62:64" x14ac:dyDescent="0.25">
      <c r="BJ1579" s="13" t="str">
        <f t="shared" si="122"/>
        <v/>
      </c>
      <c r="BK1579" s="10" t="str">
        <f t="shared" si="123"/>
        <v/>
      </c>
      <c r="BL1579" s="10" t="str">
        <f t="shared" si="124"/>
        <v/>
      </c>
    </row>
    <row r="1580" spans="62:64" x14ac:dyDescent="0.25">
      <c r="BJ1580" s="13" t="str">
        <f t="shared" si="122"/>
        <v/>
      </c>
      <c r="BK1580" s="10" t="str">
        <f t="shared" si="123"/>
        <v/>
      </c>
      <c r="BL1580" s="10" t="str">
        <f t="shared" si="124"/>
        <v/>
      </c>
    </row>
    <row r="1581" spans="62:64" x14ac:dyDescent="0.25">
      <c r="BJ1581" s="13" t="str">
        <f t="shared" si="122"/>
        <v/>
      </c>
      <c r="BK1581" s="10" t="str">
        <f t="shared" si="123"/>
        <v/>
      </c>
      <c r="BL1581" s="10" t="str">
        <f t="shared" si="124"/>
        <v/>
      </c>
    </row>
    <row r="1582" spans="62:64" x14ac:dyDescent="0.25">
      <c r="BJ1582" s="13" t="str">
        <f t="shared" si="122"/>
        <v/>
      </c>
      <c r="BK1582" s="10" t="str">
        <f t="shared" si="123"/>
        <v/>
      </c>
      <c r="BL1582" s="10" t="str">
        <f t="shared" si="124"/>
        <v/>
      </c>
    </row>
    <row r="1583" spans="62:64" x14ac:dyDescent="0.25">
      <c r="BJ1583" s="13" t="str">
        <f t="shared" si="122"/>
        <v/>
      </c>
      <c r="BK1583" s="10" t="str">
        <f t="shared" si="123"/>
        <v/>
      </c>
      <c r="BL1583" s="10" t="str">
        <f t="shared" si="124"/>
        <v/>
      </c>
    </row>
    <row r="1584" spans="62:64" x14ac:dyDescent="0.25">
      <c r="BJ1584" s="13" t="str">
        <f t="shared" si="122"/>
        <v/>
      </c>
      <c r="BK1584" s="10" t="str">
        <f t="shared" si="123"/>
        <v/>
      </c>
      <c r="BL1584" s="10" t="str">
        <f t="shared" si="124"/>
        <v/>
      </c>
    </row>
    <row r="1585" spans="62:64" x14ac:dyDescent="0.25">
      <c r="BJ1585" s="13" t="str">
        <f t="shared" si="122"/>
        <v/>
      </c>
      <c r="BK1585" s="10" t="str">
        <f t="shared" si="123"/>
        <v/>
      </c>
      <c r="BL1585" s="10" t="str">
        <f t="shared" si="124"/>
        <v/>
      </c>
    </row>
    <row r="1586" spans="62:64" x14ac:dyDescent="0.25">
      <c r="BJ1586" s="13" t="str">
        <f t="shared" si="122"/>
        <v/>
      </c>
      <c r="BK1586" s="10" t="str">
        <f t="shared" si="123"/>
        <v/>
      </c>
      <c r="BL1586" s="10" t="str">
        <f t="shared" si="124"/>
        <v/>
      </c>
    </row>
    <row r="1587" spans="62:64" x14ac:dyDescent="0.25">
      <c r="BJ1587" s="13" t="str">
        <f t="shared" si="122"/>
        <v/>
      </c>
      <c r="BK1587" s="10" t="str">
        <f t="shared" si="123"/>
        <v/>
      </c>
      <c r="BL1587" s="10" t="str">
        <f t="shared" si="124"/>
        <v/>
      </c>
    </row>
    <row r="1588" spans="62:64" x14ac:dyDescent="0.25">
      <c r="BJ1588" s="13" t="str">
        <f t="shared" si="122"/>
        <v/>
      </c>
      <c r="BK1588" s="10" t="str">
        <f t="shared" si="123"/>
        <v/>
      </c>
      <c r="BL1588" s="10" t="str">
        <f t="shared" si="124"/>
        <v/>
      </c>
    </row>
    <row r="1589" spans="62:64" x14ac:dyDescent="0.25">
      <c r="BJ1589" s="13" t="str">
        <f t="shared" si="122"/>
        <v/>
      </c>
      <c r="BK1589" s="10" t="str">
        <f t="shared" si="123"/>
        <v/>
      </c>
      <c r="BL1589" s="10" t="str">
        <f t="shared" si="124"/>
        <v/>
      </c>
    </row>
    <row r="1590" spans="62:64" x14ac:dyDescent="0.25">
      <c r="BJ1590" s="13" t="str">
        <f t="shared" si="122"/>
        <v/>
      </c>
      <c r="BK1590" s="10" t="str">
        <f t="shared" si="123"/>
        <v/>
      </c>
      <c r="BL1590" s="10" t="str">
        <f t="shared" si="124"/>
        <v/>
      </c>
    </row>
    <row r="1591" spans="62:64" x14ac:dyDescent="0.25">
      <c r="BJ1591" s="13" t="str">
        <f t="shared" si="122"/>
        <v/>
      </c>
      <c r="BK1591" s="10" t="str">
        <f t="shared" si="123"/>
        <v/>
      </c>
      <c r="BL1591" s="10" t="str">
        <f t="shared" si="124"/>
        <v/>
      </c>
    </row>
    <row r="1592" spans="62:64" x14ac:dyDescent="0.25">
      <c r="BJ1592" s="13" t="str">
        <f t="shared" si="122"/>
        <v/>
      </c>
      <c r="BK1592" s="10" t="str">
        <f t="shared" si="123"/>
        <v/>
      </c>
      <c r="BL1592" s="10" t="str">
        <f t="shared" si="124"/>
        <v/>
      </c>
    </row>
    <row r="1593" spans="62:64" x14ac:dyDescent="0.25">
      <c r="BJ1593" s="13" t="str">
        <f t="shared" si="122"/>
        <v/>
      </c>
      <c r="BK1593" s="10" t="str">
        <f t="shared" si="123"/>
        <v/>
      </c>
      <c r="BL1593" s="10" t="str">
        <f t="shared" si="124"/>
        <v/>
      </c>
    </row>
    <row r="1594" spans="62:64" x14ac:dyDescent="0.25">
      <c r="BJ1594" s="13" t="str">
        <f t="shared" si="122"/>
        <v/>
      </c>
      <c r="BK1594" s="10" t="str">
        <f t="shared" si="123"/>
        <v/>
      </c>
      <c r="BL1594" s="10" t="str">
        <f t="shared" si="124"/>
        <v/>
      </c>
    </row>
    <row r="1595" spans="62:64" x14ac:dyDescent="0.25">
      <c r="BJ1595" s="13" t="str">
        <f t="shared" si="122"/>
        <v/>
      </c>
      <c r="BK1595" s="10" t="str">
        <f t="shared" si="123"/>
        <v/>
      </c>
      <c r="BL1595" s="10" t="str">
        <f t="shared" si="124"/>
        <v/>
      </c>
    </row>
    <row r="1596" spans="62:64" x14ac:dyDescent="0.25">
      <c r="BJ1596" s="13" t="str">
        <f t="shared" si="122"/>
        <v/>
      </c>
      <c r="BK1596" s="10" t="str">
        <f t="shared" si="123"/>
        <v/>
      </c>
      <c r="BL1596" s="10" t="str">
        <f t="shared" si="124"/>
        <v/>
      </c>
    </row>
    <row r="1597" spans="62:64" x14ac:dyDescent="0.25">
      <c r="BJ1597" s="13" t="str">
        <f t="shared" si="122"/>
        <v/>
      </c>
      <c r="BK1597" s="10" t="str">
        <f t="shared" si="123"/>
        <v/>
      </c>
      <c r="BL1597" s="10" t="str">
        <f t="shared" si="124"/>
        <v/>
      </c>
    </row>
    <row r="1598" spans="62:64" x14ac:dyDescent="0.25">
      <c r="BJ1598" s="13" t="str">
        <f t="shared" si="122"/>
        <v/>
      </c>
      <c r="BK1598" s="10" t="str">
        <f t="shared" si="123"/>
        <v/>
      </c>
      <c r="BL1598" s="10" t="str">
        <f t="shared" si="124"/>
        <v/>
      </c>
    </row>
    <row r="1599" spans="62:64" x14ac:dyDescent="0.25">
      <c r="BJ1599" s="13" t="str">
        <f t="shared" si="122"/>
        <v/>
      </c>
      <c r="BK1599" s="10" t="str">
        <f t="shared" si="123"/>
        <v/>
      </c>
      <c r="BL1599" s="10" t="str">
        <f t="shared" si="124"/>
        <v/>
      </c>
    </row>
    <row r="1600" spans="62:64" x14ac:dyDescent="0.25">
      <c r="BJ1600" s="13" t="str">
        <f t="shared" si="122"/>
        <v/>
      </c>
      <c r="BK1600" s="10" t="str">
        <f t="shared" si="123"/>
        <v/>
      </c>
      <c r="BL1600" s="10" t="str">
        <f t="shared" si="124"/>
        <v/>
      </c>
    </row>
    <row r="1601" spans="62:64" x14ac:dyDescent="0.25">
      <c r="BJ1601" s="13" t="str">
        <f t="shared" si="122"/>
        <v/>
      </c>
      <c r="BK1601" s="10" t="str">
        <f t="shared" si="123"/>
        <v/>
      </c>
      <c r="BL1601" s="10" t="str">
        <f t="shared" si="124"/>
        <v/>
      </c>
    </row>
    <row r="1602" spans="62:64" x14ac:dyDescent="0.25">
      <c r="BJ1602" s="13" t="str">
        <f t="shared" si="122"/>
        <v/>
      </c>
      <c r="BK1602" s="10" t="str">
        <f t="shared" si="123"/>
        <v/>
      </c>
      <c r="BL1602" s="10" t="str">
        <f t="shared" si="124"/>
        <v/>
      </c>
    </row>
    <row r="1603" spans="62:64" x14ac:dyDescent="0.25">
      <c r="BJ1603" s="13" t="str">
        <f t="shared" si="122"/>
        <v/>
      </c>
      <c r="BK1603" s="10" t="str">
        <f t="shared" si="123"/>
        <v/>
      </c>
      <c r="BL1603" s="10" t="str">
        <f t="shared" si="124"/>
        <v/>
      </c>
    </row>
    <row r="1604" spans="62:64" x14ac:dyDescent="0.25">
      <c r="BJ1604" s="13" t="str">
        <f t="shared" si="122"/>
        <v/>
      </c>
      <c r="BK1604" s="10" t="str">
        <f t="shared" si="123"/>
        <v/>
      </c>
      <c r="BL1604" s="10" t="str">
        <f t="shared" si="124"/>
        <v/>
      </c>
    </row>
    <row r="1605" spans="62:64" x14ac:dyDescent="0.25">
      <c r="BJ1605" s="13" t="str">
        <f t="shared" si="122"/>
        <v/>
      </c>
      <c r="BK1605" s="10" t="str">
        <f t="shared" si="123"/>
        <v/>
      </c>
      <c r="BL1605" s="10" t="str">
        <f t="shared" si="124"/>
        <v/>
      </c>
    </row>
    <row r="1606" spans="62:64" x14ac:dyDescent="0.25">
      <c r="BJ1606" s="13" t="str">
        <f t="shared" ref="BJ1606:BJ1669" si="125">IF(ROW()-BJ$3&lt;=$BJ$4,ROW()-ROW(BJ$4),"")</f>
        <v/>
      </c>
      <c r="BK1606" s="10" t="str">
        <f t="shared" si="123"/>
        <v/>
      </c>
      <c r="BL1606" s="10" t="str">
        <f t="shared" si="124"/>
        <v/>
      </c>
    </row>
    <row r="1607" spans="62:64" x14ac:dyDescent="0.25">
      <c r="BJ1607" s="13" t="str">
        <f t="shared" si="125"/>
        <v/>
      </c>
      <c r="BK1607" s="10" t="str">
        <f t="shared" ref="BK1607:BK1670" si="126">IF(ISNUMBER(BJ1607),INT(BJ1606/$BL$4)+1,"")</f>
        <v/>
      </c>
      <c r="BL1607" s="10" t="str">
        <f t="shared" ref="BL1607:BL1670" si="127">IF(ISNUMBER(BJ1607),IF(BK1606&lt;&gt;BK1607,1,BL1606+1),"")</f>
        <v/>
      </c>
    </row>
    <row r="1608" spans="62:64" x14ac:dyDescent="0.25">
      <c r="BJ1608" s="13" t="str">
        <f t="shared" si="125"/>
        <v/>
      </c>
      <c r="BK1608" s="10" t="str">
        <f t="shared" si="126"/>
        <v/>
      </c>
      <c r="BL1608" s="10" t="str">
        <f t="shared" si="127"/>
        <v/>
      </c>
    </row>
    <row r="1609" spans="62:64" x14ac:dyDescent="0.25">
      <c r="BJ1609" s="13" t="str">
        <f t="shared" si="125"/>
        <v/>
      </c>
      <c r="BK1609" s="10" t="str">
        <f t="shared" si="126"/>
        <v/>
      </c>
      <c r="BL1609" s="10" t="str">
        <f t="shared" si="127"/>
        <v/>
      </c>
    </row>
    <row r="1610" spans="62:64" x14ac:dyDescent="0.25">
      <c r="BJ1610" s="13" t="str">
        <f t="shared" si="125"/>
        <v/>
      </c>
      <c r="BK1610" s="10" t="str">
        <f t="shared" si="126"/>
        <v/>
      </c>
      <c r="BL1610" s="10" t="str">
        <f t="shared" si="127"/>
        <v/>
      </c>
    </row>
    <row r="1611" spans="62:64" x14ac:dyDescent="0.25">
      <c r="BJ1611" s="13" t="str">
        <f t="shared" si="125"/>
        <v/>
      </c>
      <c r="BK1611" s="10" t="str">
        <f t="shared" si="126"/>
        <v/>
      </c>
      <c r="BL1611" s="10" t="str">
        <f t="shared" si="127"/>
        <v/>
      </c>
    </row>
    <row r="1612" spans="62:64" x14ac:dyDescent="0.25">
      <c r="BJ1612" s="13" t="str">
        <f t="shared" si="125"/>
        <v/>
      </c>
      <c r="BK1612" s="10" t="str">
        <f t="shared" si="126"/>
        <v/>
      </c>
      <c r="BL1612" s="10" t="str">
        <f t="shared" si="127"/>
        <v/>
      </c>
    </row>
    <row r="1613" spans="62:64" x14ac:dyDescent="0.25">
      <c r="BJ1613" s="13" t="str">
        <f t="shared" si="125"/>
        <v/>
      </c>
      <c r="BK1613" s="10" t="str">
        <f t="shared" si="126"/>
        <v/>
      </c>
      <c r="BL1613" s="10" t="str">
        <f t="shared" si="127"/>
        <v/>
      </c>
    </row>
    <row r="1614" spans="62:64" x14ac:dyDescent="0.25">
      <c r="BJ1614" s="13" t="str">
        <f t="shared" si="125"/>
        <v/>
      </c>
      <c r="BK1614" s="10" t="str">
        <f t="shared" si="126"/>
        <v/>
      </c>
      <c r="BL1614" s="10" t="str">
        <f t="shared" si="127"/>
        <v/>
      </c>
    </row>
    <row r="1615" spans="62:64" x14ac:dyDescent="0.25">
      <c r="BJ1615" s="13" t="str">
        <f t="shared" si="125"/>
        <v/>
      </c>
      <c r="BK1615" s="10" t="str">
        <f t="shared" si="126"/>
        <v/>
      </c>
      <c r="BL1615" s="10" t="str">
        <f t="shared" si="127"/>
        <v/>
      </c>
    </row>
    <row r="1616" spans="62:64" x14ac:dyDescent="0.25">
      <c r="BJ1616" s="13" t="str">
        <f t="shared" si="125"/>
        <v/>
      </c>
      <c r="BK1616" s="10" t="str">
        <f t="shared" si="126"/>
        <v/>
      </c>
      <c r="BL1616" s="10" t="str">
        <f t="shared" si="127"/>
        <v/>
      </c>
    </row>
    <row r="1617" spans="62:64" x14ac:dyDescent="0.25">
      <c r="BJ1617" s="13" t="str">
        <f t="shared" si="125"/>
        <v/>
      </c>
      <c r="BK1617" s="10" t="str">
        <f t="shared" si="126"/>
        <v/>
      </c>
      <c r="BL1617" s="10" t="str">
        <f t="shared" si="127"/>
        <v/>
      </c>
    </row>
    <row r="1618" spans="62:64" x14ac:dyDescent="0.25">
      <c r="BJ1618" s="13" t="str">
        <f t="shared" si="125"/>
        <v/>
      </c>
      <c r="BK1618" s="10" t="str">
        <f t="shared" si="126"/>
        <v/>
      </c>
      <c r="BL1618" s="10" t="str">
        <f t="shared" si="127"/>
        <v/>
      </c>
    </row>
    <row r="1619" spans="62:64" x14ac:dyDescent="0.25">
      <c r="BJ1619" s="13" t="str">
        <f t="shared" si="125"/>
        <v/>
      </c>
      <c r="BK1619" s="10" t="str">
        <f t="shared" si="126"/>
        <v/>
      </c>
      <c r="BL1619" s="10" t="str">
        <f t="shared" si="127"/>
        <v/>
      </c>
    </row>
    <row r="1620" spans="62:64" x14ac:dyDescent="0.25">
      <c r="BJ1620" s="13" t="str">
        <f t="shared" si="125"/>
        <v/>
      </c>
      <c r="BK1620" s="10" t="str">
        <f t="shared" si="126"/>
        <v/>
      </c>
      <c r="BL1620" s="10" t="str">
        <f t="shared" si="127"/>
        <v/>
      </c>
    </row>
    <row r="1621" spans="62:64" x14ac:dyDescent="0.25">
      <c r="BJ1621" s="13" t="str">
        <f t="shared" si="125"/>
        <v/>
      </c>
      <c r="BK1621" s="10" t="str">
        <f t="shared" si="126"/>
        <v/>
      </c>
      <c r="BL1621" s="10" t="str">
        <f t="shared" si="127"/>
        <v/>
      </c>
    </row>
    <row r="1622" spans="62:64" x14ac:dyDescent="0.25">
      <c r="BJ1622" s="13" t="str">
        <f t="shared" si="125"/>
        <v/>
      </c>
      <c r="BK1622" s="10" t="str">
        <f t="shared" si="126"/>
        <v/>
      </c>
      <c r="BL1622" s="10" t="str">
        <f t="shared" si="127"/>
        <v/>
      </c>
    </row>
    <row r="1623" spans="62:64" x14ac:dyDescent="0.25">
      <c r="BJ1623" s="13" t="str">
        <f t="shared" si="125"/>
        <v/>
      </c>
      <c r="BK1623" s="10" t="str">
        <f t="shared" si="126"/>
        <v/>
      </c>
      <c r="BL1623" s="10" t="str">
        <f t="shared" si="127"/>
        <v/>
      </c>
    </row>
    <row r="1624" spans="62:64" x14ac:dyDescent="0.25">
      <c r="BJ1624" s="13" t="str">
        <f t="shared" si="125"/>
        <v/>
      </c>
      <c r="BK1624" s="10" t="str">
        <f t="shared" si="126"/>
        <v/>
      </c>
      <c r="BL1624" s="10" t="str">
        <f t="shared" si="127"/>
        <v/>
      </c>
    </row>
    <row r="1625" spans="62:64" x14ac:dyDescent="0.25">
      <c r="BJ1625" s="13" t="str">
        <f t="shared" si="125"/>
        <v/>
      </c>
      <c r="BK1625" s="10" t="str">
        <f t="shared" si="126"/>
        <v/>
      </c>
      <c r="BL1625" s="10" t="str">
        <f t="shared" si="127"/>
        <v/>
      </c>
    </row>
    <row r="1626" spans="62:64" x14ac:dyDescent="0.25">
      <c r="BJ1626" s="13" t="str">
        <f t="shared" si="125"/>
        <v/>
      </c>
      <c r="BK1626" s="10" t="str">
        <f t="shared" si="126"/>
        <v/>
      </c>
      <c r="BL1626" s="10" t="str">
        <f t="shared" si="127"/>
        <v/>
      </c>
    </row>
    <row r="1627" spans="62:64" x14ac:dyDescent="0.25">
      <c r="BJ1627" s="13" t="str">
        <f t="shared" si="125"/>
        <v/>
      </c>
      <c r="BK1627" s="10" t="str">
        <f t="shared" si="126"/>
        <v/>
      </c>
      <c r="BL1627" s="10" t="str">
        <f t="shared" si="127"/>
        <v/>
      </c>
    </row>
    <row r="1628" spans="62:64" x14ac:dyDescent="0.25">
      <c r="BJ1628" s="13" t="str">
        <f t="shared" si="125"/>
        <v/>
      </c>
      <c r="BK1628" s="10" t="str">
        <f t="shared" si="126"/>
        <v/>
      </c>
      <c r="BL1628" s="10" t="str">
        <f t="shared" si="127"/>
        <v/>
      </c>
    </row>
    <row r="1629" spans="62:64" x14ac:dyDescent="0.25">
      <c r="BJ1629" s="13" t="str">
        <f t="shared" si="125"/>
        <v/>
      </c>
      <c r="BK1629" s="10" t="str">
        <f t="shared" si="126"/>
        <v/>
      </c>
      <c r="BL1629" s="10" t="str">
        <f t="shared" si="127"/>
        <v/>
      </c>
    </row>
    <row r="1630" spans="62:64" x14ac:dyDescent="0.25">
      <c r="BJ1630" s="13" t="str">
        <f t="shared" si="125"/>
        <v/>
      </c>
      <c r="BK1630" s="10" t="str">
        <f t="shared" si="126"/>
        <v/>
      </c>
      <c r="BL1630" s="10" t="str">
        <f t="shared" si="127"/>
        <v/>
      </c>
    </row>
    <row r="1631" spans="62:64" x14ac:dyDescent="0.25">
      <c r="BJ1631" s="13" t="str">
        <f t="shared" si="125"/>
        <v/>
      </c>
      <c r="BK1631" s="10" t="str">
        <f t="shared" si="126"/>
        <v/>
      </c>
      <c r="BL1631" s="10" t="str">
        <f t="shared" si="127"/>
        <v/>
      </c>
    </row>
    <row r="1632" spans="62:64" x14ac:dyDescent="0.25">
      <c r="BJ1632" s="13" t="str">
        <f t="shared" si="125"/>
        <v/>
      </c>
      <c r="BK1632" s="10" t="str">
        <f t="shared" si="126"/>
        <v/>
      </c>
      <c r="BL1632" s="10" t="str">
        <f t="shared" si="127"/>
        <v/>
      </c>
    </row>
    <row r="1633" spans="62:64" x14ac:dyDescent="0.25">
      <c r="BJ1633" s="13" t="str">
        <f t="shared" si="125"/>
        <v/>
      </c>
      <c r="BK1633" s="10" t="str">
        <f t="shared" si="126"/>
        <v/>
      </c>
      <c r="BL1633" s="10" t="str">
        <f t="shared" si="127"/>
        <v/>
      </c>
    </row>
    <row r="1634" spans="62:64" x14ac:dyDescent="0.25">
      <c r="BJ1634" s="13" t="str">
        <f t="shared" si="125"/>
        <v/>
      </c>
      <c r="BK1634" s="10" t="str">
        <f t="shared" si="126"/>
        <v/>
      </c>
      <c r="BL1634" s="10" t="str">
        <f t="shared" si="127"/>
        <v/>
      </c>
    </row>
    <row r="1635" spans="62:64" x14ac:dyDescent="0.25">
      <c r="BJ1635" s="13" t="str">
        <f t="shared" si="125"/>
        <v/>
      </c>
      <c r="BK1635" s="10" t="str">
        <f t="shared" si="126"/>
        <v/>
      </c>
      <c r="BL1635" s="10" t="str">
        <f t="shared" si="127"/>
        <v/>
      </c>
    </row>
    <row r="1636" spans="62:64" x14ac:dyDescent="0.25">
      <c r="BJ1636" s="13" t="str">
        <f t="shared" si="125"/>
        <v/>
      </c>
      <c r="BK1636" s="10" t="str">
        <f t="shared" si="126"/>
        <v/>
      </c>
      <c r="BL1636" s="10" t="str">
        <f t="shared" si="127"/>
        <v/>
      </c>
    </row>
    <row r="1637" spans="62:64" x14ac:dyDescent="0.25">
      <c r="BJ1637" s="13" t="str">
        <f t="shared" si="125"/>
        <v/>
      </c>
      <c r="BK1637" s="10" t="str">
        <f t="shared" si="126"/>
        <v/>
      </c>
      <c r="BL1637" s="10" t="str">
        <f t="shared" si="127"/>
        <v/>
      </c>
    </row>
    <row r="1638" spans="62:64" x14ac:dyDescent="0.25">
      <c r="BJ1638" s="13" t="str">
        <f t="shared" si="125"/>
        <v/>
      </c>
      <c r="BK1638" s="10" t="str">
        <f t="shared" si="126"/>
        <v/>
      </c>
      <c r="BL1638" s="10" t="str">
        <f t="shared" si="127"/>
        <v/>
      </c>
    </row>
    <row r="1639" spans="62:64" x14ac:dyDescent="0.25">
      <c r="BJ1639" s="13" t="str">
        <f t="shared" si="125"/>
        <v/>
      </c>
      <c r="BK1639" s="10" t="str">
        <f t="shared" si="126"/>
        <v/>
      </c>
      <c r="BL1639" s="10" t="str">
        <f t="shared" si="127"/>
        <v/>
      </c>
    </row>
    <row r="1640" spans="62:64" x14ac:dyDescent="0.25">
      <c r="BJ1640" s="13" t="str">
        <f t="shared" si="125"/>
        <v/>
      </c>
      <c r="BK1640" s="10" t="str">
        <f t="shared" si="126"/>
        <v/>
      </c>
      <c r="BL1640" s="10" t="str">
        <f t="shared" si="127"/>
        <v/>
      </c>
    </row>
    <row r="1641" spans="62:64" x14ac:dyDescent="0.25">
      <c r="BJ1641" s="13" t="str">
        <f t="shared" si="125"/>
        <v/>
      </c>
      <c r="BK1641" s="10" t="str">
        <f t="shared" si="126"/>
        <v/>
      </c>
      <c r="BL1641" s="10" t="str">
        <f t="shared" si="127"/>
        <v/>
      </c>
    </row>
    <row r="1642" spans="62:64" x14ac:dyDescent="0.25">
      <c r="BJ1642" s="13" t="str">
        <f t="shared" si="125"/>
        <v/>
      </c>
      <c r="BK1642" s="10" t="str">
        <f t="shared" si="126"/>
        <v/>
      </c>
      <c r="BL1642" s="10" t="str">
        <f t="shared" si="127"/>
        <v/>
      </c>
    </row>
    <row r="1643" spans="62:64" x14ac:dyDescent="0.25">
      <c r="BJ1643" s="13" t="str">
        <f t="shared" si="125"/>
        <v/>
      </c>
      <c r="BK1643" s="10" t="str">
        <f t="shared" si="126"/>
        <v/>
      </c>
      <c r="BL1643" s="10" t="str">
        <f t="shared" si="127"/>
        <v/>
      </c>
    </row>
    <row r="1644" spans="62:64" x14ac:dyDescent="0.25">
      <c r="BJ1644" s="13" t="str">
        <f t="shared" si="125"/>
        <v/>
      </c>
      <c r="BK1644" s="10" t="str">
        <f t="shared" si="126"/>
        <v/>
      </c>
      <c r="BL1644" s="10" t="str">
        <f t="shared" si="127"/>
        <v/>
      </c>
    </row>
    <row r="1645" spans="62:64" x14ac:dyDescent="0.25">
      <c r="BJ1645" s="13" t="str">
        <f t="shared" si="125"/>
        <v/>
      </c>
      <c r="BK1645" s="10" t="str">
        <f t="shared" si="126"/>
        <v/>
      </c>
      <c r="BL1645" s="10" t="str">
        <f t="shared" si="127"/>
        <v/>
      </c>
    </row>
    <row r="1646" spans="62:64" x14ac:dyDescent="0.25">
      <c r="BJ1646" s="13" t="str">
        <f t="shared" si="125"/>
        <v/>
      </c>
      <c r="BK1646" s="10" t="str">
        <f t="shared" si="126"/>
        <v/>
      </c>
      <c r="BL1646" s="10" t="str">
        <f t="shared" si="127"/>
        <v/>
      </c>
    </row>
    <row r="1647" spans="62:64" x14ac:dyDescent="0.25">
      <c r="BJ1647" s="13" t="str">
        <f t="shared" si="125"/>
        <v/>
      </c>
      <c r="BK1647" s="10" t="str">
        <f t="shared" si="126"/>
        <v/>
      </c>
      <c r="BL1647" s="10" t="str">
        <f t="shared" si="127"/>
        <v/>
      </c>
    </row>
    <row r="1648" spans="62:64" x14ac:dyDescent="0.25">
      <c r="BJ1648" s="13" t="str">
        <f t="shared" si="125"/>
        <v/>
      </c>
      <c r="BK1648" s="10" t="str">
        <f t="shared" si="126"/>
        <v/>
      </c>
      <c r="BL1648" s="10" t="str">
        <f t="shared" si="127"/>
        <v/>
      </c>
    </row>
    <row r="1649" spans="62:64" x14ac:dyDescent="0.25">
      <c r="BJ1649" s="13" t="str">
        <f t="shared" si="125"/>
        <v/>
      </c>
      <c r="BK1649" s="10" t="str">
        <f t="shared" si="126"/>
        <v/>
      </c>
      <c r="BL1649" s="10" t="str">
        <f t="shared" si="127"/>
        <v/>
      </c>
    </row>
    <row r="1650" spans="62:64" x14ac:dyDescent="0.25">
      <c r="BJ1650" s="13" t="str">
        <f t="shared" si="125"/>
        <v/>
      </c>
      <c r="BK1650" s="10" t="str">
        <f t="shared" si="126"/>
        <v/>
      </c>
      <c r="BL1650" s="10" t="str">
        <f t="shared" si="127"/>
        <v/>
      </c>
    </row>
    <row r="1651" spans="62:64" x14ac:dyDescent="0.25">
      <c r="BJ1651" s="13" t="str">
        <f t="shared" si="125"/>
        <v/>
      </c>
      <c r="BK1651" s="10" t="str">
        <f t="shared" si="126"/>
        <v/>
      </c>
      <c r="BL1651" s="10" t="str">
        <f t="shared" si="127"/>
        <v/>
      </c>
    </row>
    <row r="1652" spans="62:64" x14ac:dyDescent="0.25">
      <c r="BJ1652" s="13" t="str">
        <f t="shared" si="125"/>
        <v/>
      </c>
      <c r="BK1652" s="10" t="str">
        <f t="shared" si="126"/>
        <v/>
      </c>
      <c r="BL1652" s="10" t="str">
        <f t="shared" si="127"/>
        <v/>
      </c>
    </row>
    <row r="1653" spans="62:64" x14ac:dyDescent="0.25">
      <c r="BJ1653" s="13" t="str">
        <f t="shared" si="125"/>
        <v/>
      </c>
      <c r="BK1653" s="10" t="str">
        <f t="shared" si="126"/>
        <v/>
      </c>
      <c r="BL1653" s="10" t="str">
        <f t="shared" si="127"/>
        <v/>
      </c>
    </row>
    <row r="1654" spans="62:64" x14ac:dyDescent="0.25">
      <c r="BJ1654" s="13" t="str">
        <f t="shared" si="125"/>
        <v/>
      </c>
      <c r="BK1654" s="10" t="str">
        <f t="shared" si="126"/>
        <v/>
      </c>
      <c r="BL1654" s="10" t="str">
        <f t="shared" si="127"/>
        <v/>
      </c>
    </row>
    <row r="1655" spans="62:64" x14ac:dyDescent="0.25">
      <c r="BJ1655" s="13" t="str">
        <f t="shared" si="125"/>
        <v/>
      </c>
      <c r="BK1655" s="10" t="str">
        <f t="shared" si="126"/>
        <v/>
      </c>
      <c r="BL1655" s="10" t="str">
        <f t="shared" si="127"/>
        <v/>
      </c>
    </row>
    <row r="1656" spans="62:64" x14ac:dyDescent="0.25">
      <c r="BJ1656" s="13" t="str">
        <f t="shared" si="125"/>
        <v/>
      </c>
      <c r="BK1656" s="10" t="str">
        <f t="shared" si="126"/>
        <v/>
      </c>
      <c r="BL1656" s="10" t="str">
        <f t="shared" si="127"/>
        <v/>
      </c>
    </row>
    <row r="1657" spans="62:64" x14ac:dyDescent="0.25">
      <c r="BJ1657" s="13" t="str">
        <f t="shared" si="125"/>
        <v/>
      </c>
      <c r="BK1657" s="10" t="str">
        <f t="shared" si="126"/>
        <v/>
      </c>
      <c r="BL1657" s="10" t="str">
        <f t="shared" si="127"/>
        <v/>
      </c>
    </row>
    <row r="1658" spans="62:64" x14ac:dyDescent="0.25">
      <c r="BJ1658" s="13" t="str">
        <f t="shared" si="125"/>
        <v/>
      </c>
      <c r="BK1658" s="10" t="str">
        <f t="shared" si="126"/>
        <v/>
      </c>
      <c r="BL1658" s="10" t="str">
        <f t="shared" si="127"/>
        <v/>
      </c>
    </row>
    <row r="1659" spans="62:64" x14ac:dyDescent="0.25">
      <c r="BJ1659" s="13" t="str">
        <f t="shared" si="125"/>
        <v/>
      </c>
      <c r="BK1659" s="10" t="str">
        <f t="shared" si="126"/>
        <v/>
      </c>
      <c r="BL1659" s="10" t="str">
        <f t="shared" si="127"/>
        <v/>
      </c>
    </row>
    <row r="1660" spans="62:64" x14ac:dyDescent="0.25">
      <c r="BJ1660" s="13" t="str">
        <f t="shared" si="125"/>
        <v/>
      </c>
      <c r="BK1660" s="10" t="str">
        <f t="shared" si="126"/>
        <v/>
      </c>
      <c r="BL1660" s="10" t="str">
        <f t="shared" si="127"/>
        <v/>
      </c>
    </row>
    <row r="1661" spans="62:64" x14ac:dyDescent="0.25">
      <c r="BJ1661" s="13" t="str">
        <f t="shared" si="125"/>
        <v/>
      </c>
      <c r="BK1661" s="10" t="str">
        <f t="shared" si="126"/>
        <v/>
      </c>
      <c r="BL1661" s="10" t="str">
        <f t="shared" si="127"/>
        <v/>
      </c>
    </row>
    <row r="1662" spans="62:64" x14ac:dyDescent="0.25">
      <c r="BJ1662" s="13" t="str">
        <f t="shared" si="125"/>
        <v/>
      </c>
      <c r="BK1662" s="10" t="str">
        <f t="shared" si="126"/>
        <v/>
      </c>
      <c r="BL1662" s="10" t="str">
        <f t="shared" si="127"/>
        <v/>
      </c>
    </row>
    <row r="1663" spans="62:64" x14ac:dyDescent="0.25">
      <c r="BJ1663" s="13" t="str">
        <f t="shared" si="125"/>
        <v/>
      </c>
      <c r="BK1663" s="10" t="str">
        <f t="shared" si="126"/>
        <v/>
      </c>
      <c r="BL1663" s="10" t="str">
        <f t="shared" si="127"/>
        <v/>
      </c>
    </row>
    <row r="1664" spans="62:64" x14ac:dyDescent="0.25">
      <c r="BJ1664" s="13" t="str">
        <f t="shared" si="125"/>
        <v/>
      </c>
      <c r="BK1664" s="10" t="str">
        <f t="shared" si="126"/>
        <v/>
      </c>
      <c r="BL1664" s="10" t="str">
        <f t="shared" si="127"/>
        <v/>
      </c>
    </row>
    <row r="1665" spans="62:64" x14ac:dyDescent="0.25">
      <c r="BJ1665" s="13" t="str">
        <f t="shared" si="125"/>
        <v/>
      </c>
      <c r="BK1665" s="10" t="str">
        <f t="shared" si="126"/>
        <v/>
      </c>
      <c r="BL1665" s="10" t="str">
        <f t="shared" si="127"/>
        <v/>
      </c>
    </row>
    <row r="1666" spans="62:64" x14ac:dyDescent="0.25">
      <c r="BJ1666" s="13" t="str">
        <f t="shared" si="125"/>
        <v/>
      </c>
      <c r="BK1666" s="10" t="str">
        <f t="shared" si="126"/>
        <v/>
      </c>
      <c r="BL1666" s="10" t="str">
        <f t="shared" si="127"/>
        <v/>
      </c>
    </row>
    <row r="1667" spans="62:64" x14ac:dyDescent="0.25">
      <c r="BJ1667" s="13" t="str">
        <f t="shared" si="125"/>
        <v/>
      </c>
      <c r="BK1667" s="10" t="str">
        <f t="shared" si="126"/>
        <v/>
      </c>
      <c r="BL1667" s="10" t="str">
        <f t="shared" si="127"/>
        <v/>
      </c>
    </row>
    <row r="1668" spans="62:64" x14ac:dyDescent="0.25">
      <c r="BJ1668" s="13" t="str">
        <f t="shared" si="125"/>
        <v/>
      </c>
      <c r="BK1668" s="10" t="str">
        <f t="shared" si="126"/>
        <v/>
      </c>
      <c r="BL1668" s="10" t="str">
        <f t="shared" si="127"/>
        <v/>
      </c>
    </row>
    <row r="1669" spans="62:64" x14ac:dyDescent="0.25">
      <c r="BJ1669" s="13" t="str">
        <f t="shared" si="125"/>
        <v/>
      </c>
      <c r="BK1669" s="10" t="str">
        <f t="shared" si="126"/>
        <v/>
      </c>
      <c r="BL1669" s="10" t="str">
        <f t="shared" si="127"/>
        <v/>
      </c>
    </row>
    <row r="1670" spans="62:64" x14ac:dyDescent="0.25">
      <c r="BJ1670" s="13" t="str">
        <f t="shared" ref="BJ1670:BJ1733" si="128">IF(ROW()-BJ$3&lt;=$BJ$4,ROW()-ROW(BJ$4),"")</f>
        <v/>
      </c>
      <c r="BK1670" s="10" t="str">
        <f t="shared" si="126"/>
        <v/>
      </c>
      <c r="BL1670" s="10" t="str">
        <f t="shared" si="127"/>
        <v/>
      </c>
    </row>
    <row r="1671" spans="62:64" x14ac:dyDescent="0.25">
      <c r="BJ1671" s="13" t="str">
        <f t="shared" si="128"/>
        <v/>
      </c>
      <c r="BK1671" s="10" t="str">
        <f t="shared" ref="BK1671:BK1734" si="129">IF(ISNUMBER(BJ1671),INT(BJ1670/$BL$4)+1,"")</f>
        <v/>
      </c>
      <c r="BL1671" s="10" t="str">
        <f t="shared" ref="BL1671:BL1734" si="130">IF(ISNUMBER(BJ1671),IF(BK1670&lt;&gt;BK1671,1,BL1670+1),"")</f>
        <v/>
      </c>
    </row>
    <row r="1672" spans="62:64" x14ac:dyDescent="0.25">
      <c r="BJ1672" s="13" t="str">
        <f t="shared" si="128"/>
        <v/>
      </c>
      <c r="BK1672" s="10" t="str">
        <f t="shared" si="129"/>
        <v/>
      </c>
      <c r="BL1672" s="10" t="str">
        <f t="shared" si="130"/>
        <v/>
      </c>
    </row>
    <row r="1673" spans="62:64" x14ac:dyDescent="0.25">
      <c r="BJ1673" s="13" t="str">
        <f t="shared" si="128"/>
        <v/>
      </c>
      <c r="BK1673" s="10" t="str">
        <f t="shared" si="129"/>
        <v/>
      </c>
      <c r="BL1673" s="10" t="str">
        <f t="shared" si="130"/>
        <v/>
      </c>
    </row>
    <row r="1674" spans="62:64" x14ac:dyDescent="0.25">
      <c r="BJ1674" s="13" t="str">
        <f t="shared" si="128"/>
        <v/>
      </c>
      <c r="BK1674" s="10" t="str">
        <f t="shared" si="129"/>
        <v/>
      </c>
      <c r="BL1674" s="10" t="str">
        <f t="shared" si="130"/>
        <v/>
      </c>
    </row>
    <row r="1675" spans="62:64" x14ac:dyDescent="0.25">
      <c r="BJ1675" s="13" t="str">
        <f t="shared" si="128"/>
        <v/>
      </c>
      <c r="BK1675" s="10" t="str">
        <f t="shared" si="129"/>
        <v/>
      </c>
      <c r="BL1675" s="10" t="str">
        <f t="shared" si="130"/>
        <v/>
      </c>
    </row>
    <row r="1676" spans="62:64" x14ac:dyDescent="0.25">
      <c r="BJ1676" s="13" t="str">
        <f t="shared" si="128"/>
        <v/>
      </c>
      <c r="BK1676" s="10" t="str">
        <f t="shared" si="129"/>
        <v/>
      </c>
      <c r="BL1676" s="10" t="str">
        <f t="shared" si="130"/>
        <v/>
      </c>
    </row>
    <row r="1677" spans="62:64" x14ac:dyDescent="0.25">
      <c r="BJ1677" s="13" t="str">
        <f t="shared" si="128"/>
        <v/>
      </c>
      <c r="BK1677" s="10" t="str">
        <f t="shared" si="129"/>
        <v/>
      </c>
      <c r="BL1677" s="10" t="str">
        <f t="shared" si="130"/>
        <v/>
      </c>
    </row>
    <row r="1678" spans="62:64" x14ac:dyDescent="0.25">
      <c r="BJ1678" s="13" t="str">
        <f t="shared" si="128"/>
        <v/>
      </c>
      <c r="BK1678" s="10" t="str">
        <f t="shared" si="129"/>
        <v/>
      </c>
      <c r="BL1678" s="10" t="str">
        <f t="shared" si="130"/>
        <v/>
      </c>
    </row>
    <row r="1679" spans="62:64" x14ac:dyDescent="0.25">
      <c r="BJ1679" s="13" t="str">
        <f t="shared" si="128"/>
        <v/>
      </c>
      <c r="BK1679" s="10" t="str">
        <f t="shared" si="129"/>
        <v/>
      </c>
      <c r="BL1679" s="10" t="str">
        <f t="shared" si="130"/>
        <v/>
      </c>
    </row>
    <row r="1680" spans="62:64" x14ac:dyDescent="0.25">
      <c r="BJ1680" s="13" t="str">
        <f t="shared" si="128"/>
        <v/>
      </c>
      <c r="BK1680" s="10" t="str">
        <f t="shared" si="129"/>
        <v/>
      </c>
      <c r="BL1680" s="10" t="str">
        <f t="shared" si="130"/>
        <v/>
      </c>
    </row>
    <row r="1681" spans="62:64" x14ac:dyDescent="0.25">
      <c r="BJ1681" s="13" t="str">
        <f t="shared" si="128"/>
        <v/>
      </c>
      <c r="BK1681" s="10" t="str">
        <f t="shared" si="129"/>
        <v/>
      </c>
      <c r="BL1681" s="10" t="str">
        <f t="shared" si="130"/>
        <v/>
      </c>
    </row>
    <row r="1682" spans="62:64" x14ac:dyDescent="0.25">
      <c r="BJ1682" s="13" t="str">
        <f t="shared" si="128"/>
        <v/>
      </c>
      <c r="BK1682" s="10" t="str">
        <f t="shared" si="129"/>
        <v/>
      </c>
      <c r="BL1682" s="10" t="str">
        <f t="shared" si="130"/>
        <v/>
      </c>
    </row>
    <row r="1683" spans="62:64" x14ac:dyDescent="0.25">
      <c r="BJ1683" s="13" t="str">
        <f t="shared" si="128"/>
        <v/>
      </c>
      <c r="BK1683" s="10" t="str">
        <f t="shared" si="129"/>
        <v/>
      </c>
      <c r="BL1683" s="10" t="str">
        <f t="shared" si="130"/>
        <v/>
      </c>
    </row>
    <row r="1684" spans="62:64" x14ac:dyDescent="0.25">
      <c r="BJ1684" s="13" t="str">
        <f t="shared" si="128"/>
        <v/>
      </c>
      <c r="BK1684" s="10" t="str">
        <f t="shared" si="129"/>
        <v/>
      </c>
      <c r="BL1684" s="10" t="str">
        <f t="shared" si="130"/>
        <v/>
      </c>
    </row>
    <row r="1685" spans="62:64" x14ac:dyDescent="0.25">
      <c r="BJ1685" s="13" t="str">
        <f t="shared" si="128"/>
        <v/>
      </c>
      <c r="BK1685" s="10" t="str">
        <f t="shared" si="129"/>
        <v/>
      </c>
      <c r="BL1685" s="10" t="str">
        <f t="shared" si="130"/>
        <v/>
      </c>
    </row>
    <row r="1686" spans="62:64" x14ac:dyDescent="0.25">
      <c r="BJ1686" s="13" t="str">
        <f t="shared" si="128"/>
        <v/>
      </c>
      <c r="BK1686" s="10" t="str">
        <f t="shared" si="129"/>
        <v/>
      </c>
      <c r="BL1686" s="10" t="str">
        <f t="shared" si="130"/>
        <v/>
      </c>
    </row>
    <row r="1687" spans="62:64" x14ac:dyDescent="0.25">
      <c r="BJ1687" s="13" t="str">
        <f t="shared" si="128"/>
        <v/>
      </c>
      <c r="BK1687" s="10" t="str">
        <f t="shared" si="129"/>
        <v/>
      </c>
      <c r="BL1687" s="10" t="str">
        <f t="shared" si="130"/>
        <v/>
      </c>
    </row>
    <row r="1688" spans="62:64" x14ac:dyDescent="0.25">
      <c r="BJ1688" s="13" t="str">
        <f t="shared" si="128"/>
        <v/>
      </c>
      <c r="BK1688" s="10" t="str">
        <f t="shared" si="129"/>
        <v/>
      </c>
      <c r="BL1688" s="10" t="str">
        <f t="shared" si="130"/>
        <v/>
      </c>
    </row>
    <row r="1689" spans="62:64" x14ac:dyDescent="0.25">
      <c r="BJ1689" s="13" t="str">
        <f t="shared" si="128"/>
        <v/>
      </c>
      <c r="BK1689" s="10" t="str">
        <f t="shared" si="129"/>
        <v/>
      </c>
      <c r="BL1689" s="10" t="str">
        <f t="shared" si="130"/>
        <v/>
      </c>
    </row>
    <row r="1690" spans="62:64" x14ac:dyDescent="0.25">
      <c r="BJ1690" s="13" t="str">
        <f t="shared" si="128"/>
        <v/>
      </c>
      <c r="BK1690" s="10" t="str">
        <f t="shared" si="129"/>
        <v/>
      </c>
      <c r="BL1690" s="10" t="str">
        <f t="shared" si="130"/>
        <v/>
      </c>
    </row>
    <row r="1691" spans="62:64" x14ac:dyDescent="0.25">
      <c r="BJ1691" s="13" t="str">
        <f t="shared" si="128"/>
        <v/>
      </c>
      <c r="BK1691" s="10" t="str">
        <f t="shared" si="129"/>
        <v/>
      </c>
      <c r="BL1691" s="10" t="str">
        <f t="shared" si="130"/>
        <v/>
      </c>
    </row>
    <row r="1692" spans="62:64" x14ac:dyDescent="0.25">
      <c r="BJ1692" s="13" t="str">
        <f t="shared" si="128"/>
        <v/>
      </c>
      <c r="BK1692" s="10" t="str">
        <f t="shared" si="129"/>
        <v/>
      </c>
      <c r="BL1692" s="10" t="str">
        <f t="shared" si="130"/>
        <v/>
      </c>
    </row>
    <row r="1693" spans="62:64" x14ac:dyDescent="0.25">
      <c r="BJ1693" s="13" t="str">
        <f t="shared" si="128"/>
        <v/>
      </c>
      <c r="BK1693" s="10" t="str">
        <f t="shared" si="129"/>
        <v/>
      </c>
      <c r="BL1693" s="10" t="str">
        <f t="shared" si="130"/>
        <v/>
      </c>
    </row>
    <row r="1694" spans="62:64" x14ac:dyDescent="0.25">
      <c r="BJ1694" s="13" t="str">
        <f t="shared" si="128"/>
        <v/>
      </c>
      <c r="BK1694" s="10" t="str">
        <f t="shared" si="129"/>
        <v/>
      </c>
      <c r="BL1694" s="10" t="str">
        <f t="shared" si="130"/>
        <v/>
      </c>
    </row>
    <row r="1695" spans="62:64" x14ac:dyDescent="0.25">
      <c r="BJ1695" s="13" t="str">
        <f t="shared" si="128"/>
        <v/>
      </c>
      <c r="BK1695" s="10" t="str">
        <f t="shared" si="129"/>
        <v/>
      </c>
      <c r="BL1695" s="10" t="str">
        <f t="shared" si="130"/>
        <v/>
      </c>
    </row>
    <row r="1696" spans="62:64" x14ac:dyDescent="0.25">
      <c r="BJ1696" s="13" t="str">
        <f t="shared" si="128"/>
        <v/>
      </c>
      <c r="BK1696" s="10" t="str">
        <f t="shared" si="129"/>
        <v/>
      </c>
      <c r="BL1696" s="10" t="str">
        <f t="shared" si="130"/>
        <v/>
      </c>
    </row>
    <row r="1697" spans="62:64" x14ac:dyDescent="0.25">
      <c r="BJ1697" s="13" t="str">
        <f t="shared" si="128"/>
        <v/>
      </c>
      <c r="BK1697" s="10" t="str">
        <f t="shared" si="129"/>
        <v/>
      </c>
      <c r="BL1697" s="10" t="str">
        <f t="shared" si="130"/>
        <v/>
      </c>
    </row>
    <row r="1698" spans="62:64" x14ac:dyDescent="0.25">
      <c r="BJ1698" s="13" t="str">
        <f t="shared" si="128"/>
        <v/>
      </c>
      <c r="BK1698" s="10" t="str">
        <f t="shared" si="129"/>
        <v/>
      </c>
      <c r="BL1698" s="10" t="str">
        <f t="shared" si="130"/>
        <v/>
      </c>
    </row>
    <row r="1699" spans="62:64" x14ac:dyDescent="0.25">
      <c r="BJ1699" s="13" t="str">
        <f t="shared" si="128"/>
        <v/>
      </c>
      <c r="BK1699" s="10" t="str">
        <f t="shared" si="129"/>
        <v/>
      </c>
      <c r="BL1699" s="10" t="str">
        <f t="shared" si="130"/>
        <v/>
      </c>
    </row>
    <row r="1700" spans="62:64" x14ac:dyDescent="0.25">
      <c r="BJ1700" s="13" t="str">
        <f t="shared" si="128"/>
        <v/>
      </c>
      <c r="BK1700" s="10" t="str">
        <f t="shared" si="129"/>
        <v/>
      </c>
      <c r="BL1700" s="10" t="str">
        <f t="shared" si="130"/>
        <v/>
      </c>
    </row>
    <row r="1701" spans="62:64" x14ac:dyDescent="0.25">
      <c r="BJ1701" s="13" t="str">
        <f t="shared" si="128"/>
        <v/>
      </c>
      <c r="BK1701" s="10" t="str">
        <f t="shared" si="129"/>
        <v/>
      </c>
      <c r="BL1701" s="10" t="str">
        <f t="shared" si="130"/>
        <v/>
      </c>
    </row>
    <row r="1702" spans="62:64" x14ac:dyDescent="0.25">
      <c r="BJ1702" s="13" t="str">
        <f t="shared" si="128"/>
        <v/>
      </c>
      <c r="BK1702" s="10" t="str">
        <f t="shared" si="129"/>
        <v/>
      </c>
      <c r="BL1702" s="10" t="str">
        <f t="shared" si="130"/>
        <v/>
      </c>
    </row>
    <row r="1703" spans="62:64" x14ac:dyDescent="0.25">
      <c r="BJ1703" s="13" t="str">
        <f t="shared" si="128"/>
        <v/>
      </c>
      <c r="BK1703" s="10" t="str">
        <f t="shared" si="129"/>
        <v/>
      </c>
      <c r="BL1703" s="10" t="str">
        <f t="shared" si="130"/>
        <v/>
      </c>
    </row>
    <row r="1704" spans="62:64" x14ac:dyDescent="0.25">
      <c r="BJ1704" s="13" t="str">
        <f t="shared" si="128"/>
        <v/>
      </c>
      <c r="BK1704" s="10" t="str">
        <f t="shared" si="129"/>
        <v/>
      </c>
      <c r="BL1704" s="10" t="str">
        <f t="shared" si="130"/>
        <v/>
      </c>
    </row>
    <row r="1705" spans="62:64" x14ac:dyDescent="0.25">
      <c r="BJ1705" s="13" t="str">
        <f t="shared" si="128"/>
        <v/>
      </c>
      <c r="BK1705" s="10" t="str">
        <f t="shared" si="129"/>
        <v/>
      </c>
      <c r="BL1705" s="10" t="str">
        <f t="shared" si="130"/>
        <v/>
      </c>
    </row>
    <row r="1706" spans="62:64" x14ac:dyDescent="0.25">
      <c r="BJ1706" s="13" t="str">
        <f t="shared" si="128"/>
        <v/>
      </c>
      <c r="BK1706" s="10" t="str">
        <f t="shared" si="129"/>
        <v/>
      </c>
      <c r="BL1706" s="10" t="str">
        <f t="shared" si="130"/>
        <v/>
      </c>
    </row>
    <row r="1707" spans="62:64" x14ac:dyDescent="0.25">
      <c r="BJ1707" s="13" t="str">
        <f t="shared" si="128"/>
        <v/>
      </c>
      <c r="BK1707" s="10" t="str">
        <f t="shared" si="129"/>
        <v/>
      </c>
      <c r="BL1707" s="10" t="str">
        <f t="shared" si="130"/>
        <v/>
      </c>
    </row>
    <row r="1708" spans="62:64" x14ac:dyDescent="0.25">
      <c r="BJ1708" s="13" t="str">
        <f t="shared" si="128"/>
        <v/>
      </c>
      <c r="BK1708" s="10" t="str">
        <f t="shared" si="129"/>
        <v/>
      </c>
      <c r="BL1708" s="10" t="str">
        <f t="shared" si="130"/>
        <v/>
      </c>
    </row>
    <row r="1709" spans="62:64" x14ac:dyDescent="0.25">
      <c r="BJ1709" s="13" t="str">
        <f t="shared" si="128"/>
        <v/>
      </c>
      <c r="BK1709" s="10" t="str">
        <f t="shared" si="129"/>
        <v/>
      </c>
      <c r="BL1709" s="10" t="str">
        <f t="shared" si="130"/>
        <v/>
      </c>
    </row>
    <row r="1710" spans="62:64" x14ac:dyDescent="0.25">
      <c r="BJ1710" s="13" t="str">
        <f t="shared" si="128"/>
        <v/>
      </c>
      <c r="BK1710" s="10" t="str">
        <f t="shared" si="129"/>
        <v/>
      </c>
      <c r="BL1710" s="10" t="str">
        <f t="shared" si="130"/>
        <v/>
      </c>
    </row>
    <row r="1711" spans="62:64" x14ac:dyDescent="0.25">
      <c r="BJ1711" s="13" t="str">
        <f t="shared" si="128"/>
        <v/>
      </c>
      <c r="BK1711" s="10" t="str">
        <f t="shared" si="129"/>
        <v/>
      </c>
      <c r="BL1711" s="10" t="str">
        <f t="shared" si="130"/>
        <v/>
      </c>
    </row>
    <row r="1712" spans="62:64" x14ac:dyDescent="0.25">
      <c r="BJ1712" s="13" t="str">
        <f t="shared" si="128"/>
        <v/>
      </c>
      <c r="BK1712" s="10" t="str">
        <f t="shared" si="129"/>
        <v/>
      </c>
      <c r="BL1712" s="10" t="str">
        <f t="shared" si="130"/>
        <v/>
      </c>
    </row>
    <row r="1713" spans="62:64" x14ac:dyDescent="0.25">
      <c r="BJ1713" s="13" t="str">
        <f t="shared" si="128"/>
        <v/>
      </c>
      <c r="BK1713" s="10" t="str">
        <f t="shared" si="129"/>
        <v/>
      </c>
      <c r="BL1713" s="10" t="str">
        <f t="shared" si="130"/>
        <v/>
      </c>
    </row>
    <row r="1714" spans="62:64" x14ac:dyDescent="0.25">
      <c r="BJ1714" s="13" t="str">
        <f t="shared" si="128"/>
        <v/>
      </c>
      <c r="BK1714" s="10" t="str">
        <f t="shared" si="129"/>
        <v/>
      </c>
      <c r="BL1714" s="10" t="str">
        <f t="shared" si="130"/>
        <v/>
      </c>
    </row>
    <row r="1715" spans="62:64" x14ac:dyDescent="0.25">
      <c r="BJ1715" s="13" t="str">
        <f t="shared" si="128"/>
        <v/>
      </c>
      <c r="BK1715" s="10" t="str">
        <f t="shared" si="129"/>
        <v/>
      </c>
      <c r="BL1715" s="10" t="str">
        <f t="shared" si="130"/>
        <v/>
      </c>
    </row>
    <row r="1716" spans="62:64" x14ac:dyDescent="0.25">
      <c r="BJ1716" s="13" t="str">
        <f t="shared" si="128"/>
        <v/>
      </c>
      <c r="BK1716" s="10" t="str">
        <f t="shared" si="129"/>
        <v/>
      </c>
      <c r="BL1716" s="10" t="str">
        <f t="shared" si="130"/>
        <v/>
      </c>
    </row>
    <row r="1717" spans="62:64" x14ac:dyDescent="0.25">
      <c r="BJ1717" s="13" t="str">
        <f t="shared" si="128"/>
        <v/>
      </c>
      <c r="BK1717" s="10" t="str">
        <f t="shared" si="129"/>
        <v/>
      </c>
      <c r="BL1717" s="10" t="str">
        <f t="shared" si="130"/>
        <v/>
      </c>
    </row>
    <row r="1718" spans="62:64" x14ac:dyDescent="0.25">
      <c r="BJ1718" s="13" t="str">
        <f t="shared" si="128"/>
        <v/>
      </c>
      <c r="BK1718" s="10" t="str">
        <f t="shared" si="129"/>
        <v/>
      </c>
      <c r="BL1718" s="10" t="str">
        <f t="shared" si="130"/>
        <v/>
      </c>
    </row>
    <row r="1719" spans="62:64" x14ac:dyDescent="0.25">
      <c r="BJ1719" s="13" t="str">
        <f t="shared" si="128"/>
        <v/>
      </c>
      <c r="BK1719" s="10" t="str">
        <f t="shared" si="129"/>
        <v/>
      </c>
      <c r="BL1719" s="10" t="str">
        <f t="shared" si="130"/>
        <v/>
      </c>
    </row>
    <row r="1720" spans="62:64" x14ac:dyDescent="0.25">
      <c r="BJ1720" s="13" t="str">
        <f t="shared" si="128"/>
        <v/>
      </c>
      <c r="BK1720" s="10" t="str">
        <f t="shared" si="129"/>
        <v/>
      </c>
      <c r="BL1720" s="10" t="str">
        <f t="shared" si="130"/>
        <v/>
      </c>
    </row>
    <row r="1721" spans="62:64" x14ac:dyDescent="0.25">
      <c r="BJ1721" s="13" t="str">
        <f t="shared" si="128"/>
        <v/>
      </c>
      <c r="BK1721" s="10" t="str">
        <f t="shared" si="129"/>
        <v/>
      </c>
      <c r="BL1721" s="10" t="str">
        <f t="shared" si="130"/>
        <v/>
      </c>
    </row>
    <row r="1722" spans="62:64" x14ac:dyDescent="0.25">
      <c r="BJ1722" s="13" t="str">
        <f t="shared" si="128"/>
        <v/>
      </c>
      <c r="BK1722" s="10" t="str">
        <f t="shared" si="129"/>
        <v/>
      </c>
      <c r="BL1722" s="10" t="str">
        <f t="shared" si="130"/>
        <v/>
      </c>
    </row>
    <row r="1723" spans="62:64" x14ac:dyDescent="0.25">
      <c r="BJ1723" s="13" t="str">
        <f t="shared" si="128"/>
        <v/>
      </c>
      <c r="BK1723" s="10" t="str">
        <f t="shared" si="129"/>
        <v/>
      </c>
      <c r="BL1723" s="10" t="str">
        <f t="shared" si="130"/>
        <v/>
      </c>
    </row>
    <row r="1724" spans="62:64" x14ac:dyDescent="0.25">
      <c r="BJ1724" s="13" t="str">
        <f t="shared" si="128"/>
        <v/>
      </c>
      <c r="BK1724" s="10" t="str">
        <f t="shared" si="129"/>
        <v/>
      </c>
      <c r="BL1724" s="10" t="str">
        <f t="shared" si="130"/>
        <v/>
      </c>
    </row>
    <row r="1725" spans="62:64" x14ac:dyDescent="0.25">
      <c r="BJ1725" s="13" t="str">
        <f t="shared" si="128"/>
        <v/>
      </c>
      <c r="BK1725" s="10" t="str">
        <f t="shared" si="129"/>
        <v/>
      </c>
      <c r="BL1725" s="10" t="str">
        <f t="shared" si="130"/>
        <v/>
      </c>
    </row>
    <row r="1726" spans="62:64" x14ac:dyDescent="0.25">
      <c r="BJ1726" s="13" t="str">
        <f t="shared" si="128"/>
        <v/>
      </c>
      <c r="BK1726" s="10" t="str">
        <f t="shared" si="129"/>
        <v/>
      </c>
      <c r="BL1726" s="10" t="str">
        <f t="shared" si="130"/>
        <v/>
      </c>
    </row>
    <row r="1727" spans="62:64" x14ac:dyDescent="0.25">
      <c r="BJ1727" s="13" t="str">
        <f t="shared" si="128"/>
        <v/>
      </c>
      <c r="BK1727" s="10" t="str">
        <f t="shared" si="129"/>
        <v/>
      </c>
      <c r="BL1727" s="10" t="str">
        <f t="shared" si="130"/>
        <v/>
      </c>
    </row>
    <row r="1728" spans="62:64" x14ac:dyDescent="0.25">
      <c r="BJ1728" s="13" t="str">
        <f t="shared" si="128"/>
        <v/>
      </c>
      <c r="BK1728" s="10" t="str">
        <f t="shared" si="129"/>
        <v/>
      </c>
      <c r="BL1728" s="10" t="str">
        <f t="shared" si="130"/>
        <v/>
      </c>
    </row>
    <row r="1729" spans="62:64" x14ac:dyDescent="0.25">
      <c r="BJ1729" s="13" t="str">
        <f t="shared" si="128"/>
        <v/>
      </c>
      <c r="BK1729" s="10" t="str">
        <f t="shared" si="129"/>
        <v/>
      </c>
      <c r="BL1729" s="10" t="str">
        <f t="shared" si="130"/>
        <v/>
      </c>
    </row>
    <row r="1730" spans="62:64" x14ac:dyDescent="0.25">
      <c r="BJ1730" s="13" t="str">
        <f t="shared" si="128"/>
        <v/>
      </c>
      <c r="BK1730" s="10" t="str">
        <f t="shared" si="129"/>
        <v/>
      </c>
      <c r="BL1730" s="10" t="str">
        <f t="shared" si="130"/>
        <v/>
      </c>
    </row>
    <row r="1731" spans="62:64" x14ac:dyDescent="0.25">
      <c r="BJ1731" s="13" t="str">
        <f t="shared" si="128"/>
        <v/>
      </c>
      <c r="BK1731" s="10" t="str">
        <f t="shared" si="129"/>
        <v/>
      </c>
      <c r="BL1731" s="10" t="str">
        <f t="shared" si="130"/>
        <v/>
      </c>
    </row>
    <row r="1732" spans="62:64" x14ac:dyDescent="0.25">
      <c r="BJ1732" s="13" t="str">
        <f t="shared" si="128"/>
        <v/>
      </c>
      <c r="BK1732" s="10" t="str">
        <f t="shared" si="129"/>
        <v/>
      </c>
      <c r="BL1732" s="10" t="str">
        <f t="shared" si="130"/>
        <v/>
      </c>
    </row>
    <row r="1733" spans="62:64" x14ac:dyDescent="0.25">
      <c r="BJ1733" s="13" t="str">
        <f t="shared" si="128"/>
        <v/>
      </c>
      <c r="BK1733" s="10" t="str">
        <f t="shared" si="129"/>
        <v/>
      </c>
      <c r="BL1733" s="10" t="str">
        <f t="shared" si="130"/>
        <v/>
      </c>
    </row>
    <row r="1734" spans="62:64" x14ac:dyDescent="0.25">
      <c r="BJ1734" s="13" t="str">
        <f t="shared" ref="BJ1734:BJ1792" si="131">IF(ROW()-BJ$3&lt;=$BJ$4,ROW()-ROW(BJ$4),"")</f>
        <v/>
      </c>
      <c r="BK1734" s="10" t="str">
        <f t="shared" si="129"/>
        <v/>
      </c>
      <c r="BL1734" s="10" t="str">
        <f t="shared" si="130"/>
        <v/>
      </c>
    </row>
    <row r="1735" spans="62:64" x14ac:dyDescent="0.25">
      <c r="BJ1735" s="13" t="str">
        <f t="shared" si="131"/>
        <v/>
      </c>
      <c r="BK1735" s="10" t="str">
        <f t="shared" ref="BK1735:BK1792" si="132">IF(ISNUMBER(BJ1735),INT(BJ1734/$BL$4)+1,"")</f>
        <v/>
      </c>
      <c r="BL1735" s="10" t="str">
        <f t="shared" ref="BL1735:BL1792" si="133">IF(ISNUMBER(BJ1735),IF(BK1734&lt;&gt;BK1735,1,BL1734+1),"")</f>
        <v/>
      </c>
    </row>
    <row r="1736" spans="62:64" x14ac:dyDescent="0.25">
      <c r="BJ1736" s="13" t="str">
        <f t="shared" si="131"/>
        <v/>
      </c>
      <c r="BK1736" s="10" t="str">
        <f t="shared" si="132"/>
        <v/>
      </c>
      <c r="BL1736" s="10" t="str">
        <f t="shared" si="133"/>
        <v/>
      </c>
    </row>
    <row r="1737" spans="62:64" x14ac:dyDescent="0.25">
      <c r="BJ1737" s="13" t="str">
        <f t="shared" si="131"/>
        <v/>
      </c>
      <c r="BK1737" s="10" t="str">
        <f t="shared" si="132"/>
        <v/>
      </c>
      <c r="BL1737" s="10" t="str">
        <f t="shared" si="133"/>
        <v/>
      </c>
    </row>
    <row r="1738" spans="62:64" x14ac:dyDescent="0.25">
      <c r="BJ1738" s="13" t="str">
        <f t="shared" si="131"/>
        <v/>
      </c>
      <c r="BK1738" s="10" t="str">
        <f t="shared" si="132"/>
        <v/>
      </c>
      <c r="BL1738" s="10" t="str">
        <f t="shared" si="133"/>
        <v/>
      </c>
    </row>
    <row r="1739" spans="62:64" x14ac:dyDescent="0.25">
      <c r="BJ1739" s="13" t="str">
        <f t="shared" si="131"/>
        <v/>
      </c>
      <c r="BK1739" s="10" t="str">
        <f t="shared" si="132"/>
        <v/>
      </c>
      <c r="BL1739" s="10" t="str">
        <f t="shared" si="133"/>
        <v/>
      </c>
    </row>
    <row r="1740" spans="62:64" x14ac:dyDescent="0.25">
      <c r="BJ1740" s="13" t="str">
        <f t="shared" si="131"/>
        <v/>
      </c>
      <c r="BK1740" s="10" t="str">
        <f t="shared" si="132"/>
        <v/>
      </c>
      <c r="BL1740" s="10" t="str">
        <f t="shared" si="133"/>
        <v/>
      </c>
    </row>
    <row r="1741" spans="62:64" x14ac:dyDescent="0.25">
      <c r="BJ1741" s="13" t="str">
        <f t="shared" si="131"/>
        <v/>
      </c>
      <c r="BK1741" s="10" t="str">
        <f t="shared" si="132"/>
        <v/>
      </c>
      <c r="BL1741" s="10" t="str">
        <f t="shared" si="133"/>
        <v/>
      </c>
    </row>
    <row r="1742" spans="62:64" x14ac:dyDescent="0.25">
      <c r="BJ1742" s="13" t="str">
        <f t="shared" si="131"/>
        <v/>
      </c>
      <c r="BK1742" s="10" t="str">
        <f t="shared" si="132"/>
        <v/>
      </c>
      <c r="BL1742" s="10" t="str">
        <f t="shared" si="133"/>
        <v/>
      </c>
    </row>
    <row r="1743" spans="62:64" x14ac:dyDescent="0.25">
      <c r="BJ1743" s="13" t="str">
        <f t="shared" si="131"/>
        <v/>
      </c>
      <c r="BK1743" s="10" t="str">
        <f t="shared" si="132"/>
        <v/>
      </c>
      <c r="BL1743" s="10" t="str">
        <f t="shared" si="133"/>
        <v/>
      </c>
    </row>
    <row r="1744" spans="62:64" x14ac:dyDescent="0.25">
      <c r="BJ1744" s="13" t="str">
        <f t="shared" si="131"/>
        <v/>
      </c>
      <c r="BK1744" s="10" t="str">
        <f t="shared" si="132"/>
        <v/>
      </c>
      <c r="BL1744" s="10" t="str">
        <f t="shared" si="133"/>
        <v/>
      </c>
    </row>
    <row r="1745" spans="62:64" x14ac:dyDescent="0.25">
      <c r="BJ1745" s="13" t="str">
        <f t="shared" si="131"/>
        <v/>
      </c>
      <c r="BK1745" s="10" t="str">
        <f t="shared" si="132"/>
        <v/>
      </c>
      <c r="BL1745" s="10" t="str">
        <f t="shared" si="133"/>
        <v/>
      </c>
    </row>
    <row r="1746" spans="62:64" x14ac:dyDescent="0.25">
      <c r="BJ1746" s="13" t="str">
        <f t="shared" si="131"/>
        <v/>
      </c>
      <c r="BK1746" s="10" t="str">
        <f t="shared" si="132"/>
        <v/>
      </c>
      <c r="BL1746" s="10" t="str">
        <f t="shared" si="133"/>
        <v/>
      </c>
    </row>
    <row r="1747" spans="62:64" x14ac:dyDescent="0.25">
      <c r="BJ1747" s="13" t="str">
        <f t="shared" si="131"/>
        <v/>
      </c>
      <c r="BK1747" s="10" t="str">
        <f t="shared" si="132"/>
        <v/>
      </c>
      <c r="BL1747" s="10" t="str">
        <f t="shared" si="133"/>
        <v/>
      </c>
    </row>
    <row r="1748" spans="62:64" x14ac:dyDescent="0.25">
      <c r="BJ1748" s="13" t="str">
        <f t="shared" si="131"/>
        <v/>
      </c>
      <c r="BK1748" s="10" t="str">
        <f t="shared" si="132"/>
        <v/>
      </c>
      <c r="BL1748" s="10" t="str">
        <f t="shared" si="133"/>
        <v/>
      </c>
    </row>
    <row r="1749" spans="62:64" x14ac:dyDescent="0.25">
      <c r="BJ1749" s="13" t="str">
        <f t="shared" si="131"/>
        <v/>
      </c>
      <c r="BK1749" s="10" t="str">
        <f t="shared" si="132"/>
        <v/>
      </c>
      <c r="BL1749" s="10" t="str">
        <f t="shared" si="133"/>
        <v/>
      </c>
    </row>
    <row r="1750" spans="62:64" x14ac:dyDescent="0.25">
      <c r="BJ1750" s="13" t="str">
        <f t="shared" si="131"/>
        <v/>
      </c>
      <c r="BK1750" s="10" t="str">
        <f t="shared" si="132"/>
        <v/>
      </c>
      <c r="BL1750" s="10" t="str">
        <f t="shared" si="133"/>
        <v/>
      </c>
    </row>
    <row r="1751" spans="62:64" x14ac:dyDescent="0.25">
      <c r="BJ1751" s="13" t="str">
        <f t="shared" si="131"/>
        <v/>
      </c>
      <c r="BK1751" s="10" t="str">
        <f t="shared" si="132"/>
        <v/>
      </c>
      <c r="BL1751" s="10" t="str">
        <f t="shared" si="133"/>
        <v/>
      </c>
    </row>
    <row r="1752" spans="62:64" x14ac:dyDescent="0.25">
      <c r="BJ1752" s="13" t="str">
        <f t="shared" si="131"/>
        <v/>
      </c>
      <c r="BK1752" s="10" t="str">
        <f t="shared" si="132"/>
        <v/>
      </c>
      <c r="BL1752" s="10" t="str">
        <f t="shared" si="133"/>
        <v/>
      </c>
    </row>
    <row r="1753" spans="62:64" x14ac:dyDescent="0.25">
      <c r="BJ1753" s="13" t="str">
        <f t="shared" si="131"/>
        <v/>
      </c>
      <c r="BK1753" s="10" t="str">
        <f t="shared" si="132"/>
        <v/>
      </c>
      <c r="BL1753" s="10" t="str">
        <f t="shared" si="133"/>
        <v/>
      </c>
    </row>
    <row r="1754" spans="62:64" x14ac:dyDescent="0.25">
      <c r="BJ1754" s="13" t="str">
        <f t="shared" si="131"/>
        <v/>
      </c>
      <c r="BK1754" s="10" t="str">
        <f t="shared" si="132"/>
        <v/>
      </c>
      <c r="BL1754" s="10" t="str">
        <f t="shared" si="133"/>
        <v/>
      </c>
    </row>
    <row r="1755" spans="62:64" x14ac:dyDescent="0.25">
      <c r="BJ1755" s="13" t="str">
        <f t="shared" si="131"/>
        <v/>
      </c>
      <c r="BK1755" s="10" t="str">
        <f t="shared" si="132"/>
        <v/>
      </c>
      <c r="BL1755" s="10" t="str">
        <f t="shared" si="133"/>
        <v/>
      </c>
    </row>
    <row r="1756" spans="62:64" x14ac:dyDescent="0.25">
      <c r="BJ1756" s="13" t="str">
        <f t="shared" si="131"/>
        <v/>
      </c>
      <c r="BK1756" s="10" t="str">
        <f t="shared" si="132"/>
        <v/>
      </c>
      <c r="BL1756" s="10" t="str">
        <f t="shared" si="133"/>
        <v/>
      </c>
    </row>
    <row r="1757" spans="62:64" x14ac:dyDescent="0.25">
      <c r="BJ1757" s="13" t="str">
        <f t="shared" si="131"/>
        <v/>
      </c>
      <c r="BK1757" s="10" t="str">
        <f t="shared" si="132"/>
        <v/>
      </c>
      <c r="BL1757" s="10" t="str">
        <f t="shared" si="133"/>
        <v/>
      </c>
    </row>
    <row r="1758" spans="62:64" x14ac:dyDescent="0.25">
      <c r="BJ1758" s="13" t="str">
        <f t="shared" si="131"/>
        <v/>
      </c>
      <c r="BK1758" s="10" t="str">
        <f t="shared" si="132"/>
        <v/>
      </c>
      <c r="BL1758" s="10" t="str">
        <f t="shared" si="133"/>
        <v/>
      </c>
    </row>
    <row r="1759" spans="62:64" x14ac:dyDescent="0.25">
      <c r="BJ1759" s="13" t="str">
        <f t="shared" si="131"/>
        <v/>
      </c>
      <c r="BK1759" s="10" t="str">
        <f t="shared" si="132"/>
        <v/>
      </c>
      <c r="BL1759" s="10" t="str">
        <f t="shared" si="133"/>
        <v/>
      </c>
    </row>
    <row r="1760" spans="62:64" x14ac:dyDescent="0.25">
      <c r="BJ1760" s="13" t="str">
        <f t="shared" si="131"/>
        <v/>
      </c>
      <c r="BK1760" s="10" t="str">
        <f t="shared" si="132"/>
        <v/>
      </c>
      <c r="BL1760" s="10" t="str">
        <f t="shared" si="133"/>
        <v/>
      </c>
    </row>
    <row r="1761" spans="62:64" x14ac:dyDescent="0.25">
      <c r="BJ1761" s="13" t="str">
        <f t="shared" si="131"/>
        <v/>
      </c>
      <c r="BK1761" s="10" t="str">
        <f t="shared" si="132"/>
        <v/>
      </c>
      <c r="BL1761" s="10" t="str">
        <f t="shared" si="133"/>
        <v/>
      </c>
    </row>
    <row r="1762" spans="62:64" x14ac:dyDescent="0.25">
      <c r="BJ1762" s="13" t="str">
        <f t="shared" si="131"/>
        <v/>
      </c>
      <c r="BK1762" s="10" t="str">
        <f t="shared" si="132"/>
        <v/>
      </c>
      <c r="BL1762" s="10" t="str">
        <f t="shared" si="133"/>
        <v/>
      </c>
    </row>
    <row r="1763" spans="62:64" x14ac:dyDescent="0.25">
      <c r="BJ1763" s="13" t="str">
        <f t="shared" si="131"/>
        <v/>
      </c>
      <c r="BK1763" s="10" t="str">
        <f t="shared" si="132"/>
        <v/>
      </c>
      <c r="BL1763" s="10" t="str">
        <f t="shared" si="133"/>
        <v/>
      </c>
    </row>
    <row r="1764" spans="62:64" x14ac:dyDescent="0.25">
      <c r="BJ1764" s="13" t="str">
        <f t="shared" si="131"/>
        <v/>
      </c>
      <c r="BK1764" s="10" t="str">
        <f t="shared" si="132"/>
        <v/>
      </c>
      <c r="BL1764" s="10" t="str">
        <f t="shared" si="133"/>
        <v/>
      </c>
    </row>
    <row r="1765" spans="62:64" x14ac:dyDescent="0.25">
      <c r="BJ1765" s="13" t="str">
        <f t="shared" si="131"/>
        <v/>
      </c>
      <c r="BK1765" s="10" t="str">
        <f t="shared" si="132"/>
        <v/>
      </c>
      <c r="BL1765" s="10" t="str">
        <f t="shared" si="133"/>
        <v/>
      </c>
    </row>
    <row r="1766" spans="62:64" x14ac:dyDescent="0.25">
      <c r="BJ1766" s="13" t="str">
        <f t="shared" si="131"/>
        <v/>
      </c>
      <c r="BK1766" s="10" t="str">
        <f t="shared" si="132"/>
        <v/>
      </c>
      <c r="BL1766" s="10" t="str">
        <f t="shared" si="133"/>
        <v/>
      </c>
    </row>
    <row r="1767" spans="62:64" x14ac:dyDescent="0.25">
      <c r="BJ1767" s="13" t="str">
        <f t="shared" si="131"/>
        <v/>
      </c>
      <c r="BK1767" s="10" t="str">
        <f t="shared" si="132"/>
        <v/>
      </c>
      <c r="BL1767" s="10" t="str">
        <f t="shared" si="133"/>
        <v/>
      </c>
    </row>
    <row r="1768" spans="62:64" x14ac:dyDescent="0.25">
      <c r="BJ1768" s="13" t="str">
        <f t="shared" si="131"/>
        <v/>
      </c>
      <c r="BK1768" s="10" t="str">
        <f t="shared" si="132"/>
        <v/>
      </c>
      <c r="BL1768" s="10" t="str">
        <f t="shared" si="133"/>
        <v/>
      </c>
    </row>
    <row r="1769" spans="62:64" x14ac:dyDescent="0.25">
      <c r="BJ1769" s="13" t="str">
        <f t="shared" si="131"/>
        <v/>
      </c>
      <c r="BK1769" s="10" t="str">
        <f t="shared" si="132"/>
        <v/>
      </c>
      <c r="BL1769" s="10" t="str">
        <f t="shared" si="133"/>
        <v/>
      </c>
    </row>
    <row r="1770" spans="62:64" x14ac:dyDescent="0.25">
      <c r="BJ1770" s="13" t="str">
        <f t="shared" si="131"/>
        <v/>
      </c>
      <c r="BK1770" s="10" t="str">
        <f t="shared" si="132"/>
        <v/>
      </c>
      <c r="BL1770" s="10" t="str">
        <f t="shared" si="133"/>
        <v/>
      </c>
    </row>
    <row r="1771" spans="62:64" x14ac:dyDescent="0.25">
      <c r="BJ1771" s="13" t="str">
        <f t="shared" si="131"/>
        <v/>
      </c>
      <c r="BK1771" s="10" t="str">
        <f t="shared" si="132"/>
        <v/>
      </c>
      <c r="BL1771" s="10" t="str">
        <f t="shared" si="133"/>
        <v/>
      </c>
    </row>
    <row r="1772" spans="62:64" x14ac:dyDescent="0.25">
      <c r="BJ1772" s="13" t="str">
        <f t="shared" si="131"/>
        <v/>
      </c>
      <c r="BK1772" s="10" t="str">
        <f t="shared" si="132"/>
        <v/>
      </c>
      <c r="BL1772" s="10" t="str">
        <f t="shared" si="133"/>
        <v/>
      </c>
    </row>
    <row r="1773" spans="62:64" x14ac:dyDescent="0.25">
      <c r="BJ1773" s="13" t="str">
        <f t="shared" si="131"/>
        <v/>
      </c>
      <c r="BK1773" s="10" t="str">
        <f t="shared" si="132"/>
        <v/>
      </c>
      <c r="BL1773" s="10" t="str">
        <f t="shared" si="133"/>
        <v/>
      </c>
    </row>
    <row r="1774" spans="62:64" x14ac:dyDescent="0.25">
      <c r="BJ1774" s="13" t="str">
        <f t="shared" si="131"/>
        <v/>
      </c>
      <c r="BK1774" s="10" t="str">
        <f t="shared" si="132"/>
        <v/>
      </c>
      <c r="BL1774" s="10" t="str">
        <f t="shared" si="133"/>
        <v/>
      </c>
    </row>
    <row r="1775" spans="62:64" x14ac:dyDescent="0.25">
      <c r="BJ1775" s="13" t="str">
        <f t="shared" si="131"/>
        <v/>
      </c>
      <c r="BK1775" s="10" t="str">
        <f t="shared" si="132"/>
        <v/>
      </c>
      <c r="BL1775" s="10" t="str">
        <f t="shared" si="133"/>
        <v/>
      </c>
    </row>
    <row r="1776" spans="62:64" x14ac:dyDescent="0.25">
      <c r="BJ1776" s="13" t="str">
        <f t="shared" si="131"/>
        <v/>
      </c>
      <c r="BK1776" s="10" t="str">
        <f t="shared" si="132"/>
        <v/>
      </c>
      <c r="BL1776" s="10" t="str">
        <f t="shared" si="133"/>
        <v/>
      </c>
    </row>
    <row r="1777" spans="62:64" x14ac:dyDescent="0.25">
      <c r="BJ1777" s="13" t="str">
        <f t="shared" si="131"/>
        <v/>
      </c>
      <c r="BK1777" s="10" t="str">
        <f t="shared" si="132"/>
        <v/>
      </c>
      <c r="BL1777" s="10" t="str">
        <f t="shared" si="133"/>
        <v/>
      </c>
    </row>
    <row r="1778" spans="62:64" x14ac:dyDescent="0.25">
      <c r="BJ1778" s="13" t="str">
        <f t="shared" si="131"/>
        <v/>
      </c>
      <c r="BK1778" s="10" t="str">
        <f t="shared" si="132"/>
        <v/>
      </c>
      <c r="BL1778" s="10" t="str">
        <f t="shared" si="133"/>
        <v/>
      </c>
    </row>
    <row r="1779" spans="62:64" x14ac:dyDescent="0.25">
      <c r="BJ1779" s="13" t="str">
        <f t="shared" si="131"/>
        <v/>
      </c>
      <c r="BK1779" s="10" t="str">
        <f t="shared" si="132"/>
        <v/>
      </c>
      <c r="BL1779" s="10" t="str">
        <f t="shared" si="133"/>
        <v/>
      </c>
    </row>
    <row r="1780" spans="62:64" x14ac:dyDescent="0.25">
      <c r="BJ1780" s="13" t="str">
        <f t="shared" si="131"/>
        <v/>
      </c>
      <c r="BK1780" s="10" t="str">
        <f t="shared" si="132"/>
        <v/>
      </c>
      <c r="BL1780" s="10" t="str">
        <f t="shared" si="133"/>
        <v/>
      </c>
    </row>
    <row r="1781" spans="62:64" x14ac:dyDescent="0.25">
      <c r="BJ1781" s="13" t="str">
        <f t="shared" si="131"/>
        <v/>
      </c>
      <c r="BK1781" s="10" t="str">
        <f t="shared" si="132"/>
        <v/>
      </c>
      <c r="BL1781" s="10" t="str">
        <f t="shared" si="133"/>
        <v/>
      </c>
    </row>
    <row r="1782" spans="62:64" x14ac:dyDescent="0.25">
      <c r="BJ1782" s="13" t="str">
        <f t="shared" si="131"/>
        <v/>
      </c>
      <c r="BK1782" s="10" t="str">
        <f t="shared" si="132"/>
        <v/>
      </c>
      <c r="BL1782" s="10" t="str">
        <f t="shared" si="133"/>
        <v/>
      </c>
    </row>
    <row r="1783" spans="62:64" x14ac:dyDescent="0.25">
      <c r="BJ1783" s="13" t="str">
        <f t="shared" si="131"/>
        <v/>
      </c>
      <c r="BK1783" s="10" t="str">
        <f t="shared" si="132"/>
        <v/>
      </c>
      <c r="BL1783" s="10" t="str">
        <f t="shared" si="133"/>
        <v/>
      </c>
    </row>
    <row r="1784" spans="62:64" x14ac:dyDescent="0.25">
      <c r="BJ1784" s="13" t="str">
        <f t="shared" si="131"/>
        <v/>
      </c>
      <c r="BK1784" s="10" t="str">
        <f t="shared" si="132"/>
        <v/>
      </c>
      <c r="BL1784" s="10" t="str">
        <f t="shared" si="133"/>
        <v/>
      </c>
    </row>
    <row r="1785" spans="62:64" x14ac:dyDescent="0.25">
      <c r="BJ1785" s="13" t="str">
        <f t="shared" si="131"/>
        <v/>
      </c>
      <c r="BK1785" s="10" t="str">
        <f t="shared" si="132"/>
        <v/>
      </c>
      <c r="BL1785" s="10" t="str">
        <f t="shared" si="133"/>
        <v/>
      </c>
    </row>
    <row r="1786" spans="62:64" x14ac:dyDescent="0.25">
      <c r="BJ1786" s="13" t="str">
        <f t="shared" si="131"/>
        <v/>
      </c>
      <c r="BK1786" s="10" t="str">
        <f t="shared" si="132"/>
        <v/>
      </c>
      <c r="BL1786" s="10" t="str">
        <f t="shared" si="133"/>
        <v/>
      </c>
    </row>
    <row r="1787" spans="62:64" x14ac:dyDescent="0.25">
      <c r="BJ1787" s="13" t="str">
        <f t="shared" si="131"/>
        <v/>
      </c>
      <c r="BK1787" s="10" t="str">
        <f t="shared" si="132"/>
        <v/>
      </c>
      <c r="BL1787" s="10" t="str">
        <f t="shared" si="133"/>
        <v/>
      </c>
    </row>
    <row r="1788" spans="62:64" x14ac:dyDescent="0.25">
      <c r="BJ1788" s="13" t="str">
        <f t="shared" si="131"/>
        <v/>
      </c>
      <c r="BK1788" s="10" t="str">
        <f t="shared" si="132"/>
        <v/>
      </c>
      <c r="BL1788" s="10" t="str">
        <f t="shared" si="133"/>
        <v/>
      </c>
    </row>
    <row r="1789" spans="62:64" x14ac:dyDescent="0.25">
      <c r="BJ1789" s="13" t="str">
        <f t="shared" si="131"/>
        <v/>
      </c>
      <c r="BK1789" s="10" t="str">
        <f t="shared" si="132"/>
        <v/>
      </c>
      <c r="BL1789" s="10" t="str">
        <f t="shared" si="133"/>
        <v/>
      </c>
    </row>
    <row r="1790" spans="62:64" x14ac:dyDescent="0.25">
      <c r="BJ1790" s="13" t="str">
        <f t="shared" si="131"/>
        <v/>
      </c>
      <c r="BK1790" s="10" t="str">
        <f t="shared" si="132"/>
        <v/>
      </c>
      <c r="BL1790" s="10" t="str">
        <f t="shared" si="133"/>
        <v/>
      </c>
    </row>
    <row r="1791" spans="62:64" x14ac:dyDescent="0.25">
      <c r="BJ1791" s="13" t="str">
        <f t="shared" si="131"/>
        <v/>
      </c>
      <c r="BK1791" s="10" t="str">
        <f t="shared" si="132"/>
        <v/>
      </c>
      <c r="BL1791" s="10" t="str">
        <f t="shared" si="133"/>
        <v/>
      </c>
    </row>
    <row r="1792" spans="62:64" x14ac:dyDescent="0.25">
      <c r="BJ1792" s="13" t="str">
        <f t="shared" si="131"/>
        <v/>
      </c>
      <c r="BK1792" s="10" t="str">
        <f t="shared" si="132"/>
        <v/>
      </c>
      <c r="BL1792" s="10" t="str">
        <f t="shared" si="133"/>
        <v/>
      </c>
    </row>
  </sheetData>
  <conditionalFormatting sqref="C52:C5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olorScale" priority="1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5">
    <cfRule type="colorScale" priority="22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8:Y8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:Y62 C63:Y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:AD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5:AR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5:AV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5:AW42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V6:AW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5:BB42">
    <cfRule type="cellIs" dxfId="0" priority="7" operator="less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6CE0C-20A8-480D-9BD0-5EBAF06E4EB1}">
  <sheetPr>
    <tabColor rgb="FF85DFFF"/>
  </sheetPr>
  <dimension ref="A1:CG108"/>
  <sheetViews>
    <sheetView topLeftCell="A42" zoomScaleNormal="100" workbookViewId="0">
      <selection activeCell="G56" sqref="G56:R72"/>
    </sheetView>
  </sheetViews>
  <sheetFormatPr defaultRowHeight="12" customHeight="1" x14ac:dyDescent="0.25"/>
  <cols>
    <col min="1" max="1" width="3.140625" customWidth="1"/>
    <col min="2" max="2" width="3.28515625" style="77" bestFit="1" customWidth="1"/>
    <col min="3" max="3" width="2.28515625" style="77" bestFit="1" customWidth="1"/>
    <col min="4" max="4" width="3.28515625" style="77" bestFit="1" customWidth="1"/>
    <col min="5" max="5" width="2.28515625" style="77" bestFit="1" customWidth="1"/>
    <col min="6" max="6" width="5" customWidth="1"/>
    <col min="7" max="7" width="2.7109375" customWidth="1"/>
    <col min="8" max="17" width="2.140625" customWidth="1"/>
    <col min="18" max="18" width="2.7109375" customWidth="1"/>
    <col min="19" max="19" width="2.42578125" customWidth="1"/>
    <col min="20" max="22" width="3.5703125" style="76" customWidth="1"/>
    <col min="23" max="23" width="5.5703125" style="76" customWidth="1"/>
    <col min="24" max="24" width="3.5703125" style="76" customWidth="1"/>
    <col min="25" max="25" width="3.5703125" customWidth="1"/>
    <col min="26" max="26" width="2.42578125" customWidth="1"/>
    <col min="27" max="36" width="2.42578125" style="76" customWidth="1"/>
    <col min="37" max="58" width="2.42578125" customWidth="1"/>
    <col min="59" max="60" width="4.140625" customWidth="1"/>
    <col min="61" max="61" width="6.140625" style="7" customWidth="1"/>
    <col min="62" max="62" width="9.85546875" customWidth="1"/>
    <col min="63" max="66" width="4.7109375" customWidth="1"/>
    <col min="67" max="70" width="5.28515625" customWidth="1"/>
    <col min="75" max="75" width="1.5703125" customWidth="1"/>
  </cols>
  <sheetData>
    <row r="1" spans="1:85" ht="13.5" customHeight="1" x14ac:dyDescent="0.25">
      <c r="A1" s="1"/>
      <c r="B1" s="20" t="s">
        <v>53</v>
      </c>
      <c r="C1" s="21"/>
      <c r="D1" s="21"/>
      <c r="E1" s="2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0"/>
      <c r="U1" s="22"/>
      <c r="V1" s="22"/>
      <c r="W1" s="22"/>
      <c r="X1" s="22"/>
      <c r="Y1" s="23"/>
      <c r="Z1" s="1"/>
      <c r="AA1" s="24"/>
      <c r="AB1" s="22"/>
      <c r="AC1" s="22"/>
      <c r="AD1" s="24"/>
      <c r="AE1" s="24"/>
      <c r="AF1" s="22"/>
      <c r="AG1" s="22"/>
      <c r="AH1" s="22"/>
      <c r="AI1" s="22"/>
      <c r="AJ1" s="25"/>
      <c r="AK1" s="1"/>
      <c r="AL1" s="1"/>
      <c r="AM1" s="1"/>
      <c r="AN1" s="1"/>
      <c r="AO1" s="1"/>
      <c r="AP1" s="1"/>
      <c r="AQ1" s="1"/>
      <c r="AR1" s="1"/>
      <c r="AS1" s="1"/>
      <c r="AT1" s="1"/>
      <c r="AU1" s="22"/>
      <c r="AV1" s="1"/>
      <c r="AW1" s="22"/>
      <c r="AX1" s="22"/>
      <c r="AY1" s="1"/>
      <c r="AZ1" s="1"/>
      <c r="BA1" s="1"/>
      <c r="BB1" s="1"/>
      <c r="BC1" s="1"/>
      <c r="BD1" s="1"/>
      <c r="BE1" s="1"/>
      <c r="BF1" s="22"/>
      <c r="BG1" s="1"/>
      <c r="BH1" s="1"/>
      <c r="BI1" s="23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</row>
    <row r="2" spans="1:85" ht="13.5" customHeight="1" x14ac:dyDescent="0.25">
      <c r="A2" s="1"/>
      <c r="B2" s="21"/>
      <c r="C2" s="21"/>
      <c r="D2" s="21"/>
      <c r="E2" s="2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0"/>
      <c r="U2" s="22"/>
      <c r="V2" s="22"/>
      <c r="W2" s="22"/>
      <c r="X2" s="22"/>
      <c r="Y2" s="23"/>
      <c r="Z2" s="1"/>
      <c r="AA2" s="24"/>
      <c r="AB2" s="22"/>
      <c r="AC2" s="22"/>
      <c r="AD2" s="24"/>
      <c r="AE2" s="24"/>
      <c r="AF2" s="22"/>
      <c r="AG2" s="22"/>
      <c r="AH2" s="22"/>
      <c r="AI2" s="22"/>
      <c r="AJ2" s="25"/>
      <c r="AK2" s="1"/>
      <c r="AL2" s="1"/>
      <c r="AM2" s="1"/>
      <c r="AN2" s="1"/>
      <c r="AO2" s="1"/>
      <c r="AP2" s="1"/>
      <c r="AQ2" s="1"/>
      <c r="AR2" s="1"/>
      <c r="AS2" s="1"/>
      <c r="AT2" s="1"/>
      <c r="AU2" s="22"/>
      <c r="AV2" s="1"/>
      <c r="AW2" s="22"/>
      <c r="AX2" s="22"/>
      <c r="AY2" s="1"/>
      <c r="AZ2" s="1"/>
      <c r="BA2" s="1"/>
      <c r="BB2" s="1"/>
      <c r="BC2" s="1"/>
      <c r="BD2" s="1"/>
      <c r="BE2" s="1"/>
      <c r="BF2" s="22"/>
      <c r="BG2" s="1"/>
      <c r="BH2" s="1"/>
      <c r="BI2" s="26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>
        <v>1</v>
      </c>
      <c r="CG2" s="1"/>
    </row>
    <row r="3" spans="1:85" ht="13.5" customHeight="1" x14ac:dyDescent="0.25">
      <c r="A3" s="1"/>
      <c r="B3" s="21"/>
      <c r="C3" s="21"/>
      <c r="D3" s="21"/>
      <c r="E3" s="2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22"/>
      <c r="U3" s="22"/>
      <c r="V3" s="22"/>
      <c r="W3" s="22"/>
      <c r="X3" s="22"/>
      <c r="Y3" s="23"/>
      <c r="Z3" s="1"/>
      <c r="AA3" s="27"/>
      <c r="AB3" s="28"/>
      <c r="AC3" s="28"/>
      <c r="AD3" s="28"/>
      <c r="AE3" s="27"/>
      <c r="AF3" s="28"/>
      <c r="AG3" s="28"/>
      <c r="AH3" s="28"/>
      <c r="AI3" s="28"/>
      <c r="AJ3" s="28"/>
      <c r="AK3" s="1"/>
      <c r="AL3" s="1"/>
      <c r="AM3" s="1"/>
      <c r="AN3" s="1"/>
      <c r="AO3" s="1"/>
      <c r="AP3" s="1"/>
      <c r="AQ3" s="1"/>
      <c r="AR3" s="1"/>
      <c r="AS3" s="29"/>
      <c r="AT3" s="29"/>
      <c r="AU3" s="29"/>
      <c r="AV3" s="1"/>
      <c r="AW3" s="22"/>
      <c r="AX3" s="22"/>
      <c r="AY3" s="1"/>
      <c r="AZ3" s="1"/>
      <c r="BA3" s="1"/>
      <c r="BB3" s="1"/>
      <c r="BC3" s="1"/>
      <c r="BD3" s="1"/>
      <c r="BE3" s="29"/>
      <c r="BF3" s="29"/>
      <c r="BG3" s="1"/>
      <c r="BH3" s="1"/>
      <c r="BI3" s="30"/>
      <c r="BJ3" s="31"/>
      <c r="BK3" s="31">
        <v>1</v>
      </c>
      <c r="BL3" s="31">
        <v>2</v>
      </c>
      <c r="BM3" s="31">
        <v>3</v>
      </c>
      <c r="BN3" s="31">
        <v>4</v>
      </c>
      <c r="BO3" s="31">
        <v>1</v>
      </c>
      <c r="BP3" s="31">
        <v>2</v>
      </c>
      <c r="BQ3" s="31">
        <v>3</v>
      </c>
      <c r="BR3" s="31">
        <v>4</v>
      </c>
      <c r="BS3" s="32" t="s">
        <v>54</v>
      </c>
      <c r="BT3" s="32"/>
      <c r="BU3" s="32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1:85" ht="12" customHeight="1" x14ac:dyDescent="0.25">
      <c r="A4" s="1"/>
      <c r="S4" s="1"/>
      <c r="T4" s="33"/>
      <c r="U4" s="33"/>
      <c r="V4" s="33"/>
      <c r="W4" s="33"/>
      <c r="X4" s="36"/>
      <c r="Y4" s="37"/>
      <c r="Z4" s="1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1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1"/>
      <c r="BH4" s="1"/>
      <c r="BI4" s="41"/>
      <c r="BJ4" s="30"/>
      <c r="BK4" s="30" t="s">
        <v>56</v>
      </c>
      <c r="BL4" s="30" t="s">
        <v>57</v>
      </c>
      <c r="BM4" s="30" t="s">
        <v>58</v>
      </c>
      <c r="BN4" s="30" t="s">
        <v>59</v>
      </c>
      <c r="BO4" s="30" t="s">
        <v>60</v>
      </c>
      <c r="BP4" s="30" t="s">
        <v>61</v>
      </c>
      <c r="BQ4" s="30" t="s">
        <v>62</v>
      </c>
      <c r="BR4" s="42" t="s">
        <v>63</v>
      </c>
      <c r="BS4" s="2">
        <f>MIN(BO5:BO105)</f>
        <v>-16.431846960000001</v>
      </c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</row>
    <row r="5" spans="1:85" ht="12" customHeight="1" x14ac:dyDescent="0.25">
      <c r="A5" s="1"/>
      <c r="S5" s="1"/>
      <c r="T5" s="43"/>
      <c r="U5" s="43"/>
      <c r="V5" s="43"/>
      <c r="W5" s="43"/>
      <c r="X5" s="43"/>
      <c r="Y5" s="37"/>
      <c r="Z5" s="1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1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1"/>
      <c r="BH5" s="1"/>
      <c r="BI5" s="44"/>
      <c r="BJ5" s="45"/>
      <c r="BK5" s="46">
        <v>1078.416847</v>
      </c>
      <c r="BL5" s="46">
        <v>1061.5809999999999</v>
      </c>
      <c r="BM5" s="46">
        <v>1026.2829119999999</v>
      </c>
      <c r="BN5" s="46">
        <v>993.31165269999997</v>
      </c>
      <c r="BO5" s="47">
        <v>-16.431846960000001</v>
      </c>
      <c r="BP5" s="47">
        <v>-3.585604451</v>
      </c>
      <c r="BQ5" s="47">
        <v>-3.7018761690000002</v>
      </c>
      <c r="BR5" s="47">
        <v>-153.6770181</v>
      </c>
      <c r="BS5" s="47">
        <f>BO5-$BS$4</f>
        <v>0</v>
      </c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</row>
    <row r="6" spans="1:85" ht="12" customHeight="1" x14ac:dyDescent="0.25">
      <c r="A6" s="48">
        <v>1</v>
      </c>
      <c r="S6" s="1"/>
      <c r="T6" s="9"/>
      <c r="U6" s="9"/>
      <c r="V6" s="9"/>
      <c r="W6" s="9"/>
      <c r="X6" s="50"/>
      <c r="Y6" s="37"/>
      <c r="Z6" s="1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1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1"/>
      <c r="BH6" s="1"/>
      <c r="BI6" s="44"/>
      <c r="BJ6" s="45"/>
      <c r="BK6" s="46">
        <v>1078.416847</v>
      </c>
      <c r="BL6" s="46">
        <v>1061.5809999999999</v>
      </c>
      <c r="BM6" s="46">
        <v>1026.25684</v>
      </c>
      <c r="BN6" s="46">
        <v>993.30937219999998</v>
      </c>
      <c r="BO6" s="47">
        <v>-16.431833260000001</v>
      </c>
      <c r="BP6" s="47">
        <v>-3.5771224109999999</v>
      </c>
      <c r="BQ6" s="47">
        <v>-3.3101858769999999</v>
      </c>
      <c r="BR6" s="47">
        <v>-153.27215150000001</v>
      </c>
      <c r="BS6" s="47">
        <f t="shared" ref="BS6:BS69" si="0">BO6-$BS$4</f>
        <v>1.3700000000227419E-5</v>
      </c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</row>
    <row r="7" spans="1:85" ht="12" customHeight="1" x14ac:dyDescent="0.25">
      <c r="A7" s="48">
        <f>A6+1</f>
        <v>2</v>
      </c>
      <c r="S7" s="1"/>
      <c r="T7" s="52"/>
      <c r="U7" s="52"/>
      <c r="V7" s="52"/>
      <c r="W7" s="53"/>
      <c r="X7" s="52"/>
      <c r="Y7" s="37"/>
      <c r="Z7" s="1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1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1"/>
      <c r="BH7" s="1"/>
      <c r="BI7" s="44"/>
      <c r="BJ7" s="45"/>
      <c r="BK7" s="46">
        <v>1078.4168440000001</v>
      </c>
      <c r="BL7" s="46">
        <v>1061.5809999999999</v>
      </c>
      <c r="BM7" s="46">
        <v>1026.2034719999999</v>
      </c>
      <c r="BN7" s="46">
        <v>993.30471910000006</v>
      </c>
      <c r="BO7" s="47">
        <v>-16.43174015</v>
      </c>
      <c r="BP7" s="47">
        <v>-3.5465207159999999</v>
      </c>
      <c r="BQ7" s="47">
        <v>-2.5688974689999999</v>
      </c>
      <c r="BR7" s="47">
        <v>-152.44662510000001</v>
      </c>
      <c r="BS7" s="47">
        <f t="shared" si="0"/>
        <v>1.0681000000190011E-4</v>
      </c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</row>
    <row r="8" spans="1:85" ht="12" customHeight="1" x14ac:dyDescent="0.25">
      <c r="A8" s="48">
        <f t="shared" ref="A8:A41" si="1">A7+1</f>
        <v>3</v>
      </c>
      <c r="S8" s="1"/>
      <c r="T8" s="43"/>
      <c r="U8" s="43"/>
      <c r="V8" s="54"/>
      <c r="W8" s="43"/>
      <c r="X8" s="43"/>
      <c r="Y8" s="37"/>
      <c r="Z8" s="1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1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1"/>
      <c r="BH8" s="1"/>
      <c r="BI8" s="44"/>
      <c r="BJ8" s="45"/>
      <c r="BK8" s="46">
        <v>1078.4168320000001</v>
      </c>
      <c r="BL8" s="46">
        <v>1061.5809999999999</v>
      </c>
      <c r="BM8" s="46">
        <v>1026.131185</v>
      </c>
      <c r="BN8" s="46">
        <v>993.29866400000003</v>
      </c>
      <c r="BO8" s="47">
        <v>-16.431384439999999</v>
      </c>
      <c r="BP8" s="47">
        <v>-3.4785563169999998</v>
      </c>
      <c r="BQ8" s="47">
        <v>-1.7018017160000001</v>
      </c>
      <c r="BR8" s="47">
        <v>-151.3740057</v>
      </c>
      <c r="BS8" s="47">
        <f t="shared" si="0"/>
        <v>4.6252000000279736E-4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</row>
    <row r="9" spans="1:85" ht="12" customHeight="1" x14ac:dyDescent="0.25">
      <c r="A9" s="48">
        <f t="shared" si="1"/>
        <v>4</v>
      </c>
      <c r="S9" s="1"/>
      <c r="T9" s="43"/>
      <c r="U9" s="37"/>
      <c r="V9" s="55"/>
      <c r="W9" s="56"/>
      <c r="X9" s="37"/>
      <c r="Y9" s="37"/>
      <c r="Z9" s="1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1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1"/>
      <c r="BH9" s="1"/>
      <c r="BI9" s="44"/>
      <c r="BJ9" s="45"/>
      <c r="BK9" s="46">
        <v>1078.4167970000001</v>
      </c>
      <c r="BL9" s="46">
        <v>1061.5809999999999</v>
      </c>
      <c r="BM9" s="46">
        <v>1026.0302610000001</v>
      </c>
      <c r="BN9" s="46">
        <v>993.29151119999995</v>
      </c>
      <c r="BO9" s="47">
        <v>-16.430382160000001</v>
      </c>
      <c r="BP9" s="47">
        <v>-3.3592291840000001</v>
      </c>
      <c r="BQ9" s="47">
        <v>-0.78456947580000003</v>
      </c>
      <c r="BR9" s="47">
        <v>-150.1099715</v>
      </c>
      <c r="BS9" s="47">
        <f t="shared" si="0"/>
        <v>1.464800000000821E-3</v>
      </c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</row>
    <row r="10" spans="1:85" ht="12" customHeight="1" x14ac:dyDescent="0.25">
      <c r="A10" s="48">
        <f t="shared" si="1"/>
        <v>5</v>
      </c>
      <c r="S10" s="1"/>
      <c r="T10" s="43"/>
      <c r="U10" s="37"/>
      <c r="V10" s="55"/>
      <c r="W10" s="56"/>
      <c r="X10" s="37"/>
      <c r="Y10" s="37"/>
      <c r="Z10" s="1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1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1"/>
      <c r="BH10" s="1"/>
      <c r="BI10" s="44"/>
      <c r="BJ10" s="45"/>
      <c r="BK10" s="46">
        <v>1078.4167170000001</v>
      </c>
      <c r="BL10" s="46">
        <v>1061.5809999999999</v>
      </c>
      <c r="BM10" s="46">
        <v>1025.986956</v>
      </c>
      <c r="BN10" s="46">
        <v>993.28665860000001</v>
      </c>
      <c r="BO10" s="47">
        <v>-16.428065759999999</v>
      </c>
      <c r="BP10" s="47">
        <v>-3.1775397330000001</v>
      </c>
      <c r="BQ10" s="47">
        <v>-0.50988165090000004</v>
      </c>
      <c r="BR10" s="47">
        <v>-149.25292930000001</v>
      </c>
      <c r="BS10" s="47">
        <f t="shared" si="0"/>
        <v>3.7812000000023716E-3</v>
      </c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</row>
    <row r="11" spans="1:85" ht="12" customHeight="1" x14ac:dyDescent="0.25">
      <c r="A11" s="48">
        <f t="shared" si="1"/>
        <v>6</v>
      </c>
      <c r="S11" s="1"/>
      <c r="T11" s="43"/>
      <c r="U11" s="37"/>
      <c r="V11" s="55"/>
      <c r="W11" s="56"/>
      <c r="X11" s="37"/>
      <c r="Y11" s="37"/>
      <c r="Z11" s="1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1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1"/>
      <c r="BH11" s="1"/>
      <c r="BI11" s="44"/>
      <c r="BJ11" s="45"/>
      <c r="BK11" s="46">
        <v>1078.416557</v>
      </c>
      <c r="BL11" s="46">
        <v>1061.5809999999999</v>
      </c>
      <c r="BM11" s="46">
        <v>1025.986459</v>
      </c>
      <c r="BN11" s="46">
        <v>993.28251739999996</v>
      </c>
      <c r="BO11" s="47">
        <v>-16.42342536</v>
      </c>
      <c r="BP11" s="47">
        <v>-2.9261195469999999</v>
      </c>
      <c r="BQ11" s="47">
        <v>-0.50447547969999995</v>
      </c>
      <c r="BR11" s="47">
        <v>-148.52267230000001</v>
      </c>
      <c r="BS11" s="47">
        <f t="shared" si="0"/>
        <v>8.4216000000019164E-3</v>
      </c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</row>
    <row r="12" spans="1:85" ht="12" customHeight="1" x14ac:dyDescent="0.25">
      <c r="A12" s="48">
        <f t="shared" si="1"/>
        <v>7</v>
      </c>
      <c r="S12" s="1"/>
      <c r="T12" s="43"/>
      <c r="U12" s="37"/>
      <c r="V12" s="10"/>
      <c r="W12" s="56"/>
      <c r="X12" s="37"/>
      <c r="Y12" s="37"/>
      <c r="Z12" s="1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1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1"/>
      <c r="BH12" s="1"/>
      <c r="BI12" s="44"/>
      <c r="BJ12" s="45"/>
      <c r="BK12" s="46">
        <v>1078.4162699999999</v>
      </c>
      <c r="BL12" s="46">
        <v>1061.5809999999999</v>
      </c>
      <c r="BM12" s="46">
        <v>1025.985901</v>
      </c>
      <c r="BN12" s="46">
        <v>993.27770020000003</v>
      </c>
      <c r="BO12" s="47">
        <v>-16.415090249999999</v>
      </c>
      <c r="BP12" s="47">
        <v>-2.6008477760000002</v>
      </c>
      <c r="BQ12" s="47">
        <v>-0.49843628870000001</v>
      </c>
      <c r="BR12" s="47">
        <v>-147.6757418</v>
      </c>
      <c r="BS12" s="47">
        <f t="shared" si="0"/>
        <v>1.6756710000002784E-2</v>
      </c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</row>
    <row r="13" spans="1:85" ht="12" customHeight="1" x14ac:dyDescent="0.25">
      <c r="A13" s="48">
        <f t="shared" si="1"/>
        <v>8</v>
      </c>
      <c r="S13" s="1"/>
      <c r="T13" s="43"/>
      <c r="U13" s="37"/>
      <c r="V13" s="55"/>
      <c r="W13" s="55"/>
      <c r="X13" s="37"/>
      <c r="Y13" s="37"/>
      <c r="Z13" s="1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1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1"/>
      <c r="BH13" s="1"/>
      <c r="BI13" s="44"/>
      <c r="BJ13" s="45"/>
      <c r="BK13" s="46">
        <v>1078.4157949999999</v>
      </c>
      <c r="BL13" s="46">
        <v>1061.5809999999999</v>
      </c>
      <c r="BM13" s="46">
        <v>1025.9852880000001</v>
      </c>
      <c r="BN13" s="46">
        <v>993.27223579999998</v>
      </c>
      <c r="BO13" s="47">
        <v>-16.401311159999999</v>
      </c>
      <c r="BP13" s="47">
        <v>-2.21281287</v>
      </c>
      <c r="BQ13" s="47">
        <v>-0.49182704820000001</v>
      </c>
      <c r="BR13" s="47">
        <v>-146.71750940000001</v>
      </c>
      <c r="BS13" s="47">
        <f t="shared" si="0"/>
        <v>3.0535800000002666E-2</v>
      </c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</row>
    <row r="14" spans="1:85" ht="12" customHeight="1" x14ac:dyDescent="0.25">
      <c r="A14" s="48">
        <f t="shared" si="1"/>
        <v>9</v>
      </c>
      <c r="S14" s="1"/>
      <c r="T14" s="43"/>
      <c r="U14" s="37"/>
      <c r="V14" s="55"/>
      <c r="W14" s="55"/>
      <c r="X14" s="37"/>
      <c r="Y14" s="37"/>
      <c r="Z14" s="1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1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1"/>
      <c r="BH14" s="1"/>
      <c r="BI14" s="44"/>
      <c r="BJ14" s="45"/>
      <c r="BK14" s="46">
        <v>1078.4150609999999</v>
      </c>
      <c r="BL14" s="46">
        <v>1061.5809999999999</v>
      </c>
      <c r="BM14" s="46">
        <v>1025.984612</v>
      </c>
      <c r="BN14" s="46">
        <v>993.26609689999998</v>
      </c>
      <c r="BO14" s="47">
        <v>-16.380027049999999</v>
      </c>
      <c r="BP14" s="47">
        <v>-1.7979557049999999</v>
      </c>
      <c r="BQ14" s="47">
        <v>-0.48459115619999998</v>
      </c>
      <c r="BR14" s="47">
        <v>-145.64390059999999</v>
      </c>
      <c r="BS14" s="47">
        <f t="shared" si="0"/>
        <v>5.1819910000002523E-2</v>
      </c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</row>
    <row r="15" spans="1:85" ht="12" customHeight="1" x14ac:dyDescent="0.25">
      <c r="A15" s="48">
        <f t="shared" si="1"/>
        <v>10</v>
      </c>
      <c r="S15" s="1"/>
      <c r="T15" s="43"/>
      <c r="U15" s="37"/>
      <c r="V15" s="55"/>
      <c r="W15" s="55"/>
      <c r="X15" s="37"/>
      <c r="Y15" s="37"/>
      <c r="Z15" s="1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1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1"/>
      <c r="BH15" s="1"/>
      <c r="BI15" s="44"/>
      <c r="BJ15" s="45"/>
      <c r="BK15" s="46">
        <v>1078.4139889999999</v>
      </c>
      <c r="BL15" s="46">
        <v>1061.5809999999999</v>
      </c>
      <c r="BM15" s="46">
        <v>1025.983874</v>
      </c>
      <c r="BN15" s="46">
        <v>993.25933020000002</v>
      </c>
      <c r="BO15" s="47">
        <v>-16.348992039999999</v>
      </c>
      <c r="BP15" s="47">
        <v>-1.305696647</v>
      </c>
      <c r="BQ15" s="47">
        <v>-0.47672751679999997</v>
      </c>
      <c r="BR15" s="47">
        <v>-144.46386390000001</v>
      </c>
      <c r="BS15" s="47">
        <f t="shared" si="0"/>
        <v>8.2854920000002608E-2</v>
      </c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</row>
    <row r="16" spans="1:85" ht="12" customHeight="1" x14ac:dyDescent="0.25">
      <c r="A16" s="48">
        <f t="shared" si="1"/>
        <v>11</v>
      </c>
      <c r="S16" s="1"/>
      <c r="T16" s="43"/>
      <c r="U16" s="37"/>
      <c r="V16" s="55"/>
      <c r="W16" s="55"/>
      <c r="X16" s="37"/>
      <c r="Y16" s="37"/>
      <c r="Z16" s="1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1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1"/>
      <c r="BH16" s="1"/>
      <c r="BI16" s="44"/>
      <c r="BJ16" s="45"/>
      <c r="BK16" s="46">
        <v>1078.4124999999999</v>
      </c>
      <c r="BL16" s="46">
        <v>1061.5809999999999</v>
      </c>
      <c r="BM16" s="46">
        <v>1025.983078</v>
      </c>
      <c r="BN16" s="46">
        <v>993.25201630000004</v>
      </c>
      <c r="BO16" s="47">
        <v>-16.305868669999999</v>
      </c>
      <c r="BP16" s="47">
        <v>-0.87097067719999999</v>
      </c>
      <c r="BQ16" s="47">
        <v>-0.4683093626</v>
      </c>
      <c r="BR16" s="47">
        <v>-143.1923256</v>
      </c>
      <c r="BS16" s="47">
        <f t="shared" si="0"/>
        <v>0.1259782900000026</v>
      </c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</row>
    <row r="17" spans="1:85" ht="12" customHeight="1" x14ac:dyDescent="0.25">
      <c r="A17" s="48">
        <f t="shared" si="1"/>
        <v>12</v>
      </c>
      <c r="S17" s="1"/>
      <c r="T17" s="43"/>
      <c r="U17" s="37"/>
      <c r="V17" s="55"/>
      <c r="W17" s="55"/>
      <c r="X17" s="37"/>
      <c r="Y17" s="37"/>
      <c r="Z17" s="1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1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57"/>
      <c r="BH17" s="1"/>
      <c r="BI17" s="44"/>
      <c r="BJ17" s="45"/>
      <c r="BK17" s="46">
        <v>1078.4105099999999</v>
      </c>
      <c r="BL17" s="46">
        <v>1061.5809999999999</v>
      </c>
      <c r="BM17" s="46">
        <v>1025.9822300000001</v>
      </c>
      <c r="BN17" s="46">
        <v>993.24423230000002</v>
      </c>
      <c r="BO17" s="47">
        <v>-16.24831923</v>
      </c>
      <c r="BP17" s="47">
        <v>-0.39441210409999999</v>
      </c>
      <c r="BQ17" s="47">
        <v>-0.45941540250000001</v>
      </c>
      <c r="BR17" s="47">
        <v>-141.84350459999999</v>
      </c>
      <c r="BS17" s="47">
        <f t="shared" si="0"/>
        <v>0.18352773000000155</v>
      </c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</row>
    <row r="18" spans="1:85" ht="12" customHeight="1" x14ac:dyDescent="0.25">
      <c r="A18" s="48">
        <f t="shared" si="1"/>
        <v>13</v>
      </c>
      <c r="S18" s="1"/>
      <c r="T18" s="43"/>
      <c r="U18" s="37"/>
      <c r="V18" s="55"/>
      <c r="W18" s="55"/>
      <c r="X18" s="37"/>
      <c r="Y18" s="37"/>
      <c r="Z18" s="1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1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57"/>
      <c r="BH18" s="1"/>
      <c r="BI18" s="44"/>
      <c r="BJ18" s="45"/>
      <c r="BK18" s="46">
        <v>1078.4079389999999</v>
      </c>
      <c r="BL18" s="46">
        <v>1060.5450000000001</v>
      </c>
      <c r="BM18" s="46">
        <v>1025.9813349999999</v>
      </c>
      <c r="BN18" s="46">
        <v>993.23604439999997</v>
      </c>
      <c r="BO18" s="47">
        <v>-16.174118310000001</v>
      </c>
      <c r="BP18" s="47">
        <v>0</v>
      </c>
      <c r="BQ18" s="47">
        <v>-0.45008878149999998</v>
      </c>
      <c r="BR18" s="47">
        <v>-140.4296631</v>
      </c>
      <c r="BS18" s="47">
        <f t="shared" si="0"/>
        <v>0.25772865000000067</v>
      </c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</row>
    <row r="19" spans="1:85" ht="12" customHeight="1" x14ac:dyDescent="0.25">
      <c r="A19" s="48">
        <f t="shared" si="1"/>
        <v>14</v>
      </c>
      <c r="S19" s="1"/>
      <c r="T19" s="43"/>
      <c r="U19" s="37"/>
      <c r="V19" s="55"/>
      <c r="W19" s="58"/>
      <c r="X19" s="37"/>
      <c r="Y19" s="37"/>
      <c r="Z19" s="1"/>
      <c r="AA19" s="59"/>
      <c r="AB19" s="22"/>
      <c r="AC19" s="22"/>
      <c r="AD19" s="22"/>
      <c r="AE19" s="22"/>
      <c r="AF19" s="22"/>
      <c r="AG19" s="22"/>
      <c r="AH19" s="22"/>
      <c r="AI19" s="28"/>
      <c r="AJ19" s="28"/>
      <c r="AK19" s="1"/>
      <c r="AL19" s="59"/>
      <c r="AM19" s="1"/>
      <c r="AN19" s="1"/>
      <c r="AO19" s="1"/>
      <c r="AP19" s="1"/>
      <c r="AQ19" s="1"/>
      <c r="AR19" s="1"/>
      <c r="AS19" s="1"/>
      <c r="AT19" s="28"/>
      <c r="AU19" s="28"/>
      <c r="AV19" s="1"/>
      <c r="AW19" s="59"/>
      <c r="AX19" s="1"/>
      <c r="AY19" s="1"/>
      <c r="AZ19" s="1"/>
      <c r="BA19" s="1"/>
      <c r="BB19" s="1"/>
      <c r="BC19" s="1"/>
      <c r="BD19" s="1"/>
      <c r="BE19" s="28"/>
      <c r="BF19" s="28"/>
      <c r="BG19" s="1"/>
      <c r="BH19" s="1"/>
      <c r="BI19" s="44"/>
      <c r="BJ19" s="45"/>
      <c r="BK19" s="46">
        <v>1078.404716</v>
      </c>
      <c r="BL19" s="46">
        <v>1060.5450000000001</v>
      </c>
      <c r="BM19" s="46">
        <v>1025.980395</v>
      </c>
      <c r="BN19" s="46">
        <v>993.22752290000005</v>
      </c>
      <c r="BO19" s="47">
        <v>-16.0812375</v>
      </c>
      <c r="BP19" s="47">
        <v>0</v>
      </c>
      <c r="BQ19" s="47">
        <v>-0.44038516389999999</v>
      </c>
      <c r="BR19" s="47">
        <v>-138.9636299</v>
      </c>
      <c r="BS19" s="47">
        <f t="shared" si="0"/>
        <v>0.35060946000000115</v>
      </c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</row>
    <row r="20" spans="1:85" ht="12" customHeight="1" x14ac:dyDescent="0.25">
      <c r="A20" s="48">
        <f t="shared" si="1"/>
        <v>15</v>
      </c>
      <c r="S20" s="1"/>
      <c r="T20" s="43"/>
      <c r="U20" s="37"/>
      <c r="V20" s="55"/>
      <c r="W20" s="58"/>
      <c r="X20" s="37"/>
      <c r="Y20" s="37"/>
      <c r="Z20" s="1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1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1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1"/>
      <c r="BH20" s="1"/>
      <c r="BI20" s="44"/>
      <c r="BJ20" s="45"/>
      <c r="BK20" s="46">
        <v>1078.40077</v>
      </c>
      <c r="BL20" s="46">
        <v>1060.5450000000001</v>
      </c>
      <c r="BM20" s="46">
        <v>1025.9793990000001</v>
      </c>
      <c r="BN20" s="46">
        <v>993.21866120000004</v>
      </c>
      <c r="BO20" s="47">
        <v>-15.96782441</v>
      </c>
      <c r="BP20" s="47">
        <v>0</v>
      </c>
      <c r="BQ20" s="47">
        <v>-0.43019646309999998</v>
      </c>
      <c r="BR20" s="47">
        <v>-137.4450239</v>
      </c>
      <c r="BS20" s="47">
        <f t="shared" si="0"/>
        <v>0.46402255000000103</v>
      </c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</row>
    <row r="21" spans="1:85" ht="12" customHeight="1" x14ac:dyDescent="0.25">
      <c r="A21" s="48">
        <f t="shared" si="1"/>
        <v>16</v>
      </c>
      <c r="S21" s="1"/>
      <c r="T21" s="43"/>
      <c r="U21" s="37"/>
      <c r="V21" s="55"/>
      <c r="W21" s="58"/>
      <c r="X21" s="37"/>
      <c r="Y21" s="37"/>
      <c r="Z21" s="1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1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1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1"/>
      <c r="BH21" s="1"/>
      <c r="BI21" s="44"/>
      <c r="BJ21" s="45"/>
      <c r="BK21" s="46">
        <v>1078.3960400000001</v>
      </c>
      <c r="BL21" s="46">
        <v>1060.5450000000001</v>
      </c>
      <c r="BM21" s="46">
        <v>1025.9783420000001</v>
      </c>
      <c r="BN21" s="46">
        <v>993.20937719999995</v>
      </c>
      <c r="BO21" s="47">
        <v>-15.832239230000001</v>
      </c>
      <c r="BP21" s="47">
        <v>0</v>
      </c>
      <c r="BQ21" s="47">
        <v>-0.4194881949</v>
      </c>
      <c r="BR21" s="47">
        <v>-135.86067489999999</v>
      </c>
      <c r="BS21" s="47">
        <f t="shared" si="0"/>
        <v>0.59960773000000067</v>
      </c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</row>
    <row r="22" spans="1:85" ht="12" customHeight="1" x14ac:dyDescent="0.25">
      <c r="A22" s="48">
        <f t="shared" si="1"/>
        <v>17</v>
      </c>
      <c r="S22" s="1"/>
      <c r="T22" s="43"/>
      <c r="U22" s="37"/>
      <c r="V22" s="55"/>
      <c r="W22" s="58"/>
      <c r="X22" s="37"/>
      <c r="Y22" s="37"/>
      <c r="Z22" s="1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1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1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1"/>
      <c r="BH22" s="1"/>
      <c r="BI22" s="44"/>
      <c r="BJ22" s="45"/>
      <c r="BK22" s="46">
        <v>1078.3904669999999</v>
      </c>
      <c r="BL22" s="46">
        <v>1060.5450000000001</v>
      </c>
      <c r="BM22" s="46">
        <v>1025.9772350000001</v>
      </c>
      <c r="BN22" s="46">
        <v>993.19975529999999</v>
      </c>
      <c r="BO22" s="47">
        <v>-15.67308886</v>
      </c>
      <c r="BP22" s="47">
        <v>0</v>
      </c>
      <c r="BQ22" s="47">
        <v>-0.40838559600000002</v>
      </c>
      <c r="BR22" s="47">
        <v>-134.2258028</v>
      </c>
      <c r="BS22" s="47">
        <f t="shared" si="0"/>
        <v>0.75875810000000143</v>
      </c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</row>
    <row r="23" spans="1:85" ht="12" customHeight="1" x14ac:dyDescent="0.25">
      <c r="A23" s="48">
        <f t="shared" si="1"/>
        <v>18</v>
      </c>
      <c r="S23" s="1"/>
      <c r="T23" s="43"/>
      <c r="U23" s="37"/>
      <c r="V23" s="55"/>
      <c r="W23" s="58"/>
      <c r="X23" s="37"/>
      <c r="Y23" s="37"/>
      <c r="Z23" s="1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1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1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1"/>
      <c r="BH23" s="1"/>
      <c r="BI23" s="44"/>
      <c r="BJ23" s="45"/>
      <c r="BK23" s="46">
        <v>1078.3840009999999</v>
      </c>
      <c r="BL23" s="46">
        <v>1060.5450000000001</v>
      </c>
      <c r="BM23" s="46">
        <v>1025.976091</v>
      </c>
      <c r="BN23" s="46">
        <v>993.18990810000003</v>
      </c>
      <c r="BO23" s="47">
        <v>-15.48920122</v>
      </c>
      <c r="BP23" s="47">
        <v>0</v>
      </c>
      <c r="BQ23" s="47">
        <v>-0.39702993980000001</v>
      </c>
      <c r="BR23" s="47">
        <v>-132.560213</v>
      </c>
      <c r="BS23" s="47">
        <f t="shared" si="0"/>
        <v>0.94264574000000145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</row>
    <row r="24" spans="1:85" ht="12" customHeight="1" x14ac:dyDescent="0.25">
      <c r="A24" s="48">
        <f t="shared" si="1"/>
        <v>19</v>
      </c>
      <c r="S24" s="1"/>
      <c r="T24" s="43"/>
      <c r="U24" s="37"/>
      <c r="V24" s="55"/>
      <c r="W24" s="58"/>
      <c r="X24" s="37"/>
      <c r="Y24" s="37"/>
      <c r="Z24" s="1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1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1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1"/>
      <c r="BH24" s="1"/>
      <c r="BI24" s="44"/>
      <c r="BJ24" s="45"/>
      <c r="BK24" s="46">
        <v>1078.3765980000001</v>
      </c>
      <c r="BL24" s="46">
        <v>1060.5450000000001</v>
      </c>
      <c r="BM24" s="46">
        <v>1025.974917</v>
      </c>
      <c r="BN24" s="46">
        <v>993.17990569999995</v>
      </c>
      <c r="BO24" s="47">
        <v>-15.27963083</v>
      </c>
      <c r="BP24" s="47">
        <v>0</v>
      </c>
      <c r="BQ24" s="47">
        <v>-0.38552421860000002</v>
      </c>
      <c r="BR24" s="47">
        <v>-130.87627000000001</v>
      </c>
      <c r="BS24" s="47">
        <f t="shared" si="0"/>
        <v>1.1522161300000011</v>
      </c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</row>
    <row r="25" spans="1:85" ht="12" customHeight="1" x14ac:dyDescent="0.25">
      <c r="A25" s="48">
        <f t="shared" si="1"/>
        <v>20</v>
      </c>
      <c r="S25" s="1"/>
      <c r="T25" s="61"/>
      <c r="U25" s="62"/>
      <c r="V25" s="62"/>
      <c r="W25" s="62"/>
      <c r="X25" s="61"/>
      <c r="Y25" s="63"/>
      <c r="Z25" s="1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1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1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1"/>
      <c r="BH25" s="1"/>
      <c r="BI25" s="44"/>
      <c r="BJ25" s="45"/>
      <c r="BK25" s="46">
        <v>1078.3685</v>
      </c>
      <c r="BL25" s="46">
        <v>1060.5450000000001</v>
      </c>
      <c r="BM25" s="46">
        <v>1025.9737210000001</v>
      </c>
      <c r="BN25" s="46">
        <v>993.16977159999999</v>
      </c>
      <c r="BO25" s="47">
        <v>-15.0516483</v>
      </c>
      <c r="BP25" s="47">
        <v>0</v>
      </c>
      <c r="BQ25" s="47">
        <v>-0.37393075050000002</v>
      </c>
      <c r="BR25" s="47">
        <v>-129.17840430000001</v>
      </c>
      <c r="BS25" s="47">
        <f t="shared" si="0"/>
        <v>1.3801986600000014</v>
      </c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</row>
    <row r="26" spans="1:85" ht="12" customHeight="1" x14ac:dyDescent="0.25">
      <c r="A26" s="48">
        <f t="shared" si="1"/>
        <v>21</v>
      </c>
      <c r="S26" s="1"/>
      <c r="T26" s="64"/>
      <c r="U26" s="64"/>
      <c r="V26" s="64"/>
      <c r="W26" s="65"/>
      <c r="X26" s="43"/>
      <c r="Y26" s="49"/>
      <c r="Z26" s="1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1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1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1"/>
      <c r="BH26" s="1"/>
      <c r="BI26" s="44"/>
      <c r="BJ26" s="45"/>
      <c r="BK26" s="46">
        <v>1078.367428</v>
      </c>
      <c r="BL26" s="46">
        <v>1060.5450000000001</v>
      </c>
      <c r="BM26" s="46">
        <v>1025.972483</v>
      </c>
      <c r="BN26" s="46">
        <v>993.15938129999995</v>
      </c>
      <c r="BO26" s="47">
        <v>-15.02156896</v>
      </c>
      <c r="BP26" s="47">
        <v>0</v>
      </c>
      <c r="BQ26" s="47">
        <v>-0.36209155250000002</v>
      </c>
      <c r="BR26" s="47">
        <v>-127.4465161</v>
      </c>
      <c r="BS26" s="47">
        <f t="shared" si="0"/>
        <v>1.4102780000000017</v>
      </c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</row>
    <row r="27" spans="1:85" ht="12" customHeight="1" x14ac:dyDescent="0.25">
      <c r="A27" s="48">
        <f t="shared" si="1"/>
        <v>22</v>
      </c>
      <c r="S27" s="1"/>
      <c r="T27" s="64"/>
      <c r="U27" s="64"/>
      <c r="V27" s="64"/>
      <c r="W27" s="65"/>
      <c r="X27" s="43"/>
      <c r="Y27" s="49"/>
      <c r="Z27" s="1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1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1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1"/>
      <c r="BH27" s="1"/>
      <c r="BI27" s="44"/>
      <c r="BJ27" s="45"/>
      <c r="BK27" s="46">
        <v>1078.365902</v>
      </c>
      <c r="BL27" s="46">
        <v>1060.5450000000001</v>
      </c>
      <c r="BM27" s="46">
        <v>1025.9712079999999</v>
      </c>
      <c r="BN27" s="46">
        <v>993.14880540000001</v>
      </c>
      <c r="BO27" s="47">
        <v>-14.97878811</v>
      </c>
      <c r="BP27" s="47">
        <v>0</v>
      </c>
      <c r="BQ27" s="47">
        <v>-0.35005201590000001</v>
      </c>
      <c r="BR27" s="47">
        <v>-125.69301470000001</v>
      </c>
      <c r="BS27" s="47">
        <f t="shared" si="0"/>
        <v>1.4530588500000015</v>
      </c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</row>
    <row r="28" spans="1:85" ht="12" customHeight="1" x14ac:dyDescent="0.25">
      <c r="A28" s="48">
        <f t="shared" si="1"/>
        <v>23</v>
      </c>
      <c r="S28" s="1"/>
      <c r="T28" s="61"/>
      <c r="U28" s="62"/>
      <c r="V28" s="62"/>
      <c r="W28" s="66"/>
      <c r="X28" s="67"/>
      <c r="Y28" s="68"/>
      <c r="Z28" s="1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1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1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1"/>
      <c r="BH28" s="1"/>
      <c r="BI28" s="44"/>
      <c r="BJ28" s="45"/>
      <c r="BK28" s="46">
        <v>1078.3638040000001</v>
      </c>
      <c r="BL28" s="46">
        <v>1060.5450000000001</v>
      </c>
      <c r="BM28" s="46">
        <v>1025.969902</v>
      </c>
      <c r="BN28" s="46">
        <v>993.13809140000001</v>
      </c>
      <c r="BO28" s="47">
        <v>-14.92005724</v>
      </c>
      <c r="BP28" s="47">
        <v>0</v>
      </c>
      <c r="BQ28" s="47">
        <v>-0.33789060809999999</v>
      </c>
      <c r="BR28" s="47">
        <v>-123.9263237</v>
      </c>
      <c r="BS28" s="47">
        <f t="shared" si="0"/>
        <v>1.5117897200000012</v>
      </c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</row>
    <row r="29" spans="1:85" ht="12" customHeight="1" x14ac:dyDescent="0.25">
      <c r="A29" s="48">
        <f t="shared" si="1"/>
        <v>24</v>
      </c>
      <c r="S29" s="1"/>
      <c r="T29" s="64"/>
      <c r="U29" s="64"/>
      <c r="V29" s="64"/>
      <c r="W29" s="56"/>
      <c r="X29" s="64"/>
      <c r="Y29" s="69"/>
      <c r="Z29" s="1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1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1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1"/>
      <c r="BH29" s="1"/>
      <c r="BI29" s="44"/>
      <c r="BJ29" s="45"/>
      <c r="BK29" s="46">
        <v>1078.3610659999999</v>
      </c>
      <c r="BL29" s="46">
        <v>1060.5450000000001</v>
      </c>
      <c r="BM29" s="46">
        <v>1025.968568</v>
      </c>
      <c r="BN29" s="46">
        <v>993.12727110000003</v>
      </c>
      <c r="BO29" s="47">
        <v>-14.843517780000001</v>
      </c>
      <c r="BP29" s="47">
        <v>0</v>
      </c>
      <c r="BQ29" s="47">
        <v>-0.3256476559</v>
      </c>
      <c r="BR29" s="47">
        <v>-122.15213970000001</v>
      </c>
      <c r="BS29" s="47">
        <f t="shared" si="0"/>
        <v>1.5883291800000006</v>
      </c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</row>
    <row r="30" spans="1:85" ht="12" customHeight="1" x14ac:dyDescent="0.25">
      <c r="A30" s="48">
        <f t="shared" si="1"/>
        <v>25</v>
      </c>
      <c r="S30" s="1"/>
      <c r="T30" s="64"/>
      <c r="U30" s="64"/>
      <c r="V30" s="64"/>
      <c r="W30" s="56"/>
      <c r="X30" s="64"/>
      <c r="Y30" s="69"/>
      <c r="Z30" s="1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1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1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1"/>
      <c r="BH30" s="1"/>
      <c r="BI30" s="44"/>
      <c r="BJ30" s="45"/>
      <c r="BK30" s="46">
        <v>1078.357659</v>
      </c>
      <c r="BL30" s="46">
        <v>1060.5450000000001</v>
      </c>
      <c r="BM30" s="46">
        <v>1025.9672069999999</v>
      </c>
      <c r="BN30" s="46">
        <v>993.11635509999996</v>
      </c>
      <c r="BO30" s="47">
        <v>-14.74846827</v>
      </c>
      <c r="BP30" s="47">
        <v>0</v>
      </c>
      <c r="BQ30" s="47">
        <v>-0.31333643859999999</v>
      </c>
      <c r="BR30" s="47">
        <v>-120.3726212</v>
      </c>
      <c r="BS30" s="47">
        <f t="shared" si="0"/>
        <v>1.6833786900000014</v>
      </c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</row>
    <row r="31" spans="1:85" ht="12" customHeight="1" x14ac:dyDescent="0.25">
      <c r="A31" s="48">
        <f t="shared" si="1"/>
        <v>26</v>
      </c>
      <c r="S31" s="1"/>
      <c r="T31" s="64"/>
      <c r="U31" s="64"/>
      <c r="V31" s="64"/>
      <c r="W31" s="56"/>
      <c r="X31" s="64"/>
      <c r="Y31" s="69"/>
      <c r="Z31" s="1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1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1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1"/>
      <c r="BH31" s="1"/>
      <c r="BI31" s="44"/>
      <c r="BJ31" s="45"/>
      <c r="BK31" s="46">
        <v>1078.3535830000001</v>
      </c>
      <c r="BL31" s="46">
        <v>1060.5450000000001</v>
      </c>
      <c r="BM31" s="46">
        <v>1025.9658159999999</v>
      </c>
      <c r="BN31" s="46">
        <v>993.10534070000006</v>
      </c>
      <c r="BO31" s="47">
        <v>-14.63508236</v>
      </c>
      <c r="BP31" s="47">
        <v>0</v>
      </c>
      <c r="BQ31" s="47">
        <v>-0.30095526</v>
      </c>
      <c r="BR31" s="47">
        <v>-118.5877271</v>
      </c>
      <c r="BS31" s="47">
        <f t="shared" si="0"/>
        <v>1.7967646000000013</v>
      </c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</row>
    <row r="32" spans="1:85" ht="12" customHeight="1" x14ac:dyDescent="0.25">
      <c r="A32" s="48">
        <f t="shared" si="1"/>
        <v>27</v>
      </c>
      <c r="S32" s="1"/>
      <c r="T32" s="64"/>
      <c r="U32" s="64"/>
      <c r="V32" s="64"/>
      <c r="W32" s="56"/>
      <c r="X32" s="64"/>
      <c r="Y32" s="69"/>
      <c r="Z32" s="1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1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1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1"/>
      <c r="BH32" s="1"/>
      <c r="BI32" s="44"/>
      <c r="BJ32" s="45"/>
      <c r="BK32" s="46">
        <v>1078.3488620000001</v>
      </c>
      <c r="BL32" s="46">
        <v>1060.5450000000001</v>
      </c>
      <c r="BM32" s="46">
        <v>1025.964373</v>
      </c>
      <c r="BN32" s="46">
        <v>993.09409219999998</v>
      </c>
      <c r="BO32" s="47">
        <v>-14.50417845</v>
      </c>
      <c r="BP32" s="47">
        <v>0</v>
      </c>
      <c r="BQ32" s="47">
        <v>-0.28832703030000001</v>
      </c>
      <c r="BR32" s="47">
        <v>-116.7761635</v>
      </c>
      <c r="BS32" s="47">
        <f t="shared" si="0"/>
        <v>1.9276685100000019</v>
      </c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</row>
    <row r="33" spans="1:85" ht="12" customHeight="1" x14ac:dyDescent="0.25">
      <c r="A33" s="48">
        <f t="shared" si="1"/>
        <v>28</v>
      </c>
      <c r="S33" s="1"/>
      <c r="T33" s="64"/>
      <c r="U33" s="64"/>
      <c r="V33" s="64"/>
      <c r="W33" s="56"/>
      <c r="X33" s="64"/>
      <c r="Y33" s="69"/>
      <c r="Z33" s="1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1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1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1"/>
      <c r="BH33" s="1"/>
      <c r="BI33" s="44"/>
      <c r="BJ33" s="45"/>
      <c r="BK33" s="46">
        <v>1078.343537</v>
      </c>
      <c r="BL33" s="46">
        <v>1060.5450000000001</v>
      </c>
      <c r="BM33" s="46">
        <v>1025.9628769999999</v>
      </c>
      <c r="BN33" s="46">
        <v>993.08259969999995</v>
      </c>
      <c r="BO33" s="47">
        <v>-14.35704117</v>
      </c>
      <c r="BP33" s="47">
        <v>0</v>
      </c>
      <c r="BQ33" s="47">
        <v>-0.27545653790000002</v>
      </c>
      <c r="BR33" s="47">
        <v>-114.9371072</v>
      </c>
      <c r="BS33" s="47">
        <f t="shared" si="0"/>
        <v>2.074805790000001</v>
      </c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</row>
    <row r="34" spans="1:85" ht="12" customHeight="1" x14ac:dyDescent="0.25">
      <c r="A34" s="48">
        <f t="shared" si="1"/>
        <v>29</v>
      </c>
      <c r="S34" s="1"/>
      <c r="T34" s="64"/>
      <c r="U34" s="64"/>
      <c r="V34" s="64"/>
      <c r="W34" s="56"/>
      <c r="X34" s="64"/>
      <c r="Y34" s="69"/>
      <c r="Z34" s="1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1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1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1"/>
      <c r="BH34" s="1"/>
      <c r="BI34" s="44"/>
      <c r="BJ34" s="45"/>
      <c r="BK34" s="46">
        <v>1078.3376599999999</v>
      </c>
      <c r="BL34" s="46">
        <v>1060.5450000000001</v>
      </c>
      <c r="BM34" s="46">
        <v>1025.9612509999999</v>
      </c>
      <c r="BN34" s="46">
        <v>993.07072049999999</v>
      </c>
      <c r="BO34" s="47">
        <v>-14.195293810000001</v>
      </c>
      <c r="BP34" s="47">
        <v>0</v>
      </c>
      <c r="BQ34" s="47">
        <v>-0.26174139629999998</v>
      </c>
      <c r="BR34" s="47">
        <v>-113.04882000000001</v>
      </c>
      <c r="BS34" s="47">
        <f t="shared" si="0"/>
        <v>2.2365531500000007</v>
      </c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</row>
    <row r="35" spans="1:85" ht="12" customHeight="1" x14ac:dyDescent="0.25">
      <c r="A35" s="48">
        <f t="shared" si="1"/>
        <v>30</v>
      </c>
      <c r="S35" s="1"/>
      <c r="T35" s="64"/>
      <c r="U35" s="64"/>
      <c r="V35" s="64"/>
      <c r="W35" s="56"/>
      <c r="X35" s="64"/>
      <c r="Y35" s="69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44"/>
      <c r="BJ35" s="45"/>
      <c r="BK35" s="46">
        <v>1078.3312920000001</v>
      </c>
      <c r="BL35" s="46">
        <v>1060.5450000000001</v>
      </c>
      <c r="BM35" s="46">
        <v>1025.959507</v>
      </c>
      <c r="BN35" s="46">
        <v>993.05847859999994</v>
      </c>
      <c r="BO35" s="47">
        <v>-14.020808280000001</v>
      </c>
      <c r="BP35" s="47">
        <v>0</v>
      </c>
      <c r="BQ35" s="47">
        <v>-0.2473468912</v>
      </c>
      <c r="BR35" s="47">
        <v>-111.11623969999999</v>
      </c>
      <c r="BS35" s="47">
        <f t="shared" si="0"/>
        <v>2.4110386800000008</v>
      </c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</row>
    <row r="36" spans="1:85" ht="12" customHeight="1" x14ac:dyDescent="0.25">
      <c r="A36" s="48">
        <f t="shared" si="1"/>
        <v>31</v>
      </c>
      <c r="S36" s="1"/>
      <c r="T36" s="64"/>
      <c r="U36" s="64"/>
      <c r="V36" s="64"/>
      <c r="W36" s="56"/>
      <c r="X36" s="64"/>
      <c r="Y36" s="69"/>
      <c r="Z36" s="1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1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1"/>
      <c r="AW36" s="70"/>
      <c r="AX36" s="70"/>
      <c r="AY36" s="70"/>
      <c r="AZ36" s="70"/>
      <c r="BA36" s="70"/>
      <c r="BB36" s="70"/>
      <c r="BC36" s="70"/>
      <c r="BD36" s="70"/>
      <c r="BE36" s="70"/>
      <c r="BF36" s="70"/>
      <c r="BG36" s="1"/>
      <c r="BH36" s="1"/>
      <c r="BI36" s="44"/>
      <c r="BJ36" s="45"/>
      <c r="BK36" s="46">
        <v>1078.3244999999999</v>
      </c>
      <c r="BL36" s="46">
        <v>1060.5450000000001</v>
      </c>
      <c r="BM36" s="46">
        <v>1025.957682</v>
      </c>
      <c r="BN36" s="46">
        <v>993.04595819999997</v>
      </c>
      <c r="BO36" s="47">
        <v>-13.83563373</v>
      </c>
      <c r="BP36" s="47">
        <v>0</v>
      </c>
      <c r="BQ36" s="47">
        <v>-0.2326328268</v>
      </c>
      <c r="BR36" s="47">
        <v>-109.1536906</v>
      </c>
      <c r="BS36" s="47">
        <f t="shared" si="0"/>
        <v>2.5962132300000018</v>
      </c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</row>
    <row r="37" spans="1:85" ht="12" customHeight="1" x14ac:dyDescent="0.25">
      <c r="A37" s="48">
        <f t="shared" si="1"/>
        <v>32</v>
      </c>
      <c r="S37" s="1"/>
      <c r="T37" s="64"/>
      <c r="U37" s="64"/>
      <c r="V37" s="64"/>
      <c r="W37" s="56"/>
      <c r="X37" s="64"/>
      <c r="Y37" s="69"/>
      <c r="Z37" s="1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1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1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1"/>
      <c r="BH37" s="1"/>
      <c r="BI37" s="44"/>
      <c r="BJ37" s="45"/>
      <c r="BK37" s="46">
        <v>1078.3223780000001</v>
      </c>
      <c r="BL37" s="46">
        <v>1060.5450000000001</v>
      </c>
      <c r="BM37" s="46">
        <v>1025.955784</v>
      </c>
      <c r="BN37" s="46">
        <v>993.03320129999997</v>
      </c>
      <c r="BO37" s="47">
        <v>-13.777953520000001</v>
      </c>
      <c r="BP37" s="47">
        <v>0</v>
      </c>
      <c r="BQ37" s="47">
        <v>-0.21771259060000001</v>
      </c>
      <c r="BR37" s="47">
        <v>-107.1686303</v>
      </c>
      <c r="BS37" s="47">
        <f t="shared" si="0"/>
        <v>2.6538934400000009</v>
      </c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</row>
    <row r="38" spans="1:85" ht="12" customHeight="1" x14ac:dyDescent="0.25">
      <c r="A38" s="48">
        <f t="shared" si="1"/>
        <v>33</v>
      </c>
      <c r="S38" s="1"/>
      <c r="T38" s="64"/>
      <c r="U38" s="64"/>
      <c r="V38" s="64"/>
      <c r="W38" s="56"/>
      <c r="X38" s="64"/>
      <c r="Y38" s="69"/>
      <c r="Z38" s="1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1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1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1"/>
      <c r="BH38" s="1"/>
      <c r="BI38" s="44"/>
      <c r="BJ38" s="45"/>
      <c r="BK38" s="46">
        <v>1078.3223780000001</v>
      </c>
      <c r="BL38" s="46">
        <v>1060.5450000000001</v>
      </c>
      <c r="BM38" s="46">
        <v>1025.9538150000001</v>
      </c>
      <c r="BN38" s="46">
        <v>993.0202468</v>
      </c>
      <c r="BO38" s="47">
        <v>-13.777953520000001</v>
      </c>
      <c r="BP38" s="47">
        <v>0</v>
      </c>
      <c r="BQ38" s="47">
        <v>-0.2026580254</v>
      </c>
      <c r="BR38" s="47">
        <v>-105.1679154</v>
      </c>
      <c r="BS38" s="47">
        <f t="shared" si="0"/>
        <v>2.6538934400000009</v>
      </c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</row>
    <row r="39" spans="1:85" ht="12" customHeight="1" x14ac:dyDescent="0.25">
      <c r="A39" s="48">
        <f t="shared" si="1"/>
        <v>34</v>
      </c>
      <c r="S39" s="1"/>
      <c r="T39" s="71"/>
      <c r="U39" s="72"/>
      <c r="V39" s="72"/>
      <c r="W39" s="72"/>
      <c r="X39" s="72"/>
      <c r="Y39" s="72"/>
      <c r="Z39" s="1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1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1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1"/>
      <c r="BH39" s="1"/>
      <c r="BI39" s="44"/>
      <c r="BJ39" s="45"/>
      <c r="BK39" s="46">
        <v>1078.3223780000001</v>
      </c>
      <c r="BL39" s="46">
        <v>1060.5450000000001</v>
      </c>
      <c r="BM39" s="46">
        <v>1025.9517780000001</v>
      </c>
      <c r="BN39" s="46">
        <v>993.00714200000004</v>
      </c>
      <c r="BO39" s="47">
        <v>-13.777953520000001</v>
      </c>
      <c r="BP39" s="47">
        <v>0</v>
      </c>
      <c r="BQ39" s="47">
        <v>-0.18753915099999999</v>
      </c>
      <c r="BR39" s="47">
        <v>-103.15943129999999</v>
      </c>
      <c r="BS39" s="47">
        <f t="shared" si="0"/>
        <v>2.6538934400000009</v>
      </c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</row>
    <row r="40" spans="1:85" ht="12" customHeight="1" x14ac:dyDescent="0.25">
      <c r="A40" s="48">
        <f t="shared" si="1"/>
        <v>35</v>
      </c>
      <c r="S40" s="1"/>
      <c r="T40" s="72"/>
      <c r="U40" s="24"/>
      <c r="V40" s="24"/>
      <c r="W40" s="22"/>
      <c r="X40" s="24"/>
      <c r="Y40" s="22"/>
      <c r="Z40" s="1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1"/>
      <c r="AL40" s="70"/>
      <c r="AM40" s="70"/>
      <c r="AN40" s="70"/>
      <c r="AO40" s="70"/>
      <c r="AP40" s="70"/>
      <c r="AQ40" s="70"/>
      <c r="AR40" s="70"/>
      <c r="AS40" s="70"/>
      <c r="AT40" s="70"/>
      <c r="AU40" s="70"/>
      <c r="AV40" s="1"/>
      <c r="AW40" s="70"/>
      <c r="AX40" s="70"/>
      <c r="AY40" s="70"/>
      <c r="AZ40" s="70"/>
      <c r="BA40" s="70"/>
      <c r="BB40" s="70"/>
      <c r="BC40" s="70"/>
      <c r="BD40" s="70"/>
      <c r="BE40" s="70"/>
      <c r="BF40" s="70"/>
      <c r="BG40" s="1"/>
      <c r="BH40" s="1"/>
      <c r="BI40" s="44"/>
      <c r="BJ40" s="45"/>
      <c r="BK40" s="46">
        <v>1078.3223780000001</v>
      </c>
      <c r="BL40" s="46">
        <v>1060.5450000000001</v>
      </c>
      <c r="BM40" s="46">
        <v>1025.9496750000001</v>
      </c>
      <c r="BN40" s="46">
        <v>992.99391849999995</v>
      </c>
      <c r="BO40" s="47">
        <v>-13.777953520000001</v>
      </c>
      <c r="BP40" s="47">
        <v>0</v>
      </c>
      <c r="BQ40" s="47">
        <v>-0.17242199580000001</v>
      </c>
      <c r="BR40" s="47">
        <v>-101.14859490000001</v>
      </c>
      <c r="BS40" s="47">
        <f t="shared" si="0"/>
        <v>2.6538934400000009</v>
      </c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</row>
    <row r="41" spans="1:85" ht="12" customHeight="1" x14ac:dyDescent="0.25">
      <c r="A41" s="48">
        <f t="shared" si="1"/>
        <v>36</v>
      </c>
      <c r="S41" s="1"/>
      <c r="T41" s="72"/>
      <c r="U41" s="24"/>
      <c r="V41" s="24"/>
      <c r="W41" s="22"/>
      <c r="X41" s="24"/>
      <c r="Y41" s="22"/>
      <c r="Z41" s="1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1"/>
      <c r="AL41" s="70"/>
      <c r="AM41" s="70"/>
      <c r="AN41" s="70"/>
      <c r="AO41" s="70"/>
      <c r="AP41" s="70"/>
      <c r="AQ41" s="70"/>
      <c r="AR41" s="70"/>
      <c r="AS41" s="70"/>
      <c r="AT41" s="70"/>
      <c r="AU41" s="70"/>
      <c r="AV41" s="1"/>
      <c r="AW41" s="70"/>
      <c r="AX41" s="70"/>
      <c r="AY41" s="70"/>
      <c r="AZ41" s="70"/>
      <c r="BA41" s="70"/>
      <c r="BB41" s="70"/>
      <c r="BC41" s="70"/>
      <c r="BD41" s="70"/>
      <c r="BE41" s="70"/>
      <c r="BF41" s="70"/>
      <c r="BG41" s="1"/>
      <c r="BH41" s="1"/>
      <c r="BI41" s="44"/>
      <c r="BJ41" s="45"/>
      <c r="BK41" s="46">
        <v>1078.3223780000001</v>
      </c>
      <c r="BL41" s="46">
        <v>1060.5450000000001</v>
      </c>
      <c r="BM41" s="46">
        <v>1025.947506</v>
      </c>
      <c r="BN41" s="46">
        <v>992.98064720000002</v>
      </c>
      <c r="BO41" s="47">
        <v>-13.777953520000001</v>
      </c>
      <c r="BP41" s="47">
        <v>0</v>
      </c>
      <c r="BQ41" s="47">
        <v>-0.1573744537</v>
      </c>
      <c r="BR41" s="47">
        <v>-99.146559539999998</v>
      </c>
      <c r="BS41" s="47">
        <f t="shared" si="0"/>
        <v>2.6538934400000009</v>
      </c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</row>
    <row r="42" spans="1:85" ht="12" customHeight="1" x14ac:dyDescent="0.25">
      <c r="A42" s="1"/>
      <c r="B42" s="21"/>
      <c r="C42" s="21"/>
      <c r="D42" s="21"/>
      <c r="E42" s="21"/>
      <c r="F42" s="73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1"/>
      <c r="T42" s="72"/>
      <c r="U42" s="24"/>
      <c r="V42" s="24"/>
      <c r="W42" s="22"/>
      <c r="X42" s="24"/>
      <c r="Y42" s="22"/>
      <c r="Z42" s="1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1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1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1"/>
      <c r="BH42" s="1"/>
      <c r="BI42" s="44"/>
      <c r="BJ42" s="45"/>
      <c r="BK42" s="46">
        <v>1078.3223780000001</v>
      </c>
      <c r="BL42" s="46">
        <v>1060.5450000000001</v>
      </c>
      <c r="BM42" s="46">
        <v>1025.9452739999999</v>
      </c>
      <c r="BN42" s="46">
        <v>992.96738440000001</v>
      </c>
      <c r="BO42" s="47">
        <v>-13.777953520000001</v>
      </c>
      <c r="BP42" s="47">
        <v>0</v>
      </c>
      <c r="BQ42" s="47">
        <v>-0.1424656966</v>
      </c>
      <c r="BR42" s="47">
        <v>-97.161919729999994</v>
      </c>
      <c r="BS42" s="47">
        <f t="shared" si="0"/>
        <v>2.6538934400000009</v>
      </c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</row>
    <row r="43" spans="1:85" ht="12" customHeight="1" x14ac:dyDescent="0.25">
      <c r="A43" s="1"/>
      <c r="B43" s="21"/>
      <c r="C43" s="21"/>
      <c r="D43" s="21"/>
      <c r="E43" s="21"/>
      <c r="F43" s="73"/>
      <c r="G43" s="73"/>
      <c r="H43" s="74" t="str">
        <f>IF(ISNUMBER(#REF!),INDEX(#REF!,#REF!,1),"")</f>
        <v/>
      </c>
      <c r="I43" s="74" t="str">
        <f>IF(ISNUMBER(#REF!),INDEX(#REF!,#REF!,1),"")</f>
        <v/>
      </c>
      <c r="J43" s="74" t="str">
        <f>IF(ISNUMBER(#REF!),INDEX(#REF!,#REF!,1),"")</f>
        <v/>
      </c>
      <c r="K43" s="74" t="str">
        <f>IF(ISNUMBER(#REF!),INDEX(#REF!,#REF!,1),"")</f>
        <v/>
      </c>
      <c r="L43" s="74" t="str">
        <f>IF(ISNUMBER(#REF!),INDEX(#REF!,#REF!,1),"")</f>
        <v/>
      </c>
      <c r="M43" s="74" t="str">
        <f>IF(ISNUMBER(#REF!),INDEX(#REF!,#REF!,1),"")</f>
        <v/>
      </c>
      <c r="N43" s="74" t="str">
        <f>IF(ISNUMBER(#REF!),INDEX(#REF!,#REF!,1),"")</f>
        <v/>
      </c>
      <c r="O43" s="74" t="str">
        <f>IF(ISNUMBER(#REF!),INDEX(#REF!,#REF!,1),"")</f>
        <v/>
      </c>
      <c r="P43" s="54"/>
      <c r="Q43" s="75"/>
      <c r="R43" s="75"/>
      <c r="S43" s="1"/>
      <c r="T43" s="72"/>
      <c r="U43" s="24"/>
      <c r="V43" s="24"/>
      <c r="W43" s="22"/>
      <c r="X43" s="24"/>
      <c r="Y43" s="22"/>
      <c r="Z43" s="1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1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1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1"/>
      <c r="BH43" s="1"/>
      <c r="BI43" s="44"/>
      <c r="BJ43" s="45"/>
      <c r="BK43" s="46">
        <v>1078.3223780000001</v>
      </c>
      <c r="BL43" s="46">
        <v>1060.5450000000001</v>
      </c>
      <c r="BM43" s="46">
        <v>1025.9429789999999</v>
      </c>
      <c r="BN43" s="46">
        <v>992.95418619999998</v>
      </c>
      <c r="BO43" s="47">
        <v>-13.777953520000001</v>
      </c>
      <c r="BP43" s="47">
        <v>0</v>
      </c>
      <c r="BQ43" s="47">
        <v>-0.12776263909999999</v>
      </c>
      <c r="BR43" s="47">
        <v>-95.202944049999999</v>
      </c>
      <c r="BS43" s="47">
        <f t="shared" si="0"/>
        <v>2.6538934400000009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</row>
    <row r="44" spans="1:85" ht="12" customHeight="1" x14ac:dyDescent="0.25">
      <c r="A44" s="1"/>
      <c r="B44" s="21"/>
      <c r="C44" s="21"/>
      <c r="D44" s="21"/>
      <c r="E44" s="21"/>
      <c r="F44" s="73"/>
      <c r="G44" s="73"/>
      <c r="H44" s="74" t="str">
        <f>IF(ISNUMBER(#REF!),INDEX(#REF!,#REF!,1),"")</f>
        <v/>
      </c>
      <c r="I44" s="74" t="str">
        <f>IF(ISNUMBER(#REF!),INDEX(#REF!,#REF!,1),"")</f>
        <v/>
      </c>
      <c r="J44" s="74" t="str">
        <f>IF(ISNUMBER(#REF!),INDEX(#REF!,#REF!,1),"")</f>
        <v/>
      </c>
      <c r="K44" s="74" t="str">
        <f>IF(ISNUMBER(#REF!),INDEX(#REF!,#REF!,1),"")</f>
        <v/>
      </c>
      <c r="L44" s="74" t="str">
        <f>IF(ISNUMBER(#REF!),INDEX(#REF!,#REF!,1),"")</f>
        <v/>
      </c>
      <c r="M44" s="74" t="str">
        <f>IF(ISNUMBER(#REF!),INDEX(#REF!,#REF!,1),"")</f>
        <v/>
      </c>
      <c r="N44" s="74" t="str">
        <f>IF(ISNUMBER(#REF!),INDEX(#REF!,#REF!,1),"")</f>
        <v/>
      </c>
      <c r="O44" s="74" t="str">
        <f>IF(ISNUMBER(#REF!),INDEX(#REF!,#REF!,1),"")</f>
        <v/>
      </c>
      <c r="P44" s="54"/>
      <c r="Q44" s="75"/>
      <c r="R44" s="75"/>
      <c r="S44" s="1"/>
      <c r="T44" s="72"/>
      <c r="U44" s="24"/>
      <c r="V44" s="24"/>
      <c r="W44" s="22"/>
      <c r="X44" s="24"/>
      <c r="Y44" s="22"/>
      <c r="Z44" s="1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1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1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1"/>
      <c r="BH44" s="1"/>
      <c r="BI44" s="44"/>
      <c r="BJ44" s="45"/>
      <c r="BK44" s="46">
        <v>1078.3223780000001</v>
      </c>
      <c r="BL44" s="46">
        <v>1060.5450000000001</v>
      </c>
      <c r="BM44" s="46">
        <v>1025.940623</v>
      </c>
      <c r="BN44" s="46">
        <v>992.9411192</v>
      </c>
      <c r="BO44" s="47">
        <v>-13.777953520000001</v>
      </c>
      <c r="BP44" s="47">
        <v>0</v>
      </c>
      <c r="BQ44" s="47">
        <v>-0.1133432942</v>
      </c>
      <c r="BR44" s="47">
        <v>-93.279208940000004</v>
      </c>
      <c r="BS44" s="47">
        <f t="shared" si="0"/>
        <v>2.6538934400000009</v>
      </c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</row>
    <row r="45" spans="1:85" ht="12" customHeight="1" x14ac:dyDescent="0.25">
      <c r="A45" s="1"/>
      <c r="B45" s="21"/>
      <c r="C45" s="21"/>
      <c r="D45" s="21"/>
      <c r="E45" s="21"/>
      <c r="F45" s="73"/>
      <c r="G45" s="73"/>
      <c r="H45" s="74" t="str">
        <f>IF(ISNUMBER(#REF!),INDEX(#REF!,#REF!,1),"")</f>
        <v/>
      </c>
      <c r="I45" s="74" t="str">
        <f>IF(ISNUMBER(#REF!),INDEX(#REF!,#REF!,1),"")</f>
        <v/>
      </c>
      <c r="J45" s="74" t="str">
        <f>IF(ISNUMBER(#REF!),INDEX(#REF!,#REF!,1),"")</f>
        <v/>
      </c>
      <c r="K45" s="74" t="str">
        <f>IF(ISNUMBER(#REF!),INDEX(#REF!,#REF!,1),"")</f>
        <v/>
      </c>
      <c r="L45" s="74" t="str">
        <f>IF(ISNUMBER(#REF!),INDEX(#REF!,#REF!,1),"")</f>
        <v/>
      </c>
      <c r="M45" s="74" t="str">
        <f>IF(ISNUMBER(#REF!),INDEX(#REF!,#REF!,1),"")</f>
        <v/>
      </c>
      <c r="N45" s="74" t="str">
        <f>IF(ISNUMBER(#REF!),INDEX(#REF!,#REF!,1),"")</f>
        <v/>
      </c>
      <c r="O45" s="74" t="str">
        <f>IF(ISNUMBER(#REF!),INDEX(#REF!,#REF!,1),"")</f>
        <v/>
      </c>
      <c r="P45" s="54"/>
      <c r="Q45" s="75"/>
      <c r="R45" s="75"/>
      <c r="S45" s="1"/>
      <c r="T45" s="72"/>
      <c r="U45" s="24"/>
      <c r="V45" s="24"/>
      <c r="W45" s="22"/>
      <c r="X45" s="24"/>
      <c r="Y45" s="22"/>
      <c r="Z45" s="1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1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1"/>
      <c r="AW45" s="70"/>
      <c r="AX45" s="70"/>
      <c r="AY45" s="70"/>
      <c r="AZ45" s="70"/>
      <c r="BA45" s="70"/>
      <c r="BB45" s="70"/>
      <c r="BC45" s="70"/>
      <c r="BD45" s="70"/>
      <c r="BE45" s="70"/>
      <c r="BF45" s="70"/>
      <c r="BG45" s="1"/>
      <c r="BH45" s="1"/>
      <c r="BI45" s="44"/>
      <c r="BJ45" s="45"/>
      <c r="BK45" s="46">
        <v>1078.3223780000001</v>
      </c>
      <c r="BL45" s="46">
        <v>1060.5450000000001</v>
      </c>
      <c r="BM45" s="46">
        <v>1025.9382089999999</v>
      </c>
      <c r="BN45" s="46">
        <v>992.92825860000005</v>
      </c>
      <c r="BO45" s="47">
        <v>-13.777953520000001</v>
      </c>
      <c r="BP45" s="47">
        <v>0</v>
      </c>
      <c r="BQ45" s="47">
        <v>-9.9291431139999997E-2</v>
      </c>
      <c r="BR45" s="47">
        <v>-91.401238169999999</v>
      </c>
      <c r="BS45" s="47">
        <f t="shared" si="0"/>
        <v>2.6538934400000009</v>
      </c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</row>
    <row r="46" spans="1:85" ht="12" customHeight="1" x14ac:dyDescent="0.25">
      <c r="A46" s="1"/>
      <c r="B46" s="21"/>
      <c r="C46" s="21"/>
      <c r="D46" s="21"/>
      <c r="E46" s="21"/>
      <c r="F46" s="73"/>
      <c r="G46" s="73"/>
      <c r="H46" s="74" t="str">
        <f>IF(ISNUMBER(#REF!),INDEX(#REF!,#REF!,1),"")</f>
        <v/>
      </c>
      <c r="I46" s="74" t="str">
        <f>IF(ISNUMBER(#REF!),INDEX(#REF!,#REF!,1),"")</f>
        <v/>
      </c>
      <c r="J46" s="74" t="str">
        <f>IF(ISNUMBER(#REF!),INDEX(#REF!,#REF!,1),"")</f>
        <v/>
      </c>
      <c r="K46" s="74" t="str">
        <f>IF(ISNUMBER(#REF!),INDEX(#REF!,#REF!,1),"")</f>
        <v/>
      </c>
      <c r="L46" s="74" t="str">
        <f>IF(ISNUMBER(#REF!),INDEX(#REF!,#REF!,1),"")</f>
        <v/>
      </c>
      <c r="M46" s="74" t="str">
        <f>IF(ISNUMBER(#REF!),INDEX(#REF!,#REF!,1),"")</f>
        <v/>
      </c>
      <c r="N46" s="74" t="str">
        <f>IF(ISNUMBER(#REF!),INDEX(#REF!,#REF!,1),"")</f>
        <v/>
      </c>
      <c r="O46" s="74" t="str">
        <f>IF(ISNUMBER(#REF!),INDEX(#REF!,#REF!,1),"")</f>
        <v/>
      </c>
      <c r="P46" s="54"/>
      <c r="Q46" s="75"/>
      <c r="R46" s="75"/>
      <c r="S46" s="1"/>
      <c r="T46" s="72"/>
      <c r="U46" s="24"/>
      <c r="V46" s="24"/>
      <c r="W46" s="22"/>
      <c r="X46" s="24"/>
      <c r="Y46" s="22"/>
      <c r="Z46" s="1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1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1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1"/>
      <c r="BH46" s="1"/>
      <c r="BI46" s="44"/>
      <c r="BJ46" s="45"/>
      <c r="BK46" s="46">
        <v>1078.3223780000001</v>
      </c>
      <c r="BL46" s="46">
        <v>1060.5450000000001</v>
      </c>
      <c r="BM46" s="46">
        <v>1025.935739</v>
      </c>
      <c r="BN46" s="46">
        <v>992.91568710000001</v>
      </c>
      <c r="BO46" s="47">
        <v>-13.777953520000001</v>
      </c>
      <c r="BP46" s="47">
        <v>0</v>
      </c>
      <c r="BQ46" s="47">
        <v>-8.5695113269999998E-2</v>
      </c>
      <c r="BR46" s="47">
        <v>-89.580254280000005</v>
      </c>
      <c r="BS46" s="47">
        <f t="shared" si="0"/>
        <v>2.6538934400000009</v>
      </c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</row>
    <row r="47" spans="1:85" ht="12" customHeight="1" x14ac:dyDescent="0.25">
      <c r="A47" s="1"/>
      <c r="B47" s="21"/>
      <c r="C47" s="21"/>
      <c r="D47" s="21"/>
      <c r="E47" s="21"/>
      <c r="F47" s="73"/>
      <c r="G47" s="73"/>
      <c r="H47" s="74" t="str">
        <f>IF(ISNUMBER(#REF!),INDEX(#REF!,#REF!,1),"")</f>
        <v/>
      </c>
      <c r="I47" s="74" t="str">
        <f>IF(ISNUMBER(#REF!),INDEX(#REF!,#REF!,1),"")</f>
        <v/>
      </c>
      <c r="J47" s="74" t="str">
        <f>IF(ISNUMBER(#REF!),INDEX(#REF!,#REF!,1),"")</f>
        <v/>
      </c>
      <c r="K47" s="74" t="str">
        <f>IF(ISNUMBER(#REF!),INDEX(#REF!,#REF!,1),"")</f>
        <v/>
      </c>
      <c r="L47" s="74" t="str">
        <f>IF(ISNUMBER(#REF!),INDEX(#REF!,#REF!,1),"")</f>
        <v/>
      </c>
      <c r="M47" s="74" t="str">
        <f>IF(ISNUMBER(#REF!),INDEX(#REF!,#REF!,1),"")</f>
        <v/>
      </c>
      <c r="N47" s="74" t="str">
        <f>IF(ISNUMBER(#REF!),INDEX(#REF!,#REF!,1),"")</f>
        <v/>
      </c>
      <c r="O47" s="74" t="str">
        <f>IF(ISNUMBER(#REF!),INDEX(#REF!,#REF!,1),"")</f>
        <v/>
      </c>
      <c r="P47" s="75"/>
      <c r="Q47" s="75"/>
      <c r="R47" s="75"/>
      <c r="S47" s="1"/>
      <c r="T47" s="72"/>
      <c r="U47" s="24"/>
      <c r="V47" s="24"/>
      <c r="W47" s="22"/>
      <c r="X47" s="24"/>
      <c r="Y47" s="22"/>
      <c r="Z47" s="1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1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1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1"/>
      <c r="BH47" s="1"/>
      <c r="BI47" s="44"/>
      <c r="BJ47" s="45"/>
      <c r="BK47" s="46">
        <v>1078.3223780000001</v>
      </c>
      <c r="BL47" s="46">
        <v>1060.5450000000001</v>
      </c>
      <c r="BM47" s="46">
        <v>1025.933215</v>
      </c>
      <c r="BN47" s="46">
        <v>992.90349300000003</v>
      </c>
      <c r="BO47" s="47">
        <v>-13.777953520000001</v>
      </c>
      <c r="BP47" s="47">
        <v>0</v>
      </c>
      <c r="BQ47" s="47">
        <v>-7.2645549490000003E-2</v>
      </c>
      <c r="BR47" s="47">
        <v>-87.827954480000002</v>
      </c>
      <c r="BS47" s="47">
        <f t="shared" si="0"/>
        <v>2.6538934400000009</v>
      </c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</row>
    <row r="48" spans="1:85" ht="12" customHeight="1" x14ac:dyDescent="0.25">
      <c r="A48" s="1"/>
      <c r="B48" s="21"/>
      <c r="C48" s="21"/>
      <c r="D48" s="21"/>
      <c r="E48" s="21"/>
      <c r="F48" s="73"/>
      <c r="G48" s="73"/>
      <c r="H48" s="34">
        <v>1</v>
      </c>
      <c r="I48" s="34">
        <v>2</v>
      </c>
      <c r="J48" s="34">
        <v>3</v>
      </c>
      <c r="K48" s="34">
        <v>4</v>
      </c>
      <c r="L48" s="34">
        <v>5</v>
      </c>
      <c r="M48" s="34">
        <v>6</v>
      </c>
      <c r="N48" s="34">
        <v>7</v>
      </c>
      <c r="O48" s="34">
        <v>8</v>
      </c>
      <c r="P48" s="75"/>
      <c r="Q48" s="75"/>
      <c r="R48" s="75"/>
      <c r="S48" s="1"/>
      <c r="T48" s="72"/>
      <c r="U48" s="72"/>
      <c r="V48" s="72"/>
      <c r="W48" s="72"/>
      <c r="X48" s="72"/>
      <c r="Y48" s="72"/>
      <c r="Z48" s="1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1"/>
      <c r="AL48" s="70"/>
      <c r="AM48" s="70"/>
      <c r="AN48" s="70"/>
      <c r="AO48" s="70"/>
      <c r="AP48" s="70"/>
      <c r="AQ48" s="70"/>
      <c r="AR48" s="70"/>
      <c r="AS48" s="70"/>
      <c r="AT48" s="70"/>
      <c r="AU48" s="70"/>
      <c r="AV48" s="1"/>
      <c r="AW48" s="70"/>
      <c r="AX48" s="70"/>
      <c r="AY48" s="70"/>
      <c r="AZ48" s="70"/>
      <c r="BA48" s="70"/>
      <c r="BB48" s="70"/>
      <c r="BC48" s="70"/>
      <c r="BD48" s="70"/>
      <c r="BE48" s="70"/>
      <c r="BF48" s="70"/>
      <c r="BG48" s="1"/>
      <c r="BH48" s="1"/>
      <c r="BI48" s="44"/>
      <c r="BJ48" s="45"/>
      <c r="BK48" s="46">
        <v>1078.3223780000001</v>
      </c>
      <c r="BL48" s="46">
        <v>1060.5450000000001</v>
      </c>
      <c r="BM48" s="46">
        <v>1025.9306409999999</v>
      </c>
      <c r="BN48" s="46">
        <v>992.89176840000005</v>
      </c>
      <c r="BO48" s="47">
        <v>-13.777953520000001</v>
      </c>
      <c r="BP48" s="47">
        <v>0</v>
      </c>
      <c r="BQ48" s="47">
        <v>-6.023494997E-2</v>
      </c>
      <c r="BR48" s="47">
        <v>-86.156186770000005</v>
      </c>
      <c r="BS48" s="47">
        <f t="shared" si="0"/>
        <v>2.6538934400000009</v>
      </c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</row>
    <row r="49" spans="1:85" ht="12" customHeight="1" x14ac:dyDescent="0.25">
      <c r="A49" s="1"/>
      <c r="B49" s="21"/>
      <c r="C49" s="21"/>
      <c r="D49" s="21"/>
      <c r="E49" s="2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1"/>
      <c r="AL49" s="70"/>
      <c r="AM49" s="70"/>
      <c r="AN49" s="70"/>
      <c r="AO49" s="70"/>
      <c r="AP49" s="70"/>
      <c r="AQ49" s="70"/>
      <c r="AR49" s="70"/>
      <c r="AS49" s="70"/>
      <c r="AT49" s="70"/>
      <c r="AU49" s="70"/>
      <c r="AV49" s="1"/>
      <c r="AW49" s="70"/>
      <c r="AX49" s="70"/>
      <c r="AY49" s="70"/>
      <c r="AZ49" s="70"/>
      <c r="BA49" s="70"/>
      <c r="BB49" s="70"/>
      <c r="BC49" s="70"/>
      <c r="BD49" s="70"/>
      <c r="BE49" s="70"/>
      <c r="BF49" s="70"/>
      <c r="BG49" s="1"/>
      <c r="BH49" s="1"/>
      <c r="BI49" s="44"/>
      <c r="BJ49" s="45"/>
      <c r="BK49" s="46">
        <v>1078.3223780000001</v>
      </c>
      <c r="BL49" s="46">
        <v>1060.5450000000001</v>
      </c>
      <c r="BM49" s="46">
        <v>1025.928015</v>
      </c>
      <c r="BN49" s="46">
        <v>992.8806065</v>
      </c>
      <c r="BO49" s="47">
        <v>-13.777953520000001</v>
      </c>
      <c r="BP49" s="47">
        <v>0</v>
      </c>
      <c r="BQ49" s="47">
        <v>-4.855431122E-2</v>
      </c>
      <c r="BR49" s="47">
        <v>-84.576586289999995</v>
      </c>
      <c r="BS49" s="47">
        <f t="shared" si="0"/>
        <v>2.6538934400000009</v>
      </c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</row>
    <row r="50" spans="1:85" ht="12" customHeight="1" x14ac:dyDescent="0.25">
      <c r="A50" s="1"/>
      <c r="B50" s="21"/>
      <c r="C50" s="21"/>
      <c r="D50" s="21"/>
      <c r="E50" s="2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1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1"/>
      <c r="AW50" s="70"/>
      <c r="AX50" s="70"/>
      <c r="AY50" s="70"/>
      <c r="AZ50" s="70"/>
      <c r="BA50" s="70"/>
      <c r="BB50" s="70"/>
      <c r="BC50" s="70"/>
      <c r="BD50" s="70"/>
      <c r="BE50" s="70"/>
      <c r="BF50" s="70"/>
      <c r="BG50" s="1"/>
      <c r="BH50" s="1"/>
      <c r="BI50" s="44"/>
      <c r="BJ50" s="45"/>
      <c r="BK50" s="46">
        <v>1078.3223780000001</v>
      </c>
      <c r="BL50" s="46">
        <v>1060.5450000000001</v>
      </c>
      <c r="BM50" s="46">
        <v>1025.9253349999999</v>
      </c>
      <c r="BN50" s="46">
        <v>992.87009799999998</v>
      </c>
      <c r="BO50" s="47">
        <v>-13.777953520000001</v>
      </c>
      <c r="BP50" s="47">
        <v>0</v>
      </c>
      <c r="BQ50" s="47">
        <v>-3.7690643310000001E-2</v>
      </c>
      <c r="BR50" s="47">
        <v>-83.100121490000006</v>
      </c>
      <c r="BS50" s="47">
        <f t="shared" si="0"/>
        <v>2.6538934400000009</v>
      </c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</row>
    <row r="51" spans="1:85" ht="12" customHeight="1" x14ac:dyDescent="0.25">
      <c r="A51" s="1"/>
      <c r="B51" s="21"/>
      <c r="C51" s="21"/>
      <c r="D51" s="21"/>
      <c r="E51" s="2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44"/>
      <c r="BJ51" s="45"/>
      <c r="BK51" s="46">
        <v>1078.3223780000001</v>
      </c>
      <c r="BL51" s="46">
        <v>1060.5450000000001</v>
      </c>
      <c r="BM51" s="46">
        <v>1025.9225839999999</v>
      </c>
      <c r="BN51" s="46">
        <v>992.86032360000002</v>
      </c>
      <c r="BO51" s="47">
        <v>-13.777953520000001</v>
      </c>
      <c r="BP51" s="47">
        <v>0</v>
      </c>
      <c r="BQ51" s="47">
        <v>-2.7719454040000001E-2</v>
      </c>
      <c r="BR51" s="47">
        <v>-81.736143850000005</v>
      </c>
      <c r="BS51" s="47">
        <f t="shared" si="0"/>
        <v>2.6538934400000009</v>
      </c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</row>
    <row r="52" spans="1:85" ht="12" customHeight="1" x14ac:dyDescent="0.25">
      <c r="A52" s="1"/>
      <c r="B52" s="1"/>
      <c r="C52" s="21"/>
      <c r="D52" s="21"/>
      <c r="E52" s="2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44"/>
      <c r="BJ52" s="45"/>
      <c r="BK52" s="46">
        <v>1078.3223780000001</v>
      </c>
      <c r="BL52" s="46">
        <v>1060.5450000000001</v>
      </c>
      <c r="BM52" s="46">
        <v>1025.9197300000001</v>
      </c>
      <c r="BN52" s="46">
        <v>992.85135460000004</v>
      </c>
      <c r="BO52" s="47">
        <v>-13.777953520000001</v>
      </c>
      <c r="BP52" s="47">
        <v>0</v>
      </c>
      <c r="BQ52" s="47">
        <v>-1.870929616E-2</v>
      </c>
      <c r="BR52" s="47">
        <v>-80.492475459999994</v>
      </c>
      <c r="BS52" s="47">
        <f t="shared" si="0"/>
        <v>2.6538934400000009</v>
      </c>
    </row>
    <row r="53" spans="1:85" ht="12" customHeight="1" x14ac:dyDescent="0.25">
      <c r="A53" s="1"/>
      <c r="B53" s="1"/>
      <c r="C53" s="21"/>
      <c r="D53" s="21"/>
      <c r="E53" s="2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44"/>
      <c r="BJ53" s="45"/>
      <c r="BK53" s="46">
        <v>1078.3223780000001</v>
      </c>
      <c r="BL53" s="46">
        <v>1060.5450000000001</v>
      </c>
      <c r="BM53" s="46">
        <v>1025.9166849999999</v>
      </c>
      <c r="BN53" s="46">
        <v>992.84324900000001</v>
      </c>
      <c r="BO53" s="47">
        <v>-13.777953520000001</v>
      </c>
      <c r="BP53" s="47">
        <v>0</v>
      </c>
      <c r="BQ53" s="47">
        <v>-1.072712179E-2</v>
      </c>
      <c r="BR53" s="47">
        <v>-79.375093550000003</v>
      </c>
      <c r="BS53" s="47">
        <f t="shared" si="0"/>
        <v>2.6538934400000009</v>
      </c>
    </row>
    <row r="54" spans="1:85" ht="12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44"/>
      <c r="BJ54" s="45"/>
      <c r="BK54" s="46">
        <v>1078.3223780000001</v>
      </c>
      <c r="BL54" s="46">
        <v>1060.5450000000001</v>
      </c>
      <c r="BM54" s="46">
        <v>1025.9131640000001</v>
      </c>
      <c r="BN54" s="46">
        <v>992.83604430000003</v>
      </c>
      <c r="BO54" s="47">
        <v>-13.777953520000001</v>
      </c>
      <c r="BP54" s="47">
        <v>0</v>
      </c>
      <c r="BQ54" s="47">
        <v>-3.8625034650000001E-3</v>
      </c>
      <c r="BR54" s="47">
        <v>-78.387205629999997</v>
      </c>
      <c r="BS54" s="47">
        <f t="shared" si="0"/>
        <v>2.6538934400000009</v>
      </c>
    </row>
    <row r="55" spans="1:85" ht="12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44"/>
      <c r="BJ55" s="45"/>
      <c r="BK55" s="46">
        <v>1078.3223780000001</v>
      </c>
      <c r="BL55" s="46">
        <v>1060.5450000000001</v>
      </c>
      <c r="BM55" s="46">
        <v>1025.9090000000001</v>
      </c>
      <c r="BN55" s="46">
        <v>992.82975260000001</v>
      </c>
      <c r="BO55" s="47">
        <v>-13.777953520000001</v>
      </c>
      <c r="BP55" s="47">
        <v>0</v>
      </c>
      <c r="BQ55" s="47">
        <v>0</v>
      </c>
      <c r="BR55" s="47">
        <v>-77.528588049999996</v>
      </c>
      <c r="BS55" s="47">
        <f t="shared" si="0"/>
        <v>2.6538934400000009</v>
      </c>
    </row>
    <row r="56" spans="1:85" ht="12" customHeight="1" x14ac:dyDescent="0.25">
      <c r="A56" s="1"/>
      <c r="B56" s="1"/>
      <c r="C56" s="1"/>
      <c r="D56" s="1"/>
      <c r="E56" s="1"/>
      <c r="F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44"/>
      <c r="BJ56" s="45"/>
      <c r="BK56" s="46">
        <v>1078.3223780000001</v>
      </c>
      <c r="BL56" s="46">
        <v>1060.5450000000001</v>
      </c>
      <c r="BM56" s="46">
        <v>1025.9090000000001</v>
      </c>
      <c r="BN56" s="46">
        <v>992.82992920000004</v>
      </c>
      <c r="BO56" s="47">
        <v>-13.777953520000001</v>
      </c>
      <c r="BP56" s="47">
        <v>0</v>
      </c>
      <c r="BQ56" s="47">
        <v>0</v>
      </c>
      <c r="BR56" s="47">
        <v>-77.552393019999997</v>
      </c>
      <c r="BS56" s="47">
        <f t="shared" si="0"/>
        <v>2.6538934400000009</v>
      </c>
    </row>
    <row r="57" spans="1:85" ht="12" customHeight="1" x14ac:dyDescent="0.25">
      <c r="A57" s="1"/>
      <c r="B57" s="1"/>
      <c r="C57" s="1"/>
      <c r="D57" s="1"/>
      <c r="E57" s="1"/>
      <c r="F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44"/>
      <c r="BJ57" s="45"/>
      <c r="BK57" s="46">
        <v>1078.3223780000001</v>
      </c>
      <c r="BL57" s="46">
        <v>1060.5450000000001</v>
      </c>
      <c r="BM57" s="46">
        <v>1025.9090000000001</v>
      </c>
      <c r="BN57" s="46">
        <v>992.83063749999997</v>
      </c>
      <c r="BO57" s="47">
        <v>-13.777953520000001</v>
      </c>
      <c r="BP57" s="47">
        <v>0</v>
      </c>
      <c r="BQ57" s="47">
        <v>0</v>
      </c>
      <c r="BR57" s="47">
        <v>-77.648140249999997</v>
      </c>
      <c r="BS57" s="47">
        <f t="shared" si="0"/>
        <v>2.6538934400000009</v>
      </c>
    </row>
    <row r="58" spans="1:85" ht="12" customHeight="1" x14ac:dyDescent="0.25">
      <c r="A58" s="1"/>
      <c r="B58" s="1"/>
      <c r="C58" s="1"/>
      <c r="D58" s="1"/>
      <c r="E58" s="1"/>
      <c r="F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44"/>
      <c r="BJ58" s="45"/>
      <c r="BK58" s="46">
        <v>1078.3223780000001</v>
      </c>
      <c r="BL58" s="46">
        <v>1060.5450000000001</v>
      </c>
      <c r="BM58" s="46">
        <v>1025.9090000000001</v>
      </c>
      <c r="BN58" s="46">
        <v>992.83214910000004</v>
      </c>
      <c r="BO58" s="47">
        <v>-13.777953520000001</v>
      </c>
      <c r="BP58" s="47">
        <v>0</v>
      </c>
      <c r="BQ58" s="47">
        <v>0</v>
      </c>
      <c r="BR58" s="47">
        <v>-77.852873290000005</v>
      </c>
      <c r="BS58" s="47">
        <f t="shared" si="0"/>
        <v>2.6538934400000009</v>
      </c>
    </row>
    <row r="59" spans="1:85" ht="12" customHeight="1" x14ac:dyDescent="0.25">
      <c r="A59" s="1"/>
      <c r="B59" s="1"/>
      <c r="C59" s="1"/>
      <c r="D59" s="1"/>
      <c r="E59" s="1"/>
      <c r="F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44"/>
      <c r="BJ59" s="45"/>
      <c r="BK59" s="46">
        <v>1078.3223780000001</v>
      </c>
      <c r="BL59" s="46">
        <v>1060.5450000000001</v>
      </c>
      <c r="BM59" s="46">
        <v>1025.9090000000001</v>
      </c>
      <c r="BN59" s="46">
        <v>992.83466290000001</v>
      </c>
      <c r="BO59" s="47">
        <v>-13.777953520000001</v>
      </c>
      <c r="BP59" s="47">
        <v>0</v>
      </c>
      <c r="BQ59" s="47">
        <v>0</v>
      </c>
      <c r="BR59" s="47">
        <v>-78.194132949999997</v>
      </c>
      <c r="BS59" s="47">
        <f t="shared" si="0"/>
        <v>2.6538934400000009</v>
      </c>
    </row>
    <row r="60" spans="1:85" ht="12" customHeight="1" x14ac:dyDescent="0.25">
      <c r="A60" s="1"/>
      <c r="B60" s="1"/>
      <c r="C60" s="1"/>
      <c r="D60" s="1"/>
      <c r="E60" s="1"/>
      <c r="F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44"/>
      <c r="BJ60" s="45"/>
      <c r="BK60" s="46">
        <v>1078.3223780000001</v>
      </c>
      <c r="BL60" s="46">
        <v>1060.5450000000001</v>
      </c>
      <c r="BM60" s="46">
        <v>1025.91121</v>
      </c>
      <c r="BN60" s="46">
        <v>992.83829969999999</v>
      </c>
      <c r="BO60" s="47">
        <v>-13.777953520000001</v>
      </c>
      <c r="BP60" s="47">
        <v>0</v>
      </c>
      <c r="BQ60" s="47">
        <v>-1.344010946E-3</v>
      </c>
      <c r="BR60" s="47">
        <v>-78.689261819999999</v>
      </c>
      <c r="BS60" s="47">
        <f t="shared" si="0"/>
        <v>2.6538934400000009</v>
      </c>
    </row>
    <row r="61" spans="1:85" ht="12" customHeight="1" x14ac:dyDescent="0.25">
      <c r="A61" s="1"/>
      <c r="B61" s="1"/>
      <c r="C61" s="1"/>
      <c r="D61" s="1"/>
      <c r="E61" s="1"/>
      <c r="F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44"/>
      <c r="BJ61" s="45"/>
      <c r="BK61" s="46">
        <v>1078.3223780000001</v>
      </c>
      <c r="BL61" s="46">
        <v>1060.5450000000001</v>
      </c>
      <c r="BM61" s="46">
        <v>1025.9131540000001</v>
      </c>
      <c r="BN61" s="46">
        <v>992.84310230000006</v>
      </c>
      <c r="BO61" s="47">
        <v>-13.777953520000001</v>
      </c>
      <c r="BP61" s="47">
        <v>0</v>
      </c>
      <c r="BQ61" s="47">
        <v>-3.8481051080000001E-3</v>
      </c>
      <c r="BR61" s="47">
        <v>-79.345433650000004</v>
      </c>
      <c r="BS61" s="47">
        <f t="shared" si="0"/>
        <v>2.6538934400000009</v>
      </c>
    </row>
    <row r="62" spans="1:85" ht="12" customHeight="1" x14ac:dyDescent="0.25">
      <c r="A62" s="1"/>
      <c r="B62" s="1"/>
      <c r="C62" s="1"/>
      <c r="D62" s="1"/>
      <c r="E62" s="1"/>
      <c r="F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44"/>
      <c r="BJ62" s="45"/>
      <c r="BK62" s="46">
        <v>1078.3223780000001</v>
      </c>
      <c r="BL62" s="46">
        <v>1060.5450000000001</v>
      </c>
      <c r="BM62" s="46">
        <v>1025.915197</v>
      </c>
      <c r="BN62" s="46">
        <v>992.84906049999995</v>
      </c>
      <c r="BO62" s="47">
        <v>-13.777953520000001</v>
      </c>
      <c r="BP62" s="47">
        <v>0</v>
      </c>
      <c r="BQ62" s="47">
        <v>-7.4937307049999999E-3</v>
      </c>
      <c r="BR62" s="47">
        <v>-80.162934010000001</v>
      </c>
      <c r="BS62" s="47">
        <f t="shared" si="0"/>
        <v>2.6538934400000009</v>
      </c>
    </row>
    <row r="63" spans="1:85" ht="12" customHeight="1" x14ac:dyDescent="0.25">
      <c r="A63" s="1"/>
      <c r="B63" s="1"/>
      <c r="C63" s="1"/>
      <c r="D63" s="1"/>
      <c r="E63" s="1"/>
      <c r="F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44"/>
      <c r="BJ63" s="45"/>
      <c r="BK63" s="46">
        <v>1078.3223780000001</v>
      </c>
      <c r="BL63" s="46">
        <v>1060.5450000000001</v>
      </c>
      <c r="BM63" s="46">
        <v>1025.9173699999999</v>
      </c>
      <c r="BN63" s="46">
        <v>992.85612619999995</v>
      </c>
      <c r="BO63" s="47">
        <v>-13.777953520000001</v>
      </c>
      <c r="BP63" s="47">
        <v>0</v>
      </c>
      <c r="BQ63" s="47">
        <v>-1.2366685360000001E-2</v>
      </c>
      <c r="BR63" s="47">
        <v>-81.137170049999995</v>
      </c>
      <c r="BS63" s="47">
        <f t="shared" si="0"/>
        <v>2.6538934400000009</v>
      </c>
    </row>
    <row r="64" spans="1:85" ht="12" customHeight="1" x14ac:dyDescent="0.25">
      <c r="A64" s="1"/>
      <c r="B64" s="1"/>
      <c r="C64" s="1"/>
      <c r="D64" s="1"/>
      <c r="E64" s="1"/>
      <c r="F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44"/>
      <c r="BJ64" s="45"/>
      <c r="BK64" s="46">
        <v>1078.3223780000001</v>
      </c>
      <c r="BL64" s="46">
        <v>1060.5450000000001</v>
      </c>
      <c r="BM64" s="46">
        <v>1025.91966</v>
      </c>
      <c r="BN64" s="46">
        <v>992.86422649999997</v>
      </c>
      <c r="BO64" s="47">
        <v>-13.777953520000001</v>
      </c>
      <c r="BP64" s="47">
        <v>0</v>
      </c>
      <c r="BQ64" s="47">
        <v>-1.8507203900000001E-2</v>
      </c>
      <c r="BR64" s="47">
        <v>-82.260248450000006</v>
      </c>
      <c r="BS64" s="47">
        <f t="shared" si="0"/>
        <v>2.6538934400000009</v>
      </c>
    </row>
    <row r="65" spans="1:71" ht="12" customHeight="1" x14ac:dyDescent="0.25">
      <c r="A65" s="1"/>
      <c r="B65" s="1"/>
      <c r="C65" s="1"/>
      <c r="D65" s="1"/>
      <c r="E65" s="1"/>
      <c r="F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44"/>
      <c r="BJ65" s="45"/>
      <c r="BK65" s="46">
        <v>1078.3223780000001</v>
      </c>
      <c r="BL65" s="46">
        <v>1060.5450000000001</v>
      </c>
      <c r="BM65" s="46">
        <v>1025.922045</v>
      </c>
      <c r="BN65" s="46">
        <v>992.8732728</v>
      </c>
      <c r="BO65" s="47">
        <v>-13.777953520000001</v>
      </c>
      <c r="BP65" s="47">
        <v>0</v>
      </c>
      <c r="BQ65" s="47">
        <v>-2.5908804149999999E-2</v>
      </c>
      <c r="BR65" s="47">
        <v>-83.522195089999997</v>
      </c>
      <c r="BS65" s="47">
        <f t="shared" si="0"/>
        <v>2.6538934400000009</v>
      </c>
    </row>
    <row r="66" spans="1:71" ht="12" customHeight="1" x14ac:dyDescent="0.25">
      <c r="A66" s="1"/>
      <c r="B66" s="1"/>
      <c r="C66" s="1"/>
      <c r="D66" s="1"/>
      <c r="E66" s="1"/>
      <c r="F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44"/>
      <c r="BJ66" s="45"/>
      <c r="BK66" s="46">
        <v>1078.3223780000001</v>
      </c>
      <c r="BL66" s="46">
        <v>1060.5450000000001</v>
      </c>
      <c r="BM66" s="46">
        <v>1025.924497</v>
      </c>
      <c r="BN66" s="46">
        <v>992.88316769999994</v>
      </c>
      <c r="BO66" s="47">
        <v>-13.777953520000001</v>
      </c>
      <c r="BP66" s="47">
        <v>0</v>
      </c>
      <c r="BQ66" s="47">
        <v>-3.4524642799999998E-2</v>
      </c>
      <c r="BR66" s="47">
        <v>-84.911728659999994</v>
      </c>
      <c r="BS66" s="47">
        <f t="shared" si="0"/>
        <v>2.6538934400000009</v>
      </c>
    </row>
    <row r="67" spans="1:71" ht="12" customHeight="1" x14ac:dyDescent="0.25">
      <c r="A67" s="1"/>
      <c r="B67" s="1"/>
      <c r="C67" s="1"/>
      <c r="D67" s="1"/>
      <c r="E67" s="1"/>
      <c r="F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44"/>
      <c r="BJ67" s="45"/>
      <c r="BK67" s="46">
        <v>1078.3223780000001</v>
      </c>
      <c r="BL67" s="46">
        <v>1060.5450000000001</v>
      </c>
      <c r="BM67" s="46">
        <v>1025.926991</v>
      </c>
      <c r="BN67" s="46">
        <v>992.89380719999997</v>
      </c>
      <c r="BO67" s="47">
        <v>-13.777953520000001</v>
      </c>
      <c r="BP67" s="47">
        <v>0</v>
      </c>
      <c r="BQ67" s="47">
        <v>-4.4274813959999999E-2</v>
      </c>
      <c r="BR67" s="47">
        <v>-86.416452379999996</v>
      </c>
      <c r="BS67" s="47">
        <f t="shared" si="0"/>
        <v>2.6538934400000009</v>
      </c>
    </row>
    <row r="68" spans="1:71" ht="12" customHeight="1" x14ac:dyDescent="0.25">
      <c r="A68" s="1"/>
      <c r="B68" s="1"/>
      <c r="C68" s="1"/>
      <c r="D68" s="1"/>
      <c r="E68" s="1"/>
      <c r="F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44"/>
      <c r="BJ68" s="45"/>
      <c r="BK68" s="46">
        <v>1078.3223780000001</v>
      </c>
      <c r="BL68" s="46">
        <v>1060.5450000000001</v>
      </c>
      <c r="BM68" s="46">
        <v>1025.9295050000001</v>
      </c>
      <c r="BN68" s="46">
        <v>992.90509120000002</v>
      </c>
      <c r="BO68" s="47">
        <v>-13.777953520000001</v>
      </c>
      <c r="BP68" s="47">
        <v>0</v>
      </c>
      <c r="BQ68" s="47">
        <v>-5.5058400639999998E-2</v>
      </c>
      <c r="BR68" s="47">
        <v>-88.024295649999999</v>
      </c>
      <c r="BS68" s="47">
        <f t="shared" si="0"/>
        <v>2.6538934400000009</v>
      </c>
    </row>
    <row r="69" spans="1:71" ht="12" customHeight="1" x14ac:dyDescent="0.25">
      <c r="A69" s="1"/>
      <c r="B69" s="1"/>
      <c r="C69" s="1"/>
      <c r="D69" s="1"/>
      <c r="E69" s="1"/>
      <c r="F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44"/>
      <c r="BJ69" s="45"/>
      <c r="BK69" s="46">
        <v>1078.3223780000001</v>
      </c>
      <c r="BL69" s="46">
        <v>1060.5450000000001</v>
      </c>
      <c r="BM69" s="46">
        <v>1025.932018</v>
      </c>
      <c r="BN69" s="46">
        <v>992.91692049999995</v>
      </c>
      <c r="BO69" s="47">
        <v>-13.777953520000001</v>
      </c>
      <c r="BP69" s="47">
        <v>0</v>
      </c>
      <c r="BQ69" s="47">
        <v>-6.6759160740000004E-2</v>
      </c>
      <c r="BR69" s="47">
        <v>-89.722991129999997</v>
      </c>
      <c r="BS69" s="47">
        <f t="shared" si="0"/>
        <v>2.6538934400000009</v>
      </c>
    </row>
    <row r="70" spans="1:71" ht="12" customHeight="1" x14ac:dyDescent="0.25">
      <c r="A70" s="1"/>
      <c r="B70" s="1"/>
      <c r="C70" s="1"/>
      <c r="D70" s="1"/>
      <c r="E70" s="1"/>
      <c r="F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44"/>
      <c r="BJ70" s="45"/>
      <c r="BK70" s="46">
        <v>1078.3223780000001</v>
      </c>
      <c r="BL70" s="46">
        <v>1060.5450000000001</v>
      </c>
      <c r="BM70" s="46">
        <v>1025.934514</v>
      </c>
      <c r="BN70" s="46">
        <v>992.92920040000001</v>
      </c>
      <c r="BO70" s="47">
        <v>-13.777953520000001</v>
      </c>
      <c r="BP70" s="47">
        <v>0</v>
      </c>
      <c r="BQ70" s="47">
        <v>-7.9255423120000001E-2</v>
      </c>
      <c r="BR70" s="47">
        <v>-91.500594059999997</v>
      </c>
      <c r="BS70" s="47">
        <f t="shared" ref="BS70:BS105" si="2">BO70-$BS$4</f>
        <v>2.6538934400000009</v>
      </c>
    </row>
    <row r="71" spans="1:71" ht="12" customHeight="1" x14ac:dyDescent="0.25">
      <c r="A71" s="1"/>
      <c r="B71" s="1"/>
      <c r="C71" s="1"/>
      <c r="D71" s="1"/>
      <c r="E71" s="1"/>
      <c r="F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44"/>
      <c r="BJ71" s="45"/>
      <c r="BK71" s="46">
        <v>1078.3223780000001</v>
      </c>
      <c r="BL71" s="46">
        <v>1060.5450000000001</v>
      </c>
      <c r="BM71" s="46">
        <v>1025.9369799999999</v>
      </c>
      <c r="BN71" s="46">
        <v>992.94184480000001</v>
      </c>
      <c r="BO71" s="47">
        <v>-13.777953520000001</v>
      </c>
      <c r="BP71" s="47">
        <v>0</v>
      </c>
      <c r="BQ71" s="47">
        <v>-9.2429108639999993E-2</v>
      </c>
      <c r="BR71" s="47">
        <v>-93.346027329999998</v>
      </c>
      <c r="BS71" s="47">
        <f t="shared" si="2"/>
        <v>2.6538934400000009</v>
      </c>
    </row>
    <row r="72" spans="1:71" ht="12" customHeight="1" x14ac:dyDescent="0.25">
      <c r="A72" s="1"/>
      <c r="B72" s="1"/>
      <c r="C72" s="1"/>
      <c r="D72" s="1"/>
      <c r="E72" s="1"/>
      <c r="F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44"/>
      <c r="BJ72" s="45"/>
      <c r="BK72" s="46">
        <v>1078.3223780000001</v>
      </c>
      <c r="BL72" s="46">
        <v>1060.5450000000001</v>
      </c>
      <c r="BM72" s="46">
        <v>1025.9394070000001</v>
      </c>
      <c r="BN72" s="46">
        <v>992.95477900000003</v>
      </c>
      <c r="BO72" s="47">
        <v>-13.777953520000001</v>
      </c>
      <c r="BP72" s="47">
        <v>0</v>
      </c>
      <c r="BQ72" s="47">
        <v>-0.1061720454</v>
      </c>
      <c r="BR72" s="47">
        <v>-95.249477069999998</v>
      </c>
      <c r="BS72" s="47">
        <f t="shared" si="2"/>
        <v>2.6538934400000009</v>
      </c>
    </row>
    <row r="73" spans="1:71" ht="12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44"/>
      <c r="BJ73" s="45"/>
      <c r="BK73" s="46">
        <v>1078.3223780000001</v>
      </c>
      <c r="BL73" s="46">
        <v>1060.5450000000001</v>
      </c>
      <c r="BM73" s="46">
        <v>1025.9417880000001</v>
      </c>
      <c r="BN73" s="46">
        <v>992.96794009999996</v>
      </c>
      <c r="BO73" s="47">
        <v>-13.777953520000001</v>
      </c>
      <c r="BP73" s="47">
        <v>0</v>
      </c>
      <c r="BQ73" s="47">
        <v>-0.1203897644</v>
      </c>
      <c r="BR73" s="47">
        <v>-97.202605759999997</v>
      </c>
      <c r="BS73" s="47">
        <f t="shared" si="2"/>
        <v>2.6538934400000009</v>
      </c>
    </row>
    <row r="74" spans="1:71" ht="12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44"/>
      <c r="BJ74" s="45"/>
      <c r="BK74" s="46">
        <v>1078.3223780000001</v>
      </c>
      <c r="BL74" s="46">
        <v>1060.5450000000001</v>
      </c>
      <c r="BM74" s="46">
        <v>1025.944121</v>
      </c>
      <c r="BN74" s="46">
        <v>992.98127720000002</v>
      </c>
      <c r="BO74" s="47">
        <v>-13.777953520000001</v>
      </c>
      <c r="BP74" s="47">
        <v>0</v>
      </c>
      <c r="BQ74" s="47">
        <v>-0.1350017526</v>
      </c>
      <c r="BR74" s="47">
        <v>-99.198493089999999</v>
      </c>
      <c r="BS74" s="47">
        <f t="shared" si="2"/>
        <v>2.6538934400000009</v>
      </c>
    </row>
    <row r="75" spans="1:71" ht="12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44"/>
      <c r="BJ75" s="45"/>
      <c r="BK75" s="46">
        <v>1078.3223780000001</v>
      </c>
      <c r="BL75" s="46">
        <v>1060.5450000000001</v>
      </c>
      <c r="BM75" s="46">
        <v>1025.946404</v>
      </c>
      <c r="BN75" s="46">
        <v>992.99474970000006</v>
      </c>
      <c r="BO75" s="47">
        <v>-13.777953520000001</v>
      </c>
      <c r="BP75" s="47">
        <v>0</v>
      </c>
      <c r="BQ75" s="47">
        <v>-0.14994250940000001</v>
      </c>
      <c r="BR75" s="47">
        <v>-101.2315444</v>
      </c>
      <c r="BS75" s="47">
        <f t="shared" si="2"/>
        <v>2.6538934400000009</v>
      </c>
    </row>
    <row r="76" spans="1:71" ht="12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44"/>
      <c r="BJ76" s="45"/>
      <c r="BK76" s="46">
        <v>1078.3223780000001</v>
      </c>
      <c r="BL76" s="46">
        <v>1060.5450000000001</v>
      </c>
      <c r="BM76" s="46">
        <v>1025.9486380000001</v>
      </c>
      <c r="BN76" s="46">
        <v>993.00832639999999</v>
      </c>
      <c r="BO76" s="47">
        <v>-13.777953520000001</v>
      </c>
      <c r="BP76" s="47">
        <v>0</v>
      </c>
      <c r="BQ76" s="47">
        <v>-0.16516244229999999</v>
      </c>
      <c r="BR76" s="47">
        <v>-103.2974057</v>
      </c>
      <c r="BS76" s="47">
        <f t="shared" si="2"/>
        <v>2.6538934400000009</v>
      </c>
    </row>
    <row r="77" spans="1:71" ht="12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44"/>
      <c r="BJ77" s="45"/>
      <c r="BK77" s="46">
        <v>1078.3223780000001</v>
      </c>
      <c r="BL77" s="46">
        <v>1060.5450000000001</v>
      </c>
      <c r="BM77" s="46">
        <v>1025.9508249999999</v>
      </c>
      <c r="BN77" s="46">
        <v>993.0219836</v>
      </c>
      <c r="BO77" s="47">
        <v>-13.777953520000001</v>
      </c>
      <c r="BP77" s="47">
        <v>0</v>
      </c>
      <c r="BQ77" s="47">
        <v>-0.1806243542</v>
      </c>
      <c r="BR77" s="47">
        <v>-105.3926743</v>
      </c>
      <c r="BS77" s="47">
        <f t="shared" si="2"/>
        <v>2.6538934400000009</v>
      </c>
    </row>
    <row r="78" spans="1:71" ht="12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44"/>
      <c r="BJ78" s="45"/>
      <c r="BK78" s="46">
        <v>1078.3223780000001</v>
      </c>
      <c r="BL78" s="46">
        <v>1060.5450000000001</v>
      </c>
      <c r="BM78" s="46">
        <v>1025.9529669999999</v>
      </c>
      <c r="BN78" s="46">
        <v>993.03570390000004</v>
      </c>
      <c r="BO78" s="47">
        <v>-13.777953520000001</v>
      </c>
      <c r="BP78" s="47">
        <v>0</v>
      </c>
      <c r="BQ78" s="47">
        <v>-0.19630276020000001</v>
      </c>
      <c r="BR78" s="47">
        <v>-107.5148088</v>
      </c>
      <c r="BS78" s="47">
        <f t="shared" si="2"/>
        <v>2.6538934400000009</v>
      </c>
    </row>
    <row r="79" spans="1:71" ht="12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44"/>
      <c r="BJ79" s="45"/>
      <c r="BK79" s="46">
        <v>1078.3223780000001</v>
      </c>
      <c r="BL79" s="46">
        <v>1060.5450000000001</v>
      </c>
      <c r="BM79" s="46">
        <v>1025.955068</v>
      </c>
      <c r="BN79" s="46">
        <v>993.04945829999997</v>
      </c>
      <c r="BO79" s="47">
        <v>-13.777953520000001</v>
      </c>
      <c r="BP79" s="47">
        <v>0</v>
      </c>
      <c r="BQ79" s="47">
        <v>-0.21218560989999999</v>
      </c>
      <c r="BR79" s="47">
        <v>-109.6593201</v>
      </c>
      <c r="BS79" s="47">
        <f t="shared" si="2"/>
        <v>2.6538934400000009</v>
      </c>
    </row>
    <row r="80" spans="1:71" ht="12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44"/>
      <c r="BJ80" s="45"/>
      <c r="BK80" s="46">
        <v>1078.3223780000001</v>
      </c>
      <c r="BL80" s="46">
        <v>1060.5450000000001</v>
      </c>
      <c r="BM80" s="46">
        <v>1025.9571330000001</v>
      </c>
      <c r="BN80" s="46">
        <v>993.06326000000001</v>
      </c>
      <c r="BO80" s="47">
        <v>-13.777953520000001</v>
      </c>
      <c r="BP80" s="47">
        <v>0</v>
      </c>
      <c r="BQ80" s="47">
        <v>-0.22827673670000001</v>
      </c>
      <c r="BR80" s="47">
        <v>-111.8282933</v>
      </c>
      <c r="BS80" s="47">
        <f t="shared" si="2"/>
        <v>2.6538934400000009</v>
      </c>
    </row>
    <row r="81" spans="1:71" ht="12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44"/>
      <c r="BJ81" s="45"/>
      <c r="BK81" s="46">
        <v>1078.3223780000001</v>
      </c>
      <c r="BL81" s="46">
        <v>1060.5450000000001</v>
      </c>
      <c r="BM81" s="46">
        <v>1025.959169</v>
      </c>
      <c r="BN81" s="46">
        <v>993.07711510000001</v>
      </c>
      <c r="BO81" s="47">
        <v>-13.777953520000001</v>
      </c>
      <c r="BP81" s="47">
        <v>0</v>
      </c>
      <c r="BQ81" s="47">
        <v>-0.2445927682</v>
      </c>
      <c r="BR81" s="47">
        <v>-114.0227707</v>
      </c>
      <c r="BS81" s="47">
        <f t="shared" si="2"/>
        <v>2.6538934400000009</v>
      </c>
    </row>
    <row r="82" spans="1:71" ht="12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44"/>
      <c r="BJ82" s="45"/>
      <c r="BK82" s="46">
        <v>1078.3223780000001</v>
      </c>
      <c r="BL82" s="46">
        <v>1060.5450000000001</v>
      </c>
      <c r="BM82" s="46">
        <v>1025.9611809999999</v>
      </c>
      <c r="BN82" s="46">
        <v>993.09101380000004</v>
      </c>
      <c r="BO82" s="47">
        <v>-13.777953520000001</v>
      </c>
      <c r="BP82" s="47">
        <v>0</v>
      </c>
      <c r="BQ82" s="47">
        <v>-0.2611597417</v>
      </c>
      <c r="BR82" s="47">
        <v>-116.24123590000001</v>
      </c>
      <c r="BS82" s="47">
        <f t="shared" si="2"/>
        <v>2.6538934400000009</v>
      </c>
    </row>
    <row r="83" spans="1:71" ht="12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44"/>
      <c r="BJ83" s="45"/>
      <c r="BK83" s="46">
        <v>1078.3223780000001</v>
      </c>
      <c r="BL83" s="46">
        <v>1060.5450000000001</v>
      </c>
      <c r="BM83" s="46">
        <v>1025.963115</v>
      </c>
      <c r="BN83" s="46">
        <v>993.10488020000003</v>
      </c>
      <c r="BO83" s="47">
        <v>-13.777953520000001</v>
      </c>
      <c r="BP83" s="47">
        <v>0</v>
      </c>
      <c r="BQ83" s="47">
        <v>-0.27749522659999998</v>
      </c>
      <c r="BR83" s="47">
        <v>-118.4715186</v>
      </c>
      <c r="BS83" s="47">
        <f t="shared" si="2"/>
        <v>2.6538934400000009</v>
      </c>
    </row>
    <row r="84" spans="1:71" ht="12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44"/>
      <c r="BJ84" s="45"/>
      <c r="BK84" s="46">
        <v>1078.3223780000001</v>
      </c>
      <c r="BL84" s="46">
        <v>1060.5450000000001</v>
      </c>
      <c r="BM84" s="46">
        <v>1025.964948</v>
      </c>
      <c r="BN84" s="46">
        <v>993.11862959999996</v>
      </c>
      <c r="BO84" s="47">
        <v>-13.777953520000001</v>
      </c>
      <c r="BP84" s="47">
        <v>0</v>
      </c>
      <c r="BQ84" s="47">
        <v>-0.29333574579999999</v>
      </c>
      <c r="BR84" s="47">
        <v>-120.6996444</v>
      </c>
      <c r="BS84" s="47">
        <f t="shared" si="2"/>
        <v>2.6538934400000009</v>
      </c>
    </row>
    <row r="85" spans="1:71" ht="12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44"/>
      <c r="BJ85" s="45"/>
      <c r="BK85" s="46">
        <v>1078.3223780000001</v>
      </c>
      <c r="BL85" s="46">
        <v>1060.5450000000001</v>
      </c>
      <c r="BM85" s="46">
        <v>1025.966752</v>
      </c>
      <c r="BN85" s="46">
        <v>993.1323946</v>
      </c>
      <c r="BO85" s="47">
        <v>-13.777953520000001</v>
      </c>
      <c r="BP85" s="47">
        <v>0</v>
      </c>
      <c r="BQ85" s="47">
        <v>-0.3092658036</v>
      </c>
      <c r="BR85" s="47">
        <v>-122.9465916</v>
      </c>
      <c r="BS85" s="47">
        <f t="shared" si="2"/>
        <v>2.6538934400000009</v>
      </c>
    </row>
    <row r="86" spans="1:71" ht="12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44"/>
      <c r="BJ86" s="45"/>
      <c r="BK86" s="46">
        <v>1078.3223780000001</v>
      </c>
      <c r="BL86" s="46">
        <v>1060.5450000000001</v>
      </c>
      <c r="BM86" s="46">
        <v>1025.9685460000001</v>
      </c>
      <c r="BN86" s="46">
        <v>993.14624170000002</v>
      </c>
      <c r="BO86" s="47">
        <v>-13.777953520000001</v>
      </c>
      <c r="BP86" s="47">
        <v>0</v>
      </c>
      <c r="BQ86" s="47">
        <v>-0.32544443159999997</v>
      </c>
      <c r="BR86" s="47">
        <v>-125.2232951</v>
      </c>
      <c r="BS86" s="47">
        <f t="shared" si="2"/>
        <v>2.6538934400000009</v>
      </c>
    </row>
    <row r="87" spans="1:71" ht="12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44"/>
      <c r="BJ87" s="45"/>
      <c r="BK87" s="46">
        <v>1078.3223780000001</v>
      </c>
      <c r="BL87" s="46">
        <v>1060.5450000000001</v>
      </c>
      <c r="BM87" s="46">
        <v>1025.970339</v>
      </c>
      <c r="BN87" s="46">
        <v>993.16015159999995</v>
      </c>
      <c r="BO87" s="47">
        <v>-13.777953520000001</v>
      </c>
      <c r="BP87" s="47">
        <v>0</v>
      </c>
      <c r="BQ87" s="47">
        <v>-0.34193708109999998</v>
      </c>
      <c r="BR87" s="47">
        <v>-127.52684929999999</v>
      </c>
      <c r="BS87" s="47">
        <f t="shared" si="2"/>
        <v>2.6538934400000009</v>
      </c>
    </row>
    <row r="88" spans="1:71" ht="12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44"/>
      <c r="BJ88" s="45"/>
      <c r="BK88" s="46">
        <v>1078.3223780000001</v>
      </c>
      <c r="BL88" s="46">
        <v>1060.5450000000001</v>
      </c>
      <c r="BM88" s="46">
        <v>1025.9720809999999</v>
      </c>
      <c r="BN88" s="46">
        <v>993.17387550000001</v>
      </c>
      <c r="BO88" s="47">
        <v>-13.777953520000001</v>
      </c>
      <c r="BP88" s="47">
        <v>0</v>
      </c>
      <c r="BQ88" s="47">
        <v>-0.3582764349</v>
      </c>
      <c r="BR88" s="47">
        <v>-129.8160058</v>
      </c>
      <c r="BS88" s="47">
        <f t="shared" si="2"/>
        <v>2.6538934400000009</v>
      </c>
    </row>
    <row r="89" spans="1:71" ht="12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44"/>
      <c r="BJ89" s="45"/>
      <c r="BK89" s="46">
        <v>1078.3223780000001</v>
      </c>
      <c r="BL89" s="46">
        <v>1060.5450000000001</v>
      </c>
      <c r="BM89" s="46">
        <v>1025.973765</v>
      </c>
      <c r="BN89" s="46">
        <v>993.18736160000003</v>
      </c>
      <c r="BO89" s="47">
        <v>-13.777953520000001</v>
      </c>
      <c r="BP89" s="47">
        <v>0</v>
      </c>
      <c r="BQ89" s="47">
        <v>-0.37435737359999999</v>
      </c>
      <c r="BR89" s="47">
        <v>-132.081345</v>
      </c>
      <c r="BS89" s="47">
        <f t="shared" si="2"/>
        <v>2.6538934400000009</v>
      </c>
    </row>
    <row r="90" spans="1:71" ht="12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44"/>
      <c r="BJ90" s="45"/>
      <c r="BK90" s="46">
        <v>1078.3223780000001</v>
      </c>
      <c r="BL90" s="46">
        <v>1060.5450000000001</v>
      </c>
      <c r="BM90" s="46">
        <v>1025.9754290000001</v>
      </c>
      <c r="BN90" s="46">
        <v>993.20081930000003</v>
      </c>
      <c r="BO90" s="47">
        <v>-13.777953520000001</v>
      </c>
      <c r="BP90" s="47">
        <v>0</v>
      </c>
      <c r="BQ90" s="47">
        <v>-0.39052739879999998</v>
      </c>
      <c r="BR90" s="47">
        <v>-134.3574045</v>
      </c>
      <c r="BS90" s="47">
        <f t="shared" si="2"/>
        <v>2.6538934400000009</v>
      </c>
    </row>
    <row r="91" spans="1:71" ht="12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44"/>
      <c r="BJ91" s="45"/>
      <c r="BK91" s="46">
        <v>1078.3223780000001</v>
      </c>
      <c r="BL91" s="46">
        <v>1060.5450000000001</v>
      </c>
      <c r="BM91" s="46">
        <v>1025.9770619999999</v>
      </c>
      <c r="BN91" s="46">
        <v>993.21395040000004</v>
      </c>
      <c r="BO91" s="47">
        <v>-13.777953520000001</v>
      </c>
      <c r="BP91" s="47">
        <v>0</v>
      </c>
      <c r="BQ91" s="47">
        <v>-0.40665827370000002</v>
      </c>
      <c r="BR91" s="47">
        <v>-136.59330249999999</v>
      </c>
      <c r="BS91" s="47">
        <f t="shared" si="2"/>
        <v>2.6538934400000009</v>
      </c>
    </row>
    <row r="92" spans="1:71" ht="12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44"/>
      <c r="BJ92" s="45"/>
      <c r="BK92" s="46">
        <v>1078.3223780000001</v>
      </c>
      <c r="BL92" s="46">
        <v>1060.5450000000001</v>
      </c>
      <c r="BM92" s="46">
        <v>1025.97867</v>
      </c>
      <c r="BN92" s="46">
        <v>993.22696370000006</v>
      </c>
      <c r="BO92" s="47">
        <v>-13.777953520000001</v>
      </c>
      <c r="BP92" s="47">
        <v>0</v>
      </c>
      <c r="BQ92" s="47">
        <v>-0.42279671540000002</v>
      </c>
      <c r="BR92" s="47">
        <v>-138.82358869999999</v>
      </c>
      <c r="BS92" s="47">
        <f t="shared" si="2"/>
        <v>2.6538934400000009</v>
      </c>
    </row>
    <row r="93" spans="1:71" ht="12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44"/>
      <c r="BJ93" s="45"/>
      <c r="BK93" s="46">
        <v>1078.3223780000001</v>
      </c>
      <c r="BL93" s="46">
        <v>1060.5450000000001</v>
      </c>
      <c r="BM93" s="46">
        <v>1025.9802279999999</v>
      </c>
      <c r="BN93" s="46">
        <v>993.23976170000003</v>
      </c>
      <c r="BO93" s="47">
        <v>-13.777953520000001</v>
      </c>
      <c r="BP93" s="47">
        <v>0</v>
      </c>
      <c r="BQ93" s="47">
        <v>-0.4386695994</v>
      </c>
      <c r="BR93" s="47">
        <v>-141.03106930000001</v>
      </c>
      <c r="BS93" s="47">
        <f t="shared" si="2"/>
        <v>2.6538934400000009</v>
      </c>
    </row>
    <row r="94" spans="1:71" ht="12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44"/>
      <c r="BJ94" s="45"/>
      <c r="BK94" s="46">
        <v>1078.3223780000001</v>
      </c>
      <c r="BL94" s="46">
        <v>1060.5450000000001</v>
      </c>
      <c r="BM94" s="46">
        <v>1025.9816519999999</v>
      </c>
      <c r="BN94" s="46">
        <v>993.25197560000004</v>
      </c>
      <c r="BO94" s="47">
        <v>-13.777953520000001</v>
      </c>
      <c r="BP94" s="47">
        <v>0</v>
      </c>
      <c r="BQ94" s="47">
        <v>-0.453388976</v>
      </c>
      <c r="BR94" s="47">
        <v>-143.15097</v>
      </c>
      <c r="BS94" s="47">
        <f t="shared" si="2"/>
        <v>2.6538934400000009</v>
      </c>
    </row>
    <row r="95" spans="1:71" ht="12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44"/>
      <c r="BJ95" s="45"/>
      <c r="BK95" s="46">
        <v>1078.332355</v>
      </c>
      <c r="BL95" s="46">
        <v>1060.5450000000001</v>
      </c>
      <c r="BM95" s="46">
        <v>1025.9829480000001</v>
      </c>
      <c r="BN95" s="46">
        <v>993.26329569999996</v>
      </c>
      <c r="BO95" s="47">
        <v>-14.049901869999999</v>
      </c>
      <c r="BP95" s="47">
        <v>0</v>
      </c>
      <c r="BQ95" s="47">
        <v>-0.46694354339999999</v>
      </c>
      <c r="BR95" s="47">
        <v>-145.12731539999999</v>
      </c>
      <c r="BS95" s="47">
        <f t="shared" si="2"/>
        <v>2.3819450900000021</v>
      </c>
    </row>
    <row r="96" spans="1:71" ht="12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44"/>
      <c r="BJ96" s="45"/>
      <c r="BK96" s="46">
        <v>1078.3549619999999</v>
      </c>
      <c r="BL96" s="46">
        <v>1060.5450000000001</v>
      </c>
      <c r="BM96" s="46">
        <v>1025.9841039999999</v>
      </c>
      <c r="BN96" s="46">
        <v>993.27340219999996</v>
      </c>
      <c r="BO96" s="47">
        <v>-14.673426989999999</v>
      </c>
      <c r="BP96" s="47">
        <v>0</v>
      </c>
      <c r="BQ96" s="47">
        <v>-0.47916846499999999</v>
      </c>
      <c r="BR96" s="47">
        <v>-146.90126660000001</v>
      </c>
      <c r="BS96" s="47">
        <f t="shared" si="2"/>
        <v>1.7584199700000021</v>
      </c>
    </row>
    <row r="97" spans="1:71" ht="12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44"/>
      <c r="BJ97" s="45"/>
      <c r="BK97" s="46">
        <v>1078.384249</v>
      </c>
      <c r="BL97" s="46">
        <v>1061.5809999999999</v>
      </c>
      <c r="BM97" s="46">
        <v>1025.98549</v>
      </c>
      <c r="BN97" s="46">
        <v>993.28303840000001</v>
      </c>
      <c r="BO97" s="47">
        <v>-15.49621728</v>
      </c>
      <c r="BP97" s="47">
        <v>-1.2716720420000001</v>
      </c>
      <c r="BQ97" s="47">
        <v>-0.4940008266</v>
      </c>
      <c r="BR97" s="47">
        <v>-148.59970150000001</v>
      </c>
      <c r="BS97" s="47">
        <f t="shared" si="2"/>
        <v>0.93562968000000168</v>
      </c>
    </row>
    <row r="98" spans="1:71" ht="12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44"/>
      <c r="BJ98" s="45"/>
      <c r="BK98" s="46">
        <v>1078.403742</v>
      </c>
      <c r="BL98" s="46">
        <v>1061.5809999999999</v>
      </c>
      <c r="BM98" s="46">
        <v>1026.14339</v>
      </c>
      <c r="BN98" s="46">
        <v>993.29818030000001</v>
      </c>
      <c r="BO98" s="47">
        <v>-16.05322335</v>
      </c>
      <c r="BP98" s="47">
        <v>-2.696741201</v>
      </c>
      <c r="BQ98" s="47">
        <v>-1.8350346019999999</v>
      </c>
      <c r="BR98" s="47">
        <v>-151.27753490000001</v>
      </c>
      <c r="BS98" s="47">
        <f t="shared" si="2"/>
        <v>0.37862361000000178</v>
      </c>
    </row>
    <row r="99" spans="1:71" ht="12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44"/>
      <c r="BJ99" s="45"/>
      <c r="BK99" s="46">
        <v>1078.4114279999999</v>
      </c>
      <c r="BL99" s="46">
        <v>1061.5809999999999</v>
      </c>
      <c r="BM99" s="46">
        <v>1026.234897</v>
      </c>
      <c r="BN99" s="46">
        <v>993.30660220000004</v>
      </c>
      <c r="BO99" s="47">
        <v>-16.274877889999999</v>
      </c>
      <c r="BP99" s="47">
        <v>-3.2401296980000001</v>
      </c>
      <c r="BQ99" s="47">
        <v>-2.9948151059999999</v>
      </c>
      <c r="BR99" s="47">
        <v>-152.77536910000001</v>
      </c>
      <c r="BS99" s="47">
        <f t="shared" si="2"/>
        <v>0.15696907000000238</v>
      </c>
    </row>
    <row r="100" spans="1:71" ht="12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44"/>
      <c r="BJ100" s="45"/>
      <c r="BK100" s="46">
        <v>1078.4145779999999</v>
      </c>
      <c r="BL100" s="46">
        <v>1061.5809999999999</v>
      </c>
      <c r="BM100" s="46">
        <v>1026.2641510000001</v>
      </c>
      <c r="BN100" s="46">
        <v>993.30961760000002</v>
      </c>
      <c r="BO100" s="47">
        <v>-16.366034190000001</v>
      </c>
      <c r="BP100" s="47">
        <v>-3.448878267</v>
      </c>
      <c r="BQ100" s="47">
        <v>-3.4178513810000002</v>
      </c>
      <c r="BR100" s="47">
        <v>-153.31344089999999</v>
      </c>
      <c r="BS100" s="47">
        <f t="shared" si="2"/>
        <v>6.5812770000000853E-2</v>
      </c>
    </row>
    <row r="101" spans="1:71" ht="12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44"/>
      <c r="BJ101" s="45"/>
      <c r="BK101" s="46">
        <v>1078.4158990000001</v>
      </c>
      <c r="BL101" s="46">
        <v>1061.5809999999999</v>
      </c>
      <c r="BM101" s="46">
        <v>1026.275333</v>
      </c>
      <c r="BN101" s="46">
        <v>993.31081510000001</v>
      </c>
      <c r="BO101" s="47">
        <v>-16.40433273</v>
      </c>
      <c r="BP101" s="47">
        <v>-3.531393923</v>
      </c>
      <c r="BQ101" s="47">
        <v>-3.585952024</v>
      </c>
      <c r="BR101" s="47">
        <v>-153.52734570000001</v>
      </c>
      <c r="BS101" s="47">
        <f t="shared" si="2"/>
        <v>2.7514230000001305E-2</v>
      </c>
    </row>
    <row r="102" spans="1:71" ht="12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44"/>
      <c r="BJ102" s="45"/>
      <c r="BK102" s="46">
        <v>1078.416459</v>
      </c>
      <c r="BL102" s="46">
        <v>1061.5809999999999</v>
      </c>
      <c r="BM102" s="46">
        <v>1026.279857</v>
      </c>
      <c r="BN102" s="46">
        <v>993.31131019999998</v>
      </c>
      <c r="BO102" s="47">
        <v>-16.420572180000001</v>
      </c>
      <c r="BP102" s="47">
        <v>-3.564385245</v>
      </c>
      <c r="BQ102" s="47">
        <v>-3.6549532490000001</v>
      </c>
      <c r="BR102" s="47">
        <v>-153.6158173</v>
      </c>
      <c r="BS102" s="47">
        <f t="shared" si="2"/>
        <v>1.1274780000000817E-2</v>
      </c>
    </row>
    <row r="103" spans="1:71" ht="12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44"/>
      <c r="BJ103" s="45"/>
      <c r="BK103" s="46">
        <v>1078.416694</v>
      </c>
      <c r="BL103" s="46">
        <v>1061.5809999999999</v>
      </c>
      <c r="BM103" s="46">
        <v>1026.2817070000001</v>
      </c>
      <c r="BN103" s="46">
        <v>993.31151590000002</v>
      </c>
      <c r="BO103" s="47">
        <v>-16.427385569999998</v>
      </c>
      <c r="BP103" s="47">
        <v>-3.577506466</v>
      </c>
      <c r="BQ103" s="47">
        <v>-3.6833417000000002</v>
      </c>
      <c r="BR103" s="47">
        <v>-153.65258789999999</v>
      </c>
      <c r="BS103" s="47">
        <f t="shared" si="2"/>
        <v>4.4613900000030071E-3</v>
      </c>
    </row>
    <row r="104" spans="1:71" ht="12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44"/>
      <c r="BJ104" s="45"/>
      <c r="BK104" s="46">
        <v>1078.4167890000001</v>
      </c>
      <c r="BL104" s="46">
        <v>1061.5809999999999</v>
      </c>
      <c r="BM104" s="46">
        <v>1026.282453</v>
      </c>
      <c r="BN104" s="46">
        <v>993.3116</v>
      </c>
      <c r="BO104" s="47">
        <v>-16.430160730000001</v>
      </c>
      <c r="BP104" s="47">
        <v>-3.5826218089999999</v>
      </c>
      <c r="BQ104" s="47">
        <v>-3.694812422</v>
      </c>
      <c r="BR104" s="47">
        <v>-153.66760869999999</v>
      </c>
      <c r="BS104" s="47">
        <f t="shared" si="2"/>
        <v>1.6862300000006769E-3</v>
      </c>
    </row>
    <row r="105" spans="1:71" ht="12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44"/>
      <c r="BJ105" s="45"/>
      <c r="BK105" s="46">
        <v>1078.416827</v>
      </c>
      <c r="BL105" s="46">
        <v>1061.5809999999999</v>
      </c>
      <c r="BM105" s="46">
        <v>1026.282745</v>
      </c>
      <c r="BN105" s="46">
        <v>993.31163330000004</v>
      </c>
      <c r="BO105" s="47">
        <v>-16.431242650000002</v>
      </c>
      <c r="BP105" s="47">
        <v>-3.5845523400000001</v>
      </c>
      <c r="BQ105" s="47">
        <v>-3.6992993369999998</v>
      </c>
      <c r="BR105" s="47">
        <v>-153.67354950000001</v>
      </c>
      <c r="BS105" s="47">
        <f t="shared" si="2"/>
        <v>6.0430999999994128E-4</v>
      </c>
    </row>
    <row r="106" spans="1:71" ht="12" customHeight="1" x14ac:dyDescent="0.25"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71" ht="12" customHeight="1" x14ac:dyDescent="0.25"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71" ht="12" customHeight="1" x14ac:dyDescent="0.25"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</sheetData>
  <conditionalFormatting sqref="H43:O4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0:W4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Y40:Y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:AJ1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0:AJ3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U18">
    <cfRule type="colorScale" priority="9">
      <colorScale>
        <cfvo type="min"/>
        <cfvo type="max"/>
        <color rgb="FF63BE7B"/>
        <color rgb="FFFCFCFF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0:AU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:BF1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20:BF3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7:BG18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a1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2015-06-05T18:17:20Z</dcterms:created>
  <dcterms:modified xsi:type="dcterms:W3CDTF">2025-11-10T09:55:05Z</dcterms:modified>
</cp:coreProperties>
</file>